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15" activeTab="4"/>
  </bookViews>
  <sheets>
    <sheet name="日超8H" sheetId="2" r:id="rId1"/>
    <sheet name="是否排班" sheetId="3" r:id="rId2"/>
    <sheet name="排班正确" sheetId="4" r:id="rId3"/>
    <sheet name="缺卡" sheetId="5" r:id="rId4"/>
    <sheet name="每日打卡工时推送模版" sheetId="1" r:id="rId5"/>
    <sheet name="汇总" sheetId="6" r:id="rId6"/>
    <sheet name="汇总 (2)" sheetId="7" r:id="rId7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5" hidden="1">汇总!$A$2:$N$113</definedName>
    <definedName name="_xlnm._FilterDatabase" localSheetId="4" hidden="1">每日打卡工时推送模版!$A$2:$AI$992</definedName>
    <definedName name="_xlnm._FilterDatabase" localSheetId="1" hidden="1">是否排班!$G$3:$M$115</definedName>
    <definedName name="_xlnm._FilterDatabase" localSheetId="6" hidden="1">'汇总 (2)'!$A$2:$N$26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<sst xmlns="http://schemas.openxmlformats.org/spreadsheetml/2006/main" count="13024" uniqueCount="2911">
  <si>
    <t>计数项:工号</t>
  </si>
  <si>
    <t>是否日超8H</t>
  </si>
  <si>
    <t>三级部门</t>
  </si>
  <si>
    <t>四级部门</t>
  </si>
  <si>
    <t>是</t>
  </si>
  <si>
    <t>否</t>
  </si>
  <si>
    <t>总计</t>
  </si>
  <si>
    <t>辅助</t>
  </si>
  <si>
    <t>AD 行政部</t>
  </si>
  <si>
    <t>AS 审计监察部</t>
  </si>
  <si>
    <t>BD 本地客户部</t>
  </si>
  <si>
    <t>BM 品牌市场部</t>
  </si>
  <si>
    <t>CM 运力管理部</t>
  </si>
  <si>
    <t>CS 客户服务部</t>
  </si>
  <si>
    <t>DO 数字运营部</t>
  </si>
  <si>
    <t>FL 佛州大区</t>
  </si>
  <si>
    <t>FTM01</t>
  </si>
  <si>
    <t>MCO.H</t>
  </si>
  <si>
    <t>MCO01</t>
  </si>
  <si>
    <t>MF 中佛片区</t>
  </si>
  <si>
    <t>MIA.H</t>
  </si>
  <si>
    <t>MIA01</t>
  </si>
  <si>
    <t>NF 北佛片区</t>
  </si>
  <si>
    <t>OCF01</t>
  </si>
  <si>
    <t>SF 南佛片区</t>
  </si>
  <si>
    <t>SRQ01</t>
  </si>
  <si>
    <t>TPA01</t>
  </si>
  <si>
    <t>WF 西佛片区</t>
  </si>
  <si>
    <t>WPB01</t>
  </si>
  <si>
    <t>运营支持部</t>
  </si>
  <si>
    <t>FL 佛州大区 汇总</t>
  </si>
  <si>
    <t>GL 大湖大区</t>
  </si>
  <si>
    <t>CLE01</t>
  </si>
  <si>
    <t>CM 中西部中心片区</t>
  </si>
  <si>
    <t>CMH01</t>
  </si>
  <si>
    <t>CVG.H</t>
  </si>
  <si>
    <t>EG 东大湖片区</t>
  </si>
  <si>
    <t>IND01</t>
  </si>
  <si>
    <t>MCI01</t>
  </si>
  <si>
    <t>MKE01</t>
  </si>
  <si>
    <t>NM 中西部北片区</t>
  </si>
  <si>
    <t>ORD.H</t>
  </si>
  <si>
    <t>ORD01</t>
  </si>
  <si>
    <t>WG 西大湖片区</t>
  </si>
  <si>
    <t>车辆管理部</t>
  </si>
  <si>
    <t>揽收部</t>
  </si>
  <si>
    <t>GL 大湖大区 汇总</t>
  </si>
  <si>
    <t>Gofo财务部</t>
  </si>
  <si>
    <t>Ground项目部</t>
  </si>
  <si>
    <t>OG 美东区</t>
  </si>
  <si>
    <t>OG 美南区</t>
  </si>
  <si>
    <t>OG 美西区</t>
  </si>
  <si>
    <t>OG 美中区</t>
  </si>
  <si>
    <t>派送管理部</t>
  </si>
  <si>
    <t>运营管理部</t>
  </si>
  <si>
    <t>Ground项目部 汇总</t>
  </si>
  <si>
    <t>IC 跨境客户部</t>
  </si>
  <si>
    <t>LD 法务部</t>
  </si>
  <si>
    <t>MS 中南大区</t>
  </si>
  <si>
    <t>AS 奥萨查沿海片区</t>
  </si>
  <si>
    <t>AS 亚特兰大和南阿拉巴马片区</t>
  </si>
  <si>
    <t>ATL.H</t>
  </si>
  <si>
    <t>BN 田纳西和北阿拉巴马片区</t>
  </si>
  <si>
    <t>CLT.H</t>
  </si>
  <si>
    <t>CS 夏洛特及周边片区</t>
  </si>
  <si>
    <t>PDK.H</t>
  </si>
  <si>
    <t>RE 北卡和东南海岸片区</t>
  </si>
  <si>
    <t>MS 中南大区 汇总</t>
  </si>
  <si>
    <t>NE 东北大区</t>
  </si>
  <si>
    <t>BDL01</t>
  </si>
  <si>
    <t>BN 布法罗片区</t>
  </si>
  <si>
    <t>BOS01</t>
  </si>
  <si>
    <t>BUF01</t>
  </si>
  <si>
    <t>BWI.H</t>
  </si>
  <si>
    <t>BWI01</t>
  </si>
  <si>
    <t>DC 华盛顿片区</t>
  </si>
  <si>
    <t>EWR.H</t>
  </si>
  <si>
    <t>EWR01</t>
  </si>
  <si>
    <t>JFK.H</t>
  </si>
  <si>
    <t>JFK01</t>
  </si>
  <si>
    <t>MA 新英格兰片区</t>
  </si>
  <si>
    <t>NY 纽约片区</t>
  </si>
  <si>
    <t>PA 宾州片区</t>
  </si>
  <si>
    <t>PHL01</t>
  </si>
  <si>
    <t>PIT01</t>
  </si>
  <si>
    <t>RIC01</t>
  </si>
  <si>
    <t>NE 东北大区 汇总</t>
  </si>
  <si>
    <t>NP 网络规划部</t>
  </si>
  <si>
    <t>OM 操作管理部</t>
  </si>
  <si>
    <t>QC 质量控制部</t>
  </si>
  <si>
    <t>SM 战略管理部</t>
  </si>
  <si>
    <t>SM 站点管理部</t>
  </si>
  <si>
    <t>TX 德州大区</t>
  </si>
  <si>
    <t>CT 中德州片区</t>
  </si>
  <si>
    <t>DFW.H</t>
  </si>
  <si>
    <t>GC 墨湾片区</t>
  </si>
  <si>
    <t>IAH.H</t>
  </si>
  <si>
    <t>NT 北德州片区</t>
  </si>
  <si>
    <t>TX 德州大区 汇总</t>
  </si>
  <si>
    <t>US人力资源部</t>
  </si>
  <si>
    <t>WE 美西大区</t>
  </si>
  <si>
    <t>CNO.H</t>
  </si>
  <si>
    <t>DS 丹佛·盐湖城片区</t>
  </si>
  <si>
    <t>LAV.H</t>
  </si>
  <si>
    <t>LA揽收部</t>
  </si>
  <si>
    <t>NC 北加片区</t>
  </si>
  <si>
    <t>SC 南加片区</t>
  </si>
  <si>
    <t>SP 西雅图·波特兰片区</t>
  </si>
  <si>
    <t>WE 美西大区 汇总</t>
  </si>
  <si>
    <t>是否排班</t>
  </si>
  <si>
    <t>排班率</t>
  </si>
  <si>
    <t>hub分类</t>
  </si>
  <si>
    <t>HUB</t>
  </si>
  <si>
    <t>是否排班正确</t>
  </si>
  <si>
    <t>/</t>
  </si>
  <si>
    <t>不正确</t>
  </si>
  <si>
    <t>正确</t>
  </si>
  <si>
    <t>正确率</t>
  </si>
  <si>
    <t>求和项:缺卡次数</t>
  </si>
  <si>
    <t>求和项:标准打卡数</t>
  </si>
  <si>
    <t>queka1</t>
  </si>
  <si>
    <t>考勤日期</t>
  </si>
  <si>
    <t>姓名</t>
  </si>
  <si>
    <t>工号</t>
  </si>
  <si>
    <t>五级部门</t>
  </si>
  <si>
    <t>职位</t>
  </si>
  <si>
    <t>班次名称</t>
  </si>
  <si>
    <t>班次上班时间</t>
  </si>
  <si>
    <t>班次下班时间</t>
  </si>
  <si>
    <t>首打卡时间</t>
  </si>
  <si>
    <t>末打卡时间</t>
  </si>
  <si>
    <t>居家办公工时（全）合计</t>
  </si>
  <si>
    <t>每日总工时(公式：末打卡-首打卡-班次午休时间+居家办公时长)合计</t>
  </si>
  <si>
    <t>居家办公合计（审批中）</t>
  </si>
  <si>
    <t>日超8H</t>
  </si>
  <si>
    <t>累计总工时</t>
  </si>
  <si>
    <t>本周加班工时</t>
  </si>
  <si>
    <t>班次内打卡次数</t>
  </si>
  <si>
    <t>标准打卡数</t>
  </si>
  <si>
    <t>缺卡次数</t>
  </si>
  <si>
    <t>备注（GF）</t>
  </si>
  <si>
    <t>离职日期</t>
  </si>
  <si>
    <t>区域BP</t>
  </si>
  <si>
    <t>区长</t>
  </si>
  <si>
    <t>负责人</t>
  </si>
  <si>
    <t>仓长</t>
  </si>
  <si>
    <t>字段 2</t>
  </si>
  <si>
    <t>字段 3</t>
  </si>
  <si>
    <t/>
  </si>
  <si>
    <t>Alessan South</t>
  </si>
  <si>
    <t>GL502870</t>
  </si>
  <si>
    <t>ILM01</t>
  </si>
  <si>
    <t>Warehouse Operator 操作员(兼)</t>
  </si>
  <si>
    <t>Caleb Aaron Kenmar</t>
  </si>
  <si>
    <t>GL502898</t>
  </si>
  <si>
    <t>MOB01</t>
  </si>
  <si>
    <t>Warehouse Operator 操作员</t>
  </si>
  <si>
    <t>Kareem Stuart</t>
  </si>
  <si>
    <t>GL502718</t>
  </si>
  <si>
    <t>ATL.G</t>
  </si>
  <si>
    <t>Dispatcher 调度员</t>
  </si>
  <si>
    <t>Tara S Austin</t>
  </si>
  <si>
    <t>GL502869</t>
  </si>
  <si>
    <t>MYR01</t>
  </si>
  <si>
    <t>刘建好Gaby（Jianhao Liu)</t>
  </si>
  <si>
    <t>GL502829</t>
  </si>
  <si>
    <t>综办组</t>
  </si>
  <si>
    <t>Warehouse Clerk 仓库文员</t>
  </si>
  <si>
    <t>刘梓宸 James (Zichen Liu)</t>
  </si>
  <si>
    <t>GL500866</t>
  </si>
  <si>
    <t>Deputy Hub Head（Probation） 副仓长（见习）</t>
  </si>
  <si>
    <t>吴金生 Jason (Jinsheng Wu)</t>
  </si>
  <si>
    <t>GL500670</t>
  </si>
  <si>
    <t>District Head 片区长</t>
  </si>
  <si>
    <t>左越 Phil (Yue Zuo)</t>
  </si>
  <si>
    <t>GL502814</t>
  </si>
  <si>
    <t>CLT01</t>
  </si>
  <si>
    <t>Station Operations Specialist 站点运营专员</t>
  </si>
  <si>
    <t>张译丹 Edan （Yidan Zhang）</t>
  </si>
  <si>
    <t>GL501628</t>
  </si>
  <si>
    <t>CLT02</t>
  </si>
  <si>
    <t>李育珊Amber （Yushan Li）</t>
  </si>
  <si>
    <t>GL502554</t>
  </si>
  <si>
    <t>SPR01</t>
  </si>
  <si>
    <t>李致远Brian (Zhiyuan Li)</t>
  </si>
  <si>
    <t>GL502889</t>
  </si>
  <si>
    <t>LGA01</t>
  </si>
  <si>
    <t>胡丹妮Danni（Danni Hu）</t>
  </si>
  <si>
    <t>GL500675</t>
  </si>
  <si>
    <t>Deputy Vehicle Management Supervisor 车辆管理部副主管</t>
  </si>
  <si>
    <t>赵旸悦𮭦Fiona（Yangyuechen Zhao）</t>
  </si>
  <si>
    <t>GL502418</t>
  </si>
  <si>
    <t>邱俊达Jayden（Junda Qiu）</t>
  </si>
  <si>
    <t>GL502769</t>
  </si>
  <si>
    <t>AT303</t>
  </si>
  <si>
    <t>Station Trainee 站点培训生</t>
  </si>
  <si>
    <t>陈淑茵 Nicole （Shuyin Chen）</t>
  </si>
  <si>
    <t>GL501463</t>
  </si>
  <si>
    <t>陈玥丹Karol（Yuedan Chen）</t>
  </si>
  <si>
    <t>GL501694</t>
  </si>
  <si>
    <t>区域支持组</t>
  </si>
  <si>
    <t>Regional Support Specialist 区域支持专员</t>
  </si>
  <si>
    <t>2026/05/12</t>
  </si>
  <si>
    <t>Alabran (Alabran Reyes)</t>
  </si>
  <si>
    <t>GL501448</t>
  </si>
  <si>
    <t>TY_04:00</t>
  </si>
  <si>
    <t>12:30</t>
  </si>
  <si>
    <t>12:06</t>
  </si>
  <si>
    <t>Alexis (Alexis Castillo)</t>
  </si>
  <si>
    <t>GL502454</t>
  </si>
  <si>
    <t>操作组</t>
  </si>
  <si>
    <t>TY_08:00</t>
  </si>
  <si>
    <t>16:30</t>
  </si>
  <si>
    <t>17:32</t>
  </si>
  <si>
    <t>Alexis Villanueva</t>
  </si>
  <si>
    <t>GL502827</t>
  </si>
  <si>
    <t>MFE01</t>
  </si>
  <si>
    <t>TY_休息日</t>
  </si>
  <si>
    <t>18:00</t>
  </si>
  <si>
    <t>Alfaro, Walter Jessie（Alfaro, Walter Jessie）</t>
  </si>
  <si>
    <t>GL500434</t>
  </si>
  <si>
    <t>TY_05:00</t>
  </si>
  <si>
    <t>13:30</t>
  </si>
  <si>
    <t>年假2026/05/12 06:00-2026/05/12 14:30[已完成]</t>
  </si>
  <si>
    <t>Andrea （Andrea Silva）</t>
  </si>
  <si>
    <t>GL501635</t>
  </si>
  <si>
    <t>Andrea(Andrea Velez)</t>
  </si>
  <si>
    <t>GL500972</t>
  </si>
  <si>
    <t>ATL01</t>
  </si>
  <si>
    <t>TY_06:30</t>
  </si>
  <si>
    <t>15:00</t>
  </si>
  <si>
    <t>14:50</t>
  </si>
  <si>
    <t>Andrew Michael Garcia</t>
  </si>
  <si>
    <t>GL502227</t>
  </si>
  <si>
    <t>客服组</t>
  </si>
  <si>
    <t>Customer Service Specialist 客服专员</t>
  </si>
  <si>
    <t>TY_09:30</t>
  </si>
  <si>
    <t>Annie Wang</t>
  </si>
  <si>
    <t>GL501231</t>
  </si>
  <si>
    <t>Senior Overseas Audit Manager 高级海外审计经理</t>
  </si>
  <si>
    <t>年假2026/05/12 09:30-2026/05/12 18:00[已完成]</t>
  </si>
  <si>
    <t>Antonio (Antonio Yong Liang)</t>
  </si>
  <si>
    <t>GL502356</t>
  </si>
  <si>
    <t>调度组</t>
  </si>
  <si>
    <t>Dispatch Lead 调度组长</t>
  </si>
  <si>
    <t>TY_18:00</t>
  </si>
  <si>
    <t>02:30</t>
  </si>
  <si>
    <t>Arielle (Arielle Ho)</t>
  </si>
  <si>
    <t>GL500334</t>
  </si>
  <si>
    <t>TY_11:00</t>
  </si>
  <si>
    <t>19:30</t>
  </si>
  <si>
    <t>21:33</t>
  </si>
  <si>
    <t>Ben(Neng Xiong)</t>
  </si>
  <si>
    <t>GL502559</t>
  </si>
  <si>
    <t>17:00</t>
  </si>
  <si>
    <t>Benjamin Alejandro Zendejas</t>
  </si>
  <si>
    <t>GL502177</t>
  </si>
  <si>
    <t>FAT01</t>
  </si>
  <si>
    <t>TY_04:30</t>
  </si>
  <si>
    <t>13:00</t>
  </si>
  <si>
    <t>Ben苏国邦（Ben Su）</t>
  </si>
  <si>
    <t>GL502562</t>
  </si>
  <si>
    <t>DFW01</t>
  </si>
  <si>
    <t>Bobby Barry</t>
  </si>
  <si>
    <t>GL502239</t>
  </si>
  <si>
    <t>北美销售组</t>
  </si>
  <si>
    <t>Sales Supervisor 销售主管</t>
  </si>
  <si>
    <t>Cameron Tabatabaei Roudsari</t>
  </si>
  <si>
    <t>GL502241</t>
  </si>
  <si>
    <t>Canzhe Tang</t>
  </si>
  <si>
    <t>GL502245</t>
  </si>
  <si>
    <t>加拿大运营组</t>
  </si>
  <si>
    <t>Junior Operations Support Specialist 初级运营支持专员</t>
  </si>
  <si>
    <t>Cao Yijin (Yijin Cao)</t>
  </si>
  <si>
    <t>GL500938</t>
  </si>
  <si>
    <t>分拣组</t>
  </si>
  <si>
    <t>Sorting Lead 分拣组长</t>
  </si>
  <si>
    <t>Chad Emerson</t>
  </si>
  <si>
    <t>GL502240</t>
  </si>
  <si>
    <t>Chavez William（Chavez William）</t>
  </si>
  <si>
    <t>GL500500</t>
  </si>
  <si>
    <t>Warehouse Lead 操作组长</t>
  </si>
  <si>
    <t>TY_10:00</t>
  </si>
  <si>
    <t>18:30</t>
  </si>
  <si>
    <t>19:19</t>
  </si>
  <si>
    <t>Cristobal Ybarra（Cristobal）</t>
  </si>
  <si>
    <t>GL502172</t>
  </si>
  <si>
    <t>ABQ01</t>
  </si>
  <si>
    <t>18:29</t>
  </si>
  <si>
    <t>Daniel Z Rodriguez（Daniel Z Rodriguez）</t>
  </si>
  <si>
    <t>GL500389</t>
  </si>
  <si>
    <t>SFV01</t>
  </si>
  <si>
    <t>11:37</t>
  </si>
  <si>
    <t>Darryl (Darryl Reyes Cruz)</t>
  </si>
  <si>
    <t>GL501561</t>
  </si>
  <si>
    <t>TY_09:00</t>
  </si>
  <si>
    <t>17:30</t>
  </si>
  <si>
    <t>病假2026/05/12 09:00-2026/05/12 17:30[已完成]</t>
  </si>
  <si>
    <t>David (WENQI WANG)</t>
  </si>
  <si>
    <t>GL502560</t>
  </si>
  <si>
    <t>16:59</t>
  </si>
  <si>
    <t>David Thompson</t>
  </si>
  <si>
    <t>GL502788</t>
  </si>
  <si>
    <t>Sorter 分拣员</t>
  </si>
  <si>
    <t>TY_16:00</t>
  </si>
  <si>
    <t>00:30</t>
  </si>
  <si>
    <t>01:07</t>
  </si>
  <si>
    <t>Dayna (Dayna Robles)</t>
  </si>
  <si>
    <t>GL500309</t>
  </si>
  <si>
    <t>12:42</t>
  </si>
  <si>
    <t>Denisse (Denisse Morales Alva)</t>
  </si>
  <si>
    <t>GL500354</t>
  </si>
  <si>
    <t>异常处理组</t>
  </si>
  <si>
    <t>Returns Specialist 退件员</t>
  </si>
  <si>
    <t>17:10</t>
  </si>
  <si>
    <t>Derek (Derek Cheung)</t>
  </si>
  <si>
    <t>GL500461</t>
  </si>
  <si>
    <t>20:52</t>
  </si>
  <si>
    <t>Derek Kissel</t>
  </si>
  <si>
    <t>GL501860</t>
  </si>
  <si>
    <t>Diego (Diego Perez)</t>
  </si>
  <si>
    <t>GL501516</t>
  </si>
  <si>
    <t>Dinoshka (Dinoshka Colon)</t>
  </si>
  <si>
    <t>GL501246</t>
  </si>
  <si>
    <t>Duan Wenfeng</t>
  </si>
  <si>
    <t>GL502235</t>
  </si>
  <si>
    <t>Operations Support Specialist 运营支持专员</t>
  </si>
  <si>
    <t>Edmund(Edmund Rivera)</t>
  </si>
  <si>
    <t>GL502747</t>
  </si>
  <si>
    <t>ORD.G</t>
  </si>
  <si>
    <t>TY_15:00</t>
  </si>
  <si>
    <t>23:30</t>
  </si>
  <si>
    <t>Effy Wang</t>
  </si>
  <si>
    <t>GL502234</t>
  </si>
  <si>
    <t>定价分析组</t>
  </si>
  <si>
    <t>Senior Product Specialist 高级产品专员</t>
  </si>
  <si>
    <t>Elizabeth Guynn</t>
  </si>
  <si>
    <t>GL502467</t>
  </si>
  <si>
    <t>Senior Sales Specialist 高级销售专员</t>
  </si>
  <si>
    <t>出差申请2026/05/12 09:30-2026/05/12 18:00[已完成]</t>
  </si>
  <si>
    <t>Elyse（Elyse Sandra Ellenwood）</t>
  </si>
  <si>
    <t>GL501568</t>
  </si>
  <si>
    <t>GSP01</t>
  </si>
  <si>
    <t>TY_06:00</t>
  </si>
  <si>
    <t>14:30</t>
  </si>
  <si>
    <t>Eric (Eric Salas Salcedo)</t>
  </si>
  <si>
    <t>GL501002</t>
  </si>
  <si>
    <t>TY_13:00</t>
  </si>
  <si>
    <t>21:30</t>
  </si>
  <si>
    <t>23:01</t>
  </si>
  <si>
    <t>Eric Xiong</t>
  </si>
  <si>
    <t>GL502741</t>
  </si>
  <si>
    <t>Erik (Erik Perez)</t>
  </si>
  <si>
    <t>GL501546</t>
  </si>
  <si>
    <t>二程管理组</t>
  </si>
  <si>
    <t>Second-leg air freight Specialist 二程发货员</t>
  </si>
  <si>
    <t>Ethan Thomas</t>
  </si>
  <si>
    <t>GL502087</t>
  </si>
  <si>
    <t>DEN.H</t>
  </si>
  <si>
    <t>16:53</t>
  </si>
  <si>
    <t>Fay Geng</t>
  </si>
  <si>
    <t>GL502226</t>
  </si>
  <si>
    <t>Product Supervisor 产品主管</t>
  </si>
  <si>
    <t>Fidel (Fidel Diaz Gonzalez)</t>
  </si>
  <si>
    <t>GL500295</t>
  </si>
  <si>
    <t>TY_20:00</t>
  </si>
  <si>
    <t>04:30</t>
  </si>
  <si>
    <t>Fode (Fode Oumar Gueye)</t>
  </si>
  <si>
    <t>GL502624</t>
  </si>
  <si>
    <t>TAL01</t>
  </si>
  <si>
    <t>13:34</t>
  </si>
  <si>
    <t>Francisco Espinoza（Francisco Espinoza）</t>
  </si>
  <si>
    <t>GL501201</t>
  </si>
  <si>
    <t>TY_07:00</t>
  </si>
  <si>
    <t>15:30</t>
  </si>
  <si>
    <t>16:26</t>
  </si>
  <si>
    <t>Freddy (Freddy Sanchez Romero)</t>
  </si>
  <si>
    <t>GL501659</t>
  </si>
  <si>
    <t>13:42</t>
  </si>
  <si>
    <t>Gabriela（Gabriela Nunez）</t>
  </si>
  <si>
    <t>GL501380</t>
  </si>
  <si>
    <t>18:56</t>
  </si>
  <si>
    <t>Garcia Keith Joseph（Garcia Keith Joseph）</t>
  </si>
  <si>
    <t>GL500499</t>
  </si>
  <si>
    <t>TY_16:30</t>
  </si>
  <si>
    <t>01:00</t>
  </si>
  <si>
    <t>Garcia Kyle Joshua</t>
  </si>
  <si>
    <t>GL502812</t>
  </si>
  <si>
    <t>Gema（Gema Palma Zambrano）</t>
  </si>
  <si>
    <t>GL501678</t>
  </si>
  <si>
    <t>Geovanny (Geovanny Eusebio)</t>
  </si>
  <si>
    <t>GL501581</t>
  </si>
  <si>
    <t>14:02</t>
  </si>
  <si>
    <t>Gerson (Gerson Vargas)</t>
  </si>
  <si>
    <t>GL501004</t>
  </si>
  <si>
    <t>Hauon Lo</t>
  </si>
  <si>
    <t>GL502299</t>
  </si>
  <si>
    <t>MSY01</t>
  </si>
  <si>
    <t>Huang Leiming</t>
  </si>
  <si>
    <t>GL500508</t>
  </si>
  <si>
    <t>TY_12:00</t>
  </si>
  <si>
    <t>20:30</t>
  </si>
  <si>
    <t>22:32</t>
  </si>
  <si>
    <t>Isa（Isa Alybaev）</t>
  </si>
  <si>
    <t>GL501646</t>
  </si>
  <si>
    <t>CH600</t>
  </si>
  <si>
    <t>Station Head （Probation）站长（见习）</t>
  </si>
  <si>
    <t>TY_08:30</t>
  </si>
  <si>
    <t>18:14</t>
  </si>
  <si>
    <t>Isis Bonilla</t>
  </si>
  <si>
    <t>GL501909</t>
  </si>
  <si>
    <t>Ismael (Ismael Bizarretty)</t>
  </si>
  <si>
    <t>GL502488</t>
  </si>
  <si>
    <t>TY_22:30</t>
  </si>
  <si>
    <t>07:00</t>
  </si>
  <si>
    <t>Ismaray (Ismaray Arencibia Garcia)</t>
  </si>
  <si>
    <t>GL500551</t>
  </si>
  <si>
    <t>Isnaika (Isnaika elissa Pierre)</t>
  </si>
  <si>
    <t>GL501000</t>
  </si>
  <si>
    <t>Itzel Azucena Lopez Banuelos</t>
  </si>
  <si>
    <t>GL502840</t>
  </si>
  <si>
    <t>TY_17:00</t>
  </si>
  <si>
    <t>01:30</t>
  </si>
  <si>
    <t>Jareier Eduardo Lopez</t>
  </si>
  <si>
    <t>GL501761</t>
  </si>
  <si>
    <t>16:23</t>
  </si>
  <si>
    <t>Jarmila (Jarmila Romero)</t>
  </si>
  <si>
    <t>GL501250</t>
  </si>
  <si>
    <t>17:38</t>
  </si>
  <si>
    <t>Jasmine Dong（Jasmine Dong）</t>
  </si>
  <si>
    <t>GL500262</t>
  </si>
  <si>
    <t>Jeffrey（Jeffrey Demarrio Dennis）</t>
  </si>
  <si>
    <t>GL502218</t>
  </si>
  <si>
    <t>Jenny Paola Gutierrez</t>
  </si>
  <si>
    <t>GL501966</t>
  </si>
  <si>
    <t>Jerry Liang You（Jerry）</t>
  </si>
  <si>
    <t>GL502514</t>
  </si>
  <si>
    <t>TY_05:30</t>
  </si>
  <si>
    <t>14:00</t>
  </si>
  <si>
    <t>Jerry(Shun Yang)</t>
  </si>
  <si>
    <t>GL500462</t>
  </si>
  <si>
    <t>19:54</t>
  </si>
  <si>
    <t>Jhosmeity (Jhosmeity Lopez)</t>
  </si>
  <si>
    <t>GL501249</t>
  </si>
  <si>
    <t>22:08</t>
  </si>
  <si>
    <t>Johnathan Edward Ladson Jr（Johnathan Edward Ladson</t>
  </si>
  <si>
    <t>GL501103</t>
  </si>
  <si>
    <t>15:36</t>
  </si>
  <si>
    <t>Jose (Jose Ochoa)</t>
  </si>
  <si>
    <t>GL500997</t>
  </si>
  <si>
    <t>15:58</t>
  </si>
  <si>
    <t>Jose G Esquivias Terraza</t>
  </si>
  <si>
    <t>GL501916</t>
  </si>
  <si>
    <t>Juan (Juan Mendez)</t>
  </si>
  <si>
    <t>GL500080</t>
  </si>
  <si>
    <t>Juan (Juan Velazquez)</t>
  </si>
  <si>
    <t>GL502368</t>
  </si>
  <si>
    <t>19:49</t>
  </si>
  <si>
    <t>Juan Carlos Jr Vargas（Juan Carlos Jr Vargas）</t>
  </si>
  <si>
    <t>GL500498</t>
  </si>
  <si>
    <t>16:15</t>
  </si>
  <si>
    <t>Julio (Julio Almanzar)</t>
  </si>
  <si>
    <t>GL501929</t>
  </si>
  <si>
    <t>Justin (Justin Quesada)</t>
  </si>
  <si>
    <t>GL502486</t>
  </si>
  <si>
    <t>Kelvin Siu（Kelvin Siu）</t>
  </si>
  <si>
    <t>GL500226</t>
  </si>
  <si>
    <t>Kevin (Kevin Jimenez)</t>
  </si>
  <si>
    <t>GL501547</t>
  </si>
  <si>
    <t>17:31</t>
  </si>
  <si>
    <t>Kiaramarie Munoz</t>
  </si>
  <si>
    <t>GL502015</t>
  </si>
  <si>
    <t>ACT01</t>
  </si>
  <si>
    <t>Kyle  (Kyle Arden Berry)</t>
  </si>
  <si>
    <t>GL502369</t>
  </si>
  <si>
    <t>Lai Guoxiang</t>
  </si>
  <si>
    <t>GL500506</t>
  </si>
  <si>
    <t>21:59</t>
  </si>
  <si>
    <t>Lazaro (Lazaro C. Gonzalez)</t>
  </si>
  <si>
    <t>GL500254</t>
  </si>
  <si>
    <t>TY_23:30</t>
  </si>
  <si>
    <t>08:00</t>
  </si>
  <si>
    <t>Leo Schauer</t>
  </si>
  <si>
    <t>GL502740</t>
  </si>
  <si>
    <t>MSN01</t>
  </si>
  <si>
    <t>Leroy (Leroy Jackson)</t>
  </si>
  <si>
    <t>GL500342</t>
  </si>
  <si>
    <t>TY_21:00</t>
  </si>
  <si>
    <t>05:30</t>
  </si>
  <si>
    <t>Li Dehua</t>
  </si>
  <si>
    <t>GL500505</t>
  </si>
  <si>
    <t>19:00</t>
  </si>
  <si>
    <t>Lily Smith</t>
  </si>
  <si>
    <t>GL502381</t>
  </si>
  <si>
    <t>Senior Account  Specialist 高级客户专员</t>
  </si>
  <si>
    <t>出差申请2026/05/12 09:30-2026/05/12 18:00[审批中]</t>
  </si>
  <si>
    <t>Liu Xinghai</t>
  </si>
  <si>
    <t>GL500504</t>
  </si>
  <si>
    <t>Lu Lifeng</t>
  </si>
  <si>
    <t>GL500612</t>
  </si>
  <si>
    <t>Luna Pan</t>
  </si>
  <si>
    <t>GL502246</t>
  </si>
  <si>
    <t>销售支持组</t>
  </si>
  <si>
    <t>Junior AR Specialist 初级应收专员</t>
  </si>
  <si>
    <t>Mahendra (Mahendra Kumar Gummadi)</t>
  </si>
  <si>
    <t>GL501896</t>
  </si>
  <si>
    <t>BDR01</t>
  </si>
  <si>
    <t>13:01</t>
  </si>
  <si>
    <t>Man Yee Yolanda Yip（Man Yee Yolanda Yip）</t>
  </si>
  <si>
    <t>GL500603</t>
  </si>
  <si>
    <t>Mario Miguel Pena</t>
  </si>
  <si>
    <t>GL502510</t>
  </si>
  <si>
    <t>CHA01</t>
  </si>
  <si>
    <t>11:57</t>
  </si>
  <si>
    <t>Max Baehr</t>
  </si>
  <si>
    <t>GL502229</t>
  </si>
  <si>
    <t>Max Tao</t>
  </si>
  <si>
    <t>GL502244</t>
  </si>
  <si>
    <t>Product Specialist 产品专员</t>
  </si>
  <si>
    <t>Michael Bemis</t>
  </si>
  <si>
    <t>GL502237</t>
  </si>
  <si>
    <t>Michael(Michael Antonio Bowles Jr.)</t>
  </si>
  <si>
    <t>GL502175</t>
  </si>
  <si>
    <t>Michael（Michael He）</t>
  </si>
  <si>
    <t>GL501913</t>
  </si>
  <si>
    <t>EWR.G</t>
  </si>
  <si>
    <t>Exception Handling Specialist 异常处理专员</t>
  </si>
  <si>
    <t>16:33</t>
  </si>
  <si>
    <t>Miguel Angel Correa</t>
  </si>
  <si>
    <t>GL502416</t>
  </si>
  <si>
    <t>18:08</t>
  </si>
  <si>
    <t>Minqing (Minqing Xu)</t>
  </si>
  <si>
    <t>GL501077</t>
  </si>
  <si>
    <t>TY_14:30</t>
  </si>
  <si>
    <t>23:00</t>
  </si>
  <si>
    <t>23:56</t>
  </si>
  <si>
    <t>Nehemiah Angelo Cortinas</t>
  </si>
  <si>
    <t>GL502778</t>
  </si>
  <si>
    <t>00:21</t>
  </si>
  <si>
    <t>Nekole (Nekole Rider)</t>
  </si>
  <si>
    <t>GL501505</t>
  </si>
  <si>
    <t>Nicolás（Nicolás Suárez Ríos）</t>
  </si>
  <si>
    <t>GL502707</t>
  </si>
  <si>
    <t>18:39</t>
  </si>
  <si>
    <t>Noor (Noor Sultana)</t>
  </si>
  <si>
    <t>GL501820</t>
  </si>
  <si>
    <t>MHT01</t>
  </si>
  <si>
    <t>14:28</t>
  </si>
  <si>
    <t>Nora Garza</t>
  </si>
  <si>
    <t>GL502328</t>
  </si>
  <si>
    <t>13:08</t>
  </si>
  <si>
    <t>Omar Aguirre</t>
  </si>
  <si>
    <t>GL501807</t>
  </si>
  <si>
    <t>22:42</t>
  </si>
  <si>
    <t>Omar Avianeda</t>
  </si>
  <si>
    <t>GL501862</t>
  </si>
  <si>
    <t>BHM01</t>
  </si>
  <si>
    <t>12:45</t>
  </si>
  <si>
    <t>Oscar Coronado</t>
  </si>
  <si>
    <t>GL502620</t>
  </si>
  <si>
    <t>16:55</t>
  </si>
  <si>
    <t>Oscar Diaz（Oscar Alonzo Diaz）</t>
  </si>
  <si>
    <t>GL502492</t>
  </si>
  <si>
    <t>CNO.G</t>
  </si>
  <si>
    <t>Ossiel（Eduardo Medina）</t>
  </si>
  <si>
    <t>GL502491</t>
  </si>
  <si>
    <t>Oswall A Duran Rodriguez</t>
  </si>
  <si>
    <t>GL502428</t>
  </si>
  <si>
    <t>00:50</t>
  </si>
  <si>
    <t>PEDRO MUÑOZ</t>
  </si>
  <si>
    <t>GL502451</t>
  </si>
  <si>
    <t>13:49</t>
  </si>
  <si>
    <t>Qianqian Li</t>
  </si>
  <si>
    <t>GL500509</t>
  </si>
  <si>
    <t>合流合包组</t>
  </si>
  <si>
    <t>21:13</t>
  </si>
  <si>
    <t>Rafael (Rafael Rossmann)</t>
  </si>
  <si>
    <t>GL502404</t>
  </si>
  <si>
    <t>HSV01</t>
  </si>
  <si>
    <t>11:38</t>
  </si>
  <si>
    <t>居家办公申请2026/05/12 19:00-2026/05/12 21:00[审批中],居家办公申请2026/05/12 11:38-2026/05/12 13:30[审批中]</t>
  </si>
  <si>
    <t>Rene (Rene David Perez)</t>
  </si>
  <si>
    <t>GL502660</t>
  </si>
  <si>
    <t>21:31</t>
  </si>
  <si>
    <t>Rene (Rene Deulofeu Alvarez)</t>
  </si>
  <si>
    <t>GL501259</t>
  </si>
  <si>
    <t>23:10</t>
  </si>
  <si>
    <t>Richard Anthony Munoz（Richard Anthony Munoz）</t>
  </si>
  <si>
    <t>GL501500</t>
  </si>
  <si>
    <t>17:03</t>
  </si>
  <si>
    <t>Roberto (Roberto Fenton)</t>
  </si>
  <si>
    <t>GL502662</t>
  </si>
  <si>
    <t>WPB02</t>
  </si>
  <si>
    <t>Roberto (Roberto Fonseca)</t>
  </si>
  <si>
    <t>GL501640</t>
  </si>
  <si>
    <t>Roberto （Roberto Medina）</t>
  </si>
  <si>
    <t>GL502417</t>
  </si>
  <si>
    <t>TY_02:00</t>
  </si>
  <si>
    <t>10:30</t>
  </si>
  <si>
    <t>无薪病假2026/05/12 02:00-2026/05/12 10:30[已完成]</t>
  </si>
  <si>
    <t>Ronald Kellogg</t>
  </si>
  <si>
    <t>GL502781</t>
  </si>
  <si>
    <t>BTR01</t>
  </si>
  <si>
    <t>Rossanny Rodriguez-Reyes</t>
  </si>
  <si>
    <t>GL502845</t>
  </si>
  <si>
    <t>15:52</t>
  </si>
  <si>
    <t>Ruyu Chen</t>
  </si>
  <si>
    <t>GL502592</t>
  </si>
  <si>
    <t>Pickup Dispatcher 揽收调度员</t>
  </si>
  <si>
    <t>17:07</t>
  </si>
  <si>
    <t>SANCHEZ RODOLFO SALVADOR（SANCHEZ RODOLFO SALVADOR）</t>
  </si>
  <si>
    <t>GL500497</t>
  </si>
  <si>
    <t>Samuel Lazarus</t>
  </si>
  <si>
    <t>GL502332</t>
  </si>
  <si>
    <t>消费者客服组</t>
  </si>
  <si>
    <t>海外客服组</t>
  </si>
  <si>
    <t>Senior Hotline CS Specialist 高级热线客服专员</t>
  </si>
  <si>
    <t>15:24</t>
  </si>
  <si>
    <t>Sarafina (Sarafina Boireau)</t>
  </si>
  <si>
    <t>GL500974</t>
  </si>
  <si>
    <t>Shi Ruixiang</t>
  </si>
  <si>
    <t>GL502233</t>
  </si>
  <si>
    <t>Sofia（Sofia Veronica Gloria Gomez）</t>
  </si>
  <si>
    <t>GL502546</t>
  </si>
  <si>
    <t>Steven Si</t>
  </si>
  <si>
    <t>GL502231</t>
  </si>
  <si>
    <t>Sydney Blackmon（Sydney Olivia Blackmon）</t>
  </si>
  <si>
    <t>GL502547</t>
  </si>
  <si>
    <t>16:31</t>
  </si>
  <si>
    <t>Tony (Chan Kit Fai)</t>
  </si>
  <si>
    <t>GL500514</t>
  </si>
  <si>
    <t>实施运营组</t>
  </si>
  <si>
    <t>Implementation Operations Specialist 实施运营专员</t>
  </si>
  <si>
    <t>Treasure （Treasure Thomas）</t>
  </si>
  <si>
    <t>GL502816</t>
  </si>
  <si>
    <t>CAE01</t>
  </si>
  <si>
    <t>15:44</t>
  </si>
  <si>
    <t>Tremayne (Tremayne Henry Jr.)</t>
  </si>
  <si>
    <t>GL501456</t>
  </si>
  <si>
    <t>11:31</t>
  </si>
  <si>
    <t>Tysean (Tysean Kaliq Hough)</t>
  </si>
  <si>
    <t>GL502671</t>
  </si>
  <si>
    <t>11:30</t>
  </si>
  <si>
    <t>Tzuyang Fu (Nick)</t>
  </si>
  <si>
    <t>GL500275</t>
  </si>
  <si>
    <t>美国技术支持组</t>
  </si>
  <si>
    <t>IT support 技术支持工程师</t>
  </si>
  <si>
    <t>17:49</t>
  </si>
  <si>
    <t>Uriel Aguirre (Uriel Aguirre）</t>
  </si>
  <si>
    <t>GL501586</t>
  </si>
  <si>
    <t>Victor (Victor Williams)</t>
  </si>
  <si>
    <t>GL501627</t>
  </si>
  <si>
    <t>Wei Deng（Wei Deng）</t>
  </si>
  <si>
    <t>GL500810</t>
  </si>
  <si>
    <t>Deputy Hub Head 副仓长</t>
  </si>
  <si>
    <t>TY_14:00</t>
  </si>
  <si>
    <t>22:30</t>
  </si>
  <si>
    <t>Wesley Martinez</t>
  </si>
  <si>
    <t>GL501685</t>
  </si>
  <si>
    <t>Yan Zhenni</t>
  </si>
  <si>
    <t>GL500503</t>
  </si>
  <si>
    <t>19:06</t>
  </si>
  <si>
    <t>Yang Xuan</t>
  </si>
  <si>
    <t>GL502564</t>
  </si>
  <si>
    <t>Warehouse Clerk 仓库文员(兼)</t>
  </si>
  <si>
    <t>22:13</t>
  </si>
  <si>
    <t>Yasser (Yasser Hernandez Diaz)</t>
  </si>
  <si>
    <t>GL502355</t>
  </si>
  <si>
    <t>16:02</t>
  </si>
  <si>
    <t>Yeralys (Yeralys de Leon de Jesus)</t>
  </si>
  <si>
    <t>GL501510</t>
  </si>
  <si>
    <t>Zheng Jialin</t>
  </si>
  <si>
    <t>GL500501</t>
  </si>
  <si>
    <t>万象Jeremy (Xiang Wan)</t>
  </si>
  <si>
    <t>GL501560</t>
  </si>
  <si>
    <t>严启文Yolanda (Qiwen Yan)</t>
  </si>
  <si>
    <t>GL501135</t>
  </si>
  <si>
    <t>美洲HRBP组</t>
  </si>
  <si>
    <t>德州区HR组</t>
  </si>
  <si>
    <t>Recruitment Specialist 招聘专员</t>
  </si>
  <si>
    <t>乔晓艳Lois（Xiaoyan Qiao）</t>
  </si>
  <si>
    <t>GL500387</t>
  </si>
  <si>
    <t>District Head（Probation）片区长（见习）</t>
  </si>
  <si>
    <t>18:16</t>
  </si>
  <si>
    <t>于尚琨Richard (Shangkun Yu)</t>
  </si>
  <si>
    <t>GL501720</t>
  </si>
  <si>
    <t>BA210</t>
  </si>
  <si>
    <t>Station Head 站长</t>
  </si>
  <si>
    <t>于成龙Lucas（Chenglong Yu）</t>
  </si>
  <si>
    <t>GL500069</t>
  </si>
  <si>
    <t>出差申请2026/05/12 09:00-2026/05/12 17:30[已完成]</t>
  </si>
  <si>
    <t>于文康 Henry (Wenkang Yu)</t>
  </si>
  <si>
    <t>GL500204</t>
  </si>
  <si>
    <t>出差申请2026/05/12 04:00-2026/05/12 12:30[已完成]</t>
  </si>
  <si>
    <t>于曼 Pamela（Man YU）</t>
  </si>
  <si>
    <t>GL502538</t>
  </si>
  <si>
    <t>15:14</t>
  </si>
  <si>
    <t>于淼Maggie（Miao Yu）</t>
  </si>
  <si>
    <t>GL501265</t>
  </si>
  <si>
    <t>18:01</t>
  </si>
  <si>
    <t>仇璐Lucia(Lu Qiu)</t>
  </si>
  <si>
    <t>GL502646</t>
  </si>
  <si>
    <t>仲青淼Abigail（Qingmiao Zhong）</t>
  </si>
  <si>
    <t>GL502069</t>
  </si>
  <si>
    <t>任传兵（Chuanbing Ren）</t>
  </si>
  <si>
    <t>GL500040</t>
  </si>
  <si>
    <t>PDX01</t>
  </si>
  <si>
    <t>任博通Raul (Botong Ren)</t>
  </si>
  <si>
    <t>GL502892</t>
  </si>
  <si>
    <t>加拿大HR组</t>
  </si>
  <si>
    <t>HRBP Supervisor HRBP主管</t>
  </si>
  <si>
    <t>袁博闻</t>
  </si>
  <si>
    <t>袁博闻(Bowen Yuan)</t>
  </si>
  <si>
    <t>任楚涵Nora(Chuhan Ren)</t>
  </si>
  <si>
    <t>GL502065</t>
  </si>
  <si>
    <t>16:09</t>
  </si>
  <si>
    <t>任洁琼Rachel（Jieqiong Ren）</t>
  </si>
  <si>
    <t>GL501468</t>
  </si>
  <si>
    <t>AGS01</t>
  </si>
  <si>
    <t>21:11</t>
  </si>
  <si>
    <t>任运丹Ella (Yundan Ren)</t>
  </si>
  <si>
    <t>GL502508</t>
  </si>
  <si>
    <t>DCA01</t>
  </si>
  <si>
    <t>伦伟华Alan (Weihua Lun)</t>
  </si>
  <si>
    <t>GL502652</t>
  </si>
  <si>
    <t>TY_03:00</t>
  </si>
  <si>
    <t>14:22</t>
  </si>
  <si>
    <t>何东海（Donghai He）</t>
  </si>
  <si>
    <t>GL500158</t>
  </si>
  <si>
    <t>DEN01</t>
  </si>
  <si>
    <t>21:50</t>
  </si>
  <si>
    <t>何仪Phil（Yi He）</t>
  </si>
  <si>
    <t>GL500618</t>
  </si>
  <si>
    <t>Hub Head 仓长</t>
  </si>
  <si>
    <t>何大沁Meek (Ta-Chin Ho)</t>
  </si>
  <si>
    <t>GL501948</t>
  </si>
  <si>
    <t>质量改善组</t>
  </si>
  <si>
    <t>Quality Improvement Specialist 质量改善专员</t>
  </si>
  <si>
    <t>16:37</t>
  </si>
  <si>
    <t>何宗益Heather（Zongyi He）</t>
  </si>
  <si>
    <t>GL502386</t>
  </si>
  <si>
    <t>SYR01</t>
  </si>
  <si>
    <t>何昊源Hank（Haoyuan He）</t>
  </si>
  <si>
    <t>GL501290</t>
  </si>
  <si>
    <t>揽收调度组</t>
  </si>
  <si>
    <t>Pickup Dispatch Lead 揽收调度组长</t>
  </si>
  <si>
    <t>TY_10:30</t>
  </si>
  <si>
    <t>20:48</t>
  </si>
  <si>
    <t>何洋Yang（Yang He）</t>
  </si>
  <si>
    <t>GL501400</t>
  </si>
  <si>
    <t>SFO.H</t>
  </si>
  <si>
    <t>16:27</t>
  </si>
  <si>
    <t>何琼joan(Qiong He)</t>
  </si>
  <si>
    <t>GL500270</t>
  </si>
  <si>
    <t>出差申请2026/05/12 06:30-2026/05/12 15:00[已完成]</t>
  </si>
  <si>
    <t>何音达(Yinda He)</t>
  </si>
  <si>
    <t>GL502387</t>
  </si>
  <si>
    <t>18:59</t>
  </si>
  <si>
    <t>余伟能William (Weineng Yu)</t>
  </si>
  <si>
    <t>GL501790</t>
  </si>
  <si>
    <t>SFO01</t>
  </si>
  <si>
    <t>余傲（Ao Yu）</t>
  </si>
  <si>
    <t>GL500795</t>
  </si>
  <si>
    <t>SMF01</t>
  </si>
  <si>
    <t>余典 Radian（Dian Yu）</t>
  </si>
  <si>
    <t>GL501607</t>
  </si>
  <si>
    <t>20:38</t>
  </si>
  <si>
    <t>余卓然Zoe （Zhuoran Yu）</t>
  </si>
  <si>
    <t>GL501734</t>
  </si>
  <si>
    <t>Vehicle Management Specialist 车辆管理专员</t>
  </si>
  <si>
    <t>余璟丰Daniel (Jingfeng Yu)</t>
  </si>
  <si>
    <t>GL500621</t>
  </si>
  <si>
    <t>LA917</t>
  </si>
  <si>
    <t>15:19</t>
  </si>
  <si>
    <t>余雷</t>
  </si>
  <si>
    <t>GL000434</t>
  </si>
  <si>
    <t>佟佳益（Jason）</t>
  </si>
  <si>
    <t>GL501579</t>
  </si>
  <si>
    <t>Returns Lead 退件组长</t>
  </si>
  <si>
    <t>依丽旦娜·依明江Dana （Yilidanna Yimingjiang）</t>
  </si>
  <si>
    <t>GL501897</t>
  </si>
  <si>
    <t>ATL揽收组</t>
  </si>
  <si>
    <t>Pickup Specialist 揽收专员</t>
  </si>
  <si>
    <t>侯菲菲（Feifei Hou）</t>
  </si>
  <si>
    <t>GL500013</t>
  </si>
  <si>
    <t>21:43</t>
  </si>
  <si>
    <t>侴雅婷Taylor (Yating Chou)</t>
  </si>
  <si>
    <t>GL502867</t>
  </si>
  <si>
    <t>傅耀辉Kris (Yaohui Fu)</t>
  </si>
  <si>
    <t>GL502301</t>
  </si>
  <si>
    <t>16:32</t>
  </si>
  <si>
    <t>兰江Samuel（Jiang Lan）</t>
  </si>
  <si>
    <t>GL500130</t>
  </si>
  <si>
    <t>兰鹏Peng（Peng Lan）</t>
  </si>
  <si>
    <t>GL502271</t>
  </si>
  <si>
    <t>14:38</t>
  </si>
  <si>
    <t>关明阳Scott (Mingyang Guan)</t>
  </si>
  <si>
    <t>GL502317</t>
  </si>
  <si>
    <t>IAH01</t>
  </si>
  <si>
    <t>11:41</t>
  </si>
  <si>
    <t>冯宇寿Edward（Yushou Feng）</t>
  </si>
  <si>
    <t>GL502100</t>
  </si>
  <si>
    <t>BO021</t>
  </si>
  <si>
    <t>16:48</t>
  </si>
  <si>
    <t>冯师耀Peter (Shiyao Feng)</t>
  </si>
  <si>
    <t>GL502375</t>
  </si>
  <si>
    <t>LA900</t>
  </si>
  <si>
    <t>冯彦凯Kai (Yenkai Feng)</t>
  </si>
  <si>
    <t>GL500252</t>
  </si>
  <si>
    <t>冯旭（Klaus）Xu Feng</t>
  </si>
  <si>
    <t>GL501753</t>
  </si>
  <si>
    <t>JAX01</t>
  </si>
  <si>
    <t>冯洋Feng Yang(Yang Feng)</t>
  </si>
  <si>
    <t>GL502727</t>
  </si>
  <si>
    <t>19:46</t>
  </si>
  <si>
    <t>冯知津 (Zhijin Feng)</t>
  </si>
  <si>
    <t>GL501082</t>
  </si>
  <si>
    <t>冯章 Andy Feng (Zhang Feng)</t>
  </si>
  <si>
    <t>GL500896</t>
  </si>
  <si>
    <t>冯细妹 Ximei Feng (Ximei Feng)</t>
  </si>
  <si>
    <t>GL500912</t>
  </si>
  <si>
    <t>冯银凤Fiona（Yinfeng Feng）</t>
  </si>
  <si>
    <t>GL501777</t>
  </si>
  <si>
    <t>01:44</t>
  </si>
  <si>
    <t>刘之元Sam (Zhiyuan Liu)</t>
  </si>
  <si>
    <t>GL501910</t>
  </si>
  <si>
    <t>刘书睿Daniel (Shurui Liu)</t>
  </si>
  <si>
    <t>GL502019</t>
  </si>
  <si>
    <t>刘亚林 (Yalin Liu)</t>
  </si>
  <si>
    <t>GL500717</t>
  </si>
  <si>
    <t>21:07</t>
  </si>
  <si>
    <t>刘伟程Max（Weicheng Liu）</t>
  </si>
  <si>
    <t>GL502054</t>
  </si>
  <si>
    <t>ELP01</t>
  </si>
  <si>
    <t>刘佳琪Maggie (Jiaqi Liu)</t>
  </si>
  <si>
    <t>GL501495</t>
  </si>
  <si>
    <t>22:00</t>
  </si>
  <si>
    <t>刘俊甜Verity（Juntian Liu）</t>
  </si>
  <si>
    <t>GL502475</t>
  </si>
  <si>
    <t>运营支持组</t>
  </si>
  <si>
    <t>19:05</t>
  </si>
  <si>
    <t>刘冰Johnny (Bing Liu)</t>
  </si>
  <si>
    <t>GL502784</t>
  </si>
  <si>
    <t>18:03</t>
  </si>
  <si>
    <t>刘博Bob(Bo Liu)</t>
  </si>
  <si>
    <t>GL502352</t>
  </si>
  <si>
    <t>仓库租赁组</t>
  </si>
  <si>
    <t>Warehouse Leasing Supervisor 仓库租赁主管</t>
  </si>
  <si>
    <t>刘名(Ming Liu)</t>
  </si>
  <si>
    <t>GL502699</t>
  </si>
  <si>
    <t>维保组</t>
  </si>
  <si>
    <t>Maintenance Specialist 维保员</t>
  </si>
  <si>
    <t>18:37</t>
  </si>
  <si>
    <t>刘天慧Tiffany（Tianhui Liu）</t>
  </si>
  <si>
    <t>GL500397</t>
  </si>
  <si>
    <t>US HRBP Manager 美洲HRBP组经理</t>
  </si>
  <si>
    <t>病假2026/05/12 09:30-2026/05/12 18:00[已完成]</t>
  </si>
  <si>
    <t>刘奕轩Eric（Yixuan Liu）</t>
  </si>
  <si>
    <t>GL502303</t>
  </si>
  <si>
    <t>刘威威Wesson（Weiwei Liu）</t>
  </si>
  <si>
    <t>GL502693</t>
  </si>
  <si>
    <t>15:39</t>
  </si>
  <si>
    <t>刘子牧 Jacob（Zimu Liu）</t>
  </si>
  <si>
    <t>GL502487</t>
  </si>
  <si>
    <t>招聘组</t>
  </si>
  <si>
    <t>Recruitment Assistant 招聘助理</t>
  </si>
  <si>
    <t>17:37</t>
  </si>
  <si>
    <t>刘季阳Zoe (Jiyang Liu)</t>
  </si>
  <si>
    <t>GL500338</t>
  </si>
  <si>
    <t>Deputy Pickup Supervisor 揽收部副主管</t>
  </si>
  <si>
    <t>刘宏果（Hongguo Liu）</t>
  </si>
  <si>
    <t>GL501570</t>
  </si>
  <si>
    <t>刘宏森（Hongsen Liu）</t>
  </si>
  <si>
    <t>GL502441</t>
  </si>
  <si>
    <t>刘小娜Shannah（Xiaona Liu）</t>
  </si>
  <si>
    <t>GL502839</t>
  </si>
  <si>
    <t>13:53</t>
  </si>
  <si>
    <t>刘庭均（Tingjun Liu）</t>
  </si>
  <si>
    <t>GL502516</t>
  </si>
  <si>
    <t>LAX01</t>
  </si>
  <si>
    <t>刘庭语Tia (Tingyu Liu)</t>
  </si>
  <si>
    <t>GL502571</t>
  </si>
  <si>
    <t>TY_13:30</t>
  </si>
  <si>
    <t>22:10</t>
  </si>
  <si>
    <t>刘强强（Kimi）</t>
  </si>
  <si>
    <t>GL501485</t>
  </si>
  <si>
    <t>OMA01</t>
  </si>
  <si>
    <t>Station Head（Probation）站长（见习）</t>
  </si>
  <si>
    <t>刘思Cici （Si Liu）</t>
  </si>
  <si>
    <t>GL501642</t>
  </si>
  <si>
    <t>ORF01</t>
  </si>
  <si>
    <t>16:46</t>
  </si>
  <si>
    <t>刘怡佳Jenna （Yijia Liu）</t>
  </si>
  <si>
    <t>GL501507</t>
  </si>
  <si>
    <t>美西区HR组</t>
  </si>
  <si>
    <t>18:45</t>
  </si>
  <si>
    <t>刘成龙Chris (Chenglong Liu)</t>
  </si>
  <si>
    <t>GL502458</t>
  </si>
  <si>
    <t>刘政渠 (Zhengqu Liu)</t>
  </si>
  <si>
    <t>GL502804</t>
  </si>
  <si>
    <t>21:03</t>
  </si>
  <si>
    <t>刘文静Wendy（Wenjing Liu）</t>
  </si>
  <si>
    <t>GL502435</t>
  </si>
  <si>
    <t>刘晓东Tony (Xiaodong Liu)</t>
  </si>
  <si>
    <t>GL501464</t>
  </si>
  <si>
    <t>13:39</t>
  </si>
  <si>
    <t>刘晴欣Kathy (Qingxin Liu)</t>
  </si>
  <si>
    <t>GL502082</t>
  </si>
  <si>
    <t>OKC01</t>
  </si>
  <si>
    <t>刘朝臣（Chaochen Liu）</t>
  </si>
  <si>
    <t>GL501029</t>
  </si>
  <si>
    <t>刘梓童Zukie(Zitong Liu)</t>
  </si>
  <si>
    <t>GL500770</t>
  </si>
  <si>
    <t>海外客户组</t>
  </si>
  <si>
    <t>Senior Oversea Client Specialist 高级海外客户专员</t>
  </si>
  <si>
    <t>16:29</t>
  </si>
  <si>
    <t>刘武宸 Patrick (Wuchen Liu)</t>
  </si>
  <si>
    <t>GL500882</t>
  </si>
  <si>
    <t>23:27</t>
  </si>
  <si>
    <t>刘洋硕（Yangshuo Liu）</t>
  </si>
  <si>
    <t>GL501859</t>
  </si>
  <si>
    <t>刘澐 Yuna（Yun Liu)</t>
  </si>
  <si>
    <t>GL500249</t>
  </si>
  <si>
    <t>Operation Support Supervisor 运营支持部主管</t>
  </si>
  <si>
    <t>17:20</t>
  </si>
  <si>
    <t>刘爽Joy (Shuang Liu)</t>
  </si>
  <si>
    <t>GL500009</t>
  </si>
  <si>
    <t>揽收支持组</t>
  </si>
  <si>
    <t>Pickup Support Specialist 揽收支持专员</t>
  </si>
  <si>
    <t>20:22</t>
  </si>
  <si>
    <t>刘畅 Vincent (Chang Liu)</t>
  </si>
  <si>
    <t>GL501411</t>
  </si>
  <si>
    <t>刘祥栋 Brian (Xiangdong Liu)</t>
  </si>
  <si>
    <t>GL501257</t>
  </si>
  <si>
    <t>14:16</t>
  </si>
  <si>
    <t>刘秋岐Chelsea（Qiuqi Liu）</t>
  </si>
  <si>
    <t>GL501223</t>
  </si>
  <si>
    <t>刘纯Jessie（Chun Liu）</t>
  </si>
  <si>
    <t>GL500836</t>
  </si>
  <si>
    <t>Senior ENP Specialist 高级网络规划专员</t>
  </si>
  <si>
    <t>无薪病假2026/05/12 09:30-2026/05/12 18:00[已完成]</t>
  </si>
  <si>
    <t>刘闽东Eric（Mingdong Liu）</t>
  </si>
  <si>
    <t>GL500135</t>
  </si>
  <si>
    <t>FRG01</t>
  </si>
  <si>
    <t>刘雨星Lesley（Yuxing Liu）</t>
  </si>
  <si>
    <t>GL502329</t>
  </si>
  <si>
    <t>18:28</t>
  </si>
  <si>
    <t>刘青松leo (qingsong liu)</t>
  </si>
  <si>
    <t>GL500925</t>
  </si>
  <si>
    <t>设备规划组</t>
  </si>
  <si>
    <t>Senior MRO Specialist 高级设备运营专员</t>
  </si>
  <si>
    <t>20:14</t>
  </si>
  <si>
    <t>刘鼎威 （Dingwei Liu）</t>
  </si>
  <si>
    <t>GL502091</t>
  </si>
  <si>
    <t>Management Trainee 管培生</t>
  </si>
  <si>
    <t>出差申请2026/05/12 13:00-2026/05/12 21:30[审批中]</t>
  </si>
  <si>
    <t>卢鹭（Lu Lu）</t>
  </si>
  <si>
    <t>GL500998</t>
  </si>
  <si>
    <t>危坦然（Tanran Wei）</t>
  </si>
  <si>
    <t>GL500236</t>
  </si>
  <si>
    <t>出差申请2026/05/12 11:00-2026/05/12 19:30[审批中]</t>
  </si>
  <si>
    <t>史健琦Eason（Jianqi Shi）</t>
  </si>
  <si>
    <t>GL500914</t>
  </si>
  <si>
    <t>史成圆Alexia (Chengyuan Shi)</t>
  </si>
  <si>
    <t>GL500184</t>
  </si>
  <si>
    <t>Hub Head（Probation） 仓长（见习）</t>
  </si>
  <si>
    <t>叶云汉Irvin （Yunhan Ye）</t>
  </si>
  <si>
    <t>GL500548</t>
  </si>
  <si>
    <t>Fleet Support Specialist 车队支持专员</t>
  </si>
  <si>
    <t>22:24</t>
  </si>
  <si>
    <t>叶家豪Issac（Jiahao Ye）</t>
  </si>
  <si>
    <t>GL501078</t>
  </si>
  <si>
    <t>18:58</t>
  </si>
  <si>
    <t>叶小菁Summer(Xiaojing Ye)</t>
  </si>
  <si>
    <t>GL501169</t>
  </si>
  <si>
    <t>TY_07:30</t>
  </si>
  <si>
    <t>16:00</t>
  </si>
  <si>
    <t>叶文洁Ye（Wenjie Ye）</t>
  </si>
  <si>
    <t>GL500502</t>
  </si>
  <si>
    <t>22:54</t>
  </si>
  <si>
    <t>叶珍萌Aria (Zhenmeng Ye)</t>
  </si>
  <si>
    <t>GL502090</t>
  </si>
  <si>
    <t>20:45</t>
  </si>
  <si>
    <t>叶理(Li Ye)</t>
  </si>
  <si>
    <t>GL502131</t>
  </si>
  <si>
    <t>CHS01</t>
  </si>
  <si>
    <t>叶秀芳Freya (Xiufang Ye)</t>
  </si>
  <si>
    <t>GL502092</t>
  </si>
  <si>
    <t>HRBP Assistant HRBP助理</t>
  </si>
  <si>
    <t>叶青Charlie（Qing Ye）</t>
  </si>
  <si>
    <t>GL501198</t>
  </si>
  <si>
    <t>站点实施组</t>
  </si>
  <si>
    <t>Station Implementation  Specialist 站点实施专员</t>
  </si>
  <si>
    <t>司徒群娣（Qundi Situ）</t>
  </si>
  <si>
    <t>GL500517</t>
  </si>
  <si>
    <t>吉海（Hai Ji）</t>
  </si>
  <si>
    <t>GL502525</t>
  </si>
  <si>
    <t>向虹宇Faye (Hongyu Xiang)</t>
  </si>
  <si>
    <t>GL501344</t>
  </si>
  <si>
    <t>20:31</t>
  </si>
  <si>
    <t>吕芳凯 (Fangkai Lyu)</t>
  </si>
  <si>
    <t>GL501762</t>
  </si>
  <si>
    <t>PVD01</t>
  </si>
  <si>
    <t>14:12</t>
  </si>
  <si>
    <t>吴亚玲Tina (Yaling Wu)</t>
  </si>
  <si>
    <t>GL502587</t>
  </si>
  <si>
    <t>SEA.H</t>
  </si>
  <si>
    <t>16:13</t>
  </si>
  <si>
    <t>吴宇暄Wilson (Yuxuan Wu)</t>
  </si>
  <si>
    <t>GL502067</t>
  </si>
  <si>
    <t>18:26</t>
  </si>
  <si>
    <t>出差申请2026/05/12 09:00-2026/05/12 17:30[审批中]</t>
  </si>
  <si>
    <t>吴彬Frank(Bin Wu)</t>
  </si>
  <si>
    <t>GL500136</t>
  </si>
  <si>
    <t>美西运力组</t>
  </si>
  <si>
    <t>Transportation Supervisor 运力主管</t>
  </si>
  <si>
    <t>19:58</t>
  </si>
  <si>
    <t>吴忻隆Max（Xinlong Wu）</t>
  </si>
  <si>
    <t>GL500586</t>
  </si>
  <si>
    <t>吴欣玥 Destinee (Xinyue Wu)</t>
  </si>
  <si>
    <t>GL500163</t>
  </si>
  <si>
    <t>吴毅 (Yi Wu)</t>
  </si>
  <si>
    <t>GL502490</t>
  </si>
  <si>
    <t>吴璇 Sylvia (Xuan Wu)</t>
  </si>
  <si>
    <t>GL502533</t>
  </si>
  <si>
    <t>18:05</t>
  </si>
  <si>
    <t>吴翊沛（Jack）Yipei Wu</t>
  </si>
  <si>
    <t>GL502481</t>
  </si>
  <si>
    <t>吴若熹 Cici (Ruoxi Wu)</t>
  </si>
  <si>
    <t>GL502760</t>
  </si>
  <si>
    <t>吴雨霏</t>
  </si>
  <si>
    <t>GL501470</t>
  </si>
  <si>
    <t>TUL01</t>
  </si>
  <si>
    <t>13:50</t>
  </si>
  <si>
    <t>居家办公申请2026/05/12 20:00-2026/05/12 21:00[审批中]</t>
  </si>
  <si>
    <t>吴颖霏Rinna（Yingfei Wu）</t>
  </si>
  <si>
    <t>GL500727</t>
  </si>
  <si>
    <t>21:15</t>
  </si>
  <si>
    <t>周乐瀛 (Eric)</t>
  </si>
  <si>
    <t>GL501460</t>
  </si>
  <si>
    <t>PX850</t>
  </si>
  <si>
    <t>14:52</t>
  </si>
  <si>
    <t>周信华 Sophie Johnson (Xinhua Zhou)</t>
  </si>
  <si>
    <t>GL502581</t>
  </si>
  <si>
    <t>18:31</t>
  </si>
  <si>
    <t>周奕彤Jessi（Yitong Zhou）</t>
  </si>
  <si>
    <t>GL502536</t>
  </si>
  <si>
    <t>Junior Warehouse Leasing Specialist 初级仓库租赁专员</t>
  </si>
  <si>
    <t>18:53</t>
  </si>
  <si>
    <t>周安琪（Anqi Zhou）</t>
  </si>
  <si>
    <t>GL502066</t>
  </si>
  <si>
    <t>RDU01</t>
  </si>
  <si>
    <t>周延舒Isabel（Yanshu Zhou）</t>
  </si>
  <si>
    <t>GL501804</t>
  </si>
  <si>
    <t>大湖区HR组</t>
  </si>
  <si>
    <t>周彦君 Clivia (Yanjun Zhou)</t>
  </si>
  <si>
    <t>GL502348</t>
  </si>
  <si>
    <t>周恒佑 Jerry（Hengyou Zhou）</t>
  </si>
  <si>
    <t>GL500915</t>
  </si>
  <si>
    <t>周星辰Joe（Xingchen Zhou）</t>
  </si>
  <si>
    <t>GL501888</t>
  </si>
  <si>
    <t>周晓燕Sarah (Xiaoyan Zhou)</t>
  </si>
  <si>
    <t>GL502775</t>
  </si>
  <si>
    <t>中南区HR组</t>
  </si>
  <si>
    <t>HRBP Specialist HRBP专员</t>
  </si>
  <si>
    <t>周玥莹Kristine（Yueying Zhou）</t>
  </si>
  <si>
    <t>GL501175</t>
  </si>
  <si>
    <t>Marketing Specialist 市场专员</t>
  </si>
  <si>
    <t>18:33</t>
  </si>
  <si>
    <t>周琦KrisY（Qi Zhou)</t>
  </si>
  <si>
    <t>GL500378</t>
  </si>
  <si>
    <t>Junior Station Implementation  Specialist 初级站点实施专员</t>
  </si>
  <si>
    <t>周璐葶Eva（Luting Zhou）</t>
  </si>
  <si>
    <t>GL500323</t>
  </si>
  <si>
    <t>Senior Strategic Management Specialist 高级战略管理专员</t>
  </si>
  <si>
    <t>唐嫣遥Kate (Yanyao Tang)</t>
  </si>
  <si>
    <t>GL502040</t>
  </si>
  <si>
    <t>19:07</t>
  </si>
  <si>
    <t>唐宝权 Bowen （Baoquan Tang)</t>
  </si>
  <si>
    <t>GL500785</t>
  </si>
  <si>
    <t>19:36</t>
  </si>
  <si>
    <t>唐沛琦 Peter（Peiqi Tang）</t>
  </si>
  <si>
    <t>GL502187</t>
  </si>
  <si>
    <t>东北区HR组</t>
  </si>
  <si>
    <t>Junior Recruitment Specialist 初级招聘专员</t>
  </si>
  <si>
    <t>18:54</t>
  </si>
  <si>
    <t>居家办公申请2026/05/12 20:40-2026/05/12 21:42[审批中]</t>
  </si>
  <si>
    <t>唐浩Thomas(Hao Tang)</t>
  </si>
  <si>
    <t>GL501521</t>
  </si>
  <si>
    <t>唐睿雯Raven (Ruiwen Tang)</t>
  </si>
  <si>
    <t>GL501327</t>
  </si>
  <si>
    <t>唐诚皓Michael (Chenghao Tang)</t>
  </si>
  <si>
    <t>GL501835</t>
  </si>
  <si>
    <t>Junior Quality Improvement Specialist 初级质量改善专员</t>
  </si>
  <si>
    <t>16:18</t>
  </si>
  <si>
    <t>商兆军Shawn（Zhaojun Shang）</t>
  </si>
  <si>
    <t>GL502457</t>
  </si>
  <si>
    <t>夏佳泽Jay (Jiaze Xia)</t>
  </si>
  <si>
    <t>GL501756</t>
  </si>
  <si>
    <t>运力开发组</t>
  </si>
  <si>
    <t>Capacity Development Supervisor 运力开发主管</t>
  </si>
  <si>
    <t>夏天淼 Alex（Tianmiao Xia）</t>
  </si>
  <si>
    <t>GL502419</t>
  </si>
  <si>
    <t>夏羽 Summer （Yu Xia）</t>
  </si>
  <si>
    <t>GL502155</t>
  </si>
  <si>
    <t>TEB01</t>
  </si>
  <si>
    <t>TY_21:30</t>
  </si>
  <si>
    <t>06:00</t>
  </si>
  <si>
    <t>姚尧（Yao Yao）</t>
  </si>
  <si>
    <t>GL500954</t>
  </si>
  <si>
    <t>姚约瑟Joseph（Yuese Yao）</t>
  </si>
  <si>
    <t>GL500155</t>
  </si>
  <si>
    <t>CNO01</t>
  </si>
  <si>
    <t>出差申请2026/05/12 05:00-2026/05/12 13:30[已完成]</t>
  </si>
  <si>
    <t>姜承佑Mike（Chengyou Jiang）</t>
  </si>
  <si>
    <t>GL500833</t>
  </si>
  <si>
    <t>15:59</t>
  </si>
  <si>
    <t>姜睿承Richard （Ruicheng Jiang）</t>
  </si>
  <si>
    <t>GL500694</t>
  </si>
  <si>
    <t>TY_12:30</t>
  </si>
  <si>
    <t>21:00</t>
  </si>
  <si>
    <t>20:26</t>
  </si>
  <si>
    <t>姜祎明（Yiming.Jiang）</t>
  </si>
  <si>
    <t>GL500190</t>
  </si>
  <si>
    <t>Junior Transportation Capacity Data Analysis Specialist 初级运力数据分析专员</t>
  </si>
  <si>
    <t>姜雪 (Xue Jiang)</t>
  </si>
  <si>
    <t>GL501717</t>
  </si>
  <si>
    <t>17:26</t>
  </si>
  <si>
    <t>姜顾宁Ivy(Guning Jiang)</t>
  </si>
  <si>
    <t>GL502579</t>
  </si>
  <si>
    <t>姜飞伯Jackson (Feibo Jiang)</t>
  </si>
  <si>
    <t>GL502628</t>
  </si>
  <si>
    <t>娄译文 Lucas (Yiwen Lou)</t>
  </si>
  <si>
    <t>GL500787</t>
  </si>
  <si>
    <t>Junior Oversea Client Specialist 初级海外客户专员</t>
  </si>
  <si>
    <t>19:10</t>
  </si>
  <si>
    <t>孙东生Eric（Dongsheng Sun）</t>
  </si>
  <si>
    <t>GL502434</t>
  </si>
  <si>
    <t>IAD01</t>
  </si>
  <si>
    <t>14:57</t>
  </si>
  <si>
    <t>孙伟鹏Will（Weipeng Sun）</t>
  </si>
  <si>
    <t>GL501310</t>
  </si>
  <si>
    <t>孙可君Monica（Kejun Sun）</t>
  </si>
  <si>
    <t>GL500140</t>
  </si>
  <si>
    <t>18:23</t>
  </si>
  <si>
    <t>孙嘉驹 Chris （Jiaju Sun）</t>
  </si>
  <si>
    <t>GL502217</t>
  </si>
  <si>
    <t>SD921</t>
  </si>
  <si>
    <t>孙国瑜Tony（Guoyu Sun）</t>
  </si>
  <si>
    <t>GL501031</t>
  </si>
  <si>
    <t>孙士皓（Shihao Sun）</t>
  </si>
  <si>
    <t>GL501298</t>
  </si>
  <si>
    <t>TY_美国节假日（9点-18点）</t>
  </si>
  <si>
    <t>孙婕 Jasmine（Sunjie）</t>
  </si>
  <si>
    <t>GL501296</t>
  </si>
  <si>
    <t>佛州区HR组</t>
  </si>
  <si>
    <t>Junior HRBP Specialist 初级HRBP专员</t>
  </si>
  <si>
    <t>孙昊月Matthew（Haoyue Sun）</t>
  </si>
  <si>
    <t>GL502199</t>
  </si>
  <si>
    <t>孙皓晨Harlan（Haochen Sun）</t>
  </si>
  <si>
    <t>GL502372</t>
  </si>
  <si>
    <t>SLC01</t>
  </si>
  <si>
    <t>孙睿紫Aurora(Ruizi Sun)</t>
  </si>
  <si>
    <t>GL502846</t>
  </si>
  <si>
    <t>20:07</t>
  </si>
  <si>
    <t>孙芃（Peng Sun）</t>
  </si>
  <si>
    <t>GL500872</t>
  </si>
  <si>
    <t>18:34</t>
  </si>
  <si>
    <t>孙覃思 Stephen（Tansi Sun）</t>
  </si>
  <si>
    <t>GL500523</t>
  </si>
  <si>
    <t>孙颖 Sandy（Ying Sun Spears）</t>
  </si>
  <si>
    <t>GL500118</t>
  </si>
  <si>
    <t>17:04</t>
  </si>
  <si>
    <t>孟祥晓 （Xiangxiao Meng）</t>
  </si>
  <si>
    <t>GL502028</t>
  </si>
  <si>
    <t>14:46</t>
  </si>
  <si>
    <t>宁殿龙Leo（Dianlong Ning）</t>
  </si>
  <si>
    <t>GL502261</t>
  </si>
  <si>
    <t>23:32</t>
  </si>
  <si>
    <t>宋佳牧 Dorian (Jiamu Song)</t>
  </si>
  <si>
    <t>GL500849</t>
  </si>
  <si>
    <t>宋嘉牧Daniel（Jiamu Song）</t>
  </si>
  <si>
    <t>GL502580</t>
  </si>
  <si>
    <t>宋奕霏 Faye (Yifei Song)</t>
  </si>
  <si>
    <t>GL501163</t>
  </si>
  <si>
    <t>16:24</t>
  </si>
  <si>
    <t>宋宜烜（Yixuan Song）</t>
  </si>
  <si>
    <t>GL500264</t>
  </si>
  <si>
    <t>宋昊阳Chris(Haoyang Song)</t>
  </si>
  <si>
    <t>GL500898</t>
  </si>
  <si>
    <t>SAV01</t>
  </si>
  <si>
    <t>宋智力Sheng（Zhili Song）</t>
  </si>
  <si>
    <t>GL500128</t>
  </si>
  <si>
    <t>13:37</t>
  </si>
  <si>
    <t>尚梓阳Ronnie (Ziyang Shang)</t>
  </si>
  <si>
    <t>GL502509</t>
  </si>
  <si>
    <t>00:55</t>
  </si>
  <si>
    <t>尚青蓓 Suki （Qingbei Shang）</t>
  </si>
  <si>
    <t>GL501614</t>
  </si>
  <si>
    <t>15:46</t>
  </si>
  <si>
    <t>尤梦楠Yuko（Mengnan You）</t>
  </si>
  <si>
    <t>GL500317</t>
  </si>
  <si>
    <t>尹晓伟Ethan（Xiaowei Yin）</t>
  </si>
  <si>
    <t>GL501759</t>
  </si>
  <si>
    <t>NY118</t>
  </si>
  <si>
    <t>尹杰Jay（Jie Yin）</t>
  </si>
  <si>
    <t>GL501269</t>
  </si>
  <si>
    <t>美东组</t>
  </si>
  <si>
    <t>Admin Assistant 行政助理</t>
  </si>
  <si>
    <t>19:13</t>
  </si>
  <si>
    <t>尹蓉Ina (Rong Yin)</t>
  </si>
  <si>
    <t>GL501208</t>
  </si>
  <si>
    <t>11:45</t>
  </si>
  <si>
    <t>屈静帆Summer（Jingfan Qu）</t>
  </si>
  <si>
    <t>GL501081</t>
  </si>
  <si>
    <t>Capacity Development Specialist 运力开发专员</t>
  </si>
  <si>
    <t>18:18</t>
  </si>
  <si>
    <t>岑淑玲 Kristy (shuling Cen)</t>
  </si>
  <si>
    <t>GL500755</t>
  </si>
  <si>
    <t>岳奕辰（Yichen Yue）</t>
  </si>
  <si>
    <t>GL501097</t>
  </si>
  <si>
    <t>22:50</t>
  </si>
  <si>
    <t>崔云平 Yunping (Yunping Cui)</t>
  </si>
  <si>
    <t>GL501040</t>
  </si>
  <si>
    <t>14:53</t>
  </si>
  <si>
    <t>崔倩茹Casey（Qianru Cui)</t>
  </si>
  <si>
    <t>GL502820</t>
  </si>
  <si>
    <t>15:23</t>
  </si>
  <si>
    <t>崔若瑾 Stacy (Ruojin Cui)</t>
  </si>
  <si>
    <t>GL502844</t>
  </si>
  <si>
    <t>17:56</t>
  </si>
  <si>
    <t>崔飞飞Grace（Feifei Cui）</t>
  </si>
  <si>
    <t>GL501564</t>
  </si>
  <si>
    <t>16:34</t>
  </si>
  <si>
    <t>巴天奇（Tianqi Ba)</t>
  </si>
  <si>
    <t>GL501864</t>
  </si>
  <si>
    <t>干宇轩 (Yuxuan Gan)</t>
  </si>
  <si>
    <t>GL501604</t>
  </si>
  <si>
    <t>20:24</t>
  </si>
  <si>
    <t>康海春Haichun (Haichun Kang)</t>
  </si>
  <si>
    <t>GL502768</t>
  </si>
  <si>
    <t>13:20</t>
  </si>
  <si>
    <t>廖国英 Lisa （Guoying Liao）</t>
  </si>
  <si>
    <t>GL500852</t>
  </si>
  <si>
    <t>18:32</t>
  </si>
  <si>
    <t>廖敏 Mina (Min Liao)</t>
  </si>
  <si>
    <t>GL501529</t>
  </si>
  <si>
    <t>MIA02</t>
  </si>
  <si>
    <t>廖文菁Jin（Wenjing Liao）</t>
  </si>
  <si>
    <t>GL502732</t>
  </si>
  <si>
    <t>13:43</t>
  </si>
  <si>
    <t>居家办公申请2026/05/12 13:40-2026/05/12 14:40[审批中]</t>
  </si>
  <si>
    <t>廖诗辰（Shichen Liao）</t>
  </si>
  <si>
    <t>GL502436</t>
  </si>
  <si>
    <t>廖鑫磊 Leo (Xinlei Liao)</t>
  </si>
  <si>
    <t>GL501012</t>
  </si>
  <si>
    <t>开欣Kai (Xin Kai)</t>
  </si>
  <si>
    <t>GL502280</t>
  </si>
  <si>
    <t>12:46</t>
  </si>
  <si>
    <t>居家办公申请2026/05/12 13:40-2026/05/12 15:00[审批中]</t>
  </si>
  <si>
    <t>张一怡 Elena (Yiyi Zhang)</t>
  </si>
  <si>
    <t>GL502148</t>
  </si>
  <si>
    <t>张世霞Eunice（Shixia Zhang）</t>
  </si>
  <si>
    <t>GL500050</t>
  </si>
  <si>
    <t>病假2026/05/12 13:30-2026/05/12 22:00[已撤回]</t>
  </si>
  <si>
    <t>张书畅Bruce (Shuchang Zhang)</t>
  </si>
  <si>
    <t>GL501829</t>
  </si>
  <si>
    <t>病假2026/05/12 09:30-2026/05/12 15:00[已完成]</t>
  </si>
  <si>
    <t>张传胤（Chuanyin Zhang）</t>
  </si>
  <si>
    <t>GL500326</t>
  </si>
  <si>
    <t>21:14</t>
  </si>
  <si>
    <t>张佩敏 Carmen （Carmen pei min Zhang)</t>
  </si>
  <si>
    <t>GL501014</t>
  </si>
  <si>
    <t>17:58</t>
  </si>
  <si>
    <t>张佳萌 Rita (Jiameng Zhang)</t>
  </si>
  <si>
    <t>GL502695</t>
  </si>
  <si>
    <t>19:29</t>
  </si>
  <si>
    <t>张利Nick（Li Zhang）</t>
  </si>
  <si>
    <t>GL501137</t>
  </si>
  <si>
    <t>张千千Ruby (Qianqian Zhang)</t>
  </si>
  <si>
    <t>GL501747</t>
  </si>
  <si>
    <t>21:18</t>
  </si>
  <si>
    <t>张华 Danny(Hua Zhang)</t>
  </si>
  <si>
    <t>GL502020</t>
  </si>
  <si>
    <t>EHS Specialist EHS专员</t>
  </si>
  <si>
    <t>张华Leah（Hua Zhang）</t>
  </si>
  <si>
    <t>GL502626</t>
  </si>
  <si>
    <t>张双甫(Shuangfu Zhang)</t>
  </si>
  <si>
    <t>GL501791</t>
  </si>
  <si>
    <t>18:41</t>
  </si>
  <si>
    <t>张可欣 Kexin (Kexin Zhang)</t>
  </si>
  <si>
    <t>GL501679</t>
  </si>
  <si>
    <t>张啸</t>
  </si>
  <si>
    <t>GL001344</t>
  </si>
  <si>
    <t>Implementation Operations Manager 实施运营经理</t>
  </si>
  <si>
    <t>张天玮Violet (Tianwei Zhang)</t>
  </si>
  <si>
    <t>GL502630</t>
  </si>
  <si>
    <t>18:06</t>
  </si>
  <si>
    <t>张奕 (Yi Zhang)</t>
  </si>
  <si>
    <t>GL501865</t>
  </si>
  <si>
    <t>17:33</t>
  </si>
  <si>
    <t>张子伦（Zilun Zhang)</t>
  </si>
  <si>
    <t>GL500245</t>
  </si>
  <si>
    <t>张子夜Sabrina（Ziye Zhang）</t>
  </si>
  <si>
    <t>GL501338</t>
  </si>
  <si>
    <t>张家义 Awan（Jiayi Zhang）</t>
  </si>
  <si>
    <t>GL500096</t>
  </si>
  <si>
    <t>张容 （Rong Zhang）</t>
  </si>
  <si>
    <t>GL502060</t>
  </si>
  <si>
    <t>张小燕Carina(Xiaoyan Zhang)</t>
  </si>
  <si>
    <t>GL501551</t>
  </si>
  <si>
    <t>16:35</t>
  </si>
  <si>
    <t>张建平Grace（Jianping Zhang）</t>
  </si>
  <si>
    <t>GL500946</t>
  </si>
  <si>
    <t>19:32</t>
  </si>
  <si>
    <t>销假申请2026/05/12 10:00-2026/05/12 18:30[已完成],产假2026/05/12 10:00-2026/05/12 18:30[已完成]</t>
  </si>
  <si>
    <t>张建辉Mario（Jianhui Zhang）</t>
  </si>
  <si>
    <t>GL501399</t>
  </si>
  <si>
    <t>张弘毅 Hongyi （Hongyi Zhang）</t>
  </si>
  <si>
    <t>GL501506</t>
  </si>
  <si>
    <t>张恩泽Vincent（Enze Zhang）</t>
  </si>
  <si>
    <t>GL502216</t>
  </si>
  <si>
    <t>张悦Mia（Yue Zhang）</t>
  </si>
  <si>
    <t>GL500751</t>
  </si>
  <si>
    <t>TY_19:00</t>
  </si>
  <si>
    <t>03:30</t>
  </si>
  <si>
    <t>张振林Jax (Zhenlin Zhang)</t>
  </si>
  <si>
    <t>GL501293</t>
  </si>
  <si>
    <t>Admin Manager 行政经理</t>
  </si>
  <si>
    <t>张挽强 (Max)</t>
  </si>
  <si>
    <t>GL501406</t>
  </si>
  <si>
    <t>张昊阳 Fabio (Haoyang Zhang)</t>
  </si>
  <si>
    <t>GL501633</t>
  </si>
  <si>
    <t>18:02</t>
  </si>
  <si>
    <t>张晓婉Christy（Xiaowan Zhang）</t>
  </si>
  <si>
    <t>GL500211</t>
  </si>
  <si>
    <t>17:57</t>
  </si>
  <si>
    <t>张望Wang（Wang Zhang)</t>
  </si>
  <si>
    <t>GL500199</t>
  </si>
  <si>
    <t>13:55</t>
  </si>
  <si>
    <t>张朱同 Thomson（Zhutong Zhang）</t>
  </si>
  <si>
    <t>GL502466</t>
  </si>
  <si>
    <t>Ground项目HR组</t>
  </si>
  <si>
    <t>张林萱 Charlotte （Linxuan Zhang）</t>
  </si>
  <si>
    <t>GL502711</t>
  </si>
  <si>
    <t>23:09</t>
  </si>
  <si>
    <t>张枭(Xiao Zhang)</t>
  </si>
  <si>
    <t>GL502618</t>
  </si>
  <si>
    <t>02:22</t>
  </si>
  <si>
    <t>张梓皓 Howard (Zihao Zhang)</t>
  </si>
  <si>
    <t>GL501307</t>
  </si>
  <si>
    <t>张梓祺Vivian （Ziqi Zhang）</t>
  </si>
  <si>
    <t>GL501785</t>
  </si>
  <si>
    <t>张森 (Sen Zhang)</t>
  </si>
  <si>
    <t>GL500711</t>
  </si>
  <si>
    <t>张法礼 Farley (Fali Zhang)</t>
  </si>
  <si>
    <t>GL501209</t>
  </si>
  <si>
    <t>张洁雨Jaye（Jieyu Zhang）</t>
  </si>
  <si>
    <t>GL502761</t>
  </si>
  <si>
    <t>张潇予（Angelia）Xiaoyu Zhang</t>
  </si>
  <si>
    <t>GL502477</t>
  </si>
  <si>
    <t>20:17</t>
  </si>
  <si>
    <t>张瀚文 John （Hanwen Zhang）</t>
  </si>
  <si>
    <t>GL502553</t>
  </si>
  <si>
    <t>张瀚清 Han （Hanqing Zhang）</t>
  </si>
  <si>
    <t>GL501515</t>
  </si>
  <si>
    <t>美西组</t>
  </si>
  <si>
    <t>18:20</t>
  </si>
  <si>
    <t>张然Miles（Ran Zhang）</t>
  </si>
  <si>
    <t>GL502601</t>
  </si>
  <si>
    <t>张燕Amy（Yan Zhang）</t>
  </si>
  <si>
    <t>GL501095</t>
  </si>
  <si>
    <t>病假2026/05/12 06:00-2026/05/12 14:30[已完成]</t>
  </si>
  <si>
    <t>张玉田Silvia（Yutian Zhang）</t>
  </si>
  <si>
    <t>GL501153</t>
  </si>
  <si>
    <t>张玉贵（Yugui Zhang）</t>
  </si>
  <si>
    <t>GL500565</t>
  </si>
  <si>
    <t>Delivery Driver 司机</t>
  </si>
  <si>
    <t>张琪Jet（Qi Zhang）</t>
  </si>
  <si>
    <t>GL501011</t>
  </si>
  <si>
    <t>21:16</t>
  </si>
  <si>
    <t>张琳枫Arthur（Linfeng Zhang）</t>
  </si>
  <si>
    <t>GL500298</t>
  </si>
  <si>
    <t>张磊（Lei Zhang）</t>
  </si>
  <si>
    <t>GL500459</t>
  </si>
  <si>
    <t>张紫嫣Cecilia（Ziyan Zhang）</t>
  </si>
  <si>
    <t>GL502406</t>
  </si>
  <si>
    <t>19:48</t>
  </si>
  <si>
    <t>张翠英Journey (Cuiying Zhang)</t>
  </si>
  <si>
    <t>GL500999</t>
  </si>
  <si>
    <t>17:35</t>
  </si>
  <si>
    <t>张腾</t>
  </si>
  <si>
    <t>GL000004</t>
  </si>
  <si>
    <t>张航Abby(Hang Zhang)</t>
  </si>
  <si>
    <t>GL502782</t>
  </si>
  <si>
    <t>JAN01</t>
  </si>
  <si>
    <t>张艺宁（Yining Zhang）</t>
  </si>
  <si>
    <t>GL502591</t>
  </si>
  <si>
    <t>HNL01</t>
  </si>
  <si>
    <t>张译心Fiona (Yixin Zhang)</t>
  </si>
  <si>
    <t>GL502878</t>
  </si>
  <si>
    <t>20:01</t>
  </si>
  <si>
    <t>张贤洺(RYAN)</t>
  </si>
  <si>
    <t>GL501483</t>
  </si>
  <si>
    <t>张迈月Charlotte (Maiyue Zhang)</t>
  </si>
  <si>
    <t>GL500732</t>
  </si>
  <si>
    <t>Brand Marketing Manager 品牌市场部经理</t>
  </si>
  <si>
    <t>张铁林Terry (Tielin Zhang)</t>
  </si>
  <si>
    <t>GL502059</t>
  </si>
  <si>
    <t>张雅兰 Eve (Yalan Zhang)</t>
  </si>
  <si>
    <t>GL501228</t>
  </si>
  <si>
    <t>Implementation Operations Supervisor 实施运营主管</t>
  </si>
  <si>
    <t>张雅婷Caca （Yating Zhang）</t>
  </si>
  <si>
    <t>GL501194</t>
  </si>
  <si>
    <t>张霄鹏Shawn (Xiaopeng Zhang)</t>
  </si>
  <si>
    <t>GL502263</t>
  </si>
  <si>
    <t>18:57</t>
  </si>
  <si>
    <t>张馨匀 Zoe（Xinyun Zhang）</t>
  </si>
  <si>
    <t>GL502742</t>
  </si>
  <si>
    <t>张骞文Grace (Qianwen Zhang)</t>
  </si>
  <si>
    <t>GL502476</t>
  </si>
  <si>
    <t>18:49</t>
  </si>
  <si>
    <t>张骥Ji Zhang (Ji Zhang)</t>
  </si>
  <si>
    <t>GL500467</t>
  </si>
  <si>
    <t>Regional Head 区长</t>
  </si>
  <si>
    <t>张鹏翔 Peazy (Pengxiang Zhang)</t>
  </si>
  <si>
    <t>GL501152</t>
  </si>
  <si>
    <t>彭君韬Julius（Juntao Peng）</t>
  </si>
  <si>
    <t>GL500528</t>
  </si>
  <si>
    <t>13:02</t>
  </si>
  <si>
    <t>彭昕亮Bruce（Xinliang Peng）</t>
  </si>
  <si>
    <t>GL501427</t>
  </si>
  <si>
    <t>16:40</t>
  </si>
  <si>
    <t>徐丹Mary(Dan Xu)</t>
  </si>
  <si>
    <t>GL502802</t>
  </si>
  <si>
    <t>19:37</t>
  </si>
  <si>
    <t>徐伟航Kevin（Weihang Xu）</t>
  </si>
  <si>
    <t>GL501497</t>
  </si>
  <si>
    <t>徐子涵Chloe（Zihan Xu）</t>
  </si>
  <si>
    <t>GL502461</t>
  </si>
  <si>
    <t>徐易航 Henry (Yihang Xu)</t>
  </si>
  <si>
    <t>GL501602</t>
  </si>
  <si>
    <t>徐智达Aidan(Zhida Xu)</t>
  </si>
  <si>
    <t>GL502565</t>
  </si>
  <si>
    <t>欧阳迎春</t>
  </si>
  <si>
    <t>欧阳迎春Flower（Yingchun Ouyang）</t>
  </si>
  <si>
    <t>杨云飞</t>
  </si>
  <si>
    <t>Minqing (Minqing Xu),罗煜雄 Mike (Yuxiong Luo),明杰麟Jennie (Jielin Ming)</t>
  </si>
  <si>
    <t>文艳平</t>
  </si>
  <si>
    <t>徐浚凌（Breeze）</t>
  </si>
  <si>
    <t>GL501517</t>
  </si>
  <si>
    <t>徐润生Dragon (Runsheng Xu)</t>
  </si>
  <si>
    <t>GL500718</t>
  </si>
  <si>
    <t>Senior Regional Support Specialist 高级区域支持专员</t>
  </si>
  <si>
    <t>徐瑞梓Roy（Ruizi Xu)</t>
  </si>
  <si>
    <t>GL501079</t>
  </si>
  <si>
    <t>徐秀琴Prisca（Hsiuchin Hsu）</t>
  </si>
  <si>
    <t>GL502468</t>
  </si>
  <si>
    <t>19:38</t>
  </si>
  <si>
    <t>徐紫珏 Jessie (Zijue Xu)</t>
  </si>
  <si>
    <t>GL502858</t>
  </si>
  <si>
    <t>徐绍伦Shawn (Shaolun Xu)</t>
  </si>
  <si>
    <t>GL502304</t>
  </si>
  <si>
    <t>18:17</t>
  </si>
  <si>
    <t>徐驰Chase（Chi Xu）</t>
  </si>
  <si>
    <t>GL502715</t>
  </si>
  <si>
    <t>21:08</t>
  </si>
  <si>
    <t>恽思成Ashley（Sicheng Yun）</t>
  </si>
  <si>
    <t>GL501093</t>
  </si>
  <si>
    <t>戚逸文(Yiwen Qi)</t>
  </si>
  <si>
    <t>GL501662</t>
  </si>
  <si>
    <t>戴钰芝</t>
  </si>
  <si>
    <t>GL000440</t>
  </si>
  <si>
    <t>Senior Operations Support Supervisor 高级运营支持主管</t>
  </si>
  <si>
    <t>拜二勇(Eryong Bai)</t>
  </si>
  <si>
    <t>GL502273</t>
  </si>
  <si>
    <t>无薪病假2026/05/12 09:00-2026/05/12 17:30[已完成]</t>
  </si>
  <si>
    <t>敖海韬Haitao（Haitao Ao）</t>
  </si>
  <si>
    <t>GL501795</t>
  </si>
  <si>
    <t>病假2026/05/12 19:00-2026/05/13 03:30[已完成]</t>
  </si>
  <si>
    <t>方晨滋 Chenzi (Chenzi Fang)</t>
  </si>
  <si>
    <t>GL502374</t>
  </si>
  <si>
    <t>出差申请2026/05/12 07:30-2026/05/12 16:00[已完成]</t>
  </si>
  <si>
    <t>方景宏（Jinghong Fang）</t>
  </si>
  <si>
    <t>GL500568</t>
  </si>
  <si>
    <t>方林立（Linli Fang）</t>
  </si>
  <si>
    <t>GL502708</t>
  </si>
  <si>
    <t>方琦 Jacky (Qi Fang)</t>
  </si>
  <si>
    <t>GL501333</t>
  </si>
  <si>
    <t>AUS01</t>
  </si>
  <si>
    <t>方维维Vivian ( Weiwei Fang）</t>
  </si>
  <si>
    <t>GL502505</t>
  </si>
  <si>
    <t>方舟Eva (Zhou Giangrasso)</t>
  </si>
  <si>
    <t>GL501428</t>
  </si>
  <si>
    <t>美东运力组</t>
  </si>
  <si>
    <t>Senior Transportation Supervisor 高级运力主管</t>
  </si>
  <si>
    <t>施志鹏 Rick (Zhipeng Shi)</t>
  </si>
  <si>
    <t>GL501832</t>
  </si>
  <si>
    <t>施慧 Alice（Hui Shi）</t>
  </si>
  <si>
    <t>GL501692</t>
  </si>
  <si>
    <t>14:36</t>
  </si>
  <si>
    <t>施罕鑫 Queenie (Hanxin Shi)</t>
  </si>
  <si>
    <t>GL501261</t>
  </si>
  <si>
    <t>14:04</t>
  </si>
  <si>
    <t>明杰麟Jennie (Jielin Ming)</t>
  </si>
  <si>
    <t>GL502168</t>
  </si>
  <si>
    <t>20:23</t>
  </si>
  <si>
    <t>易涛Tonni（Tao Yi）</t>
  </si>
  <si>
    <t>GL501858</t>
  </si>
  <si>
    <t>20:34</t>
  </si>
  <si>
    <t>易至聪Zac (Zhicong Yi)</t>
  </si>
  <si>
    <t>GL500233</t>
  </si>
  <si>
    <t>智卓（Zhuo Zhi）</t>
  </si>
  <si>
    <t>GL502017</t>
  </si>
  <si>
    <t>19:23</t>
  </si>
  <si>
    <t>曲阳 Leo (Yang Qu)</t>
  </si>
  <si>
    <t>GL501337</t>
  </si>
  <si>
    <t>曹杨清清(Encore)</t>
  </si>
  <si>
    <t>GL501420</t>
  </si>
  <si>
    <t>21:54</t>
  </si>
  <si>
    <t>曹楚颖（Chuying Cao）</t>
  </si>
  <si>
    <t>GL500107</t>
  </si>
  <si>
    <t>美国项目交付组</t>
  </si>
  <si>
    <t>Product Manager 产品经理</t>
  </si>
  <si>
    <t>曹裴绘Peihui（Peihui Cao）</t>
  </si>
  <si>
    <t>GL500595</t>
  </si>
  <si>
    <t>曾令桓（Linghuan Zeng）</t>
  </si>
  <si>
    <t>GL502350</t>
  </si>
  <si>
    <t>居家办公申请2026/05/12 14:30-2026/05/12 21:30[审批中]</t>
  </si>
  <si>
    <t>朱伟沛Aiden（Weipei Zhu)</t>
  </si>
  <si>
    <t>GL502395</t>
  </si>
  <si>
    <t>Hotline CS Specialist 热线客服专员</t>
  </si>
  <si>
    <t>朱嘉希 Roger（Jiaxi Zhu）</t>
  </si>
  <si>
    <t>GL500203</t>
  </si>
  <si>
    <t>22:38</t>
  </si>
  <si>
    <t>朱子辰Rain (Zichen Zhu)</t>
  </si>
  <si>
    <t>GL501254</t>
  </si>
  <si>
    <t>21:19</t>
  </si>
  <si>
    <t>朱家仡Andrew (Jiayi Zhu)</t>
  </si>
  <si>
    <t>GL500182</t>
  </si>
  <si>
    <t>朱晗宇 Peter (Hanyu Zhu)</t>
  </si>
  <si>
    <t>GL501834</t>
  </si>
  <si>
    <t>朱涛 Dyna (Tao Zhu)</t>
  </si>
  <si>
    <t>GL501978</t>
  </si>
  <si>
    <t>朱盈池 Junie (Yingchi Zhu)</t>
  </si>
  <si>
    <t>GL501599</t>
  </si>
  <si>
    <t>年假2026/05/12 09:30-2026/05/12 18:00[审批中]</t>
  </si>
  <si>
    <t>朱茹茹 Linda（Ruru Zhu)</t>
  </si>
  <si>
    <t>GL502507</t>
  </si>
  <si>
    <t>美中组</t>
  </si>
  <si>
    <t>Junior Admin Specialist 初级行政专员</t>
  </si>
  <si>
    <t>18:40</t>
  </si>
  <si>
    <t>朱行健 Jason (Xingjian Zhu)</t>
  </si>
  <si>
    <t>GL501222</t>
  </si>
  <si>
    <t>朱讯 Lorance（Xun Zhu）</t>
  </si>
  <si>
    <t>GL501982</t>
  </si>
  <si>
    <t>Senior Implementation Operations Supervisor 高级实施运营主管</t>
  </si>
  <si>
    <t>朱越汀Alex（Yueting Zhu）</t>
  </si>
  <si>
    <t>GL502038</t>
  </si>
  <si>
    <t>朴仁玉 Rachel（Renyu Piao）</t>
  </si>
  <si>
    <t>GL502688</t>
  </si>
  <si>
    <t>13:51</t>
  </si>
  <si>
    <t>李一楠Kyle (Yinan Li）</t>
  </si>
  <si>
    <t>GL501431</t>
  </si>
  <si>
    <t>Deputy Regional Support Supervisor 区域支持组副主管</t>
  </si>
  <si>
    <t>李一诺 Doris（Yinuo Li）</t>
  </si>
  <si>
    <t>GL502675</t>
  </si>
  <si>
    <t>无薪病假2026/05/12 09:30-2026/05/12 18:00[审批中]</t>
  </si>
  <si>
    <t>李万杰Tim  (Wanjie Li)</t>
  </si>
  <si>
    <t>GL501243</t>
  </si>
  <si>
    <t>李丹华Blanche(Danhua Li)</t>
  </si>
  <si>
    <t>GL501263</t>
  </si>
  <si>
    <t>李今为 Amanda （Jinwei Li）</t>
  </si>
  <si>
    <t>GL501541</t>
  </si>
  <si>
    <t>李佳慧Holly（Jiahui Li）</t>
  </si>
  <si>
    <t>GL502113</t>
  </si>
  <si>
    <t>STL01</t>
  </si>
  <si>
    <t>李信南 (Xinnan Li）</t>
  </si>
  <si>
    <t>GL502030</t>
  </si>
  <si>
    <t>SAN01</t>
  </si>
  <si>
    <t>17:11</t>
  </si>
  <si>
    <t>李元希 Lia (Yuanxi Li)</t>
  </si>
  <si>
    <t>GL500933</t>
  </si>
  <si>
    <t>李剑Jay（Jian Li）</t>
  </si>
  <si>
    <t>GL501839</t>
  </si>
  <si>
    <t>PT972</t>
  </si>
  <si>
    <t>李卓霖 （Zhuolin Li）</t>
  </si>
  <si>
    <t>GL502133</t>
  </si>
  <si>
    <t>21:47</t>
  </si>
  <si>
    <t>李嘉怡Lya (Jiayi Li)</t>
  </si>
  <si>
    <t>GL500640</t>
  </si>
  <si>
    <t>Oversea Client Specialist 海外客户专员</t>
  </si>
  <si>
    <t>19:20</t>
  </si>
  <si>
    <t>李士龙 (Shilong Li)</t>
  </si>
  <si>
    <t>GL502763</t>
  </si>
  <si>
    <t>GRR01</t>
  </si>
  <si>
    <t>李妮珊Stella（Nishan Li)</t>
  </si>
  <si>
    <t>GL502378</t>
  </si>
  <si>
    <t>18:10</t>
  </si>
  <si>
    <t>李宁Simon (Ning Li)</t>
  </si>
  <si>
    <t>GL502697</t>
  </si>
  <si>
    <t>Junior Capacity Development Specialist 初级运力开发专员</t>
  </si>
  <si>
    <t>出差申请2026/05/12 09:00-2026/05/12 17:30[审批中],出差申请2026/05/12 09:00-2026/05/12 17:30[已废弃]</t>
  </si>
  <si>
    <t>李宗泽Zack(Zongze Li)</t>
  </si>
  <si>
    <t>GL502539</t>
  </si>
  <si>
    <t>李家琦Jackie（Jiaqi Li）</t>
  </si>
  <si>
    <t>GL500138</t>
  </si>
  <si>
    <t>Senior Admin Specialist 高级行政专员</t>
  </si>
  <si>
    <t>李家蕙Krystal（Jiahui Li）</t>
  </si>
  <si>
    <t>GL501326</t>
  </si>
  <si>
    <t>21:04</t>
  </si>
  <si>
    <t>李小涵Jane (Xiaohan Li)</t>
  </si>
  <si>
    <t>GL501710</t>
  </si>
  <si>
    <t>李彦希Lizzy（Yanxi Li）</t>
  </si>
  <si>
    <t>GL500463</t>
  </si>
  <si>
    <t>Senior Warehouse Leasing Supervisor 高级仓库租赁主管</t>
  </si>
  <si>
    <t>李心月Amaris (Xinyue Li)</t>
  </si>
  <si>
    <t>GL501874</t>
  </si>
  <si>
    <t>李思霖 (Silin Li)</t>
  </si>
  <si>
    <t>GL502041</t>
  </si>
  <si>
    <t>出差申请2026/05/12 06:00-2026/05/12 14:30[已完成]</t>
  </si>
  <si>
    <t>李政航Ken(Zhenghang Li)</t>
  </si>
  <si>
    <t>GL500676</t>
  </si>
  <si>
    <t>Pickup Supervisor 揽收部主管</t>
  </si>
  <si>
    <t>李政轩(Zhengxuan Li)</t>
  </si>
  <si>
    <t>GL502247</t>
  </si>
  <si>
    <t>李文旭 Leo  (WENXU LI)</t>
  </si>
  <si>
    <t>GL501013</t>
  </si>
  <si>
    <t>李昊澄（Haocheng Li）</t>
  </si>
  <si>
    <t>GL502004</t>
  </si>
  <si>
    <t>李明Lawrence（Ming Li）</t>
  </si>
  <si>
    <t>GL501189</t>
  </si>
  <si>
    <t>李明峰Lucas(Mingfeng Li)</t>
  </si>
  <si>
    <t>GL501051</t>
  </si>
  <si>
    <t>16:22</t>
  </si>
  <si>
    <t>李明远Eddie （Mingyuan Li）</t>
  </si>
  <si>
    <t>GL502385</t>
  </si>
  <si>
    <t>15:33</t>
  </si>
  <si>
    <t>李易峰Franklin (Yifeng Li)</t>
  </si>
  <si>
    <t>GL502310</t>
  </si>
  <si>
    <t>GED01</t>
  </si>
  <si>
    <t>14:34</t>
  </si>
  <si>
    <t>李星诺（Xingnuo Li）</t>
  </si>
  <si>
    <t>GL501136</t>
  </si>
  <si>
    <t>李显瀚Bosco（Xianhan Li）</t>
  </si>
  <si>
    <t>GL500806</t>
  </si>
  <si>
    <t>MDT01</t>
  </si>
  <si>
    <t>14:06</t>
  </si>
  <si>
    <t>李晓（Xiao Li)</t>
  </si>
  <si>
    <t>GL501188</t>
  </si>
  <si>
    <t>李枭文Andy (Xiaowen Li)</t>
  </si>
  <si>
    <t>GL500800</t>
  </si>
  <si>
    <t>CB080</t>
  </si>
  <si>
    <t>李梦想Mason (Mengxiang Li)</t>
  </si>
  <si>
    <t>GL502111</t>
  </si>
  <si>
    <t>李泽森Biu（Zesen Li）</t>
  </si>
  <si>
    <t>GL502282</t>
  </si>
  <si>
    <t>李海 Hai (Hai Li)</t>
  </si>
  <si>
    <t>GL501039</t>
  </si>
  <si>
    <t>李海洋（Haiyang Li)</t>
  </si>
  <si>
    <t>GL501181</t>
  </si>
  <si>
    <t>李海燕Haiyan（Haiyan Li）</t>
  </si>
  <si>
    <t>GL500282</t>
  </si>
  <si>
    <t>Senior Station Implementation  Specialist 高级站点实施专员</t>
  </si>
  <si>
    <t>李煜桐 Sherry （Yutong Li）</t>
  </si>
  <si>
    <t>GL502176</t>
  </si>
  <si>
    <t>14:11</t>
  </si>
  <si>
    <t>李王阳Sunny (Wangyang Li)</t>
  </si>
  <si>
    <t>GL501540</t>
  </si>
  <si>
    <t>综合HRBP组</t>
  </si>
  <si>
    <t>李睿馨Ori（Ruixin Li）</t>
  </si>
  <si>
    <t>GL502648</t>
  </si>
  <si>
    <t>22:04</t>
  </si>
  <si>
    <t>李秋仪Chloe（Qiuyi Li）</t>
  </si>
  <si>
    <t>GL502325</t>
  </si>
  <si>
    <t>16:41</t>
  </si>
  <si>
    <t>李秋妍Angela（Qiuyan Li）</t>
  </si>
  <si>
    <t>GL500884</t>
  </si>
  <si>
    <t>Admin Specialist 行政专员</t>
  </si>
  <si>
    <t>李翔之Benson（Benson Lee）</t>
  </si>
  <si>
    <t>GL500788</t>
  </si>
  <si>
    <t>18:27</t>
  </si>
  <si>
    <t>李胜君Cathy (Shengjun Li)</t>
  </si>
  <si>
    <t>GL502300</t>
  </si>
  <si>
    <t>16:44</t>
  </si>
  <si>
    <t>李若男Mignon（Mignon Li）</t>
  </si>
  <si>
    <t>GL502336</t>
  </si>
  <si>
    <t>李莹(Ying Li)</t>
  </si>
  <si>
    <t>GL502811</t>
  </si>
  <si>
    <t>李蜜Amy (Mi Li)</t>
  </si>
  <si>
    <t>GL501245</t>
  </si>
  <si>
    <t>综合管理组</t>
  </si>
  <si>
    <t>17:47</t>
  </si>
  <si>
    <t>李远Mark（Yuan Li）</t>
  </si>
  <si>
    <t>GL502524</t>
  </si>
  <si>
    <t>SFO.G</t>
  </si>
  <si>
    <t>16:51</t>
  </si>
  <si>
    <t>李钟鸣Zhongming（Zhongming Li）</t>
  </si>
  <si>
    <t>GL500485</t>
  </si>
  <si>
    <t>李锦琦Arther (Jinqi Li)</t>
  </si>
  <si>
    <t>GL501412</t>
  </si>
  <si>
    <t>李阳阳 (Yangyang Li)</t>
  </si>
  <si>
    <t>GL502906</t>
  </si>
  <si>
    <t>18:43</t>
  </si>
  <si>
    <t>李雨薇Ivy（Yuwei Li)</t>
  </si>
  <si>
    <t>GL500422</t>
  </si>
  <si>
    <t>李雪（Shirley）Xue Li</t>
  </si>
  <si>
    <t>GL502495</t>
  </si>
  <si>
    <t>自营运力组</t>
  </si>
  <si>
    <t>Junior In-house Capacity Data Specialist 初级自营运力数据专员</t>
  </si>
  <si>
    <t>杜彤Alex (Tong Du)</t>
  </si>
  <si>
    <t>GL502573</t>
  </si>
  <si>
    <t>23:08</t>
  </si>
  <si>
    <t>杜金Jin (Jin Du)</t>
  </si>
  <si>
    <t>GL500702</t>
  </si>
  <si>
    <t>杜鹏吉Bruce (Pengji Du)</t>
  </si>
  <si>
    <t>GL500782</t>
  </si>
  <si>
    <t>杨丁丁 Lorraine (Dingding Yang)</t>
  </si>
  <si>
    <t>GL501732</t>
  </si>
  <si>
    <t>杨万Young (Wan Yang)</t>
  </si>
  <si>
    <t>GL501900</t>
  </si>
  <si>
    <t>LV891</t>
  </si>
  <si>
    <t>杨东旭Jessie (Dongxu Yang)</t>
  </si>
  <si>
    <t>GL502459</t>
  </si>
  <si>
    <t>21:42</t>
  </si>
  <si>
    <t>杨书锐Shurui（Shurui Yang）</t>
  </si>
  <si>
    <t>GL502847</t>
  </si>
  <si>
    <t>17:28</t>
  </si>
  <si>
    <t>杨云逸菲Freya (Yunyifei Yang)</t>
  </si>
  <si>
    <t>GL502442</t>
  </si>
  <si>
    <t>20:04</t>
  </si>
  <si>
    <t>GL000446</t>
  </si>
  <si>
    <t>杨凯钦（Kaiqin Yang）</t>
  </si>
  <si>
    <t>GL501280</t>
  </si>
  <si>
    <t>杨卓浩Icarus (Zhuohao Yang)</t>
  </si>
  <si>
    <t>GL502668</t>
  </si>
  <si>
    <t>杨子豪（Zee）Zihao Yang</t>
  </si>
  <si>
    <t>GL501622</t>
  </si>
  <si>
    <t>出差申请2026/05/12 05:30-2026/05/12 14:00[审批中]</t>
  </si>
  <si>
    <t>杨帆（Fan Yang）</t>
  </si>
  <si>
    <t>GL501766</t>
  </si>
  <si>
    <t>杨广宁Jack（Guangning Yang)</t>
  </si>
  <si>
    <t>GL501809</t>
  </si>
  <si>
    <t>杨广斌Guangbin Yang</t>
  </si>
  <si>
    <t>GL501757</t>
  </si>
  <si>
    <t>SEA01</t>
  </si>
  <si>
    <t>杨敏Min (Min Yang)</t>
  </si>
  <si>
    <t>GL501099</t>
  </si>
  <si>
    <t>16:54</t>
  </si>
  <si>
    <t>杨文博 Joe (Wenbo Yang)</t>
  </si>
  <si>
    <t>GL502550</t>
  </si>
  <si>
    <t>17:15</t>
  </si>
  <si>
    <t>杨智博Eddy（Zhibo Yang）</t>
  </si>
  <si>
    <t>GL501603</t>
  </si>
  <si>
    <t>杨梓涵 Harry (Zihan Yang)</t>
  </si>
  <si>
    <t>GL501311</t>
  </si>
  <si>
    <t>无薪年假2026/05/12 13:00-2026/05/12 21:30[已完成]</t>
  </si>
  <si>
    <t>杨洁 Jade（Jie Yang）</t>
  </si>
  <si>
    <t>GL500221</t>
  </si>
  <si>
    <t>00:14</t>
  </si>
  <si>
    <t>杨洁敏 Jeremy (Jiemin Yang)</t>
  </si>
  <si>
    <t>GL501739</t>
  </si>
  <si>
    <t>18:51</t>
  </si>
  <si>
    <t>杨琳 (Lin Yang）</t>
  </si>
  <si>
    <t>GL502557</t>
  </si>
  <si>
    <t>01:35</t>
  </si>
  <si>
    <t>杨益洲Young（Yizhou Yang）</t>
  </si>
  <si>
    <t>GL502302</t>
  </si>
  <si>
    <t>居家办公申请2026/05/12 14:00-2026/05/12 16:00[审批中]</t>
  </si>
  <si>
    <t>杨芊雨Taylor (Qianyu Yang)</t>
  </si>
  <si>
    <t>GL501797</t>
  </si>
  <si>
    <t>产品运营组</t>
  </si>
  <si>
    <t>Junior Product Operation Specialist 初级产品运营专员</t>
  </si>
  <si>
    <t>杨英Esther (Ying Yang)</t>
  </si>
  <si>
    <t>GL502709</t>
  </si>
  <si>
    <t>林冠华Mark（Guanhua Lin)</t>
  </si>
  <si>
    <t>GL502333</t>
  </si>
  <si>
    <t>17:05</t>
  </si>
  <si>
    <t>林勇Nathan（Yong Lin）</t>
  </si>
  <si>
    <t>GL501942</t>
  </si>
  <si>
    <t>林君毅Jun（Junyi Lin）</t>
  </si>
  <si>
    <t>GL500420</t>
  </si>
  <si>
    <t>林唯伟 Weiwei （Weiwei Lin）</t>
  </si>
  <si>
    <t>GL501408</t>
  </si>
  <si>
    <t>林圣贤Alex（Alex Lin）</t>
  </si>
  <si>
    <t>GL500352</t>
  </si>
  <si>
    <t>林志强Max（Zhiqiang Lin）</t>
  </si>
  <si>
    <t>GL501419</t>
  </si>
  <si>
    <t>林思慧 Gloria（Sihui Lin）</t>
  </si>
  <si>
    <t>GL501619</t>
  </si>
  <si>
    <t>林捷Jie（Jie Lin）</t>
  </si>
  <si>
    <t>GL500683</t>
  </si>
  <si>
    <t>21:52</t>
  </si>
  <si>
    <t>林晓妮Nikki(Xiaoni Lin)</t>
  </si>
  <si>
    <t>GL502429</t>
  </si>
  <si>
    <t>无薪年假2026/05/12 05:30-2026/05/12 14:00[已完成]</t>
  </si>
  <si>
    <t>林晓涵 Emma(Xiaohan Lin)</t>
  </si>
  <si>
    <t>GL502803</t>
  </si>
  <si>
    <t>15:40</t>
  </si>
  <si>
    <t>出差申请2026/05/12 09:30-2026/05/12 18:00[已完成],出差申请2026/05/12 09:30-2026/05/12 18:00[已废弃]</t>
  </si>
  <si>
    <t>林泽晃Spark (Zehuang Lin)</t>
  </si>
  <si>
    <t>GL502305</t>
  </si>
  <si>
    <t>无薪年假2026/05/12 09:30-2026/05/12 18:00[审批中]</t>
  </si>
  <si>
    <t>林渝雯Avery (Yuwen Lin)</t>
  </si>
  <si>
    <t>GL501362</t>
  </si>
  <si>
    <t>调度运营组</t>
  </si>
  <si>
    <t>Junior Dispatching Operations Specialist 初级调度运营专员</t>
  </si>
  <si>
    <t>林美浚（Meijun Lin）</t>
  </si>
  <si>
    <t>GL500247</t>
  </si>
  <si>
    <t>林艳 Alina （Yan Lin)</t>
  </si>
  <si>
    <t>GL501416</t>
  </si>
  <si>
    <t>SE981</t>
  </si>
  <si>
    <t>15:11</t>
  </si>
  <si>
    <t>林超鸿Gorton （Chaohong Lin）</t>
  </si>
  <si>
    <t>GL502498</t>
  </si>
  <si>
    <t>林道望Daryl（Daowang Lin）</t>
  </si>
  <si>
    <t>GL500609</t>
  </si>
  <si>
    <t>查震升Charlie（Zhensheng Cha）</t>
  </si>
  <si>
    <t>GL501314</t>
  </si>
  <si>
    <t>柳建顺（Jianshun Liu）</t>
  </si>
  <si>
    <t>GL500848</t>
  </si>
  <si>
    <t>梁心怡Chloe（Xinyi Liang）</t>
  </si>
  <si>
    <t>GL500689</t>
  </si>
  <si>
    <t>梁思圣 Chris (Sisheng Liang)</t>
  </si>
  <si>
    <t>GL501686</t>
  </si>
  <si>
    <t>PNE01</t>
  </si>
  <si>
    <t>15:17</t>
  </si>
  <si>
    <t>梁惠玲（Huiling Liang）</t>
  </si>
  <si>
    <t>GL501596</t>
  </si>
  <si>
    <t>梁海龙Ruben (Ruben Liang Huang)</t>
  </si>
  <si>
    <t>GL502735</t>
  </si>
  <si>
    <t>梅俊明Jimmy（Junming Mei）</t>
  </si>
  <si>
    <t>GL500332</t>
  </si>
  <si>
    <t>梅村May（Chun Mei）</t>
  </si>
  <si>
    <t>GL502545</t>
  </si>
  <si>
    <t>LAS01</t>
  </si>
  <si>
    <t>13:21</t>
  </si>
  <si>
    <t>梅雨润 (Yurun Mei)</t>
  </si>
  <si>
    <t>GL501784</t>
  </si>
  <si>
    <t>22:18</t>
  </si>
  <si>
    <t>欧和枫 Henry (HeFeng Ou)</t>
  </si>
  <si>
    <t>GL502655</t>
  </si>
  <si>
    <t>欧阳溢巍 Nathan (Yiwei Ouyang)</t>
  </si>
  <si>
    <t>GL500188</t>
  </si>
  <si>
    <t>出差申请2026/05/12 06:00-2026/05/12 14:30[审批中]</t>
  </si>
  <si>
    <t>欧阳莹润Paopao（Yingrun Ouyang）</t>
  </si>
  <si>
    <t>GL501059</t>
  </si>
  <si>
    <t>TY_11:30</t>
  </si>
  <si>
    <t>20:00</t>
  </si>
  <si>
    <t>GL501536</t>
  </si>
  <si>
    <t>20:42</t>
  </si>
  <si>
    <t>武子璇Zoe（Zixuan Wu）</t>
  </si>
  <si>
    <t>GL501215</t>
  </si>
  <si>
    <t>21:10</t>
  </si>
  <si>
    <t>武思杰</t>
  </si>
  <si>
    <t>GL500206</t>
  </si>
  <si>
    <t>美区财务组</t>
  </si>
  <si>
    <t>合规及本地支持组</t>
  </si>
  <si>
    <t>高级海外会计</t>
  </si>
  <si>
    <t>武杰 Jay（Jie Wu）</t>
  </si>
  <si>
    <t>GL500091</t>
  </si>
  <si>
    <t>武迪 Di (Brave_D)</t>
  </si>
  <si>
    <t>GL500296</t>
  </si>
  <si>
    <t>段特特Max (Dete duan)</t>
  </si>
  <si>
    <t>GL500492</t>
  </si>
  <si>
    <t>Transportation Capacity Manager 运力管理部经理</t>
  </si>
  <si>
    <t>殷沫璠 Mofan （Mofan Yin)</t>
  </si>
  <si>
    <t>GL500114</t>
  </si>
  <si>
    <t>殷颖智Ally （Yingzhi Yin）</t>
  </si>
  <si>
    <t>GL501565</t>
  </si>
  <si>
    <t>17:40</t>
  </si>
  <si>
    <t>毛星润Mark（Xingrun Mao)</t>
  </si>
  <si>
    <t>GL501558</t>
  </si>
  <si>
    <t>江健敏 Carrie (jianmin Jiang）</t>
  </si>
  <si>
    <t>GL501899</t>
  </si>
  <si>
    <t>23:11</t>
  </si>
  <si>
    <t>江曾瀚 Han (Zenghan Jiang)</t>
  </si>
  <si>
    <t>GL500005</t>
  </si>
  <si>
    <t>17:21</t>
  </si>
  <si>
    <t>汤洁雯Angel（Jiewen Tang）</t>
  </si>
  <si>
    <t>GL501576</t>
  </si>
  <si>
    <t>11:07</t>
  </si>
  <si>
    <t>汪哲民Jimmy（Zhemin Wang）</t>
  </si>
  <si>
    <t>GL501444</t>
  </si>
  <si>
    <t>19:53</t>
  </si>
  <si>
    <t>汪靖博Charles(Jingbo Wang)</t>
  </si>
  <si>
    <t>GL502506</t>
  </si>
  <si>
    <t>沈慧珮 Branda（Huipei Shen）</t>
  </si>
  <si>
    <t>GL502758</t>
  </si>
  <si>
    <t>沈来瑞Lawrence（Lawrence Shen）</t>
  </si>
  <si>
    <t>GL502292</t>
  </si>
  <si>
    <t>21:58</t>
  </si>
  <si>
    <t>沈椒晏 Caroline (Jiaoyan Shen)</t>
  </si>
  <si>
    <t>GL500832</t>
  </si>
  <si>
    <t>沈玲（Ling Shen）</t>
  </si>
  <si>
    <t>GL500024</t>
  </si>
  <si>
    <t>14:51</t>
  </si>
  <si>
    <t>沈琦雨Qiyu（Qiyu Shen）</t>
  </si>
  <si>
    <t>GL502158</t>
  </si>
  <si>
    <t>CLT揽收组</t>
  </si>
  <si>
    <t>18:12</t>
  </si>
  <si>
    <t>沈瑜辰Chloe （Yuchen Shen）</t>
  </si>
  <si>
    <t>GL500131</t>
  </si>
  <si>
    <t>美洲法务组</t>
  </si>
  <si>
    <t>Risk Control Specialist</t>
  </si>
  <si>
    <t>沈阳Shen (Yang Shen)</t>
  </si>
  <si>
    <t>GL502526</t>
  </si>
  <si>
    <t>TY_22:00</t>
  </si>
  <si>
    <t>06:30</t>
  </si>
  <si>
    <t>洪忻宜Bella（Xinyi Hong）</t>
  </si>
  <si>
    <t>GL502786</t>
  </si>
  <si>
    <t>14:21</t>
  </si>
  <si>
    <t>洪静萱Juno（Jingxuan Hong）</t>
  </si>
  <si>
    <t>GL500524</t>
  </si>
  <si>
    <t>14:49</t>
  </si>
  <si>
    <t>温其亮lucas（Qiliang Wen）</t>
  </si>
  <si>
    <t>GL502312</t>
  </si>
  <si>
    <t>温宝鹰（Baoying）</t>
  </si>
  <si>
    <t>GL501481</t>
  </si>
  <si>
    <t>湛梓誉 (Ziyu Zhan)</t>
  </si>
  <si>
    <t>GL502014</t>
  </si>
  <si>
    <t>湛颜驰Yulia(Yanchi Zhan)</t>
  </si>
  <si>
    <t>GL501959</t>
  </si>
  <si>
    <t>滕哲骏Tim (Zhejun Teng)</t>
  </si>
  <si>
    <t>GL501867</t>
  </si>
  <si>
    <t>滕子淏Zack（Zihao Teng）</t>
  </si>
  <si>
    <t>GL500527</t>
  </si>
  <si>
    <t>潘佳磊Jelly（Jialei Pan）</t>
  </si>
  <si>
    <t>GL501469</t>
  </si>
  <si>
    <t>潘典夏Erron (Dianxia Pan)</t>
  </si>
  <si>
    <t>GL502656</t>
  </si>
  <si>
    <t>19:55</t>
  </si>
  <si>
    <t>潘家维Kary (Ka Wai Poon)</t>
  </si>
  <si>
    <t>GL502619</t>
  </si>
  <si>
    <t>潘庭丞Tingcheng (Tingcheng Pan)</t>
  </si>
  <si>
    <t>GL500841</t>
  </si>
  <si>
    <t>潘明珠Mitzi (Mingzhu Pan)</t>
  </si>
  <si>
    <t>GL502440</t>
  </si>
  <si>
    <t>潘梓璇 （Zixuan Pan）</t>
  </si>
  <si>
    <t>GL502169</t>
  </si>
  <si>
    <t>PHX01</t>
  </si>
  <si>
    <t>潘雨欣Michelle（Yuxin Pan）</t>
  </si>
  <si>
    <t>GL502410</t>
  </si>
  <si>
    <t>18:11</t>
  </si>
  <si>
    <t>濮子臻Zeon (Zizhen Pu)</t>
  </si>
  <si>
    <t>GL502698</t>
  </si>
  <si>
    <t>焦述乾 Eureka (Shuqian Jiao)</t>
  </si>
  <si>
    <t>GL501714</t>
  </si>
  <si>
    <t>熊逸豪Harlin(Yihao Xiong)</t>
  </si>
  <si>
    <t>GL501752</t>
  </si>
  <si>
    <t>熊雨 Bella（Yu Xiong）</t>
  </si>
  <si>
    <t>GL500162</t>
  </si>
  <si>
    <t>Project Specialist 项目专员</t>
  </si>
  <si>
    <t>王丙坤Ash (Bingkun Wang)</t>
  </si>
  <si>
    <t>GL500553</t>
  </si>
  <si>
    <t>王伯宇William (Boyu Wang)</t>
  </si>
  <si>
    <t>GL501751</t>
  </si>
  <si>
    <t>王佳昊 Jason (Jiahao Wang)</t>
  </si>
  <si>
    <t>GL502748</t>
  </si>
  <si>
    <t>17:29</t>
  </si>
  <si>
    <t>王俊鹏Mike (Junpeng Wang)</t>
  </si>
  <si>
    <t>GL501548</t>
  </si>
  <si>
    <t>王兵 Allen (Bing Wang)</t>
  </si>
  <si>
    <t>GL500879</t>
  </si>
  <si>
    <t>王凯源 (Kaiyuan Wang)</t>
  </si>
  <si>
    <t>GL502736</t>
  </si>
  <si>
    <t>13:57</t>
  </si>
  <si>
    <t>王叶峰yefeng（Yefeng Wang）</t>
  </si>
  <si>
    <t>GL501363</t>
  </si>
  <si>
    <t>王嘉毅Henry（Jiayi Wang）</t>
  </si>
  <si>
    <t>GL501667</t>
  </si>
  <si>
    <t>王天灿Candice (Tiancan Wang)</t>
  </si>
  <si>
    <t>GL502076</t>
  </si>
  <si>
    <t>19:45</t>
  </si>
  <si>
    <t>王天炜 Alex (Tianwei Wang)</t>
  </si>
  <si>
    <t>GL502623</t>
  </si>
  <si>
    <t>王奕扬Yiyang (Yiyang Wang)</t>
  </si>
  <si>
    <t>GL501357</t>
  </si>
  <si>
    <t>出差申请2026/05/12 05:00-2026/05/12 13:30[审批中]</t>
  </si>
  <si>
    <t>王姝涵Function（Shuhan Wang)</t>
  </si>
  <si>
    <t>GL500153</t>
  </si>
  <si>
    <t>王婷Emily（Ting Wang）</t>
  </si>
  <si>
    <t>GL500847</t>
  </si>
  <si>
    <t>王子键 Jackson（Zijian Wang)</t>
  </si>
  <si>
    <t>GL502453</t>
  </si>
  <si>
    <t>王安琪 (Anqi Wang)</t>
  </si>
  <si>
    <t>GL502860</t>
  </si>
  <si>
    <t>Senior HRBP Specialist 高级HRBP专员</t>
  </si>
  <si>
    <t>王安琪（Anqi）</t>
  </si>
  <si>
    <t>GL500966</t>
  </si>
  <si>
    <t>HRBP助理</t>
  </si>
  <si>
    <t>王家琦Joe（Jiaqi Wang）</t>
  </si>
  <si>
    <t>GL501774</t>
  </si>
  <si>
    <t>王建棋 Alan (Jianqi Wang)</t>
  </si>
  <si>
    <t>GL501676</t>
  </si>
  <si>
    <t>CVG01</t>
  </si>
  <si>
    <t>王弃疾Qiji（Qiji Wang）</t>
  </si>
  <si>
    <t>GL500805</t>
  </si>
  <si>
    <t>20:41</t>
  </si>
  <si>
    <t>王心怡Lucia（Xinyi Wang)</t>
  </si>
  <si>
    <t>GL502279</t>
  </si>
  <si>
    <t>王志泽Yoyo(Zhize Wang)</t>
  </si>
  <si>
    <t>GL501821</t>
  </si>
  <si>
    <t>王志鹏 Toby (Zhipeng Wang)</t>
  </si>
  <si>
    <t>GL500710</t>
  </si>
  <si>
    <t>王思超Scott（Sichao Wang）</t>
  </si>
  <si>
    <t>GL502583</t>
  </si>
  <si>
    <t>王怡婷（Yiting Wang）</t>
  </si>
  <si>
    <t>GL500055</t>
  </si>
  <si>
    <t>王成槐Richard(Chenghuai Wang)</t>
  </si>
  <si>
    <t>GL502589</t>
  </si>
  <si>
    <t>王成龙Demos（Chenglong Wang）</t>
  </si>
  <si>
    <t>GL501857</t>
  </si>
  <si>
    <t>精益管理组</t>
  </si>
  <si>
    <t>Operations Optimization Supervisor 操作优化主管</t>
  </si>
  <si>
    <t>王振先Charles（Zhenxian Wang）</t>
  </si>
  <si>
    <t>GL502254</t>
  </si>
  <si>
    <t>16:01</t>
  </si>
  <si>
    <t>王文博 Jane (Wenbo Wang)</t>
  </si>
  <si>
    <t>GL500235</t>
  </si>
  <si>
    <t>病假2026/05/12 09:00-2026/05/12 17:00[审批中]</t>
  </si>
  <si>
    <t>王斯翰Sihan（Sihan Wang）</t>
  </si>
  <si>
    <t>GL500779</t>
  </si>
  <si>
    <t>13:32</t>
  </si>
  <si>
    <t>王新婷Mindy（Xinting Wang）</t>
  </si>
  <si>
    <t>GL501501</t>
  </si>
  <si>
    <t>居家办公申请2026/05/12 19:00-2026/05/12 21:00[审批中]</t>
  </si>
  <si>
    <t>王新宇Amber（Xinyu Wang）</t>
  </si>
  <si>
    <t>GL502285</t>
  </si>
  <si>
    <t>王旗桦Arvin（Qihua Wang）</t>
  </si>
  <si>
    <t>GL501746</t>
  </si>
  <si>
    <t>王晓丹 Jasmine（Xiaodan Wang）</t>
  </si>
  <si>
    <t>GL500599</t>
  </si>
  <si>
    <t>王晗 Han (Han Wang)</t>
  </si>
  <si>
    <t>GL501300</t>
  </si>
  <si>
    <t>23:26</t>
  </si>
  <si>
    <t>王欣玥（Crystal）</t>
  </si>
  <si>
    <t>GL501447</t>
  </si>
  <si>
    <t>Legal Assistant法务助理</t>
  </si>
  <si>
    <t>王江静Justine(Jiangjing Wang)</t>
  </si>
  <si>
    <t>GL502073</t>
  </si>
  <si>
    <t>王泽盛Jason (Zesheng Wang）</t>
  </si>
  <si>
    <t>GL502834</t>
  </si>
  <si>
    <t>王浩辰（Jack）Haochen Wang</t>
  </si>
  <si>
    <t>GL502358</t>
  </si>
  <si>
    <t>15:01</t>
  </si>
  <si>
    <t>王潇冉Astria (Xiaoran Wang)</t>
  </si>
  <si>
    <t>GL502357</t>
  </si>
  <si>
    <t>王濮睿Rachel（Purui Wang）</t>
  </si>
  <si>
    <t>GL500955</t>
  </si>
  <si>
    <t>14:03</t>
  </si>
  <si>
    <t>王玉龙 Lin（Yulong Wang）</t>
  </si>
  <si>
    <t>GL501455</t>
  </si>
  <si>
    <t>王瑜Vivian（Yu Wang）</t>
  </si>
  <si>
    <t>GL500192</t>
  </si>
  <si>
    <t>王磊Lei（Lei Wang）</t>
  </si>
  <si>
    <t>GL500367</t>
  </si>
  <si>
    <t>王立彬 Martin (Martin Wang)</t>
  </si>
  <si>
    <t>GL500861</t>
  </si>
  <si>
    <t>王章昱Victor (Zhangyu Wang)</t>
  </si>
  <si>
    <t>GL502753</t>
  </si>
  <si>
    <t>王笑寒Hank（Xiaohan Wang）</t>
  </si>
  <si>
    <t>GL500481</t>
  </si>
  <si>
    <t>王航 Hang (Hang Wang)</t>
  </si>
  <si>
    <t>GL501219</t>
  </si>
  <si>
    <t>王艳萍（Yanping Wang）</t>
  </si>
  <si>
    <t>GL500796</t>
  </si>
  <si>
    <t>18:42</t>
  </si>
  <si>
    <t>王蔚Wei（Wei Wang）</t>
  </si>
  <si>
    <t>GL500665</t>
  </si>
  <si>
    <t>13:31</t>
  </si>
  <si>
    <t>王虹霖Lee（Honglin Wang）</t>
  </si>
  <si>
    <t>GL502746</t>
  </si>
  <si>
    <t>王鑫（Xin Wang）</t>
  </si>
  <si>
    <t>GL500324</t>
  </si>
  <si>
    <t>王阳 Danny (Yang Wang)</t>
  </si>
  <si>
    <t>GL501346</t>
  </si>
  <si>
    <t>Dispatch Operations Manager 调度运营经理</t>
  </si>
  <si>
    <t>王雨妍Rebekah (Yuyan Wang)</t>
  </si>
  <si>
    <t>GL501193</t>
  </si>
  <si>
    <t>王雪铭Vivian（Xueming Wang）</t>
  </si>
  <si>
    <t>GL500726</t>
  </si>
  <si>
    <t>王顶 Daniel (Ding Wang)</t>
  </si>
  <si>
    <t>GL502393</t>
  </si>
  <si>
    <t>王馨悦Wendy（Xinyue Wang）</t>
  </si>
  <si>
    <t>GL500234</t>
  </si>
  <si>
    <t>15:35</t>
  </si>
  <si>
    <t>王骞Ariel（Qian Wang）</t>
  </si>
  <si>
    <t>GL500374</t>
  </si>
  <si>
    <t>Deputy WE HR Supervisor 美西区HR组副主管</t>
  </si>
  <si>
    <t>王高飞Nora (Gaofei Wang)</t>
  </si>
  <si>
    <t>GL502422</t>
  </si>
  <si>
    <t>王鸿鹏Roc (Hongpeng Wang)</t>
  </si>
  <si>
    <t>GL502598</t>
  </si>
  <si>
    <t>田原Rye (Yuan Tian)</t>
  </si>
  <si>
    <t>GL501931</t>
  </si>
  <si>
    <t>21:20</t>
  </si>
  <si>
    <t>田普森 Tim (Pusen Tian)</t>
  </si>
  <si>
    <t>GL501655</t>
  </si>
  <si>
    <t>20:11</t>
  </si>
  <si>
    <t>申素然（Suran Shen）</t>
  </si>
  <si>
    <t>GL500917</t>
  </si>
  <si>
    <t>白悦新（Yuexin Bai）</t>
  </si>
  <si>
    <t>GL501345</t>
  </si>
  <si>
    <t>白通翔Tung（Tung Hsiang Pai）</t>
  </si>
  <si>
    <t>GL500708</t>
  </si>
  <si>
    <t>白雪儿Xueer(Xueer Bai)</t>
  </si>
  <si>
    <t>GL501943</t>
  </si>
  <si>
    <t>19:22</t>
  </si>
  <si>
    <t>居家办公申请2026/05/12 21:00-2026/05/12 22:45[审批中]</t>
  </si>
  <si>
    <t>盖文莉Gina（Wenli Gai）</t>
  </si>
  <si>
    <t>GL502191</t>
  </si>
  <si>
    <t>盛嘉楠Jenny（Jianan Sheng）</t>
  </si>
  <si>
    <t>GL501104</t>
  </si>
  <si>
    <t>石晓龙Jimmy (Xiaolong Shi)</t>
  </si>
  <si>
    <t>GL502902</t>
  </si>
  <si>
    <t>Senior In-house Capacity Supervisor 高级自营运力主管</t>
  </si>
  <si>
    <t>祝子恩Aiden (Zien Zhu)</t>
  </si>
  <si>
    <t>GL502478</t>
  </si>
  <si>
    <t>祝子涵Hannah（Zihan Zhu）</t>
  </si>
  <si>
    <t>GL502319</t>
  </si>
  <si>
    <t>祝心安Andy（Xinan Zhu）</t>
  </si>
  <si>
    <t>GL501204</t>
  </si>
  <si>
    <t>秦利闯Nathan (Lee Chong Chun)</t>
  </si>
  <si>
    <t>GL500547</t>
  </si>
  <si>
    <t>精益改善组</t>
  </si>
  <si>
    <t>LI Supervisor 精益改善主管</t>
  </si>
  <si>
    <t>18:52</t>
  </si>
  <si>
    <t>秦子涵Zihan（Zihan Qin）</t>
  </si>
  <si>
    <t>GL500794</t>
  </si>
  <si>
    <t>秦宗华David（Zonghua Qin）</t>
  </si>
  <si>
    <t>GL502821</t>
  </si>
  <si>
    <t>秦思遥Andersen (Siyao Qin)</t>
  </si>
  <si>
    <t>GL500421</t>
  </si>
  <si>
    <t>秦颖豪Evren(Yinghao Qin)</t>
  </si>
  <si>
    <t>GL501811</t>
  </si>
  <si>
    <t>16:11</t>
  </si>
  <si>
    <t>穆帅 Mu Shuai (Shuai Mu)</t>
  </si>
  <si>
    <t>GL500693</t>
  </si>
  <si>
    <t>章佳媛 Claire (Jiayuan Zhang)</t>
  </si>
  <si>
    <t>GL502318</t>
  </si>
  <si>
    <t>18:22</t>
  </si>
  <si>
    <t>章刘晓Catherine (Liuxiao Zhang)</t>
  </si>
  <si>
    <t>GL501197</t>
  </si>
  <si>
    <t>章峻铭 J (Junming Zhang)</t>
  </si>
  <si>
    <t>GL502150</t>
  </si>
  <si>
    <t>23:53</t>
  </si>
  <si>
    <t>童沙沙Sha sha（Shasha Tong)</t>
  </si>
  <si>
    <t>GL501073</t>
  </si>
  <si>
    <t>简圣尧Rhea (Shengyao Jian)</t>
  </si>
  <si>
    <t>GL502212</t>
  </si>
  <si>
    <t>简沛Payton（Pei Jian）</t>
  </si>
  <si>
    <t>GL502879</t>
  </si>
  <si>
    <t>17:44</t>
  </si>
  <si>
    <t>续朵Flores (Duo Xu)</t>
  </si>
  <si>
    <t>GL500860</t>
  </si>
  <si>
    <t>缪逸舟 Kartal（Yizhou Miao）</t>
  </si>
  <si>
    <t>GL502548</t>
  </si>
  <si>
    <t>罗嘉欣Jamie（Jiaxin Luo）</t>
  </si>
  <si>
    <t>GL502316</t>
  </si>
  <si>
    <t>Dispatching Operations Specialist 调度运营专员</t>
  </si>
  <si>
    <t>罗成Cheng（Cheng Luo）</t>
  </si>
  <si>
    <t>GL502826</t>
  </si>
  <si>
    <t>罗晓霞 Frida (Xiaoxia Luo)</t>
  </si>
  <si>
    <t>GL500854</t>
  </si>
  <si>
    <t>罗梦云Shelly(Mengyun Luo)</t>
  </si>
  <si>
    <t>GL501123</t>
  </si>
  <si>
    <t>Implementation Operations Manager 实施运营组经理</t>
  </si>
  <si>
    <t>罗永泰（Yongtai Luo）</t>
  </si>
  <si>
    <t>GL502058</t>
  </si>
  <si>
    <t>罗煜雄 Mike (Yuxiong Luo)</t>
  </si>
  <si>
    <t>GL500189</t>
  </si>
  <si>
    <t>罗筱（Xiao Luo）</t>
  </si>
  <si>
    <t>GL500054</t>
  </si>
  <si>
    <t>19:04</t>
  </si>
  <si>
    <t>罗逸飞 Louis (Yifei Luo)</t>
  </si>
  <si>
    <t>GL501305</t>
  </si>
  <si>
    <t>翟宇轩 Jimmy (Yuxuan Zhai)</t>
  </si>
  <si>
    <t>GL501342</t>
  </si>
  <si>
    <t>耿小雅Alicia（Xiaoya Geng）</t>
  </si>
  <si>
    <t>GL502251</t>
  </si>
  <si>
    <t>聂思元 Brentluy (Siyuan Nie）</t>
  </si>
  <si>
    <t>GL501920</t>
  </si>
  <si>
    <t>聂文成Winston（Wencheng Nie）</t>
  </si>
  <si>
    <t>GL502555</t>
  </si>
  <si>
    <t>12:50</t>
  </si>
  <si>
    <t>肖姝宸Lucy（Shuchen Xiao）</t>
  </si>
  <si>
    <t>GL500023</t>
  </si>
  <si>
    <t>肖泓杰 Leo （hongjie Xiao）</t>
  </si>
  <si>
    <t>GL500051</t>
  </si>
  <si>
    <t>肖涵Jenny（Han Xiao）</t>
  </si>
  <si>
    <t>GL502716</t>
  </si>
  <si>
    <t>21:27</t>
  </si>
  <si>
    <t>肖芦莉Lily (Luli Xiao)</t>
  </si>
  <si>
    <t>GL500144</t>
  </si>
  <si>
    <t>胡嘉楠 (Jianan)</t>
  </si>
  <si>
    <t>GL501461</t>
  </si>
  <si>
    <t>MSP01</t>
  </si>
  <si>
    <t>14:31</t>
  </si>
  <si>
    <t>胡慜佳Estella（Minjia Hu）</t>
  </si>
  <si>
    <t>GL500639</t>
  </si>
  <si>
    <t>胡方舟（Zoe）</t>
  </si>
  <si>
    <t>GL500368</t>
  </si>
  <si>
    <t>综合财务组</t>
  </si>
  <si>
    <t>美区核算组</t>
  </si>
  <si>
    <t>高级财务专员</t>
  </si>
  <si>
    <t>胡柯雨 Andrew (Keyu Hu)</t>
  </si>
  <si>
    <t>GL500148</t>
  </si>
  <si>
    <t>SAT01</t>
  </si>
  <si>
    <t>11:08</t>
  </si>
  <si>
    <t>胡楠 (Nan Hu)</t>
  </si>
  <si>
    <t>GL501695</t>
  </si>
  <si>
    <t>22:52</t>
  </si>
  <si>
    <t>胡波Daniel（Bo Hu）</t>
  </si>
  <si>
    <t>GL502759</t>
  </si>
  <si>
    <t>23:04</t>
  </si>
  <si>
    <t>胡焱琨 Andy (Yankun Hu)</t>
  </si>
  <si>
    <t>GL501875</t>
  </si>
  <si>
    <t>TY_00:00</t>
  </si>
  <si>
    <t>08:30</t>
  </si>
  <si>
    <t>11:05</t>
  </si>
  <si>
    <t>胡瑞 Kevin （Rui Hu）</t>
  </si>
  <si>
    <t>GL501840</t>
  </si>
  <si>
    <t>14:35</t>
  </si>
  <si>
    <t>胡锦彪 Jinbiao (Jinbiao Hu)</t>
  </si>
  <si>
    <t>GL501035</t>
  </si>
  <si>
    <t>17:39</t>
  </si>
  <si>
    <t>臧书蕾Luna（Shulei Zang）</t>
  </si>
  <si>
    <t>GL500775</t>
  </si>
  <si>
    <t>舒伟明 (Weiming Shu)</t>
  </si>
  <si>
    <t>GL502584</t>
  </si>
  <si>
    <t>舒展（Zhan Shu）</t>
  </si>
  <si>
    <t>GL500748</t>
  </si>
  <si>
    <t>舒湜Troy（Shi Shu）</t>
  </si>
  <si>
    <t>GL502661</t>
  </si>
  <si>
    <t>NY112</t>
  </si>
  <si>
    <t>舒聪（Cong Shu）</t>
  </si>
  <si>
    <t>GL501768</t>
  </si>
  <si>
    <t>年假2026/05/12 13:00-2026/05/12 21:30[已完成]</t>
  </si>
  <si>
    <t>花玉幸Elke（Hang Ngoc Hoa）</t>
  </si>
  <si>
    <t>GL501096</t>
  </si>
  <si>
    <t>苏凯文（Kaiwen Su）</t>
  </si>
  <si>
    <t>GL500667</t>
  </si>
  <si>
    <t>16:14</t>
  </si>
  <si>
    <t>苏博宇 Edison (Boyu Su)</t>
  </si>
  <si>
    <t>GL502096</t>
  </si>
  <si>
    <t>DTW01</t>
  </si>
  <si>
    <t>苏政欣Sue（Zhengxin Su）</t>
  </si>
  <si>
    <t>GL502098</t>
  </si>
  <si>
    <t>FAY01</t>
  </si>
  <si>
    <t>出差申请2026/05/12 05:00-2026/05/12 13:30[审批中],出差申请2026/05/12 05:00-2026/05/12 13:30[已废弃]</t>
  </si>
  <si>
    <t>苏海日文 (Hairiwen Su)</t>
  </si>
  <si>
    <t>GL502413</t>
  </si>
  <si>
    <t>苏盈如Sophie(Yingru Su)</t>
  </si>
  <si>
    <t>GL500105</t>
  </si>
  <si>
    <t>BNA01</t>
  </si>
  <si>
    <t>苏语童  Yolanda（Yutong Su）</t>
  </si>
  <si>
    <t>GL501260</t>
  </si>
  <si>
    <t>苏雁妮Rita（Yanni Su）</t>
  </si>
  <si>
    <t>GL502412</t>
  </si>
  <si>
    <t>苗汲函玉Miao （Jihanyu Miao）</t>
  </si>
  <si>
    <t>GL502107</t>
  </si>
  <si>
    <t>范宸瑞Carlos（Chenrui Fan）</t>
  </si>
  <si>
    <t>GL500600</t>
  </si>
  <si>
    <t>22:57</t>
  </si>
  <si>
    <t>范洳铖 Gabriel （Rucheng Fan）</t>
  </si>
  <si>
    <t>GL501620</t>
  </si>
  <si>
    <t>范紫东（Zidong Fan）</t>
  </si>
  <si>
    <t>GL501805</t>
  </si>
  <si>
    <t>范雨瑶Sophie（Yuyao Fan）</t>
  </si>
  <si>
    <t>GL501689</t>
  </si>
  <si>
    <t>Junior Implementation Operations Specialist 初级实施运营专员</t>
  </si>
  <si>
    <t>17:41</t>
  </si>
  <si>
    <t>莫熙荣Simon（Xirong Mo）</t>
  </si>
  <si>
    <t>GL502308</t>
  </si>
  <si>
    <t>葛颂Alex (Song Ge)</t>
  </si>
  <si>
    <t>GL501092</t>
  </si>
  <si>
    <t>董双（shuang Dong)</t>
  </si>
  <si>
    <t>GL500589</t>
  </si>
  <si>
    <t>13:59</t>
  </si>
  <si>
    <t>董承飞Gino（Chengfei Dong）</t>
  </si>
  <si>
    <t>GL501588</t>
  </si>
  <si>
    <t>LIT01</t>
  </si>
  <si>
    <t>14:55</t>
  </si>
  <si>
    <t>蒋佩纹Klein (Peiwen Jiang)</t>
  </si>
  <si>
    <t>GL502400</t>
  </si>
  <si>
    <t>21:02</t>
  </si>
  <si>
    <t>蒲奕霖Steven（Yilin Pu）</t>
  </si>
  <si>
    <t>GL500557</t>
  </si>
  <si>
    <t>19:34</t>
  </si>
  <si>
    <t>蔡娜 （Lana）（Na Cai）</t>
  </si>
  <si>
    <t>GL501046</t>
  </si>
  <si>
    <t>19:02</t>
  </si>
  <si>
    <t>蔡钧玮 Magnus (Chun W Tsai)</t>
  </si>
  <si>
    <t>GL501275</t>
  </si>
  <si>
    <t>TY_01:00</t>
  </si>
  <si>
    <t>09:30</t>
  </si>
  <si>
    <t>10:04</t>
  </si>
  <si>
    <t>薛亦樊 Eason(Yifan Xue)</t>
  </si>
  <si>
    <t>GL502540</t>
  </si>
  <si>
    <t>薛佳玥Hailey (Jiayue Xue)</t>
  </si>
  <si>
    <t>GL500370</t>
  </si>
  <si>
    <t>薛宁 Alice（Ning Xue）</t>
  </si>
  <si>
    <t>GL500602</t>
  </si>
  <si>
    <t>薛莉娜Nina（Nina Xue）</t>
  </si>
  <si>
    <t>GL501022</t>
  </si>
  <si>
    <t>虞凯同（Kai）</t>
  </si>
  <si>
    <t>GL501394</t>
  </si>
  <si>
    <t>袁乐芸 (Leyun Yuan)</t>
  </si>
  <si>
    <t>GL502513</t>
  </si>
  <si>
    <t>袁伟（Wei Yuan）</t>
  </si>
  <si>
    <t>GL502677</t>
  </si>
  <si>
    <t>袁博闻 (Bowen Yuan)</t>
  </si>
  <si>
    <t>GL500363</t>
  </si>
  <si>
    <t>袁晓瑞 Riley</t>
  </si>
  <si>
    <t>GL500217</t>
  </si>
  <si>
    <t>袁木榮Patrick（Patrick Yuan）</t>
  </si>
  <si>
    <t>GL501128</t>
  </si>
  <si>
    <t>袁梓桐Nick（Zitong Yuan）</t>
  </si>
  <si>
    <t>GL500745</t>
  </si>
  <si>
    <t>21:01</t>
  </si>
  <si>
    <t>袁琳（Lin Yuan）</t>
  </si>
  <si>
    <t>GL502188</t>
  </si>
  <si>
    <t>袁航 Hang（Hang Yuan）</t>
  </si>
  <si>
    <t>GL502327</t>
  </si>
  <si>
    <t>无薪年假2026/05/12 07:00-2026/05/12 15:30[已完成],无薪年假2026/05/12 07:00-2026/05/12 15:30[已废弃]</t>
  </si>
  <si>
    <t>覃超群Jessica（Chaoqun Qin）</t>
  </si>
  <si>
    <t>GL501432</t>
  </si>
  <si>
    <t>19:18</t>
  </si>
  <si>
    <t>詹云 Alan（Yun Zhan）</t>
  </si>
  <si>
    <t>GL501214</t>
  </si>
  <si>
    <t>Senior Warehouse Leasing Specialist 高级仓库租赁专员</t>
  </si>
  <si>
    <t>计颉Jie（Jie Ji）</t>
  </si>
  <si>
    <t>GL502794</t>
  </si>
  <si>
    <t>许玉（Yu Xu）</t>
  </si>
  <si>
    <t>GL501901</t>
  </si>
  <si>
    <t>许红（Hong Xu）</t>
  </si>
  <si>
    <t>GL501297</t>
  </si>
  <si>
    <t>许辰圆 Eric(Chenyuan Xu)</t>
  </si>
  <si>
    <t>GL500121</t>
  </si>
  <si>
    <t>谢嘉旭 Edison （Jiaxu Xie）</t>
  </si>
  <si>
    <t>GL500940</t>
  </si>
  <si>
    <t>谢斯维Rox (Siwei Xie)</t>
  </si>
  <si>
    <t>GL502489</t>
  </si>
  <si>
    <t>居家办公申请2026/05/12 09:30-2026/05/12 18:50[审批中]</t>
  </si>
  <si>
    <t>谢旭侃（Xukan Xie）</t>
  </si>
  <si>
    <t>GL500538</t>
  </si>
  <si>
    <t>谢昊岑Mark(Haocen Xie)</t>
  </si>
  <si>
    <t>GL502762</t>
  </si>
  <si>
    <t>谢枫旭Felix（Fengxu Xie）</t>
  </si>
  <si>
    <t>GL502528</t>
  </si>
  <si>
    <t>谭一鸣 Jack （Yiming Tan）</t>
  </si>
  <si>
    <t>GL502848</t>
  </si>
  <si>
    <t>谭元豪Alan (Yuanhao Tan)</t>
  </si>
  <si>
    <t>GL502401</t>
  </si>
  <si>
    <t>谭进华 (Jinhua Tan)</t>
  </si>
  <si>
    <t>GL501852</t>
  </si>
  <si>
    <t>CRP01</t>
  </si>
  <si>
    <t>14:33</t>
  </si>
  <si>
    <t>费宏翔Jason（Hongxiang Fei)</t>
  </si>
  <si>
    <t>GL502259</t>
  </si>
  <si>
    <t>贺子强Jeff (Ziqiang He)</t>
  </si>
  <si>
    <t>GL500384</t>
  </si>
  <si>
    <t>贾天依Pamela（Tianyi Jia）</t>
  </si>
  <si>
    <t>GL501430</t>
  </si>
  <si>
    <t>贾婷婷Crystal （Tingting Jia）</t>
  </si>
  <si>
    <t>GL501349</t>
  </si>
  <si>
    <t>Senior General Affairs Supervisor 高级综合事务主管</t>
  </si>
  <si>
    <t>17:25</t>
  </si>
  <si>
    <t>贾贻臻 Julie (Yizhen Jia)</t>
  </si>
  <si>
    <t>GL501033</t>
  </si>
  <si>
    <t>运营分析组</t>
  </si>
  <si>
    <t>Junior Operations Analysis Specialist 初级运营分析专员</t>
  </si>
  <si>
    <t>16:03</t>
  </si>
  <si>
    <t>赵一泽Zac (Yize Zhao)</t>
  </si>
  <si>
    <t>GL501990</t>
  </si>
  <si>
    <t>赵劲超George（Jinchao Zhao）</t>
  </si>
  <si>
    <t>GL500803</t>
  </si>
  <si>
    <t>MAF01</t>
  </si>
  <si>
    <t>Station Head （Probation）站长（见习）(兼)</t>
  </si>
  <si>
    <t>赵发Fa (Zhao Fa)</t>
  </si>
  <si>
    <t>GL500081</t>
  </si>
  <si>
    <t>18:50</t>
  </si>
  <si>
    <t>赵天薇 Alice (Tianwei Zhao)</t>
  </si>
  <si>
    <t>GL500858</t>
  </si>
  <si>
    <t>赵媛Coco(Yuan Zhao)</t>
  </si>
  <si>
    <t>GL500831</t>
  </si>
  <si>
    <t>赵康 Steven (Kang Zhao)</t>
  </si>
  <si>
    <t>GL501922</t>
  </si>
  <si>
    <t>赵心瑜 Cindy (Xinyu zhao)</t>
  </si>
  <si>
    <t>GL501684</t>
  </si>
  <si>
    <t>赵悦含Hannah (Yuehan Zhao)</t>
  </si>
  <si>
    <t>GL501883</t>
  </si>
  <si>
    <t>17:48</t>
  </si>
  <si>
    <t>赵文沃Warren (Wenwo Zhao)</t>
  </si>
  <si>
    <t>GL500619</t>
  </si>
  <si>
    <t>Deputy Regional Head 副区长</t>
  </si>
  <si>
    <t>赵文笮 Susan (Wenze Zhao)</t>
  </si>
  <si>
    <t>GL501328</t>
  </si>
  <si>
    <t>赵济淳 Jackson （JiChun Zhao）</t>
  </si>
  <si>
    <t>GL502460</t>
  </si>
  <si>
    <t>15:20</t>
  </si>
  <si>
    <t>赵渝胜Jackson（Yusheng Zhao）</t>
  </si>
  <si>
    <t>GL501487</t>
  </si>
  <si>
    <t>赵犇Ben（Ben Zhao）</t>
  </si>
  <si>
    <t>GL500260</t>
  </si>
  <si>
    <t>赵玥棋 (Yueqi Zhao)</t>
  </si>
  <si>
    <t>GL501926</t>
  </si>
  <si>
    <t>赵珷玚John (Wuyang Zhao)</t>
  </si>
  <si>
    <t>GL502423</t>
  </si>
  <si>
    <t>赵盛龙Stanley（Shenglong Zhao）</t>
  </si>
  <si>
    <t>GL501116</t>
  </si>
  <si>
    <t>13:58</t>
  </si>
  <si>
    <t>赵蓓蓓Amber（Beibei Zhao）</t>
  </si>
  <si>
    <t>GL502042</t>
  </si>
  <si>
    <t>路翘楚 Nora (Qiaochu Lu)</t>
  </si>
  <si>
    <t>GL501273</t>
  </si>
  <si>
    <t>路野 (Ye Lu)</t>
  </si>
  <si>
    <t>GL502160</t>
  </si>
  <si>
    <t>辛奇秀 Chelsea (Qixiu Xin)</t>
  </si>
  <si>
    <t>GL502382</t>
  </si>
  <si>
    <t>Senior Overseas Audit Specialist 高级海外审计专员</t>
  </si>
  <si>
    <t>17:54</t>
  </si>
  <si>
    <t>迟海潮Harper(Haichao Chi)</t>
  </si>
  <si>
    <t>GL502152</t>
  </si>
  <si>
    <t>邓嘉纬 (Jiawei Deng)</t>
  </si>
  <si>
    <t>GL502463</t>
  </si>
  <si>
    <t>邓文铎 Stephen（Wenduo Deng）</t>
  </si>
  <si>
    <t>GL500321</t>
  </si>
  <si>
    <t>邓誉行Jason（Yuxing Deng）</t>
  </si>
  <si>
    <t>GL501375</t>
  </si>
  <si>
    <t>22:01</t>
  </si>
  <si>
    <t>邓飞（Fei Deng）</t>
  </si>
  <si>
    <t>GL500266</t>
  </si>
  <si>
    <t>邢思雨Kelsa（Siyu Xing）</t>
  </si>
  <si>
    <t>GL502132</t>
  </si>
  <si>
    <t>邢飞（Fei Xing）</t>
  </si>
  <si>
    <t>GL500103</t>
  </si>
  <si>
    <t>病假2026/05/12 16:30-2026/05/13 01:00[审批中]</t>
  </si>
  <si>
    <t>邱一鸣Laughing（Yiming Qiu）</t>
  </si>
  <si>
    <t>GL501060</t>
  </si>
  <si>
    <t>01:03</t>
  </si>
  <si>
    <t>邱嘉威Jerry（Jiawei Qiu）</t>
  </si>
  <si>
    <t>GL500567</t>
  </si>
  <si>
    <t>Deputy Regional Head（Probation）副区长（见习）</t>
  </si>
  <si>
    <t>19:15</t>
  </si>
  <si>
    <t>邱宁Allen（Ning Qiu）</t>
  </si>
  <si>
    <t>GL502644</t>
  </si>
  <si>
    <t>14:07</t>
  </si>
  <si>
    <t>邱文萍Christine（Wenping Qiu）</t>
  </si>
  <si>
    <t>GL500248</t>
  </si>
  <si>
    <t>邱琳颖 Michelle（Linying Qiu）</t>
  </si>
  <si>
    <t>GL501386</t>
  </si>
  <si>
    <t>邱锦辉Chris（Jinhui Qiu）</t>
  </si>
  <si>
    <t>GL502255</t>
  </si>
  <si>
    <t>邵博雅Rachel（Boya Shao）</t>
  </si>
  <si>
    <t>GL501936</t>
  </si>
  <si>
    <t>邵春鑫Chris（Chunxin Shao）</t>
  </si>
  <si>
    <t>GL500250</t>
  </si>
  <si>
    <t>LDJ01</t>
  </si>
  <si>
    <t>邹依琳Elaine (Yilin Zou)</t>
  </si>
  <si>
    <t>GL502315</t>
  </si>
  <si>
    <t>邹妍Yanny（Yan Zou）</t>
  </si>
  <si>
    <t>GL501359</t>
  </si>
  <si>
    <t>邹筱薇Shirley（Xiaowei Zou）</t>
  </si>
  <si>
    <t>GL501129</t>
  </si>
  <si>
    <t>郑人元Andrew (Renyuan Zheng)</t>
  </si>
  <si>
    <t>GL502322</t>
  </si>
  <si>
    <t>郑学勤Jen（Xueqin Zheng）</t>
  </si>
  <si>
    <t>GL502101</t>
  </si>
  <si>
    <t>郑旭雯Phoebe（Xuwen Zheng)</t>
  </si>
  <si>
    <t>GL502171</t>
  </si>
  <si>
    <t>郑江山Johnson (Jiangshan Zheng)</t>
  </si>
  <si>
    <t>GL502789</t>
  </si>
  <si>
    <t>郑胤达 Jim（Yinda Zheng）</t>
  </si>
  <si>
    <t>GL500348</t>
  </si>
  <si>
    <t>Senior Product Manager 高级产品经理</t>
  </si>
  <si>
    <t>郑雅洁Sarah （Yajie Zheng</t>
  </si>
  <si>
    <t>GL501024</t>
  </si>
  <si>
    <t>15:26</t>
  </si>
  <si>
    <t>郑雪锋Crystal (Xuefeng Zheng)</t>
  </si>
  <si>
    <t>GL502485</t>
  </si>
  <si>
    <t>郝佳楠Jianan（Jianan Hao）</t>
  </si>
  <si>
    <t>GL502717</t>
  </si>
  <si>
    <t>郝俊龙James（Junlong Hao）</t>
  </si>
  <si>
    <t>GL500274</t>
  </si>
  <si>
    <t>郝宇轩Jimmy (Yuxuan Hao)</t>
  </si>
  <si>
    <t>GL502749</t>
  </si>
  <si>
    <t>TY_15:30</t>
  </si>
  <si>
    <t>00:00</t>
  </si>
  <si>
    <t>郝然 (Ran Hao)</t>
  </si>
  <si>
    <t>GL502689</t>
  </si>
  <si>
    <t>郭亚伦 Alan （Alan Quach）</t>
  </si>
  <si>
    <t>GL501207</t>
  </si>
  <si>
    <t>郭健（Jian Guo）</t>
  </si>
  <si>
    <t>GL501871</t>
  </si>
  <si>
    <t>Maintenance Lead 维保组长</t>
  </si>
  <si>
    <t>郭嘉龙（keaton）Jialong Guo</t>
  </si>
  <si>
    <t>GL502313</t>
  </si>
  <si>
    <t>站点管理组</t>
  </si>
  <si>
    <t>Senior Station Support Specialist 高级站点支持专员</t>
  </si>
  <si>
    <t>出差申请2026/05/12 09:00-2026/05/12 17:30[已完成],出差申请2026/05/12 09:00-2026/05/12 17:30[已撤回]</t>
  </si>
  <si>
    <t>郭宇昂Tony（Yuang Guo）</t>
  </si>
  <si>
    <t>GL502384</t>
  </si>
  <si>
    <t>年假2026/05/12 06:00-2026/05/12 14:30[审批中]</t>
  </si>
  <si>
    <t>郭岩yan（yanguo）</t>
  </si>
  <si>
    <t>GL501108</t>
  </si>
  <si>
    <t>17:50</t>
  </si>
  <si>
    <t>郭春亮Michael (Chunliang Guo)</t>
  </si>
  <si>
    <t>GL501894</t>
  </si>
  <si>
    <t>郭林琛Linchen（Linchen Guo）</t>
  </si>
  <si>
    <t>GL502439</t>
  </si>
  <si>
    <t>15:02</t>
  </si>
  <si>
    <t>郭睿Renee（Rui Guo）</t>
  </si>
  <si>
    <t>GL500613</t>
  </si>
  <si>
    <t>郭静Anna（Jing Guo）</t>
  </si>
  <si>
    <t>GL500465</t>
  </si>
  <si>
    <t>鄧亦翔Sean (Yi-Hsiang Teng)</t>
  </si>
  <si>
    <t>GL501393</t>
  </si>
  <si>
    <t>金川Jullian（Chuan Jin）</t>
  </si>
  <si>
    <t>GL501339</t>
  </si>
  <si>
    <t>20:12</t>
  </si>
  <si>
    <t>金燕Anna（Yan Jin）</t>
  </si>
  <si>
    <t>GL501038</t>
  </si>
  <si>
    <t>金磊Brian（LEI JIN）</t>
  </si>
  <si>
    <t>GL500340</t>
  </si>
  <si>
    <t>出差申请2026/05/12 06:30-2026/05/12 15:00[审批中]</t>
  </si>
  <si>
    <t>金筱燕Sharon（Xiaoyan Jin）</t>
  </si>
  <si>
    <t>GL502743</t>
  </si>
  <si>
    <t>18:38</t>
  </si>
  <si>
    <t>金美英 Claire (Claire Jin) </t>
  </si>
  <si>
    <t>GL501072</t>
  </si>
  <si>
    <t>00:07</t>
  </si>
  <si>
    <t>金赛帅Jason（Saishuai Jin）</t>
  </si>
  <si>
    <t>GL500905</t>
  </si>
  <si>
    <t>13:12</t>
  </si>
  <si>
    <t>钟婉贤Wendy（Wanxian Zhong）</t>
  </si>
  <si>
    <t>GL502831</t>
  </si>
  <si>
    <t>钟无影（Wuying Zhong）</t>
  </si>
  <si>
    <t>GL502739</t>
  </si>
  <si>
    <t>钟致远Jason (Zhiyuan Zhong)</t>
  </si>
  <si>
    <t>GL500826</t>
  </si>
  <si>
    <t>19:43</t>
  </si>
  <si>
    <t>钱冠霖 (Guanlin Qian)</t>
  </si>
  <si>
    <t>GL501744</t>
  </si>
  <si>
    <t>钱玉霞Milani（Yuxia Qian)</t>
  </si>
  <si>
    <t>GL501109</t>
  </si>
  <si>
    <t>钱龙 Lonnie（Qian Long）</t>
  </si>
  <si>
    <t>GL501522</t>
  </si>
  <si>
    <t>闫佳炫Jaslyn(Jiaxuan Yan)</t>
  </si>
  <si>
    <t>GL502737</t>
  </si>
  <si>
    <t>闫堡涵Eric (Baohan Yan)</t>
  </si>
  <si>
    <t>GL502181</t>
  </si>
  <si>
    <t>闫岳洋Ryan(Yueyang Yan)</t>
  </si>
  <si>
    <t>GL502473</t>
  </si>
  <si>
    <t>15:12</t>
  </si>
  <si>
    <t>闫知非Feifei (Zhifei Yan)</t>
  </si>
  <si>
    <t>GL500738</t>
  </si>
  <si>
    <t>闵婕 Emily（Jie Min）</t>
  </si>
  <si>
    <t>GL501670</t>
  </si>
  <si>
    <t>ROC01</t>
  </si>
  <si>
    <t>阎硕Sam（Shuo Yan）</t>
  </si>
  <si>
    <t>GL500918</t>
  </si>
  <si>
    <t>阿杜 Adu（Adu Amatai）</t>
  </si>
  <si>
    <t>GL500825</t>
  </si>
  <si>
    <t>阿里（Ali Alsoufi）</t>
  </si>
  <si>
    <t>GL501462</t>
  </si>
  <si>
    <t>16:07</t>
  </si>
  <si>
    <t>陆冠宇（Guanyu Lu）</t>
  </si>
  <si>
    <t>GL500315</t>
  </si>
  <si>
    <t>陆国豪Gordon （Guohao Lu）</t>
  </si>
  <si>
    <t>GL501815</t>
  </si>
  <si>
    <t>18:13</t>
  </si>
  <si>
    <t>陆扬Louis (Yang Lu)</t>
  </si>
  <si>
    <t>GL502046</t>
  </si>
  <si>
    <t>陆梓嘉Lydia（Zijia Lu）</t>
  </si>
  <si>
    <t>GL502021</t>
  </si>
  <si>
    <t>陆铃Cassie（Ling Lu）</t>
  </si>
  <si>
    <t>GL501866</t>
  </si>
  <si>
    <t>无薪年假2026/05/12 09:30-2026/05/12 18:00[已完成]</t>
  </si>
  <si>
    <t>陈一帆Ivan (Yifan Chen)</t>
  </si>
  <si>
    <t>GL502882</t>
  </si>
  <si>
    <t>陈佳硕Thomas (Jiashuo Chen）</t>
  </si>
  <si>
    <t>GL502512</t>
  </si>
  <si>
    <t>16:19</t>
  </si>
  <si>
    <t>陈佳馨 Stella (Jiaxin Chen)</t>
  </si>
  <si>
    <t>GL502272</t>
  </si>
  <si>
    <t>Product Operation Specialist 产品运营专员</t>
  </si>
  <si>
    <t>陈俊Chun (Chun Chan)</t>
  </si>
  <si>
    <t>GL502634</t>
  </si>
  <si>
    <t>ST958</t>
  </si>
  <si>
    <t>陈俊赫Junhe (Junhe Chen)</t>
  </si>
  <si>
    <t>GL500688</t>
  </si>
  <si>
    <t>15:06</t>
  </si>
  <si>
    <t>陈光杰（Guangjie Chen）</t>
  </si>
  <si>
    <t>GL502818</t>
  </si>
  <si>
    <t>陈华建Eric (Huajian Chen)</t>
  </si>
  <si>
    <t>GL502659</t>
  </si>
  <si>
    <t>22:35</t>
  </si>
  <si>
    <t>陈可佳Naomi(kejia Chen)</t>
  </si>
  <si>
    <t>GL502537</t>
  </si>
  <si>
    <t>陈嘉鑫Jason (Jiaxin Chen)</t>
  </si>
  <si>
    <t>GL500837</t>
  </si>
  <si>
    <t>美中运力组</t>
  </si>
  <si>
    <t>陈圣Sheng（Sheng Chen）</t>
  </si>
  <si>
    <t>GL502676</t>
  </si>
  <si>
    <t>23:23</t>
  </si>
  <si>
    <t>陈天Tiana(Tian Chen)</t>
  </si>
  <si>
    <t>GL502621</t>
  </si>
  <si>
    <t>陈奕如Ruby (Yiru Chen)</t>
  </si>
  <si>
    <t>GL502427</t>
  </si>
  <si>
    <t>14:39</t>
  </si>
  <si>
    <t>陈子愚 Chase (Ziyu Chen)</t>
  </si>
  <si>
    <t>GL500646</t>
  </si>
  <si>
    <t>Operations Analysis Specialist 运营分析专员</t>
  </si>
  <si>
    <t>陈子昊 Louisen（Zihao Chen）</t>
  </si>
  <si>
    <t>GL502198</t>
  </si>
  <si>
    <t>15:05</t>
  </si>
  <si>
    <t>陈宇宸Arthur (Yuchen Chen)</t>
  </si>
  <si>
    <t>GL502504</t>
  </si>
  <si>
    <t>陈宇聪Jason（Yucong Chen）</t>
  </si>
  <si>
    <t>GL500042</t>
  </si>
  <si>
    <t>16:50</t>
  </si>
  <si>
    <t>陈宇轩Chikara（Yuxuan Chen）</t>
  </si>
  <si>
    <t>GL500682</t>
  </si>
  <si>
    <t>陈实Sharon（Shi Chen）</t>
  </si>
  <si>
    <t>GL501027</t>
  </si>
  <si>
    <t>陈家伟William（Jiawei Chen）</t>
  </si>
  <si>
    <t>GL501598</t>
  </si>
  <si>
    <t>年假2026/05/12 18:00-2026/05/13 02:30[已完成]</t>
  </si>
  <si>
    <t>陈家欣Kirk（Jiaxin Chen）</t>
  </si>
  <si>
    <t>GL502452</t>
  </si>
  <si>
    <t>00:37</t>
  </si>
  <si>
    <t>陈少光（Shaoguang Chen）</t>
  </si>
  <si>
    <t>GL502654</t>
  </si>
  <si>
    <t>陈尔东 Oliver（Erdong Chen）</t>
  </si>
  <si>
    <t>GL500674</t>
  </si>
  <si>
    <t>陈希Diana（Xi Chen）</t>
  </si>
  <si>
    <t>GL500038</t>
  </si>
  <si>
    <t>陈征武Breeze（Zhengwu Chen）</t>
  </si>
  <si>
    <t>GL501498</t>
  </si>
  <si>
    <t>陈德伦 (Delun Chen)</t>
  </si>
  <si>
    <t>GL501965</t>
  </si>
  <si>
    <t>陈思源Greed（Siyuan Chen）</t>
  </si>
  <si>
    <t>GL500614</t>
  </si>
  <si>
    <t>陈怡轩 Christine (Yixuan Chen )</t>
  </si>
  <si>
    <t>GL502817</t>
  </si>
  <si>
    <t>15:18</t>
  </si>
  <si>
    <t>陈悦Jessie（Yue Chen）</t>
  </si>
  <si>
    <t>GL501459</t>
  </si>
  <si>
    <t>陈文娟Karida（Wenjuan Chen）</t>
  </si>
  <si>
    <t>GL501490</t>
  </si>
  <si>
    <t>Station Implementation  Assistant 站点实施助理</t>
  </si>
  <si>
    <t>陈文杰Vangie (Wenjie Chen)</t>
  </si>
  <si>
    <t>GL500493</t>
  </si>
  <si>
    <t>居家办公申请2026/05/12 09:00-2026/05/12 17:30[已完成]</t>
  </si>
  <si>
    <t>陈晓莉Grace（Xiaoli Chen）</t>
  </si>
  <si>
    <t>GL500855</t>
  </si>
  <si>
    <t>居家办公申请2026/05/12 09:30-2026/05/12 18:00[已完成]</t>
  </si>
  <si>
    <t>陈晶晶(Jingjing Chen)</t>
  </si>
  <si>
    <t>GL502197</t>
  </si>
  <si>
    <t>陈柏熹 Kiki (Baixi Chen)</t>
  </si>
  <si>
    <t>GL501120</t>
  </si>
  <si>
    <t>陈江Thomas（Jiang Chen）</t>
  </si>
  <si>
    <t>GL501580</t>
  </si>
  <si>
    <t>陈江安(Jiangan Chen)</t>
  </si>
  <si>
    <t>GL502810</t>
  </si>
  <si>
    <t>陈涵（Han Chen）</t>
  </si>
  <si>
    <t>GL500558</t>
  </si>
  <si>
    <t>陈潇剑Echo(Xiaojian Chen)</t>
  </si>
  <si>
    <t>GL500183</t>
  </si>
  <si>
    <t>陈灿荣Cameron (Canrong Chen)</t>
  </si>
  <si>
    <t>GL500746</t>
  </si>
  <si>
    <t>15:34</t>
  </si>
  <si>
    <t>陈熠（Yi Chen）</t>
  </si>
  <si>
    <t>GL501636</t>
  </si>
  <si>
    <t>陈玲佳Linda（Lingjia Chen）</t>
  </si>
  <si>
    <t>GL500540</t>
  </si>
  <si>
    <t>陈琳Lin（Lin Chen）</t>
  </si>
  <si>
    <t>GL500336</t>
  </si>
  <si>
    <t>陈盈蓉Ivy (Yingrong Chen)</t>
  </si>
  <si>
    <t>GL501638</t>
  </si>
  <si>
    <t>陈祥Evan（Xiang Chen）</t>
  </si>
  <si>
    <t>GL500617</t>
  </si>
  <si>
    <t>22:53</t>
  </si>
  <si>
    <t>陈秉新（Bingxin Chen)</t>
  </si>
  <si>
    <t>GL502632</t>
  </si>
  <si>
    <t>21:29</t>
  </si>
  <si>
    <t>陈群 (Qun Chen)</t>
  </si>
  <si>
    <t>GL502893</t>
  </si>
  <si>
    <t>13:41</t>
  </si>
  <si>
    <t>陈舒 Sushu (Shu Chen)</t>
  </si>
  <si>
    <t>GL502523</t>
  </si>
  <si>
    <t>陈舒彦Yolo（Shuyan Chen）</t>
  </si>
  <si>
    <t>GL500543</t>
  </si>
  <si>
    <t>陈芃芃（Pengpeng Chen）</t>
  </si>
  <si>
    <t>GL501653</t>
  </si>
  <si>
    <t>陈谕凯Jim（Yukai Chen）</t>
  </si>
  <si>
    <t>GL501526</t>
  </si>
  <si>
    <t>MEM01</t>
  </si>
  <si>
    <t>陈达强 David (Daqiang Chen)</t>
  </si>
  <si>
    <t>GL500747</t>
  </si>
  <si>
    <t>23:54</t>
  </si>
  <si>
    <t>陈邦彦 (Bangyan Chen)</t>
  </si>
  <si>
    <t>GL502653</t>
  </si>
  <si>
    <t>18:04</t>
  </si>
  <si>
    <t>陈陟阳 Kenny （Zhiyang Chen）</t>
  </si>
  <si>
    <t>GL501770</t>
  </si>
  <si>
    <t>陈雨彤Chen（Yutong Chen）</t>
  </si>
  <si>
    <t>GL502600</t>
  </si>
  <si>
    <t>陈青华Lucy (Qinghua Chen)</t>
  </si>
  <si>
    <t>GL502266</t>
  </si>
  <si>
    <t>陳文愷Kevin（Wen-Kai Chen）</t>
  </si>
  <si>
    <t>GL501509</t>
  </si>
  <si>
    <t>17:34</t>
  </si>
  <si>
    <t>陳玥妡 Selina (Yueh Hsin Chen)</t>
  </si>
  <si>
    <t>GL500556</t>
  </si>
  <si>
    <t>陶思宇Danny (SIYU TAO)</t>
  </si>
  <si>
    <t>GL501170</t>
  </si>
  <si>
    <t>Junior In-house Capacity Specialist 初级自营运力专员</t>
  </si>
  <si>
    <t>17:52</t>
  </si>
  <si>
    <t>陶瀚卿 (Hanqing Tao)</t>
  </si>
  <si>
    <t>GL502511</t>
  </si>
  <si>
    <t>BPT01</t>
  </si>
  <si>
    <t>陶然 Nicole （Ran Tao）</t>
  </si>
  <si>
    <t>GL502359</t>
  </si>
  <si>
    <t>Junior transportation Specialist 初级运力专员</t>
  </si>
  <si>
    <t>隋宇涵 Jacky (Yuhan Sui)</t>
  </si>
  <si>
    <t>GL500784</t>
  </si>
  <si>
    <t>隋文龙Jackson（Wenlong Sui）</t>
  </si>
  <si>
    <t>GL501110</t>
  </si>
  <si>
    <t>随晨耀Chenyao（Chenyao Sui）</t>
  </si>
  <si>
    <t>GL502326</t>
  </si>
  <si>
    <t>19:26</t>
  </si>
  <si>
    <t>雷梓明Zi（Ziming Lei）</t>
  </si>
  <si>
    <t>GL500094</t>
  </si>
  <si>
    <t>19:21</t>
  </si>
  <si>
    <t>霍世行Shawn (Shihang Huo)</t>
  </si>
  <si>
    <t>GL501915</t>
  </si>
  <si>
    <t>韦思宁ning（Sining Wei）</t>
  </si>
  <si>
    <t>GL501240</t>
  </si>
  <si>
    <t>韦悦Bella（Yue Wei）</t>
  </si>
  <si>
    <t>GL502561</t>
  </si>
  <si>
    <t>韦紫琼Alice (Ziqiong Wei)</t>
  </si>
  <si>
    <t>GL500093</t>
  </si>
  <si>
    <t>20:35</t>
  </si>
  <si>
    <t>韩佳欣 Reina (Jiaxin Han)</t>
  </si>
  <si>
    <t>GL501660</t>
  </si>
  <si>
    <t>韩梓芸Ziyun (Ziyun Han)</t>
  </si>
  <si>
    <t>GL502141</t>
  </si>
  <si>
    <t>韩潇 Jessica (Xiao Han)</t>
  </si>
  <si>
    <t>GL501822</t>
  </si>
  <si>
    <t>韩童谣Garcia (Tongyao Han)</t>
  </si>
  <si>
    <t>GL502123</t>
  </si>
  <si>
    <t>韩蕊遥CHELSEA(RUIYAO)</t>
  </si>
  <si>
    <t>GL501997</t>
  </si>
  <si>
    <t>韩鹏飞Frank (Pengfei Han)</t>
  </si>
  <si>
    <t>GL501939</t>
  </si>
  <si>
    <t>14:14</t>
  </si>
  <si>
    <t>项高敏Caroline（Gaomin Xiang)</t>
  </si>
  <si>
    <t>GL501674</t>
  </si>
  <si>
    <t>顾天琛 Gabriel（Tianchen Gu）</t>
  </si>
  <si>
    <t>GL500750</t>
  </si>
  <si>
    <t>16:36</t>
  </si>
  <si>
    <t>顾强（Qiang Gu）</t>
  </si>
  <si>
    <t>GL500196</t>
  </si>
  <si>
    <t>顾文杰Jack (Wenjie Gu)</t>
  </si>
  <si>
    <t>GL502296</t>
  </si>
  <si>
    <t>20:05</t>
  </si>
  <si>
    <t>顾清Grant(Qing Gu)</t>
  </si>
  <si>
    <t>GL502005</t>
  </si>
  <si>
    <t>颜家谱Jeff (Jiapu Yan)</t>
  </si>
  <si>
    <t>GL500529</t>
  </si>
  <si>
    <t>颜鲁东（Ludong Yan）</t>
  </si>
  <si>
    <t>GL501028</t>
  </si>
  <si>
    <t>22:16</t>
  </si>
  <si>
    <t>马天怡 Cecilia (Tianyi Ma)</t>
  </si>
  <si>
    <t>GL501566</t>
  </si>
  <si>
    <t>马学莉Sherry ( Xueli Ma)</t>
  </si>
  <si>
    <t>GL501324</t>
  </si>
  <si>
    <t>14:23</t>
  </si>
  <si>
    <t>马怡然Sunny（Yiran Ma）</t>
  </si>
  <si>
    <t>GL501869</t>
  </si>
  <si>
    <t>马显俊（Xianjun Ma）</t>
  </si>
  <si>
    <t>GL502007</t>
  </si>
  <si>
    <t>16:05</t>
  </si>
  <si>
    <t>马欢Martin（Huan Ma）</t>
  </si>
  <si>
    <t>GL500047</t>
  </si>
  <si>
    <t>马聪Cong (Cong Ma)</t>
  </si>
  <si>
    <t>GL500129</t>
  </si>
  <si>
    <t>马轶友Oliver（Yiyou Ma）</t>
  </si>
  <si>
    <t>GL501873</t>
  </si>
  <si>
    <t>19:35</t>
  </si>
  <si>
    <t>马铭 Ming (Ming Ma)</t>
  </si>
  <si>
    <t>GL500406</t>
  </si>
  <si>
    <t>马驹Aaron（Ju Ma）</t>
  </si>
  <si>
    <t>GL501728</t>
  </si>
  <si>
    <t>骆先宏William（Xianhong Luo）</t>
  </si>
  <si>
    <t>GL500329</t>
  </si>
  <si>
    <t>13:07</t>
  </si>
  <si>
    <t>骆婕Jamie (Jie Luo)</t>
  </si>
  <si>
    <t>GL501930</t>
  </si>
  <si>
    <t>骆晗菁Sylvia (Hanjing Luo)</t>
  </si>
  <si>
    <t>GL502738</t>
  </si>
  <si>
    <t>高义Eddie (Yi Gao）</t>
  </si>
  <si>
    <t>GL502783</t>
  </si>
  <si>
    <t>高依羔（Yigao Gao）</t>
  </si>
  <si>
    <t>GL501856</t>
  </si>
  <si>
    <t>高嘉廷Jerry（Jiating Gao）</t>
  </si>
  <si>
    <t>GL502899</t>
  </si>
  <si>
    <t>高子淳 Alex (Zichun Gao)</t>
  </si>
  <si>
    <t>GL501940</t>
  </si>
  <si>
    <t>高志远Ethan (Zhiyuan Gao)</t>
  </si>
  <si>
    <t>GL500346</t>
  </si>
  <si>
    <t>高澄Eve（Cheng Gao）</t>
  </si>
  <si>
    <t>GL502830</t>
  </si>
  <si>
    <t>高磊（Lei Gao）</t>
  </si>
  <si>
    <t>GL501645</t>
  </si>
  <si>
    <t>高赫Gordon（He Gao）</t>
  </si>
  <si>
    <t>GL502766</t>
  </si>
  <si>
    <t>魏书涵Shuhan（Shuhan Wei）</t>
  </si>
  <si>
    <t>GL500834</t>
  </si>
  <si>
    <t>魏函栖Cici（Hanxi Wei）</t>
  </si>
  <si>
    <t>GL500956</t>
  </si>
  <si>
    <t>魏博 (Bo Wei)</t>
  </si>
  <si>
    <t>GL501792</t>
  </si>
  <si>
    <t>魏强(QiangWei)</t>
  </si>
  <si>
    <t>GL500580</t>
  </si>
  <si>
    <t>鲍思远（SiYuan Bao）</t>
  </si>
  <si>
    <t>GL502026</t>
  </si>
  <si>
    <t>黄一言（Yiyan Huang）</t>
  </si>
  <si>
    <t>GL502593</t>
  </si>
  <si>
    <t>黄伟杰Jeremy（Weijie Huang）</t>
  </si>
  <si>
    <t>GL501631</t>
  </si>
  <si>
    <t>黄佳怡 Phoebe (Jiayi Huang)</t>
  </si>
  <si>
    <t>GL502517</t>
  </si>
  <si>
    <t>全链路组</t>
  </si>
  <si>
    <t>Junior End-to-End QC Specialist 初级全链路质控专员</t>
  </si>
  <si>
    <t>17:09</t>
  </si>
  <si>
    <t>黄俊凯Kevin (Junkai Huang)</t>
  </si>
  <si>
    <t>GL501949</t>
  </si>
  <si>
    <t>黄俊盈Iris（Junying Huang）</t>
  </si>
  <si>
    <t>GL500662</t>
  </si>
  <si>
    <t>20:46</t>
  </si>
  <si>
    <t>黄兆雯Kelly (Zhaowen Huang)</t>
  </si>
  <si>
    <t>GL502687</t>
  </si>
  <si>
    <t>13:33</t>
  </si>
  <si>
    <t>黄勤轾Kevin（Qinzhi Huang）</t>
  </si>
  <si>
    <t>GL501730</t>
  </si>
  <si>
    <t>黄嘉仪Chloe(Jiayi Huang)</t>
  </si>
  <si>
    <t>GL501796</t>
  </si>
  <si>
    <t>19:59</t>
  </si>
  <si>
    <t>黄志慧 Becky (Zhihui Huang)</t>
  </si>
  <si>
    <t>GL501374</t>
  </si>
  <si>
    <t>居家办公申请2026/05/12 11:00-2026/05/12 15:00[审批中]</t>
  </si>
  <si>
    <t>黄振邦（Zhenbang Huang）</t>
  </si>
  <si>
    <t>GL502219</t>
  </si>
  <si>
    <t>15:50</t>
  </si>
  <si>
    <t>黄斯昵 Bonnie (Sini Huang)</t>
  </si>
  <si>
    <t>GL500106</t>
  </si>
  <si>
    <t>黄栩峰 Charlie（Xufeng Huang）</t>
  </si>
  <si>
    <t>GL502790</t>
  </si>
  <si>
    <t>黄永杰Ricky (Yongjie Huang)</t>
  </si>
  <si>
    <t>GL502522</t>
  </si>
  <si>
    <t>黄洁梅Amanda（Jiemei Huang）</t>
  </si>
  <si>
    <t>GL502894</t>
  </si>
  <si>
    <t>孙可君</t>
  </si>
  <si>
    <t>黄满（Man Huang）</t>
  </si>
  <si>
    <t>GL502474</t>
  </si>
  <si>
    <t>Station Operations Specialist 站点运营专员(兼)</t>
  </si>
  <si>
    <t>黄燕娜 Nana (Yanna Huang)</t>
  </si>
  <si>
    <t>GL501149</t>
  </si>
  <si>
    <t>黄燕宇(Yanyu Huang)</t>
  </si>
  <si>
    <t>GL502556</t>
  </si>
  <si>
    <t>14:01</t>
  </si>
  <si>
    <t>黄玲Linda (Ling Huang)</t>
  </si>
  <si>
    <t>GL502657</t>
  </si>
  <si>
    <t>黄翊霆 Johnny (Yiting Huang)</t>
  </si>
  <si>
    <t>GL500116</t>
  </si>
  <si>
    <t>12:35</t>
  </si>
  <si>
    <t>黄芷晴Yili (Zhiqing Huang)</t>
  </si>
  <si>
    <t>GL502173</t>
  </si>
  <si>
    <t>黄释右Quinton（Shiyou Huang）</t>
  </si>
  <si>
    <t>GL502421</t>
  </si>
  <si>
    <t>TRI01</t>
  </si>
  <si>
    <t>黎娜 (Na Li)</t>
  </si>
  <si>
    <t>GL502832</t>
  </si>
  <si>
    <t>18:15</t>
  </si>
  <si>
    <t>黎泽麒Martin (Zeqi Li)</t>
  </si>
  <si>
    <t>GL500542</t>
  </si>
  <si>
    <t>病假2026/05/12 10:30-2026/05/12 19:00[审批中]</t>
  </si>
  <si>
    <t>黎经林Leiland（Jinglin Li）</t>
  </si>
  <si>
    <t>GL500193</t>
  </si>
  <si>
    <t>齐瀚飞（Hanfei Qi）</t>
  </si>
  <si>
    <t>GL500316</t>
  </si>
  <si>
    <t>龙柏熹Percy(Baixi Long)</t>
  </si>
  <si>
    <t>GL500937</t>
  </si>
  <si>
    <t>龚近琦 Jerry (Jinqi Gong)</t>
  </si>
  <si>
    <t>GL502578</t>
  </si>
  <si>
    <t>System Training Specialist 系统培训专员</t>
  </si>
  <si>
    <t>区域</t>
  </si>
  <si>
    <t>部门</t>
  </si>
  <si>
    <t>0512美区正式工未排班及缺卡人员明细</t>
  </si>
  <si>
    <t>0511美区正式工未排班及缺卡人员明细</t>
  </si>
  <si>
    <t>前一日趋势对比</t>
  </si>
  <si>
    <t>总人数</t>
  </si>
  <si>
    <t>日超8h人数</t>
  </si>
  <si>
    <t>未排班数</t>
  </si>
  <si>
    <t>HUB排班正确率</t>
  </si>
  <si>
    <t>缺卡数</t>
  </si>
  <si>
    <t>缺卡率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</si>
</sst>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h:mm:ss;@"/>
  </numFmts>
  <fonts count="26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b/>
      <sz val="14"/>
      <name val="宋体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3" applyNumberFormat="1" applyFont="1" applyFill="1" applyBorder="1" applyAlignment="1">
      <alignment horizontal="center" vertical="center"/>
    </xf>
    <xf numFmtId="9" fontId="1" fillId="0" borderId="1" xfId="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176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9" fontId="1" fillId="0" borderId="1" xfId="3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0" xfId="0" applyNumberFormat="1" applyFo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77" fontId="4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2" fontId="0" fillId="0" borderId="0" xfId="0" applyNumberFormat="1" applyFont="1" applyAlignment="1"/>
    <xf numFmtId="0" fontId="0" fillId="0" borderId="0" xfId="0" applyFont="1" applyAlignment="1">
      <alignment vertical="center" wrapText="1"/>
    </xf>
    <xf numFmtId="0" fontId="0" fillId="0" borderId="0" xfId="0" applyNumberFormat="1" applyFo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9" fontId="0" fillId="0" borderId="0" xfId="3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bgColor theme="9"/>
        </patternFill>
      </fill>
    </dxf>
    <dxf>
      <fill>
        <patternFill patternType="solid">
          <bgColor rgb="FFF46769"/>
        </patternFill>
      </fill>
    </dxf>
    <dxf>
      <fill>
        <patternFill patternType="solid">
          <bgColor rgb="FFFEEA83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EBE482"/>
        </patternFill>
      </fill>
    </dxf>
    <dxf>
      <fill>
        <patternFill patternType="solid">
          <bgColor rgb="FFF8696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163;&#32844;&#27969;&#31243;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\Desktop\&#25171;&#21345;&#25968;&#25454;&#36890;&#26194;\26&#24180;\&#25490;&#29677;&#25968;&#25454;&#31034;&#20363;\5.11\&#27599;&#26085;&#25171;&#21345;&#24037;&#26102;&#25512;&#36865;&#27169;&#29256;5.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5490;&#29677;&#21450;&#32771;&#21220;&#26126;&#32454;_0509&#20154;&#21592;&#25490;&#29677;&#24773;&#20917;%20&#21103;&#2641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2654;&#21306;&#31614;&#23383;&#25253;&#34920;%20(1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工号</v>
          </cell>
          <cell r="D1" t="str">
            <v>二级部门</v>
          </cell>
          <cell r="E1" t="str">
            <v>三级部门</v>
          </cell>
          <cell r="F1" t="str">
            <v>四级部门</v>
          </cell>
          <cell r="G1" t="str">
            <v>五级部门</v>
          </cell>
          <cell r="H1" t="str">
            <v>六级部门</v>
          </cell>
          <cell r="I1" t="str">
            <v>七级部门</v>
          </cell>
          <cell r="J1" t="str">
            <v>八级部门</v>
          </cell>
          <cell r="K1" t="str">
            <v>部门</v>
          </cell>
          <cell r="L1" t="str">
            <v>职位</v>
          </cell>
          <cell r="M1" t="str">
            <v>职级</v>
          </cell>
          <cell r="N1" t="str">
            <v>职序</v>
          </cell>
          <cell r="O1" t="str">
            <v>入职日期</v>
          </cell>
        </row>
        <row r="2">
          <cell r="C2" t="str">
            <v>GL500008</v>
          </cell>
          <cell r="D2" t="str">
            <v>美洲区</v>
          </cell>
          <cell r="E2" t="str">
            <v>MS 中南大区</v>
          </cell>
          <cell r="F2" t="str">
            <v>揽收部</v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>揽收部</v>
          </cell>
          <cell r="L2" t="str">
            <v>Pickup Lead 揽收组组长</v>
          </cell>
          <cell r="M2" t="str">
            <v>P2-1</v>
          </cell>
          <cell r="N2" t="str">
            <v/>
          </cell>
          <cell r="O2" t="str">
            <v>2025/05/05</v>
          </cell>
        </row>
        <row r="3">
          <cell r="C3" t="str">
            <v>GL502146</v>
          </cell>
          <cell r="D3" t="str">
            <v>美洲区</v>
          </cell>
          <cell r="E3" t="str">
            <v>WE 美西大区</v>
          </cell>
          <cell r="F3" t="str">
            <v>SC 南加片区</v>
          </cell>
          <cell r="G3" t="str">
            <v>LAX01</v>
          </cell>
          <cell r="H3" t="str">
            <v/>
          </cell>
          <cell r="I3" t="str">
            <v/>
          </cell>
          <cell r="J3" t="str">
            <v/>
          </cell>
          <cell r="K3" t="str">
            <v>LAX01</v>
          </cell>
          <cell r="L3" t="str">
            <v>Warehouse Operator 操作员</v>
          </cell>
          <cell r="M3" t="str">
            <v>P1-1</v>
          </cell>
          <cell r="N3" t="str">
            <v/>
          </cell>
          <cell r="O3" t="str">
            <v>2026/01/20</v>
          </cell>
        </row>
        <row r="4">
          <cell r="C4" t="str">
            <v>GL502611</v>
          </cell>
          <cell r="D4" t="str">
            <v>美洲区</v>
          </cell>
          <cell r="E4" t="str">
            <v>FL 佛州大区</v>
          </cell>
          <cell r="F4" t="str">
            <v>SF 南佛片区</v>
          </cell>
          <cell r="G4" t="str">
            <v>MIA02</v>
          </cell>
          <cell r="H4" t="str">
            <v/>
          </cell>
          <cell r="I4" t="str">
            <v/>
          </cell>
          <cell r="J4" t="str">
            <v/>
          </cell>
          <cell r="K4" t="str">
            <v>MIA02</v>
          </cell>
          <cell r="L4" t="str">
            <v>Station Operations Specialist 站点运营专员</v>
          </cell>
          <cell r="M4" t="str">
            <v>P1-2</v>
          </cell>
          <cell r="N4" t="str">
            <v/>
          </cell>
          <cell r="O4" t="str">
            <v>2026/04/13</v>
          </cell>
        </row>
        <row r="5">
          <cell r="C5" t="str">
            <v>GL501583</v>
          </cell>
          <cell r="D5" t="str">
            <v>美洲区</v>
          </cell>
          <cell r="E5" t="str">
            <v>FL 佛州大区</v>
          </cell>
          <cell r="F5" t="str">
            <v>MF 中佛片区</v>
          </cell>
          <cell r="G5" t="str">
            <v>OCF01</v>
          </cell>
          <cell r="H5" t="str">
            <v/>
          </cell>
          <cell r="I5" t="str">
            <v/>
          </cell>
          <cell r="J5" t="str">
            <v/>
          </cell>
          <cell r="K5" t="str">
            <v>OCF01</v>
          </cell>
          <cell r="L5" t="str">
            <v>Station Operations Specialist 站点运营专员</v>
          </cell>
          <cell r="M5" t="str">
            <v>P1-2</v>
          </cell>
          <cell r="N5" t="str">
            <v/>
          </cell>
          <cell r="O5" t="str">
            <v>2025/10/09</v>
          </cell>
        </row>
        <row r="6">
          <cell r="C6" t="str">
            <v>GL502563</v>
          </cell>
          <cell r="D6" t="str">
            <v>美洲区</v>
          </cell>
          <cell r="E6" t="str">
            <v>US人力资源部</v>
          </cell>
          <cell r="F6" t="str">
            <v>美洲HRBP组</v>
          </cell>
          <cell r="G6" t="str">
            <v>佛州区HR组</v>
          </cell>
          <cell r="H6" t="str">
            <v/>
          </cell>
          <cell r="I6" t="str">
            <v/>
          </cell>
          <cell r="J6" t="str">
            <v/>
          </cell>
          <cell r="K6" t="str">
            <v>佛州区HR组</v>
          </cell>
          <cell r="L6" t="str">
            <v>Junior Recruitment Specialist 初级招聘专员</v>
          </cell>
          <cell r="M6" t="str">
            <v>P1-2</v>
          </cell>
          <cell r="N6" t="str">
            <v/>
          </cell>
          <cell r="O6" t="str">
            <v>2026/04/01</v>
          </cell>
        </row>
        <row r="7">
          <cell r="C7" t="str">
            <v>GL502787</v>
          </cell>
          <cell r="D7" t="str">
            <v>欧洲区</v>
          </cell>
          <cell r="E7" t="str">
            <v>IT 意大利区</v>
          </cell>
          <cell r="F7" t="str">
            <v>北部战区</v>
          </cell>
          <cell r="G7" t="str">
            <v>帕多瓦站</v>
          </cell>
          <cell r="H7" t="str">
            <v/>
          </cell>
          <cell r="I7" t="str">
            <v/>
          </cell>
          <cell r="J7" t="str">
            <v/>
          </cell>
          <cell r="K7" t="str">
            <v>帕多瓦站</v>
          </cell>
          <cell r="L7" t="str">
            <v>Warehouse Operator操作员</v>
          </cell>
          <cell r="M7" t="str">
            <v>P1-1</v>
          </cell>
          <cell r="N7" t="str">
            <v/>
          </cell>
          <cell r="O7" t="str">
            <v>2026/04/29</v>
          </cell>
        </row>
        <row r="8">
          <cell r="C8" t="str">
            <v>GL501769</v>
          </cell>
          <cell r="D8" t="str">
            <v>欧洲区</v>
          </cell>
          <cell r="E8" t="str">
            <v>FR 法国区</v>
          </cell>
          <cell r="F8" t="str">
            <v>安全与合规部</v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>安全与合规部</v>
          </cell>
          <cell r="L8" t="str">
            <v>Safety Compliance Supervisor安全合规主管</v>
          </cell>
          <cell r="M8" t="str">
            <v>P2-2</v>
          </cell>
          <cell r="N8" t="str">
            <v/>
          </cell>
          <cell r="O8" t="str">
            <v>2025/11/17</v>
          </cell>
        </row>
        <row r="9">
          <cell r="C9" t="str">
            <v>GL500772</v>
          </cell>
          <cell r="D9" t="str">
            <v>美洲区</v>
          </cell>
          <cell r="E9" t="str">
            <v>OM 操作管理部</v>
          </cell>
          <cell r="F9" t="str">
            <v>实施运营组</v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>实施运营组</v>
          </cell>
          <cell r="L9" t="str">
            <v>Implementation Operations Specialist 实施运营专员</v>
          </cell>
          <cell r="M9" t="str">
            <v>P1-3</v>
          </cell>
          <cell r="N9" t="str">
            <v/>
          </cell>
          <cell r="O9" t="str">
            <v>2025/06/11</v>
          </cell>
        </row>
        <row r="10">
          <cell r="C10" t="str">
            <v>GL501806</v>
          </cell>
          <cell r="D10" t="str">
            <v>美洲区</v>
          </cell>
          <cell r="E10" t="str">
            <v>FL 佛州大区</v>
          </cell>
          <cell r="F10" t="str">
            <v>WF 西佛片区</v>
          </cell>
          <cell r="G10" t="str">
            <v>SRQ01</v>
          </cell>
          <cell r="H10" t="str">
            <v/>
          </cell>
          <cell r="I10" t="str">
            <v/>
          </cell>
          <cell r="J10" t="str">
            <v/>
          </cell>
          <cell r="K10" t="str">
            <v>SRQ01</v>
          </cell>
          <cell r="L10" t="str">
            <v>Station Operations Specialist 站点运营专员</v>
          </cell>
          <cell r="M10" t="str">
            <v>P1-2</v>
          </cell>
          <cell r="N10" t="str">
            <v/>
          </cell>
          <cell r="O10" t="str">
            <v>2025/11/17</v>
          </cell>
        </row>
        <row r="11">
          <cell r="C11" t="str">
            <v>GL502121</v>
          </cell>
          <cell r="D11" t="str">
            <v>美洲区</v>
          </cell>
          <cell r="E11" t="str">
            <v>US人力资源部</v>
          </cell>
          <cell r="F11" t="str">
            <v>美洲HRBP组</v>
          </cell>
          <cell r="G11" t="str">
            <v>中南区HR组</v>
          </cell>
          <cell r="H11" t="str">
            <v/>
          </cell>
          <cell r="I11" t="str">
            <v/>
          </cell>
          <cell r="J11" t="str">
            <v/>
          </cell>
          <cell r="K11" t="str">
            <v>中南区HR组</v>
          </cell>
          <cell r="L11" t="str">
            <v>Junior Recruitment Specialist 初级招聘专员</v>
          </cell>
          <cell r="M11" t="str">
            <v>P1-2</v>
          </cell>
          <cell r="N11" t="str">
            <v/>
          </cell>
          <cell r="O11" t="str">
            <v>2026/01/20</v>
          </cell>
        </row>
        <row r="12">
          <cell r="C12" t="str">
            <v>GL502678</v>
          </cell>
          <cell r="D12" t="str">
            <v>美洲区</v>
          </cell>
          <cell r="E12" t="str">
            <v>NE 东北大区</v>
          </cell>
          <cell r="F12" t="str">
            <v>BWI.H</v>
          </cell>
          <cell r="G12" t="str">
            <v>调度组</v>
          </cell>
          <cell r="H12" t="str">
            <v/>
          </cell>
          <cell r="I12" t="str">
            <v/>
          </cell>
          <cell r="J12" t="str">
            <v/>
          </cell>
          <cell r="K12" t="str">
            <v>调度组</v>
          </cell>
          <cell r="L12" t="str">
            <v>Dispatcher 调度员</v>
          </cell>
          <cell r="M12" t="str">
            <v>P1-2</v>
          </cell>
          <cell r="N12" t="str">
            <v/>
          </cell>
          <cell r="O12" t="str">
            <v>2026/04/14</v>
          </cell>
        </row>
        <row r="13">
          <cell r="C13" t="str">
            <v>GL500519</v>
          </cell>
          <cell r="D13" t="str">
            <v>美洲区</v>
          </cell>
          <cell r="E13" t="str">
            <v>NE 东北大区</v>
          </cell>
          <cell r="F13" t="str">
            <v>PA 宾州片区</v>
          </cell>
          <cell r="G13" t="str">
            <v>LDJ01</v>
          </cell>
          <cell r="H13" t="str">
            <v/>
          </cell>
          <cell r="I13" t="str">
            <v/>
          </cell>
          <cell r="J13" t="str">
            <v/>
          </cell>
          <cell r="K13" t="str">
            <v>LDJ01</v>
          </cell>
          <cell r="L13" t="str">
            <v>Station Operations Specialist 站点运营专员</v>
          </cell>
          <cell r="M13" t="str">
            <v>P1-1</v>
          </cell>
          <cell r="N13" t="str">
            <v/>
          </cell>
          <cell r="O13" t="str">
            <v>2025/05/20</v>
          </cell>
        </row>
        <row r="14">
          <cell r="C14" t="str">
            <v>GL501439</v>
          </cell>
          <cell r="D14" t="str">
            <v>美洲区</v>
          </cell>
          <cell r="E14" t="str">
            <v>TX 德州大区</v>
          </cell>
          <cell r="F14" t="str">
            <v>运营支持部</v>
          </cell>
          <cell r="G14" t="str">
            <v>区域支持组</v>
          </cell>
          <cell r="H14" t="str">
            <v/>
          </cell>
          <cell r="I14" t="str">
            <v/>
          </cell>
          <cell r="J14" t="str">
            <v/>
          </cell>
          <cell r="K14" t="str">
            <v>区域支持组</v>
          </cell>
          <cell r="L14" t="str">
            <v>Regional Support Specialist 区域支持专员</v>
          </cell>
          <cell r="M14" t="str">
            <v>P1-3</v>
          </cell>
          <cell r="N14" t="str">
            <v/>
          </cell>
          <cell r="O14" t="str">
            <v>2025/09/22</v>
          </cell>
        </row>
        <row r="15">
          <cell r="C15" t="str">
            <v>GL501639</v>
          </cell>
          <cell r="D15" t="str">
            <v>美洲区</v>
          </cell>
          <cell r="E15" t="str">
            <v>GL 大湖大区</v>
          </cell>
          <cell r="F15" t="str">
            <v>CVG.H</v>
          </cell>
          <cell r="G15" t="str">
            <v>调度组</v>
          </cell>
          <cell r="H15" t="str">
            <v/>
          </cell>
          <cell r="I15" t="str">
            <v/>
          </cell>
          <cell r="J15" t="str">
            <v/>
          </cell>
          <cell r="K15" t="str">
            <v>调度组</v>
          </cell>
          <cell r="L15" t="str">
            <v>Dispatcher 调度员</v>
          </cell>
          <cell r="M15" t="str">
            <v>P1-2</v>
          </cell>
          <cell r="N15" t="str">
            <v/>
          </cell>
          <cell r="O15" t="str">
            <v>2025/10/27</v>
          </cell>
        </row>
        <row r="16">
          <cell r="C16" t="str">
            <v>GL500187</v>
          </cell>
          <cell r="D16" t="str">
            <v>美洲区</v>
          </cell>
          <cell r="E16" t="str">
            <v>MS 中南大区</v>
          </cell>
          <cell r="F16" t="str">
            <v>CS 夏洛特及周边片区</v>
          </cell>
          <cell r="G16" t="str">
            <v>CLT01</v>
          </cell>
          <cell r="H16" t="str">
            <v/>
          </cell>
          <cell r="I16" t="str">
            <v/>
          </cell>
          <cell r="J16" t="str">
            <v/>
          </cell>
          <cell r="K16" t="str">
            <v>CLT01</v>
          </cell>
          <cell r="L16" t="str">
            <v>Station Head 站长</v>
          </cell>
          <cell r="M16" t="str">
            <v>M2-1</v>
          </cell>
          <cell r="N16" t="str">
            <v/>
          </cell>
          <cell r="O16" t="str">
            <v>2025/02/26</v>
          </cell>
        </row>
        <row r="17">
          <cell r="C17" t="str">
            <v>GL502700</v>
          </cell>
          <cell r="D17" t="str">
            <v>美洲区</v>
          </cell>
          <cell r="E17" t="str">
            <v>WE 美西大区</v>
          </cell>
          <cell r="F17" t="str">
            <v>LAV.H</v>
          </cell>
          <cell r="G17" t="str">
            <v>调度组</v>
          </cell>
          <cell r="H17" t="str">
            <v/>
          </cell>
          <cell r="I17" t="str">
            <v/>
          </cell>
          <cell r="J17" t="str">
            <v/>
          </cell>
          <cell r="K17" t="str">
            <v>调度组</v>
          </cell>
          <cell r="L17" t="str">
            <v>Dispatcher 调度员</v>
          </cell>
          <cell r="M17" t="str">
            <v>P1-1</v>
          </cell>
          <cell r="N17" t="str">
            <v/>
          </cell>
          <cell r="O17" t="str">
            <v>2026/04/13</v>
          </cell>
        </row>
        <row r="18">
          <cell r="C18" t="str">
            <v>GL502277</v>
          </cell>
          <cell r="D18" t="str">
            <v>美洲区</v>
          </cell>
          <cell r="E18" t="str">
            <v>CM 运力管理部</v>
          </cell>
          <cell r="F18" t="str">
            <v>调度运营组</v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>调度运营组</v>
          </cell>
          <cell r="L18" t="str">
            <v>Junior Dispatching Operations Specialist 初级调度运营专员</v>
          </cell>
          <cell r="M18" t="str">
            <v>P1-2</v>
          </cell>
          <cell r="N18" t="str">
            <v/>
          </cell>
          <cell r="O18" t="str">
            <v>2026/02/09</v>
          </cell>
        </row>
        <row r="19">
          <cell r="C19" t="str">
            <v>GL502599</v>
          </cell>
          <cell r="D19" t="str">
            <v>美洲区</v>
          </cell>
          <cell r="E19" t="str">
            <v>NE 东北大区</v>
          </cell>
          <cell r="F19" t="str">
            <v>EWR.H</v>
          </cell>
          <cell r="G19" t="str">
            <v>分拣组</v>
          </cell>
          <cell r="H19" t="str">
            <v/>
          </cell>
          <cell r="I19" t="str">
            <v/>
          </cell>
          <cell r="J19" t="str">
            <v/>
          </cell>
          <cell r="K19" t="str">
            <v>分拣组</v>
          </cell>
          <cell r="L19" t="str">
            <v>Sorter 分拣员</v>
          </cell>
          <cell r="M19" t="str">
            <v>P1-1</v>
          </cell>
          <cell r="N19" t="str">
            <v/>
          </cell>
          <cell r="O19" t="str">
            <v>2026/04/06</v>
          </cell>
        </row>
        <row r="20">
          <cell r="C20" t="str">
            <v>GL502641</v>
          </cell>
          <cell r="D20" t="str">
            <v>美洲区</v>
          </cell>
          <cell r="E20" t="str">
            <v>TX 德州大区</v>
          </cell>
          <cell r="F20" t="str">
            <v>运营支持部</v>
          </cell>
          <cell r="G20" t="str">
            <v>区域支持组</v>
          </cell>
          <cell r="H20" t="str">
            <v/>
          </cell>
          <cell r="I20" t="str">
            <v/>
          </cell>
          <cell r="J20" t="str">
            <v/>
          </cell>
          <cell r="K20" t="str">
            <v>区域支持组</v>
          </cell>
          <cell r="L20" t="str">
            <v>Regional Support Specialist 区域支持专员</v>
          </cell>
          <cell r="M20" t="str">
            <v>P1-2</v>
          </cell>
          <cell r="N20" t="str">
            <v/>
          </cell>
          <cell r="O20" t="str">
            <v>2026/04/13</v>
          </cell>
        </row>
        <row r="21">
          <cell r="C21" t="str">
            <v>GL501567</v>
          </cell>
          <cell r="D21" t="str">
            <v>美洲区</v>
          </cell>
          <cell r="E21" t="str">
            <v>GL 大湖大区</v>
          </cell>
          <cell r="F21" t="str">
            <v>NM 中西部北片区</v>
          </cell>
          <cell r="G21" t="str">
            <v>STL01</v>
          </cell>
          <cell r="H21" t="str">
            <v/>
          </cell>
          <cell r="I21" t="str">
            <v/>
          </cell>
          <cell r="J21" t="str">
            <v/>
          </cell>
          <cell r="K21" t="str">
            <v>STL01</v>
          </cell>
          <cell r="L21" t="str">
            <v>Station Operations Specialist 站点运营专员</v>
          </cell>
          <cell r="M21" t="str">
            <v>P1-2</v>
          </cell>
          <cell r="N21" t="str">
            <v/>
          </cell>
          <cell r="O21" t="str">
            <v>2025/10/06</v>
          </cell>
        </row>
        <row r="22">
          <cell r="C22" t="str">
            <v>GL502649</v>
          </cell>
          <cell r="D22" t="str">
            <v>美洲区</v>
          </cell>
          <cell r="E22" t="str">
            <v>OM 操作管理部</v>
          </cell>
          <cell r="F22" t="str">
            <v>仓库租赁组</v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>仓库租赁组</v>
          </cell>
          <cell r="L22" t="str">
            <v>Junior Warehouse Leasing Specialist 初级仓库租赁专员</v>
          </cell>
          <cell r="M22" t="str">
            <v>P1-2</v>
          </cell>
          <cell r="N22" t="str">
            <v/>
          </cell>
          <cell r="O22" t="str">
            <v>2026/04/08</v>
          </cell>
        </row>
        <row r="23">
          <cell r="C23" t="str">
            <v>GL501587</v>
          </cell>
          <cell r="D23" t="str">
            <v>美洲区</v>
          </cell>
          <cell r="E23" t="str">
            <v>TX 德州大区</v>
          </cell>
          <cell r="F23" t="str">
            <v>IAH.H</v>
          </cell>
          <cell r="G23" t="str">
            <v>异常处理组</v>
          </cell>
          <cell r="H23" t="str">
            <v/>
          </cell>
          <cell r="I23" t="str">
            <v/>
          </cell>
          <cell r="J23" t="str">
            <v/>
          </cell>
          <cell r="K23" t="str">
            <v>异常处理组</v>
          </cell>
          <cell r="L23" t="str">
            <v>Returns Specialist 退件员</v>
          </cell>
          <cell r="M23" t="str">
            <v>P1-2</v>
          </cell>
          <cell r="N23" t="str">
            <v/>
          </cell>
          <cell r="O23" t="str">
            <v>2025/10/14</v>
          </cell>
        </row>
        <row r="24">
          <cell r="C24" t="str">
            <v>GL502586</v>
          </cell>
          <cell r="D24" t="str">
            <v>美洲区</v>
          </cell>
          <cell r="E24" t="str">
            <v>NE 东北大区</v>
          </cell>
          <cell r="F24" t="str">
            <v>运营支持部</v>
          </cell>
          <cell r="G24" t="str">
            <v>区域支持组</v>
          </cell>
          <cell r="H24" t="str">
            <v/>
          </cell>
          <cell r="I24" t="str">
            <v/>
          </cell>
          <cell r="J24" t="str">
            <v/>
          </cell>
          <cell r="K24" t="str">
            <v>区域支持组</v>
          </cell>
          <cell r="L24" t="str">
            <v>Regional Support Specialist 区域支持专员</v>
          </cell>
          <cell r="M24" t="str">
            <v>P1-2</v>
          </cell>
          <cell r="N24" t="str">
            <v/>
          </cell>
          <cell r="O24" t="str">
            <v>2026/04/08</v>
          </cell>
        </row>
        <row r="25">
          <cell r="C25" t="str">
            <v>GL502339</v>
          </cell>
          <cell r="D25" t="str">
            <v>美洲区</v>
          </cell>
          <cell r="E25" t="str">
            <v>NE 东北大区</v>
          </cell>
          <cell r="F25" t="str">
            <v>DC 华盛顿片区</v>
          </cell>
          <cell r="G25" t="str">
            <v>PHL01</v>
          </cell>
          <cell r="H25" t="str">
            <v/>
          </cell>
          <cell r="I25" t="str">
            <v/>
          </cell>
          <cell r="J25" t="str">
            <v/>
          </cell>
          <cell r="K25" t="str">
            <v>PHL01</v>
          </cell>
          <cell r="L25" t="str">
            <v>Station Operations Specialist 站点运营专员</v>
          </cell>
          <cell r="M25" t="str">
            <v>P1-2</v>
          </cell>
          <cell r="N25" t="str">
            <v/>
          </cell>
          <cell r="O25" t="str">
            <v>2026/02/18</v>
          </cell>
        </row>
        <row r="26">
          <cell r="C26" t="str">
            <v>GL502622</v>
          </cell>
          <cell r="D26" t="str">
            <v>美洲区</v>
          </cell>
          <cell r="E26" t="str">
            <v>OM 操作管理部</v>
          </cell>
          <cell r="F26" t="str">
            <v>设备规划组</v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>设备规划组</v>
          </cell>
          <cell r="L26" t="str">
            <v>Senior MRO Specialist 高级设备运营专员</v>
          </cell>
          <cell r="M26" t="str">
            <v>P2-1</v>
          </cell>
          <cell r="N26" t="str">
            <v/>
          </cell>
          <cell r="O26" t="str">
            <v>2026/04/01</v>
          </cell>
        </row>
        <row r="27">
          <cell r="C27" t="str">
            <v>GL500202</v>
          </cell>
          <cell r="D27" t="str">
            <v>美洲区</v>
          </cell>
          <cell r="E27" t="str">
            <v>US人力资源部</v>
          </cell>
          <cell r="F27" t="str">
            <v>美洲HRBP组</v>
          </cell>
          <cell r="G27" t="str">
            <v>波多黎各区HR组</v>
          </cell>
          <cell r="H27" t="str">
            <v/>
          </cell>
          <cell r="I27" t="str">
            <v/>
          </cell>
          <cell r="J27" t="str">
            <v/>
          </cell>
          <cell r="K27" t="str">
            <v>波多黎各区HR组</v>
          </cell>
          <cell r="L27" t="str">
            <v>HRBP Assistant HRBP助理</v>
          </cell>
          <cell r="M27" t="str">
            <v>P1-1</v>
          </cell>
          <cell r="N27" t="str">
            <v/>
          </cell>
          <cell r="O27" t="str">
            <v>2025/02/18</v>
          </cell>
        </row>
        <row r="28">
          <cell r="C28" t="str">
            <v>GL501702</v>
          </cell>
          <cell r="D28" t="str">
            <v>美洲区</v>
          </cell>
          <cell r="E28" t="str">
            <v>BM 品牌市场部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>BM 品牌市场部</v>
          </cell>
          <cell r="L28" t="str">
            <v>Marketing Specialist 市场专员</v>
          </cell>
          <cell r="M28" t="str">
            <v>P1-2</v>
          </cell>
          <cell r="N28" t="str">
            <v/>
          </cell>
          <cell r="O28" t="str">
            <v>2025/11/10</v>
          </cell>
        </row>
        <row r="29">
          <cell r="C29" t="str">
            <v>GL501268</v>
          </cell>
          <cell r="D29" t="str">
            <v>美洲区</v>
          </cell>
          <cell r="E29" t="str">
            <v>Ground项目部</v>
          </cell>
          <cell r="F29" t="str">
            <v>派送管理部</v>
          </cell>
          <cell r="G29" t="str">
            <v>运力开发组</v>
          </cell>
          <cell r="H29" t="str">
            <v/>
          </cell>
          <cell r="I29" t="str">
            <v/>
          </cell>
          <cell r="J29" t="str">
            <v/>
          </cell>
          <cell r="K29" t="str">
            <v>运力开发组</v>
          </cell>
          <cell r="L29" t="str">
            <v>Senior Capacity Development Specialist 高级运力开发专员</v>
          </cell>
          <cell r="M29" t="str">
            <v>P2-1</v>
          </cell>
          <cell r="N29" t="str">
            <v/>
          </cell>
          <cell r="O29" t="str">
            <v>2025/08/21</v>
          </cell>
        </row>
        <row r="30">
          <cell r="C30" t="str">
            <v>GL502179</v>
          </cell>
          <cell r="D30" t="str">
            <v>美洲区</v>
          </cell>
          <cell r="E30" t="str">
            <v>NE 东北大区</v>
          </cell>
          <cell r="F30" t="str">
            <v>MA 新英格兰片区</v>
          </cell>
          <cell r="G30" t="str">
            <v>BOS01</v>
          </cell>
          <cell r="H30" t="str">
            <v/>
          </cell>
          <cell r="I30" t="str">
            <v/>
          </cell>
          <cell r="J30" t="str">
            <v/>
          </cell>
          <cell r="K30" t="str">
            <v>BOS01</v>
          </cell>
          <cell r="L30" t="str">
            <v>Station Operations Specialist 站点运营专员</v>
          </cell>
          <cell r="M30" t="str">
            <v>P1-2</v>
          </cell>
          <cell r="N30" t="str">
            <v/>
          </cell>
          <cell r="O30" t="str">
            <v>2026/01/27</v>
          </cell>
        </row>
        <row r="31">
          <cell r="C31" t="str">
            <v>GL500066</v>
          </cell>
          <cell r="D31" t="str">
            <v>美洲区</v>
          </cell>
          <cell r="E31" t="str">
            <v>GL 大湖大区</v>
          </cell>
          <cell r="F31" t="str">
            <v>EG 东大湖片区</v>
          </cell>
          <cell r="G31" t="str">
            <v>CLE01</v>
          </cell>
          <cell r="H31" t="str">
            <v/>
          </cell>
          <cell r="I31" t="str">
            <v/>
          </cell>
          <cell r="J31" t="str">
            <v/>
          </cell>
          <cell r="K31" t="str">
            <v>CLE01</v>
          </cell>
          <cell r="L31" t="str">
            <v>Station Head 站长</v>
          </cell>
          <cell r="M31" t="str">
            <v>M2-1</v>
          </cell>
          <cell r="N31" t="str">
            <v/>
          </cell>
          <cell r="O31" t="str">
            <v>2025/04/18</v>
          </cell>
        </row>
        <row r="32">
          <cell r="C32" t="str">
            <v>GL502597</v>
          </cell>
          <cell r="D32" t="str">
            <v>美洲区</v>
          </cell>
          <cell r="E32" t="str">
            <v>TX 德州大区</v>
          </cell>
          <cell r="F32" t="str">
            <v>CT 中德州片区</v>
          </cell>
          <cell r="G32" t="str">
            <v>SAT01</v>
          </cell>
          <cell r="H32" t="str">
            <v/>
          </cell>
          <cell r="I32" t="str">
            <v/>
          </cell>
          <cell r="J32" t="str">
            <v/>
          </cell>
          <cell r="K32" t="str">
            <v>SAT01</v>
          </cell>
          <cell r="L32" t="str">
            <v>Station Operations Specialist 站点运营专员</v>
          </cell>
          <cell r="M32" t="str">
            <v>P1-2</v>
          </cell>
          <cell r="N32" t="str">
            <v/>
          </cell>
          <cell r="O32" t="str">
            <v>2026/04/01</v>
          </cell>
        </row>
        <row r="33">
          <cell r="C33" t="str">
            <v>GL502636</v>
          </cell>
          <cell r="D33" t="str">
            <v>欧洲区</v>
          </cell>
          <cell r="E33" t="str">
            <v>IT 意大利区</v>
          </cell>
          <cell r="F33" t="str">
            <v>米兰枢纽仓</v>
          </cell>
          <cell r="G33" t="str">
            <v>支线出库组</v>
          </cell>
          <cell r="H33" t="str">
            <v/>
          </cell>
          <cell r="I33" t="str">
            <v/>
          </cell>
          <cell r="J33" t="str">
            <v/>
          </cell>
          <cell r="K33" t="str">
            <v>出库发运组</v>
          </cell>
          <cell r="L33" t="str">
            <v>Warehouse Operator操作员</v>
          </cell>
          <cell r="M33" t="str">
            <v>P1-1</v>
          </cell>
          <cell r="N33" t="str">
            <v/>
          </cell>
          <cell r="O33" t="str">
            <v>2026/04/15</v>
          </cell>
        </row>
        <row r="34">
          <cell r="C34" t="str">
            <v>GL502603</v>
          </cell>
          <cell r="D34" t="str">
            <v>欧洲区</v>
          </cell>
          <cell r="E34" t="str">
            <v>NL 荷兰区</v>
          </cell>
          <cell r="F34" t="str">
            <v>管培生项目组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>管培生项目组</v>
          </cell>
          <cell r="L34" t="str">
            <v>Management Trainee 管理培训生</v>
          </cell>
          <cell r="M34" t="str">
            <v>P1-1</v>
          </cell>
          <cell r="N34" t="str">
            <v/>
          </cell>
          <cell r="O34" t="str">
            <v>2026/04/07</v>
          </cell>
        </row>
        <row r="35">
          <cell r="C35" t="str">
            <v>GL502566</v>
          </cell>
          <cell r="D35" t="str">
            <v>欧洲区</v>
          </cell>
          <cell r="E35" t="str">
            <v>NL 荷兰区</v>
          </cell>
          <cell r="F35" t="str">
            <v>管培生项目组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>管培生项目组</v>
          </cell>
          <cell r="L35" t="str">
            <v>Management Trainee 管理培训生</v>
          </cell>
          <cell r="M35" t="str">
            <v>P1-1</v>
          </cell>
          <cell r="N35" t="str">
            <v/>
          </cell>
          <cell r="O35" t="str">
            <v>2026/04/07</v>
          </cell>
        </row>
        <row r="36">
          <cell r="C36" t="str">
            <v>GL500439</v>
          </cell>
          <cell r="D36" t="str">
            <v>欧洲区</v>
          </cell>
          <cell r="E36" t="str">
            <v>FR 法国区</v>
          </cell>
          <cell r="F36" t="str">
            <v>南部战区</v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>南部战区</v>
          </cell>
          <cell r="L36" t="str">
            <v>Regional Head区长</v>
          </cell>
          <cell r="M36" t="str">
            <v>M2-1</v>
          </cell>
          <cell r="N36" t="str">
            <v/>
          </cell>
          <cell r="O36" t="str">
            <v>2024/07/17</v>
          </cell>
        </row>
        <row r="37">
          <cell r="C37" t="str">
            <v>GL502383</v>
          </cell>
          <cell r="D37" t="str">
            <v>欧洲区</v>
          </cell>
          <cell r="E37" t="str">
            <v>FR 法国区</v>
          </cell>
          <cell r="F37" t="str">
            <v>西部战区</v>
          </cell>
          <cell r="G37" t="str">
            <v>南特-NTE</v>
          </cell>
          <cell r="H37" t="str">
            <v/>
          </cell>
          <cell r="I37" t="str">
            <v/>
          </cell>
          <cell r="J37" t="str">
            <v/>
          </cell>
          <cell r="K37" t="str">
            <v>南特-NTE</v>
          </cell>
          <cell r="L37" t="str">
            <v>Warehouse Operator操作员</v>
          </cell>
          <cell r="M37" t="str">
            <v>P1-1</v>
          </cell>
          <cell r="N37" t="str">
            <v/>
          </cell>
          <cell r="O37" t="str">
            <v>2026/03/02</v>
          </cell>
        </row>
        <row r="38">
          <cell r="C38" t="str">
            <v>GL502754</v>
          </cell>
          <cell r="D38" t="str">
            <v>欧洲区</v>
          </cell>
          <cell r="E38" t="str">
            <v>FR 法国区</v>
          </cell>
          <cell r="F38" t="str">
            <v>东部战区</v>
          </cell>
          <cell r="G38" t="str">
            <v>里昂-LYN</v>
          </cell>
          <cell r="H38" t="str">
            <v/>
          </cell>
          <cell r="I38" t="str">
            <v/>
          </cell>
          <cell r="J38" t="str">
            <v/>
          </cell>
          <cell r="K38" t="str">
            <v>里昂-LYN</v>
          </cell>
          <cell r="L38" t="str">
            <v>Warehouse Operator操作员</v>
          </cell>
          <cell r="M38" t="str">
            <v>P1-2</v>
          </cell>
          <cell r="N38" t="str">
            <v/>
          </cell>
          <cell r="O38" t="str">
            <v>2026/04/21</v>
          </cell>
        </row>
        <row r="39">
          <cell r="C39" t="str">
            <v>GL501066</v>
          </cell>
          <cell r="D39" t="str">
            <v>欧洲区</v>
          </cell>
          <cell r="E39" t="str">
            <v>FR 法国区</v>
          </cell>
          <cell r="F39" t="str">
            <v>终端管理部</v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>终端管理部</v>
          </cell>
          <cell r="L39" t="str">
            <v>Logistics Network Director 终端管理部负责人</v>
          </cell>
          <cell r="M39" t="str">
            <v>M3-1</v>
          </cell>
          <cell r="N39" t="str">
            <v/>
          </cell>
          <cell r="O39" t="str">
            <v>2025/11/10</v>
          </cell>
        </row>
        <row r="40">
          <cell r="C40" t="str">
            <v>GL502744</v>
          </cell>
          <cell r="D40" t="str">
            <v>欧洲区</v>
          </cell>
          <cell r="E40" t="str">
            <v>FR 法国区</v>
          </cell>
          <cell r="F40" t="str">
            <v>东部战区</v>
          </cell>
          <cell r="G40" t="str">
            <v>里昂-LYN</v>
          </cell>
          <cell r="H40" t="str">
            <v/>
          </cell>
          <cell r="I40" t="str">
            <v/>
          </cell>
          <cell r="J40" t="str">
            <v/>
          </cell>
          <cell r="K40" t="str">
            <v>里昂-LYN</v>
          </cell>
          <cell r="L40" t="str">
            <v>Junior Terminal  Specialist初级终端专员</v>
          </cell>
          <cell r="M40" t="str">
            <v>P1-1</v>
          </cell>
          <cell r="N40" t="str">
            <v/>
          </cell>
          <cell r="O40" t="str">
            <v>2026/04/20</v>
          </cell>
        </row>
        <row r="41">
          <cell r="C41" t="str">
            <v>GL502109</v>
          </cell>
          <cell r="D41" t="str">
            <v>美洲区</v>
          </cell>
          <cell r="E41" t="str">
            <v>US人力资源部</v>
          </cell>
          <cell r="F41" t="str">
            <v>美洲HRBP组</v>
          </cell>
          <cell r="G41" t="str">
            <v>东北区HR组</v>
          </cell>
          <cell r="H41" t="str">
            <v/>
          </cell>
          <cell r="I41" t="str">
            <v/>
          </cell>
          <cell r="J41" t="str">
            <v/>
          </cell>
          <cell r="K41" t="str">
            <v>东北区HR组</v>
          </cell>
          <cell r="L41" t="str">
            <v>Recruitment Assistant 招聘助理</v>
          </cell>
          <cell r="M41" t="str">
            <v>P1-1</v>
          </cell>
          <cell r="N41" t="str">
            <v/>
          </cell>
          <cell r="O41" t="str">
            <v>2026/01/16</v>
          </cell>
        </row>
        <row r="42">
          <cell r="C42" t="str">
            <v>GL502706</v>
          </cell>
          <cell r="D42" t="str">
            <v>美洲区</v>
          </cell>
          <cell r="E42" t="str">
            <v>NE 东北大区</v>
          </cell>
          <cell r="F42" t="str">
            <v>运营支持部</v>
          </cell>
          <cell r="G42" t="str">
            <v>区域支持组</v>
          </cell>
          <cell r="H42" t="str">
            <v/>
          </cell>
          <cell r="I42" t="str">
            <v/>
          </cell>
          <cell r="J42" t="str">
            <v/>
          </cell>
          <cell r="K42" t="str">
            <v>区域支持组</v>
          </cell>
          <cell r="L42" t="str">
            <v>Station Trainee 站点培训生</v>
          </cell>
          <cell r="M42" t="str">
            <v>P1-2</v>
          </cell>
          <cell r="N42" t="str">
            <v/>
          </cell>
          <cell r="O42" t="str">
            <v>2026/04/15</v>
          </cell>
        </row>
        <row r="43">
          <cell r="C43" t="str">
            <v>GL501668</v>
          </cell>
          <cell r="D43" t="str">
            <v>美洲区</v>
          </cell>
          <cell r="E43" t="str">
            <v>US人力资源部</v>
          </cell>
          <cell r="F43" t="str">
            <v>美洲HRBP组</v>
          </cell>
          <cell r="G43" t="str">
            <v>德州区HR组</v>
          </cell>
          <cell r="H43" t="str">
            <v/>
          </cell>
          <cell r="I43" t="str">
            <v/>
          </cell>
          <cell r="J43" t="str">
            <v/>
          </cell>
          <cell r="K43" t="str">
            <v>德州区HR组</v>
          </cell>
          <cell r="L43" t="str">
            <v>Recruitment Assistant 招聘助理</v>
          </cell>
          <cell r="M43" t="str">
            <v>P1-1</v>
          </cell>
          <cell r="N43" t="str">
            <v/>
          </cell>
          <cell r="O43" t="str">
            <v>2025/11/03</v>
          </cell>
        </row>
        <row r="44">
          <cell r="C44" t="str">
            <v>GL501488</v>
          </cell>
          <cell r="D44" t="str">
            <v>美洲区</v>
          </cell>
          <cell r="E44" t="str">
            <v>FL 佛州大区</v>
          </cell>
          <cell r="F44" t="str">
            <v>SF 南佛片区</v>
          </cell>
          <cell r="G44" t="str">
            <v>WPB01</v>
          </cell>
          <cell r="H44" t="str">
            <v/>
          </cell>
          <cell r="I44" t="str">
            <v/>
          </cell>
          <cell r="J44" t="str">
            <v/>
          </cell>
          <cell r="K44" t="str">
            <v>WPB01</v>
          </cell>
          <cell r="L44" t="str">
            <v>Station Operations Specialist 站点运营专员</v>
          </cell>
          <cell r="M44" t="str">
            <v>P1-2</v>
          </cell>
          <cell r="N44" t="str">
            <v/>
          </cell>
          <cell r="O44" t="str">
            <v>2025/09/25</v>
          </cell>
        </row>
        <row r="45">
          <cell r="C45" t="str">
            <v>GL501569</v>
          </cell>
          <cell r="D45" t="str">
            <v>美洲区</v>
          </cell>
          <cell r="E45" t="str">
            <v>MS 中南大区</v>
          </cell>
          <cell r="F45" t="str">
            <v>CS 夏洛特及周边片区</v>
          </cell>
          <cell r="G45" t="str">
            <v>GSO01</v>
          </cell>
          <cell r="H45" t="str">
            <v/>
          </cell>
          <cell r="I45" t="str">
            <v/>
          </cell>
          <cell r="J45" t="str">
            <v/>
          </cell>
          <cell r="K45" t="str">
            <v>GSO01</v>
          </cell>
          <cell r="L45" t="str">
            <v>Station Operations Specialist 站点运营专员</v>
          </cell>
          <cell r="M45" t="str">
            <v>P1-2</v>
          </cell>
          <cell r="N45" t="str">
            <v/>
          </cell>
          <cell r="O45" t="str">
            <v>2025/10/08</v>
          </cell>
        </row>
        <row r="46">
          <cell r="C46" t="str">
            <v>GL502793</v>
          </cell>
          <cell r="D46" t="str">
            <v>美洲区</v>
          </cell>
          <cell r="E46" t="str">
            <v>GL 大湖大区</v>
          </cell>
          <cell r="F46" t="str">
            <v>ORD.H</v>
          </cell>
          <cell r="G46" t="str">
            <v>异常处理组</v>
          </cell>
          <cell r="H46" t="str">
            <v/>
          </cell>
          <cell r="I46" t="str">
            <v/>
          </cell>
          <cell r="J46" t="str">
            <v/>
          </cell>
          <cell r="K46" t="str">
            <v>异常处理组</v>
          </cell>
          <cell r="L46" t="str">
            <v>Returns Specialist 退件员</v>
          </cell>
          <cell r="M46" t="str">
            <v>P1-2</v>
          </cell>
          <cell r="N46" t="str">
            <v/>
          </cell>
          <cell r="O46" t="str">
            <v>2026/04/30</v>
          </cell>
        </row>
        <row r="47">
          <cell r="C47" t="str">
            <v>GL501818</v>
          </cell>
          <cell r="D47" t="str">
            <v>美洲区</v>
          </cell>
          <cell r="E47" t="str">
            <v>Ground项目部</v>
          </cell>
          <cell r="F47" t="str">
            <v>OG 美南区</v>
          </cell>
          <cell r="G47" t="str">
            <v>AT303</v>
          </cell>
          <cell r="H47" t="str">
            <v/>
          </cell>
          <cell r="I47" t="str">
            <v/>
          </cell>
          <cell r="J47" t="str">
            <v/>
          </cell>
          <cell r="K47" t="str">
            <v>AT303</v>
          </cell>
          <cell r="L47" t="str">
            <v>Station Operations Specialist 站点运营专员</v>
          </cell>
          <cell r="M47" t="str">
            <v>P1-2</v>
          </cell>
          <cell r="N47" t="str">
            <v/>
          </cell>
          <cell r="O47" t="str">
            <v>2025/12/01</v>
          </cell>
        </row>
        <row r="48">
          <cell r="C48" t="str">
            <v>GL502165</v>
          </cell>
          <cell r="D48" t="str">
            <v>美洲区</v>
          </cell>
          <cell r="E48" t="str">
            <v>NE 东北大区</v>
          </cell>
          <cell r="F48" t="str">
            <v>PA 宾州片区</v>
          </cell>
          <cell r="G48" t="str">
            <v>EWR01</v>
          </cell>
          <cell r="H48" t="str">
            <v/>
          </cell>
          <cell r="I48" t="str">
            <v/>
          </cell>
          <cell r="J48" t="str">
            <v/>
          </cell>
          <cell r="K48" t="str">
            <v>EWR01</v>
          </cell>
          <cell r="L48" t="str">
            <v>Station Operations Specialist 站点运营专员</v>
          </cell>
          <cell r="M48" t="str">
            <v>P1-1</v>
          </cell>
          <cell r="N48" t="str">
            <v/>
          </cell>
          <cell r="O48" t="str">
            <v>2026/02/16</v>
          </cell>
        </row>
        <row r="49">
          <cell r="C49" t="str">
            <v>GL502642</v>
          </cell>
          <cell r="D49" t="str">
            <v>美洲区</v>
          </cell>
          <cell r="E49" t="str">
            <v>MS 中南大区</v>
          </cell>
          <cell r="F49" t="str">
            <v>ATL.H</v>
          </cell>
          <cell r="G49" t="str">
            <v>操作组</v>
          </cell>
          <cell r="H49" t="str">
            <v/>
          </cell>
          <cell r="I49" t="str">
            <v/>
          </cell>
          <cell r="J49" t="str">
            <v/>
          </cell>
          <cell r="K49" t="str">
            <v>操作组</v>
          </cell>
          <cell r="L49" t="str">
            <v>Warehouse Operator 操作员</v>
          </cell>
          <cell r="M49" t="str">
            <v>P1-2</v>
          </cell>
          <cell r="N49" t="str">
            <v/>
          </cell>
          <cell r="O49" t="str">
            <v>2026/04/08</v>
          </cell>
        </row>
        <row r="50">
          <cell r="C50" t="str">
            <v>GL500444</v>
          </cell>
          <cell r="D50" t="str">
            <v>欧洲区</v>
          </cell>
          <cell r="E50" t="str">
            <v>NL 荷兰区</v>
          </cell>
          <cell r="F50" t="str">
            <v>中转管理部</v>
          </cell>
          <cell r="G50" t="str">
            <v>阿姆枢纽仓-AMS</v>
          </cell>
          <cell r="H50" t="str">
            <v>收运供件组</v>
          </cell>
          <cell r="I50" t="str">
            <v/>
          </cell>
          <cell r="J50" t="str">
            <v/>
          </cell>
          <cell r="K50" t="str">
            <v>收运供件组</v>
          </cell>
          <cell r="L50" t="str">
            <v>Warehouse Lead 操作组长</v>
          </cell>
          <cell r="M50" t="str">
            <v>P2-1</v>
          </cell>
          <cell r="N50" t="str">
            <v/>
          </cell>
          <cell r="O50" t="str">
            <v>2024/07/05</v>
          </cell>
        </row>
        <row r="51">
          <cell r="C51" t="str">
            <v>GL502535</v>
          </cell>
          <cell r="D51" t="str">
            <v>美洲区</v>
          </cell>
          <cell r="E51" t="str">
            <v>US人力资源部</v>
          </cell>
          <cell r="F51" t="str">
            <v>美洲HRBP组</v>
          </cell>
          <cell r="G51" t="str">
            <v>大湖区HR组</v>
          </cell>
          <cell r="H51" t="str">
            <v/>
          </cell>
          <cell r="I51" t="str">
            <v/>
          </cell>
          <cell r="J51" t="str">
            <v/>
          </cell>
          <cell r="K51" t="str">
            <v>大湖区HR组</v>
          </cell>
          <cell r="L51" t="str">
            <v>Recruitment Assistant 招聘助理</v>
          </cell>
          <cell r="M51" t="str">
            <v>P1-1</v>
          </cell>
          <cell r="N51" t="str">
            <v/>
          </cell>
          <cell r="O51" t="str">
            <v>2026/03/23</v>
          </cell>
        </row>
        <row r="52">
          <cell r="C52" t="str">
            <v>GL500786</v>
          </cell>
          <cell r="D52" t="str">
            <v>美洲区</v>
          </cell>
          <cell r="E52" t="str">
            <v>AD 行政部</v>
          </cell>
          <cell r="F52" t="str">
            <v>美西组</v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>美西组</v>
          </cell>
          <cell r="L52" t="str">
            <v>Admin Assistant 行政助理</v>
          </cell>
          <cell r="M52" t="str">
            <v>P1-1</v>
          </cell>
          <cell r="N52" t="str">
            <v/>
          </cell>
          <cell r="O52" t="str">
            <v>2025/06/30</v>
          </cell>
        </row>
        <row r="53">
          <cell r="C53" t="str">
            <v>GL501850</v>
          </cell>
          <cell r="D53" t="str">
            <v>美洲区</v>
          </cell>
          <cell r="E53" t="str">
            <v>WE 美西大区</v>
          </cell>
          <cell r="F53" t="str">
            <v>DS 丹佛·盐湖城片区</v>
          </cell>
          <cell r="G53" t="str">
            <v>DEN.H</v>
          </cell>
          <cell r="H53" t="str">
            <v>操作组</v>
          </cell>
          <cell r="I53" t="str">
            <v/>
          </cell>
          <cell r="J53" t="str">
            <v/>
          </cell>
          <cell r="K53" t="str">
            <v>操作组</v>
          </cell>
          <cell r="L53" t="str">
            <v>Warehouse Lead 操作组长</v>
          </cell>
          <cell r="M53" t="str">
            <v>P2-1</v>
          </cell>
          <cell r="N53" t="str">
            <v/>
          </cell>
          <cell r="O53" t="str">
            <v>2025/11/19</v>
          </cell>
        </row>
        <row r="54">
          <cell r="C54" t="str">
            <v>GL502645</v>
          </cell>
          <cell r="D54" t="str">
            <v>美洲区</v>
          </cell>
          <cell r="E54" t="str">
            <v>WE 美西大区</v>
          </cell>
          <cell r="F54" t="str">
            <v>CNO.H</v>
          </cell>
          <cell r="G54" t="str">
            <v>分拣组</v>
          </cell>
          <cell r="H54" t="str">
            <v/>
          </cell>
          <cell r="I54" t="str">
            <v/>
          </cell>
          <cell r="J54" t="str">
            <v/>
          </cell>
          <cell r="K54" t="str">
            <v>分拣组</v>
          </cell>
          <cell r="L54" t="str">
            <v>Sorter 分拣员</v>
          </cell>
          <cell r="M54" t="str">
            <v>P1-2</v>
          </cell>
          <cell r="N54" t="str">
            <v/>
          </cell>
          <cell r="O54" t="str">
            <v>2026/04/06</v>
          </cell>
        </row>
        <row r="55">
          <cell r="C55" t="str">
            <v>GL502679</v>
          </cell>
          <cell r="D55" t="str">
            <v>美洲区</v>
          </cell>
          <cell r="E55" t="str">
            <v>NE 东北大区</v>
          </cell>
          <cell r="F55" t="str">
            <v>运营支持部</v>
          </cell>
          <cell r="G55" t="str">
            <v>区域支持组</v>
          </cell>
          <cell r="H55" t="str">
            <v/>
          </cell>
          <cell r="I55" t="str">
            <v/>
          </cell>
          <cell r="J55" t="str">
            <v/>
          </cell>
          <cell r="K55" t="str">
            <v>区域支持组</v>
          </cell>
          <cell r="L55" t="str">
            <v>Station Trainee 站点培训生</v>
          </cell>
          <cell r="M55" t="str">
            <v>P1-2</v>
          </cell>
          <cell r="N55" t="str">
            <v/>
          </cell>
          <cell r="O55" t="str">
            <v>2026/04/14</v>
          </cell>
        </row>
        <row r="56">
          <cell r="C56" t="str">
            <v>GL502156</v>
          </cell>
          <cell r="D56" t="str">
            <v>美洲区</v>
          </cell>
          <cell r="E56" t="str">
            <v>WE 美西大区</v>
          </cell>
          <cell r="F56" t="str">
            <v>CNO.H</v>
          </cell>
          <cell r="G56" t="str">
            <v>操作组</v>
          </cell>
          <cell r="H56" t="str">
            <v/>
          </cell>
          <cell r="I56" t="str">
            <v/>
          </cell>
          <cell r="J56" t="str">
            <v/>
          </cell>
          <cell r="K56" t="str">
            <v>操作组</v>
          </cell>
          <cell r="L56" t="str">
            <v>Warehouse Operator 操作员</v>
          </cell>
          <cell r="M56" t="str">
            <v>P1-1</v>
          </cell>
          <cell r="N56" t="str">
            <v/>
          </cell>
          <cell r="O56" t="str">
            <v>2026/01/20</v>
          </cell>
        </row>
        <row r="57">
          <cell r="C57" t="str">
            <v>GL501718</v>
          </cell>
          <cell r="D57" t="str">
            <v>美洲区</v>
          </cell>
          <cell r="E57" t="str">
            <v>Ground项目部</v>
          </cell>
          <cell r="F57" t="str">
            <v>OG 美东区</v>
          </cell>
          <cell r="G57" t="str">
            <v>运营支持组</v>
          </cell>
          <cell r="H57" t="str">
            <v/>
          </cell>
          <cell r="I57" t="str">
            <v/>
          </cell>
          <cell r="J57" t="str">
            <v/>
          </cell>
          <cell r="K57" t="str">
            <v>运营支持组</v>
          </cell>
          <cell r="L57" t="str">
            <v>Operations Support Specialist 运营支持专员</v>
          </cell>
          <cell r="M57" t="str">
            <v>P1-3</v>
          </cell>
          <cell r="N57" t="str">
            <v/>
          </cell>
          <cell r="O57" t="str">
            <v>2025/11/05</v>
          </cell>
        </row>
        <row r="58">
          <cell r="C58" t="str">
            <v>GL501247</v>
          </cell>
          <cell r="D58" t="str">
            <v>美洲区</v>
          </cell>
          <cell r="E58" t="str">
            <v>FL 佛州大区</v>
          </cell>
          <cell r="F58" t="str">
            <v>MCO.H</v>
          </cell>
          <cell r="G58" t="str">
            <v>分拣组</v>
          </cell>
          <cell r="H58" t="str">
            <v/>
          </cell>
          <cell r="I58" t="str">
            <v/>
          </cell>
          <cell r="J58" t="str">
            <v/>
          </cell>
          <cell r="K58" t="str">
            <v>分拣组</v>
          </cell>
          <cell r="L58" t="str">
            <v>Sorter 分拣员</v>
          </cell>
          <cell r="M58" t="str">
            <v>P1-1</v>
          </cell>
          <cell r="N58" t="str">
            <v/>
          </cell>
          <cell r="O58" t="str">
            <v>2025/07/03</v>
          </cell>
        </row>
        <row r="59">
          <cell r="C59" t="str">
            <v>GL502215</v>
          </cell>
          <cell r="D59" t="str">
            <v>美洲区</v>
          </cell>
          <cell r="E59" t="str">
            <v>GL 大湖大区</v>
          </cell>
          <cell r="F59" t="str">
            <v>ORD.H</v>
          </cell>
          <cell r="G59" t="str">
            <v>操作组</v>
          </cell>
          <cell r="H59" t="str">
            <v/>
          </cell>
          <cell r="I59" t="str">
            <v/>
          </cell>
          <cell r="J59" t="str">
            <v/>
          </cell>
          <cell r="K59" t="str">
            <v>操作组</v>
          </cell>
          <cell r="L59" t="str">
            <v>Warehouse Operator 操作员</v>
          </cell>
          <cell r="M59" t="str">
            <v>P1-2</v>
          </cell>
          <cell r="N59" t="str">
            <v/>
          </cell>
          <cell r="O59" t="str">
            <v>2026/02/01</v>
          </cell>
        </row>
        <row r="60">
          <cell r="C60" t="str">
            <v>GL502394</v>
          </cell>
          <cell r="D60" t="str">
            <v>美洲区</v>
          </cell>
          <cell r="E60" t="str">
            <v>Ground项目部</v>
          </cell>
          <cell r="F60" t="str">
            <v>OG 美西区</v>
          </cell>
          <cell r="G60" t="str">
            <v>CNO.G</v>
          </cell>
          <cell r="H60" t="str">
            <v>分拣组</v>
          </cell>
          <cell r="I60" t="str">
            <v/>
          </cell>
          <cell r="J60" t="str">
            <v/>
          </cell>
          <cell r="K60" t="str">
            <v>分拣组</v>
          </cell>
          <cell r="L60" t="str">
            <v>Sorting Lead 分拣组长</v>
          </cell>
          <cell r="M60" t="str">
            <v>P2-1</v>
          </cell>
          <cell r="N60" t="str">
            <v/>
          </cell>
          <cell r="O60" t="str">
            <v>2026/03/02</v>
          </cell>
        </row>
        <row r="61">
          <cell r="C61" t="str">
            <v>GL502780</v>
          </cell>
          <cell r="D61" t="str">
            <v>美洲区</v>
          </cell>
          <cell r="E61" t="str">
            <v>FL 佛州大区</v>
          </cell>
          <cell r="F61" t="str">
            <v>MCO.H</v>
          </cell>
          <cell r="G61" t="str">
            <v>分拣组</v>
          </cell>
          <cell r="H61" t="str">
            <v/>
          </cell>
          <cell r="I61" t="str">
            <v/>
          </cell>
          <cell r="J61" t="str">
            <v/>
          </cell>
          <cell r="K61" t="str">
            <v>分拣组</v>
          </cell>
          <cell r="L61" t="str">
            <v>Sorting Lead 分拣组长</v>
          </cell>
          <cell r="M61" t="str">
            <v>P1-3</v>
          </cell>
          <cell r="N61" t="str">
            <v/>
          </cell>
          <cell r="O61" t="str">
            <v>2026/04/23</v>
          </cell>
        </row>
        <row r="62">
          <cell r="C62" t="str">
            <v>GL502411</v>
          </cell>
          <cell r="D62" t="str">
            <v>美洲区</v>
          </cell>
          <cell r="E62" t="str">
            <v>FL 佛州大区</v>
          </cell>
          <cell r="F62" t="str">
            <v>MCO.H</v>
          </cell>
          <cell r="G62" t="str">
            <v>调度组</v>
          </cell>
          <cell r="H62" t="str">
            <v/>
          </cell>
          <cell r="I62" t="str">
            <v/>
          </cell>
          <cell r="J62" t="str">
            <v/>
          </cell>
          <cell r="K62" t="str">
            <v>调度组</v>
          </cell>
          <cell r="L62" t="str">
            <v>Dispatcher 调度员</v>
          </cell>
          <cell r="M62" t="str">
            <v>P1-2</v>
          </cell>
          <cell r="N62" t="str">
            <v/>
          </cell>
          <cell r="O62" t="str">
            <v>2026/03/04</v>
          </cell>
        </row>
        <row r="63">
          <cell r="C63" t="str">
            <v>GL502588</v>
          </cell>
          <cell r="D63" t="str">
            <v>美洲区</v>
          </cell>
          <cell r="E63" t="str">
            <v>MS 中南大区</v>
          </cell>
          <cell r="F63" t="str">
            <v>CS 夏洛特及周边片区</v>
          </cell>
          <cell r="G63" t="str">
            <v>CAE01</v>
          </cell>
          <cell r="H63" t="str">
            <v/>
          </cell>
          <cell r="I63" t="str">
            <v/>
          </cell>
          <cell r="J63" t="str">
            <v/>
          </cell>
          <cell r="K63" t="str">
            <v>CAE01</v>
          </cell>
          <cell r="L63" t="str">
            <v>Warehouse Operator 操作员</v>
          </cell>
          <cell r="M63" t="str">
            <v>P1-1</v>
          </cell>
          <cell r="N63" t="str">
            <v/>
          </cell>
          <cell r="O63" t="str">
            <v>2026/03/31</v>
          </cell>
        </row>
        <row r="64">
          <cell r="C64" t="str">
            <v>GL501794</v>
          </cell>
          <cell r="D64" t="str">
            <v>美洲区</v>
          </cell>
          <cell r="E64" t="str">
            <v>US人力资源部</v>
          </cell>
          <cell r="F64" t="str">
            <v>美洲HRBP组</v>
          </cell>
          <cell r="G64" t="str">
            <v>招聘组</v>
          </cell>
          <cell r="H64" t="str">
            <v/>
          </cell>
          <cell r="I64" t="str">
            <v/>
          </cell>
          <cell r="J64" t="str">
            <v/>
          </cell>
          <cell r="K64" t="str">
            <v>招聘组</v>
          </cell>
          <cell r="L64" t="str">
            <v>Recruitment Assistant 招聘助理</v>
          </cell>
          <cell r="M64" t="str">
            <v>P1-1</v>
          </cell>
          <cell r="N64" t="str">
            <v/>
          </cell>
          <cell r="O64" t="str">
            <v>2025/11/13</v>
          </cell>
        </row>
        <row r="65">
          <cell r="C65" t="str">
            <v>GL501601</v>
          </cell>
          <cell r="D65" t="str">
            <v>美洲区</v>
          </cell>
          <cell r="E65" t="str">
            <v>BM 品牌市场部</v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>BM 品牌市场部</v>
          </cell>
          <cell r="L65" t="str">
            <v>Marketing Specialist 市场专员</v>
          </cell>
          <cell r="M65" t="str">
            <v>P1-1</v>
          </cell>
          <cell r="N65" t="str">
            <v/>
          </cell>
          <cell r="O65" t="str">
            <v>2025/10/20</v>
          </cell>
        </row>
        <row r="66">
          <cell r="C66" t="str">
            <v>GL502126</v>
          </cell>
          <cell r="D66" t="str">
            <v>美洲区</v>
          </cell>
          <cell r="E66" t="str">
            <v>NE 东北大区</v>
          </cell>
          <cell r="F66" t="str">
            <v>BN 布法罗片区</v>
          </cell>
          <cell r="G66" t="str">
            <v>SYR01</v>
          </cell>
          <cell r="H66" t="str">
            <v/>
          </cell>
          <cell r="I66" t="str">
            <v/>
          </cell>
          <cell r="J66" t="str">
            <v/>
          </cell>
          <cell r="K66" t="str">
            <v>SYR01</v>
          </cell>
          <cell r="L66" t="str">
            <v>Station Operations Specialist 站点运营专员</v>
          </cell>
          <cell r="M66" t="str">
            <v>P1-2</v>
          </cell>
          <cell r="N66" t="str">
            <v/>
          </cell>
          <cell r="O66" t="str">
            <v>2026/01/28</v>
          </cell>
        </row>
        <row r="67">
          <cell r="C67" t="str">
            <v>GL502291</v>
          </cell>
          <cell r="D67" t="str">
            <v>美洲区</v>
          </cell>
          <cell r="E67" t="str">
            <v>GL 大湖大区</v>
          </cell>
          <cell r="F67" t="str">
            <v>WG 西大湖片区</v>
          </cell>
          <cell r="G67" t="str">
            <v>ORD01</v>
          </cell>
          <cell r="H67" t="str">
            <v/>
          </cell>
          <cell r="I67" t="str">
            <v/>
          </cell>
          <cell r="J67" t="str">
            <v/>
          </cell>
          <cell r="K67" t="str">
            <v>ORD01</v>
          </cell>
          <cell r="L67" t="str">
            <v>Station Operations Specialist 站点运营专员</v>
          </cell>
          <cell r="M67" t="str">
            <v>P1-2</v>
          </cell>
          <cell r="N67" t="str">
            <v/>
          </cell>
          <cell r="O67" t="str">
            <v>2026/02/13</v>
          </cell>
        </row>
        <row r="68">
          <cell r="C68" t="str">
            <v>GL501905</v>
          </cell>
          <cell r="D68" t="str">
            <v>美洲区</v>
          </cell>
          <cell r="E68" t="str">
            <v>WE 美西大区</v>
          </cell>
          <cell r="F68" t="str">
            <v>CNO.H</v>
          </cell>
          <cell r="G68" t="str">
            <v>操作组</v>
          </cell>
          <cell r="H68" t="str">
            <v/>
          </cell>
          <cell r="I68" t="str">
            <v/>
          </cell>
          <cell r="J68" t="str">
            <v/>
          </cell>
          <cell r="K68" t="str">
            <v>操作组</v>
          </cell>
          <cell r="L68" t="str">
            <v>Warehouse Operator 操作员</v>
          </cell>
          <cell r="M68" t="str">
            <v>P1-1</v>
          </cell>
          <cell r="N68" t="str">
            <v/>
          </cell>
          <cell r="O68" t="str">
            <v>2025/12/01</v>
          </cell>
        </row>
        <row r="69">
          <cell r="C69" t="str">
            <v>GL500840</v>
          </cell>
          <cell r="D69" t="str">
            <v>美洲区</v>
          </cell>
          <cell r="E69" t="str">
            <v>FL 佛州大区</v>
          </cell>
          <cell r="F69" t="str">
            <v>MF 中佛片区</v>
          </cell>
          <cell r="G69" t="str">
            <v>MCO01</v>
          </cell>
          <cell r="H69" t="str">
            <v/>
          </cell>
          <cell r="I69" t="str">
            <v/>
          </cell>
          <cell r="J69" t="str">
            <v/>
          </cell>
          <cell r="K69" t="str">
            <v>MCO01</v>
          </cell>
          <cell r="L69" t="str">
            <v>Station Operations Specialist 站点运营专员</v>
          </cell>
          <cell r="M69" t="str">
            <v>P1-1</v>
          </cell>
          <cell r="N69" t="str">
            <v/>
          </cell>
          <cell r="O69" t="str">
            <v>2025/06/12</v>
          </cell>
        </row>
        <row r="70">
          <cell r="C70" t="str">
            <v>GL502570</v>
          </cell>
          <cell r="D70" t="str">
            <v>欧洲区</v>
          </cell>
          <cell r="E70" t="str">
            <v>CS 客户服务部</v>
          </cell>
          <cell r="F70" t="str">
            <v>法国客户服务组</v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>法国客户服务组</v>
          </cell>
          <cell r="L70" t="str">
            <v>Junior CS Specialist 初级客服专员</v>
          </cell>
          <cell r="M70" t="str">
            <v>P1-2</v>
          </cell>
          <cell r="N70" t="str">
            <v/>
          </cell>
          <cell r="O70" t="str">
            <v>2026/04/07</v>
          </cell>
        </row>
        <row r="71">
          <cell r="C71" t="str">
            <v>GL500341</v>
          </cell>
          <cell r="D71" t="str">
            <v>欧洲区</v>
          </cell>
          <cell r="E71" t="str">
            <v>FR 法国区</v>
          </cell>
          <cell r="F71" t="str">
            <v>终端管理部</v>
          </cell>
          <cell r="G71" t="str">
            <v>终端合规组</v>
          </cell>
          <cell r="H71" t="str">
            <v/>
          </cell>
          <cell r="I71" t="str">
            <v/>
          </cell>
          <cell r="J71" t="str">
            <v/>
          </cell>
          <cell r="K71" t="str">
            <v>终端合规组</v>
          </cell>
          <cell r="L71" t="str">
            <v>Terminal  Specialist 终端专员</v>
          </cell>
          <cell r="M71" t="str">
            <v>P1-2</v>
          </cell>
          <cell r="N71" t="str">
            <v/>
          </cell>
          <cell r="O71" t="str">
            <v>2024/12/04</v>
          </cell>
        </row>
        <row r="72">
          <cell r="C72" t="str">
            <v>GL501793</v>
          </cell>
          <cell r="D72" t="str">
            <v>美洲区</v>
          </cell>
          <cell r="E72" t="str">
            <v>WE 美西大区</v>
          </cell>
          <cell r="F72" t="str">
            <v>CNO.H</v>
          </cell>
          <cell r="G72" t="str">
            <v>操作组</v>
          </cell>
          <cell r="H72" t="str">
            <v/>
          </cell>
          <cell r="I72" t="str">
            <v/>
          </cell>
          <cell r="J72" t="str">
            <v/>
          </cell>
          <cell r="K72" t="str">
            <v>操作组</v>
          </cell>
          <cell r="L72" t="str">
            <v>Warehouse Operator 操作员</v>
          </cell>
          <cell r="M72" t="str">
            <v>P1-1</v>
          </cell>
          <cell r="N72" t="str">
            <v/>
          </cell>
          <cell r="O72" t="str">
            <v>2025/11/13</v>
          </cell>
        </row>
        <row r="73">
          <cell r="C73" t="str">
            <v>GL502720</v>
          </cell>
          <cell r="D73" t="str">
            <v>美洲区</v>
          </cell>
          <cell r="E73" t="str">
            <v>TX 德州大区</v>
          </cell>
          <cell r="F73" t="str">
            <v>DFW.H</v>
          </cell>
          <cell r="G73" t="str">
            <v>异常处理组</v>
          </cell>
          <cell r="H73" t="str">
            <v/>
          </cell>
          <cell r="I73" t="str">
            <v/>
          </cell>
          <cell r="J73" t="str">
            <v/>
          </cell>
          <cell r="K73" t="str">
            <v>异常处理组</v>
          </cell>
          <cell r="L73" t="str">
            <v>Returns Specialist 退件员</v>
          </cell>
          <cell r="M73" t="str">
            <v>P1-2</v>
          </cell>
          <cell r="N73" t="str">
            <v/>
          </cell>
          <cell r="O73" t="str">
            <v>2026/04/20</v>
          </cell>
        </row>
        <row r="74">
          <cell r="C74" t="str">
            <v>GL502203</v>
          </cell>
          <cell r="D74" t="str">
            <v>美洲区</v>
          </cell>
          <cell r="E74" t="str">
            <v>TX 德州大区</v>
          </cell>
          <cell r="F74" t="str">
            <v>DFW.H</v>
          </cell>
          <cell r="G74" t="str">
            <v>操作组</v>
          </cell>
          <cell r="H74" t="str">
            <v/>
          </cell>
          <cell r="I74" t="str">
            <v/>
          </cell>
          <cell r="J74" t="str">
            <v/>
          </cell>
          <cell r="K74" t="str">
            <v>操作组</v>
          </cell>
          <cell r="L74" t="str">
            <v>Warehouse Operator 操作员</v>
          </cell>
          <cell r="M74" t="str">
            <v>P1-2</v>
          </cell>
          <cell r="N74" t="str">
            <v/>
          </cell>
          <cell r="O74" t="str">
            <v>2026/02/02</v>
          </cell>
        </row>
        <row r="75">
          <cell r="C75" t="str">
            <v>GL500240</v>
          </cell>
          <cell r="D75" t="str">
            <v>美洲区</v>
          </cell>
          <cell r="E75" t="str">
            <v>TX 德州大区</v>
          </cell>
          <cell r="F75" t="str">
            <v>DFW.H</v>
          </cell>
          <cell r="G75" t="str">
            <v>分拣组</v>
          </cell>
          <cell r="H75" t="str">
            <v/>
          </cell>
          <cell r="I75" t="str">
            <v/>
          </cell>
          <cell r="J75" t="str">
            <v/>
          </cell>
          <cell r="K75" t="str">
            <v>分拣组</v>
          </cell>
          <cell r="L75" t="str">
            <v>Sorting Lead 分拣组长</v>
          </cell>
          <cell r="M75" t="str">
            <v>P1-3</v>
          </cell>
          <cell r="N75" t="str">
            <v/>
          </cell>
          <cell r="O75" t="str">
            <v>2025/01/28</v>
          </cell>
        </row>
        <row r="76">
          <cell r="C76" t="str">
            <v>GL502643</v>
          </cell>
          <cell r="D76" t="str">
            <v>美洲区</v>
          </cell>
          <cell r="E76" t="str">
            <v>US人力资源部</v>
          </cell>
          <cell r="F76" t="str">
            <v>美洲HRBP组</v>
          </cell>
          <cell r="G76" t="str">
            <v>中南区HR组</v>
          </cell>
          <cell r="H76" t="str">
            <v/>
          </cell>
          <cell r="I76" t="str">
            <v/>
          </cell>
          <cell r="J76" t="str">
            <v/>
          </cell>
          <cell r="K76" t="str">
            <v>中南区HR组</v>
          </cell>
          <cell r="L76" t="str">
            <v>HRBP Specialist HRBP专员</v>
          </cell>
          <cell r="M76" t="str">
            <v>P1-3</v>
          </cell>
          <cell r="N76" t="str">
            <v/>
          </cell>
          <cell r="O76" t="str">
            <v>2026/04/06</v>
          </cell>
        </row>
        <row r="77">
          <cell r="C77" t="str">
            <v>GL500390</v>
          </cell>
          <cell r="D77" t="str">
            <v>美洲区</v>
          </cell>
          <cell r="E77" t="str">
            <v>WE 美西大区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>WE 美西大区</v>
          </cell>
          <cell r="L77" t="str">
            <v>Regional Head 区长</v>
          </cell>
          <cell r="M77" t="str">
            <v>M3-2</v>
          </cell>
          <cell r="N77" t="str">
            <v/>
          </cell>
          <cell r="O77" t="str">
            <v>2021/03/22</v>
          </cell>
        </row>
        <row r="78">
          <cell r="C78" t="str">
            <v>GL501817</v>
          </cell>
          <cell r="D78" t="str">
            <v>美洲区</v>
          </cell>
          <cell r="E78" t="str">
            <v>MS 中南大区</v>
          </cell>
          <cell r="F78" t="str">
            <v>BN 田纳西和北阿拉巴马片区</v>
          </cell>
          <cell r="G78" t="str">
            <v>BNA01</v>
          </cell>
          <cell r="H78" t="str">
            <v/>
          </cell>
          <cell r="I78" t="str">
            <v/>
          </cell>
          <cell r="J78" t="str">
            <v/>
          </cell>
          <cell r="K78" t="str">
            <v>BNA01</v>
          </cell>
          <cell r="L78" t="str">
            <v>Station Operations Specialist 站点运营专员</v>
          </cell>
          <cell r="M78" t="str">
            <v>P1-2</v>
          </cell>
          <cell r="N78" t="str">
            <v/>
          </cell>
          <cell r="O78" t="str">
            <v>2025/11/24</v>
          </cell>
        </row>
        <row r="79">
          <cell r="C79" t="str">
            <v>GL502057</v>
          </cell>
          <cell r="D79" t="str">
            <v>美洲区</v>
          </cell>
          <cell r="E79" t="str">
            <v>Ground项目部</v>
          </cell>
          <cell r="F79" t="str">
            <v>OG 美东区</v>
          </cell>
          <cell r="G79" t="str">
            <v>EWR.G</v>
          </cell>
          <cell r="H79" t="str">
            <v/>
          </cell>
          <cell r="I79" t="str">
            <v/>
          </cell>
          <cell r="J79" t="str">
            <v/>
          </cell>
          <cell r="K79" t="str">
            <v>EWR.G</v>
          </cell>
          <cell r="L79" t="str">
            <v>Warehouse Clerk 仓库文员</v>
          </cell>
          <cell r="M79" t="str">
            <v>P1-1</v>
          </cell>
          <cell r="N79" t="str">
            <v/>
          </cell>
          <cell r="O79" t="str">
            <v>2026/01/05</v>
          </cell>
        </row>
        <row r="80">
          <cell r="C80" t="str">
            <v>GL500090</v>
          </cell>
          <cell r="D80" t="str">
            <v>美洲区</v>
          </cell>
          <cell r="E80" t="str">
            <v>GL 大湖大区</v>
          </cell>
          <cell r="F80" t="str">
            <v>NM 中西部北片区</v>
          </cell>
          <cell r="G80" t="str">
            <v>MSP01</v>
          </cell>
          <cell r="H80" t="str">
            <v/>
          </cell>
          <cell r="I80" t="str">
            <v/>
          </cell>
          <cell r="J80" t="str">
            <v/>
          </cell>
          <cell r="K80" t="str">
            <v>MSP01</v>
          </cell>
          <cell r="L80" t="str">
            <v>Station Operations Specialist 站点运营专员</v>
          </cell>
          <cell r="M80" t="str">
            <v>P2-1</v>
          </cell>
          <cell r="N80" t="str">
            <v/>
          </cell>
          <cell r="O80" t="str">
            <v>2025/04/14</v>
          </cell>
        </row>
        <row r="81">
          <cell r="C81" t="str">
            <v>GL502190</v>
          </cell>
          <cell r="D81" t="str">
            <v>美洲区</v>
          </cell>
          <cell r="E81" t="str">
            <v>NE 东北大区</v>
          </cell>
          <cell r="F81" t="str">
            <v>车辆管理部</v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>车辆管理部</v>
          </cell>
          <cell r="L81" t="str">
            <v>Fleet Support Specialist 车队支持专员</v>
          </cell>
          <cell r="M81" t="str">
            <v>P1-1</v>
          </cell>
          <cell r="N81" t="str">
            <v/>
          </cell>
          <cell r="O81" t="str">
            <v>2026/01/28</v>
          </cell>
        </row>
        <row r="82">
          <cell r="C82" t="str">
            <v>GL501608</v>
          </cell>
          <cell r="D82" t="str">
            <v>欧洲区</v>
          </cell>
          <cell r="E82" t="str">
            <v>FR 法国区</v>
          </cell>
          <cell r="F82" t="str">
            <v>西部战区</v>
          </cell>
          <cell r="G82" t="str">
            <v>南特-NTE</v>
          </cell>
          <cell r="H82" t="str">
            <v/>
          </cell>
          <cell r="I82" t="str">
            <v/>
          </cell>
          <cell r="J82" t="str">
            <v/>
          </cell>
          <cell r="K82" t="str">
            <v>南特-NTE</v>
          </cell>
          <cell r="L82" t="str">
            <v>Terminal  Specialist
终端专员</v>
          </cell>
          <cell r="M82" t="str">
            <v>P1-1</v>
          </cell>
          <cell r="N82" t="str">
            <v/>
          </cell>
          <cell r="O82" t="str">
            <v>2025/10/20</v>
          </cell>
        </row>
        <row r="83">
          <cell r="C83" t="str">
            <v>GL502405</v>
          </cell>
          <cell r="D83" t="str">
            <v>美洲区</v>
          </cell>
          <cell r="E83" t="str">
            <v>GL 大湖大区</v>
          </cell>
          <cell r="F83" t="str">
            <v>ORD.H</v>
          </cell>
          <cell r="G83" t="str">
            <v>分拣组</v>
          </cell>
          <cell r="H83" t="str">
            <v/>
          </cell>
          <cell r="I83" t="str">
            <v/>
          </cell>
          <cell r="J83" t="str">
            <v/>
          </cell>
          <cell r="K83" t="str">
            <v>分拣组</v>
          </cell>
          <cell r="L83" t="str">
            <v>Sorter 分拣员</v>
          </cell>
          <cell r="M83" t="str">
            <v>P1-2</v>
          </cell>
          <cell r="N83" t="str">
            <v/>
          </cell>
          <cell r="O83" t="str">
            <v>2026/03/02</v>
          </cell>
        </row>
        <row r="84">
          <cell r="C84" t="str">
            <v>GL501037</v>
          </cell>
          <cell r="D84" t="str">
            <v>美洲区</v>
          </cell>
          <cell r="E84" t="str">
            <v>WE 美西大区</v>
          </cell>
          <cell r="F84" t="str">
            <v>CNO.H</v>
          </cell>
          <cell r="G84" t="str">
            <v>调度组</v>
          </cell>
          <cell r="H84" t="str">
            <v/>
          </cell>
          <cell r="I84" t="str">
            <v/>
          </cell>
          <cell r="J84" t="str">
            <v/>
          </cell>
          <cell r="K84" t="str">
            <v>调度组</v>
          </cell>
          <cell r="L84" t="str">
            <v>Dispatcher 调度员</v>
          </cell>
          <cell r="M84" t="str">
            <v>P1-2</v>
          </cell>
          <cell r="N84" t="str">
            <v/>
          </cell>
          <cell r="O84" t="str">
            <v>2025/07/17</v>
          </cell>
        </row>
        <row r="85">
          <cell r="C85" t="str">
            <v>GL501347</v>
          </cell>
          <cell r="D85" t="str">
            <v>美洲区</v>
          </cell>
          <cell r="E85" t="str">
            <v>WE 美西大区</v>
          </cell>
          <cell r="F85" t="str">
            <v>LAV.H</v>
          </cell>
          <cell r="G85" t="str">
            <v>分拣组</v>
          </cell>
          <cell r="H85" t="str">
            <v/>
          </cell>
          <cell r="I85" t="str">
            <v/>
          </cell>
          <cell r="J85" t="str">
            <v/>
          </cell>
          <cell r="K85" t="str">
            <v>分拣组</v>
          </cell>
          <cell r="L85" t="str">
            <v>Sorter 分拣员</v>
          </cell>
          <cell r="M85" t="str">
            <v>P1-2</v>
          </cell>
          <cell r="N85" t="str">
            <v/>
          </cell>
          <cell r="O85" t="str">
            <v>2025/09/01</v>
          </cell>
        </row>
        <row r="86">
          <cell r="C86" t="str">
            <v>GL500166</v>
          </cell>
          <cell r="D86" t="str">
            <v>美洲区</v>
          </cell>
          <cell r="E86" t="str">
            <v>TX 德州大区</v>
          </cell>
          <cell r="F86" t="str">
            <v>DFW.H</v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>DFW.H</v>
          </cell>
          <cell r="L86" t="str">
            <v>Hub Head（Probation） 仓长（见习）</v>
          </cell>
          <cell r="M86" t="str">
            <v>M2-1</v>
          </cell>
          <cell r="N86" t="str">
            <v/>
          </cell>
          <cell r="O86" t="str">
            <v>2025/03/10</v>
          </cell>
        </row>
        <row r="87">
          <cell r="C87" t="str">
            <v>GL502464</v>
          </cell>
          <cell r="D87" t="str">
            <v>美洲区</v>
          </cell>
          <cell r="E87" t="str">
            <v>TX 德州大区</v>
          </cell>
          <cell r="F87" t="str">
            <v>运营支持部</v>
          </cell>
          <cell r="G87" t="str">
            <v>区域支持组</v>
          </cell>
          <cell r="H87" t="str">
            <v/>
          </cell>
          <cell r="I87" t="str">
            <v/>
          </cell>
          <cell r="J87" t="str">
            <v/>
          </cell>
          <cell r="K87" t="str">
            <v>区域支持组</v>
          </cell>
          <cell r="L87" t="str">
            <v>Regional Support Specialist 区域支持专员</v>
          </cell>
          <cell r="M87" t="str">
            <v>P1-2</v>
          </cell>
          <cell r="N87" t="str">
            <v/>
          </cell>
          <cell r="O87" t="str">
            <v>2026/03/16</v>
          </cell>
        </row>
        <row r="88">
          <cell r="C88" t="str">
            <v>GL501426</v>
          </cell>
          <cell r="D88" t="str">
            <v>美洲区</v>
          </cell>
          <cell r="E88" t="str">
            <v>US人力资源部</v>
          </cell>
          <cell r="F88" t="str">
            <v>美洲HRBP组</v>
          </cell>
          <cell r="G88" t="str">
            <v>佛州区HR组</v>
          </cell>
          <cell r="H88" t="str">
            <v/>
          </cell>
          <cell r="I88" t="str">
            <v/>
          </cell>
          <cell r="J88" t="str">
            <v/>
          </cell>
          <cell r="K88" t="str">
            <v>佛州区HR组</v>
          </cell>
          <cell r="L88" t="str">
            <v>HRBP Supervisor HRBP主管</v>
          </cell>
          <cell r="M88" t="str">
            <v>P2-2</v>
          </cell>
          <cell r="N88" t="str">
            <v/>
          </cell>
          <cell r="O88" t="str">
            <v>2025/09/29</v>
          </cell>
        </row>
        <row r="89">
          <cell r="C89" t="str">
            <v>GL502293</v>
          </cell>
          <cell r="D89" t="str">
            <v>美洲区</v>
          </cell>
          <cell r="E89" t="str">
            <v>NE 东北大区</v>
          </cell>
          <cell r="F89" t="str">
            <v>运营支持部</v>
          </cell>
          <cell r="G89" t="str">
            <v>区域支持组</v>
          </cell>
          <cell r="H89" t="str">
            <v/>
          </cell>
          <cell r="I89" t="str">
            <v/>
          </cell>
          <cell r="J89" t="str">
            <v/>
          </cell>
          <cell r="K89" t="str">
            <v>区域支持组</v>
          </cell>
          <cell r="L89" t="str">
            <v>Station Trainee 站点培训生</v>
          </cell>
          <cell r="M89" t="str">
            <v>P1-2</v>
          </cell>
          <cell r="N89" t="str">
            <v/>
          </cell>
          <cell r="O89" t="str">
            <v>2026/02/23</v>
          </cell>
        </row>
        <row r="90">
          <cell r="C90" t="str">
            <v>GL500006</v>
          </cell>
          <cell r="D90" t="str">
            <v>美洲区</v>
          </cell>
          <cell r="E90" t="str">
            <v>WE 美西大区</v>
          </cell>
          <cell r="F90" t="str">
            <v>SP 西雅图·波特兰片区</v>
          </cell>
          <cell r="G90" t="str">
            <v>SEA01</v>
          </cell>
          <cell r="H90" t="str">
            <v/>
          </cell>
          <cell r="I90" t="str">
            <v/>
          </cell>
          <cell r="J90" t="str">
            <v/>
          </cell>
          <cell r="K90" t="str">
            <v>SEA01</v>
          </cell>
          <cell r="L90" t="str">
            <v>Warehouse Operator 操作员</v>
          </cell>
          <cell r="M90" t="str">
            <v>P1-1</v>
          </cell>
          <cell r="N90" t="str">
            <v/>
          </cell>
          <cell r="O90" t="str">
            <v>2025/05/09</v>
          </cell>
        </row>
        <row r="91">
          <cell r="C91" t="str">
            <v>GL502349</v>
          </cell>
          <cell r="D91" t="str">
            <v>美洲区</v>
          </cell>
          <cell r="E91" t="str">
            <v>FL 佛州大区</v>
          </cell>
          <cell r="F91" t="str">
            <v>MIA.H</v>
          </cell>
          <cell r="G91" t="str">
            <v>异常处理组</v>
          </cell>
          <cell r="H91" t="str">
            <v/>
          </cell>
          <cell r="I91" t="str">
            <v/>
          </cell>
          <cell r="J91" t="str">
            <v/>
          </cell>
          <cell r="K91" t="str">
            <v>异常处理组</v>
          </cell>
          <cell r="L91" t="str">
            <v>Returns Specialist 退件员</v>
          </cell>
          <cell r="M91" t="str">
            <v>P1-2</v>
          </cell>
          <cell r="N91" t="str">
            <v/>
          </cell>
          <cell r="O91" t="str">
            <v>2026/02/23</v>
          </cell>
        </row>
        <row r="92">
          <cell r="C92" t="str">
            <v>GL502633</v>
          </cell>
          <cell r="D92" t="str">
            <v>美洲区</v>
          </cell>
          <cell r="E92" t="str">
            <v>CS 客户服务部</v>
          </cell>
          <cell r="F92" t="str">
            <v>消费者客服组</v>
          </cell>
          <cell r="G92" t="str">
            <v>海外客服组</v>
          </cell>
          <cell r="H92" t="str">
            <v/>
          </cell>
          <cell r="I92" t="str">
            <v/>
          </cell>
          <cell r="J92" t="str">
            <v/>
          </cell>
          <cell r="K92" t="str">
            <v>海外客服组</v>
          </cell>
          <cell r="L92" t="str">
            <v>Senior Hotline CS Specialist 高级热线客服专员</v>
          </cell>
          <cell r="M92" t="str">
            <v>P2-1</v>
          </cell>
          <cell r="N92" t="str">
            <v/>
          </cell>
          <cell r="O92" t="str">
            <v>2026/04/06</v>
          </cell>
        </row>
        <row r="93">
          <cell r="C93" t="str">
            <v>GL502521</v>
          </cell>
          <cell r="D93" t="str">
            <v>美洲区</v>
          </cell>
          <cell r="E93" t="str">
            <v>DO 数字运营部</v>
          </cell>
          <cell r="F93" t="str">
            <v>美国技术支持组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>美国技术支持组</v>
          </cell>
          <cell r="L93" t="str">
            <v>Senior System Training Specialist 高级系统培训专员</v>
          </cell>
          <cell r="M93" t="str">
            <v>P2-1</v>
          </cell>
          <cell r="N93" t="str">
            <v/>
          </cell>
          <cell r="O93" t="str">
            <v>2026/03/30</v>
          </cell>
        </row>
        <row r="94">
          <cell r="C94" t="str">
            <v>GL502320</v>
          </cell>
          <cell r="D94" t="str">
            <v>美洲区</v>
          </cell>
          <cell r="E94" t="str">
            <v>OM 操作管理部</v>
          </cell>
          <cell r="F94" t="str">
            <v>仓库租赁组</v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>仓库租赁组</v>
          </cell>
          <cell r="L94" t="str">
            <v>Junior Warehouse Leasing Specialist 初级仓库租赁专员</v>
          </cell>
          <cell r="M94" t="str">
            <v>P1-2</v>
          </cell>
          <cell r="N94" t="str">
            <v/>
          </cell>
          <cell r="O94" t="str">
            <v>2026/02/17</v>
          </cell>
        </row>
        <row r="95">
          <cell r="C95" t="str">
            <v>GL502629</v>
          </cell>
          <cell r="D95" t="str">
            <v>美洲区</v>
          </cell>
          <cell r="E95" t="str">
            <v>AD 行政部</v>
          </cell>
          <cell r="F95" t="str">
            <v>美东组</v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>美东组</v>
          </cell>
          <cell r="L95" t="str">
            <v>Admin Assistant 行政助理</v>
          </cell>
          <cell r="M95" t="str">
            <v>P1-1</v>
          </cell>
          <cell r="N95" t="str">
            <v/>
          </cell>
          <cell r="O95" t="str">
            <v>2026/04/13</v>
          </cell>
        </row>
        <row r="96">
          <cell r="C96" t="str">
            <v>GL502483</v>
          </cell>
          <cell r="D96" t="str">
            <v>欧洲区</v>
          </cell>
          <cell r="E96" t="str">
            <v>IT 意大利区</v>
          </cell>
          <cell r="F96" t="str">
            <v>终端管理部</v>
          </cell>
          <cell r="G96" t="str">
            <v>终端寻源组</v>
          </cell>
          <cell r="H96" t="str">
            <v/>
          </cell>
          <cell r="I96" t="str">
            <v/>
          </cell>
          <cell r="J96" t="str">
            <v/>
          </cell>
          <cell r="K96" t="str">
            <v>终端寻源组</v>
          </cell>
          <cell r="L96" t="str">
            <v>Terminal Sourcing Specialist 终端寻源专员</v>
          </cell>
          <cell r="M96" t="str">
            <v>P1-2</v>
          </cell>
          <cell r="N96" t="str">
            <v/>
          </cell>
          <cell r="O96" t="str">
            <v>2026/03/18</v>
          </cell>
        </row>
        <row r="97">
          <cell r="C97" t="str">
            <v>GL501704</v>
          </cell>
          <cell r="D97" t="str">
            <v>美洲区</v>
          </cell>
          <cell r="E97" t="str">
            <v>WE 美西大区</v>
          </cell>
          <cell r="F97" t="str">
            <v>SC 南加片区</v>
          </cell>
          <cell r="G97" t="str">
            <v>SAN01</v>
          </cell>
          <cell r="H97" t="str">
            <v/>
          </cell>
          <cell r="I97" t="str">
            <v/>
          </cell>
          <cell r="J97" t="str">
            <v/>
          </cell>
          <cell r="K97" t="str">
            <v>SAN01</v>
          </cell>
          <cell r="L97" t="str">
            <v>Warehouse Operator 操作员</v>
          </cell>
          <cell r="M97" t="str">
            <v>P1-1</v>
          </cell>
          <cell r="N97" t="str">
            <v/>
          </cell>
          <cell r="O97" t="str">
            <v>2025/10/27</v>
          </cell>
        </row>
        <row r="98">
          <cell r="C98" t="str">
            <v>GL501837</v>
          </cell>
          <cell r="D98" t="str">
            <v>美洲区</v>
          </cell>
          <cell r="E98" t="str">
            <v>NE 东北大区</v>
          </cell>
          <cell r="F98" t="str">
            <v>EWR.H</v>
          </cell>
          <cell r="G98" t="str">
            <v>调度组</v>
          </cell>
          <cell r="H98" t="str">
            <v/>
          </cell>
          <cell r="I98" t="str">
            <v/>
          </cell>
          <cell r="J98" t="str">
            <v/>
          </cell>
          <cell r="K98" t="str">
            <v>调度组</v>
          </cell>
          <cell r="L98" t="str">
            <v>Dispatcher 调度员</v>
          </cell>
          <cell r="M98" t="str">
            <v>P1-2</v>
          </cell>
          <cell r="N98" t="str">
            <v/>
          </cell>
          <cell r="O98" t="str">
            <v>2025/11/24</v>
          </cell>
        </row>
        <row r="99">
          <cell r="C99" t="str">
            <v>GL502527</v>
          </cell>
          <cell r="D99" t="str">
            <v>美洲区</v>
          </cell>
          <cell r="E99" t="str">
            <v>NE 东北大区</v>
          </cell>
          <cell r="F99" t="str">
            <v>DC 华盛顿片区</v>
          </cell>
          <cell r="G99" t="str">
            <v>BWI01</v>
          </cell>
          <cell r="H99" t="str">
            <v/>
          </cell>
          <cell r="I99" t="str">
            <v/>
          </cell>
          <cell r="J99" t="str">
            <v/>
          </cell>
          <cell r="K99" t="str">
            <v>BWI01</v>
          </cell>
          <cell r="L99" t="str">
            <v>Station Operations Specialist 站点运营专员</v>
          </cell>
          <cell r="M99" t="str">
            <v>P1-2</v>
          </cell>
          <cell r="N99" t="str">
            <v/>
          </cell>
          <cell r="O99" t="str">
            <v>2026/03/23</v>
          </cell>
        </row>
        <row r="100">
          <cell r="C100" t="str">
            <v>GL500092</v>
          </cell>
          <cell r="D100" t="str">
            <v>欧洲区</v>
          </cell>
          <cell r="E100" t="str">
            <v>NL 荷兰区</v>
          </cell>
          <cell r="F100" t="str">
            <v>南部战区</v>
          </cell>
          <cell r="G100" t="str">
            <v>博克斯特尔站-ZTL</v>
          </cell>
          <cell r="H100" t="str">
            <v/>
          </cell>
          <cell r="I100" t="str">
            <v/>
          </cell>
          <cell r="J100" t="str">
            <v/>
          </cell>
          <cell r="K100" t="str">
            <v>博克斯特尔站-ZTL</v>
          </cell>
          <cell r="L100" t="str">
            <v>Warehouse Operator 操作员</v>
          </cell>
          <cell r="M100" t="str">
            <v>P1-2</v>
          </cell>
          <cell r="N100" t="str">
            <v/>
          </cell>
          <cell r="O100" t="str">
            <v>2025/05/01</v>
          </cell>
        </row>
        <row r="101">
          <cell r="C101" t="str">
            <v>GL502673</v>
          </cell>
          <cell r="D101" t="str">
            <v>美洲区</v>
          </cell>
          <cell r="E101" t="str">
            <v>Ground项目部</v>
          </cell>
          <cell r="F101" t="str">
            <v>OG 美中区</v>
          </cell>
          <cell r="G101" t="str">
            <v>CH600</v>
          </cell>
          <cell r="H101" t="str">
            <v/>
          </cell>
          <cell r="I101" t="str">
            <v/>
          </cell>
          <cell r="J101" t="str">
            <v/>
          </cell>
          <cell r="K101" t="str">
            <v>CH600</v>
          </cell>
          <cell r="L101" t="str">
            <v>Station Operations Specialist 站点运营专员</v>
          </cell>
          <cell r="M101" t="str">
            <v>P1-2</v>
          </cell>
          <cell r="N101" t="str">
            <v/>
          </cell>
          <cell r="O101" t="str">
            <v>2026/04/13</v>
          </cell>
        </row>
        <row r="102">
          <cell r="C102" t="str">
            <v>GL502658</v>
          </cell>
          <cell r="D102" t="str">
            <v>美洲区</v>
          </cell>
          <cell r="E102" t="str">
            <v>Ground项目部</v>
          </cell>
          <cell r="F102" t="str">
            <v>OG 美南区</v>
          </cell>
          <cell r="G102" t="str">
            <v>ATL.G</v>
          </cell>
          <cell r="H102" t="str">
            <v>调度组</v>
          </cell>
          <cell r="I102" t="str">
            <v/>
          </cell>
          <cell r="J102" t="str">
            <v/>
          </cell>
          <cell r="K102" t="str">
            <v>调度组</v>
          </cell>
          <cell r="L102" t="str">
            <v>Dispatcher 调度员</v>
          </cell>
          <cell r="M102" t="str">
            <v>P1-2</v>
          </cell>
          <cell r="N102" t="str">
            <v/>
          </cell>
          <cell r="O102" t="str">
            <v>2026/04/08</v>
          </cell>
        </row>
        <row r="103">
          <cell r="C103" t="str">
            <v>GL502037</v>
          </cell>
          <cell r="D103" t="str">
            <v>美洲区</v>
          </cell>
          <cell r="E103" t="str">
            <v>Ground项目部</v>
          </cell>
          <cell r="F103" t="str">
            <v>OG 美西区</v>
          </cell>
          <cell r="G103" t="str">
            <v>LA917</v>
          </cell>
          <cell r="H103" t="str">
            <v/>
          </cell>
          <cell r="I103" t="str">
            <v/>
          </cell>
          <cell r="J103" t="str">
            <v/>
          </cell>
          <cell r="K103" t="str">
            <v>LA917</v>
          </cell>
          <cell r="L103" t="str">
            <v>Station Operations Specialist 站点运营专员</v>
          </cell>
          <cell r="M103" t="str">
            <v>P1-2</v>
          </cell>
          <cell r="N103" t="str">
            <v/>
          </cell>
          <cell r="O103" t="str">
            <v>2026/02/18</v>
          </cell>
        </row>
        <row r="104">
          <cell r="C104" t="str">
            <v>GL502163</v>
          </cell>
          <cell r="D104" t="str">
            <v>美洲区</v>
          </cell>
          <cell r="E104" t="str">
            <v>FL 佛州大区</v>
          </cell>
          <cell r="F104" t="str">
            <v>SF 南佛片区</v>
          </cell>
          <cell r="G104" t="str">
            <v>SJU01</v>
          </cell>
          <cell r="H104" t="str">
            <v>站点运营组</v>
          </cell>
          <cell r="I104" t="str">
            <v/>
          </cell>
          <cell r="J104" t="str">
            <v/>
          </cell>
          <cell r="K104" t="str">
            <v>站点运营组</v>
          </cell>
          <cell r="L104" t="str">
            <v>Warehouse Operator 操作员</v>
          </cell>
          <cell r="M104" t="str">
            <v>P1-1</v>
          </cell>
          <cell r="N104" t="str">
            <v/>
          </cell>
          <cell r="O104" t="str">
            <v>2026/01/27</v>
          </cell>
        </row>
        <row r="105">
          <cell r="C105" t="str">
            <v>GL501740</v>
          </cell>
          <cell r="D105" t="str">
            <v>美洲区</v>
          </cell>
          <cell r="E105" t="str">
            <v>GL 大湖大区</v>
          </cell>
          <cell r="F105" t="str">
            <v>NM 中西部北片区</v>
          </cell>
          <cell r="G105" t="str">
            <v>MCI01</v>
          </cell>
          <cell r="H105" t="str">
            <v/>
          </cell>
          <cell r="I105" t="str">
            <v/>
          </cell>
          <cell r="J105" t="str">
            <v/>
          </cell>
          <cell r="K105" t="str">
            <v>MCI01</v>
          </cell>
          <cell r="L105" t="str">
            <v>Station Operations Specialist 站点运营专员</v>
          </cell>
          <cell r="M105" t="str">
            <v>P1-3</v>
          </cell>
          <cell r="N105" t="str">
            <v/>
          </cell>
          <cell r="O105" t="str">
            <v>2025/11/06</v>
          </cell>
        </row>
        <row r="106">
          <cell r="C106" t="str">
            <v>GL501906</v>
          </cell>
          <cell r="D106" t="str">
            <v>美洲区</v>
          </cell>
          <cell r="E106" t="str">
            <v>WE 美西大区</v>
          </cell>
          <cell r="F106" t="str">
            <v>CNO.H</v>
          </cell>
          <cell r="G106" t="str">
            <v>综办组</v>
          </cell>
          <cell r="H106" t="str">
            <v/>
          </cell>
          <cell r="I106" t="str">
            <v/>
          </cell>
          <cell r="J106" t="str">
            <v/>
          </cell>
          <cell r="K106" t="str">
            <v>综办组</v>
          </cell>
          <cell r="L106" t="str">
            <v>EHS Specialist EHS专员</v>
          </cell>
          <cell r="M106" t="str">
            <v>P1-1</v>
          </cell>
          <cell r="N106" t="str">
            <v/>
          </cell>
          <cell r="O106" t="str">
            <v>2025/12/04</v>
          </cell>
        </row>
        <row r="107">
          <cell r="C107" t="str">
            <v>GL501853</v>
          </cell>
          <cell r="D107" t="str">
            <v>美洲区</v>
          </cell>
          <cell r="E107" t="str">
            <v>GL 大湖大区</v>
          </cell>
          <cell r="F107" t="str">
            <v>ORD.H</v>
          </cell>
          <cell r="G107" t="str">
            <v>分拣组</v>
          </cell>
          <cell r="H107" t="str">
            <v/>
          </cell>
          <cell r="I107" t="str">
            <v/>
          </cell>
          <cell r="J107" t="str">
            <v/>
          </cell>
          <cell r="K107" t="str">
            <v>分拣组</v>
          </cell>
          <cell r="L107" t="str">
            <v>Sorter 分拣员</v>
          </cell>
          <cell r="M107" t="str">
            <v>P1-2</v>
          </cell>
          <cell r="N107" t="str">
            <v/>
          </cell>
          <cell r="O107" t="str">
            <v>2025/11/25</v>
          </cell>
        </row>
        <row r="108">
          <cell r="C108" t="str">
            <v>GL502574</v>
          </cell>
          <cell r="D108" t="str">
            <v>美洲区</v>
          </cell>
          <cell r="E108" t="str">
            <v>GL 大湖大区</v>
          </cell>
          <cell r="F108" t="str">
            <v>ORD.H</v>
          </cell>
          <cell r="G108" t="str">
            <v>分拣组</v>
          </cell>
          <cell r="H108" t="str">
            <v/>
          </cell>
          <cell r="I108" t="str">
            <v/>
          </cell>
          <cell r="J108" t="str">
            <v/>
          </cell>
          <cell r="K108" t="str">
            <v>分拣组</v>
          </cell>
          <cell r="L108" t="str">
            <v>Sorting Lead 分拣组长</v>
          </cell>
          <cell r="M108" t="str">
            <v>P1-3</v>
          </cell>
          <cell r="N108" t="str">
            <v/>
          </cell>
          <cell r="O108" t="str">
            <v>2026/03/27</v>
          </cell>
        </row>
        <row r="109">
          <cell r="C109" t="str">
            <v>GL502268</v>
          </cell>
          <cell r="D109" t="str">
            <v>美洲区</v>
          </cell>
          <cell r="E109" t="str">
            <v>TX 德州大区</v>
          </cell>
          <cell r="F109" t="str">
            <v>DFW.H</v>
          </cell>
          <cell r="G109" t="str">
            <v>异常处理组</v>
          </cell>
          <cell r="H109" t="str">
            <v/>
          </cell>
          <cell r="I109" t="str">
            <v/>
          </cell>
          <cell r="J109" t="str">
            <v/>
          </cell>
          <cell r="K109" t="str">
            <v>异常处理组</v>
          </cell>
          <cell r="L109" t="str">
            <v>Returns Specialist 退件员</v>
          </cell>
          <cell r="M109" t="str">
            <v>P1-2</v>
          </cell>
          <cell r="N109" t="str">
            <v/>
          </cell>
          <cell r="O109" t="str">
            <v>2026/02/05</v>
          </cell>
        </row>
        <row r="110">
          <cell r="C110" t="str">
            <v>GL500220</v>
          </cell>
          <cell r="D110" t="str">
            <v>美洲区</v>
          </cell>
          <cell r="E110" t="str">
            <v>NE 东北大区</v>
          </cell>
          <cell r="F110" t="str">
            <v>DC 华盛顿片区</v>
          </cell>
          <cell r="G110" t="str">
            <v>PHL01</v>
          </cell>
          <cell r="H110" t="str">
            <v/>
          </cell>
          <cell r="I110" t="str">
            <v/>
          </cell>
          <cell r="J110" t="str">
            <v/>
          </cell>
          <cell r="K110" t="str">
            <v>PHL01</v>
          </cell>
          <cell r="L110" t="str">
            <v>Station Operations Specialist 站点运营专员</v>
          </cell>
          <cell r="M110" t="str">
            <v>P1-2</v>
          </cell>
          <cell r="N110" t="str">
            <v/>
          </cell>
          <cell r="O110" t="str">
            <v>2025/02/04</v>
          </cell>
        </row>
        <row r="111">
          <cell r="C111" t="str">
            <v>GL502518</v>
          </cell>
          <cell r="D111" t="str">
            <v>美洲区</v>
          </cell>
          <cell r="E111" t="str">
            <v>WE 美西大区</v>
          </cell>
          <cell r="F111" t="str">
            <v>SP 西雅图·波特兰片区</v>
          </cell>
          <cell r="G111" t="str">
            <v>SEA01</v>
          </cell>
          <cell r="H111" t="str">
            <v/>
          </cell>
          <cell r="I111" t="str">
            <v/>
          </cell>
          <cell r="J111" t="str">
            <v/>
          </cell>
          <cell r="K111" t="str">
            <v>SEA01</v>
          </cell>
          <cell r="L111" t="str">
            <v>Station Head （Probation）站长（见习）</v>
          </cell>
          <cell r="M111" t="str">
            <v>M2-1</v>
          </cell>
          <cell r="N111" t="str">
            <v/>
          </cell>
          <cell r="O111" t="str">
            <v>2026/03/23</v>
          </cell>
        </row>
        <row r="112">
          <cell r="C112" t="str">
            <v>GL501992</v>
          </cell>
          <cell r="D112" t="str">
            <v>美洲区</v>
          </cell>
          <cell r="E112" t="str">
            <v>MS 中南大区</v>
          </cell>
          <cell r="F112" t="str">
            <v>CLT.H</v>
          </cell>
          <cell r="G112" t="str">
            <v>异常处理组</v>
          </cell>
          <cell r="H112" t="str">
            <v/>
          </cell>
          <cell r="I112" t="str">
            <v/>
          </cell>
          <cell r="J112" t="str">
            <v/>
          </cell>
          <cell r="K112" t="str">
            <v>异常处理组</v>
          </cell>
          <cell r="L112" t="str">
            <v>Returns Specialist 退件员</v>
          </cell>
          <cell r="M112" t="str">
            <v>P1-2</v>
          </cell>
          <cell r="N112" t="str">
            <v/>
          </cell>
          <cell r="O112" t="str">
            <v>2025/12/22</v>
          </cell>
        </row>
        <row r="113">
          <cell r="C113" t="str">
            <v>GL500791</v>
          </cell>
          <cell r="D113" t="str">
            <v>欧洲区</v>
          </cell>
          <cell r="E113" t="str">
            <v>FR 法国区</v>
          </cell>
          <cell r="F113" t="str">
            <v>南部战区</v>
          </cell>
          <cell r="G113" t="str">
            <v>尼斯-NCE</v>
          </cell>
          <cell r="H113" t="str">
            <v/>
          </cell>
          <cell r="I113" t="str">
            <v/>
          </cell>
          <cell r="J113" t="str">
            <v/>
          </cell>
          <cell r="K113" t="str">
            <v>尼斯-NCE</v>
          </cell>
          <cell r="L113" t="str">
            <v>Warehouse Operator操作员</v>
          </cell>
          <cell r="M113" t="str">
            <v>P1-1</v>
          </cell>
          <cell r="N113" t="str">
            <v/>
          </cell>
          <cell r="O113" t="str">
            <v>2025/06/19</v>
          </cell>
        </row>
        <row r="114">
          <cell r="C114" t="str">
            <v>GL502493</v>
          </cell>
          <cell r="D114" t="str">
            <v>欧洲区</v>
          </cell>
          <cell r="E114" t="str">
            <v>FR 法国区</v>
          </cell>
          <cell r="F114" t="str">
            <v>运输管理部</v>
          </cell>
          <cell r="G114" t="str">
            <v>运营管理组</v>
          </cell>
          <cell r="H114" t="str">
            <v/>
          </cell>
          <cell r="I114" t="str">
            <v/>
          </cell>
          <cell r="J114" t="str">
            <v/>
          </cell>
          <cell r="K114" t="str">
            <v>运营管理组</v>
          </cell>
          <cell r="L114" t="str">
            <v>Transportation Specialist运输管理专员</v>
          </cell>
          <cell r="M114" t="str">
            <v>P1-2</v>
          </cell>
          <cell r="N114" t="str">
            <v/>
          </cell>
          <cell r="O114" t="str">
            <v>2026/03/17</v>
          </cell>
        </row>
        <row r="115">
          <cell r="C115" t="str">
            <v>GL502444</v>
          </cell>
          <cell r="D115" t="str">
            <v>欧洲区</v>
          </cell>
          <cell r="E115" t="str">
            <v>FR 法国区</v>
          </cell>
          <cell r="F115" t="str">
            <v>巴黎枢纽仓</v>
          </cell>
          <cell r="G115" t="str">
            <v>干线出库组</v>
          </cell>
          <cell r="H115" t="str">
            <v/>
          </cell>
          <cell r="I115" t="str">
            <v/>
          </cell>
          <cell r="J115" t="str">
            <v/>
          </cell>
          <cell r="K115" t="str">
            <v>干线出库组</v>
          </cell>
          <cell r="L115" t="str">
            <v>Warehouse Operator操作员</v>
          </cell>
          <cell r="M115" t="str">
            <v>P1-2</v>
          </cell>
          <cell r="N115" t="str">
            <v/>
          </cell>
          <cell r="O115" t="str">
            <v>2026/03/09</v>
          </cell>
        </row>
        <row r="116">
          <cell r="C116" t="str">
            <v>GL500919</v>
          </cell>
          <cell r="D116" t="str">
            <v>欧洲区</v>
          </cell>
          <cell r="E116" t="str">
            <v>EU人力资源部</v>
          </cell>
          <cell r="F116" t="str">
            <v>欧洲HRBP组</v>
          </cell>
          <cell r="G116" t="str">
            <v>意大利HRBP组</v>
          </cell>
          <cell r="H116" t="str">
            <v/>
          </cell>
          <cell r="I116" t="str">
            <v/>
          </cell>
          <cell r="J116" t="str">
            <v/>
          </cell>
          <cell r="K116" t="str">
            <v>意大利HRBP组</v>
          </cell>
          <cell r="L116" t="str">
            <v>HRBP Specialist HRBP专员</v>
          </cell>
          <cell r="M116" t="str">
            <v>P1-3</v>
          </cell>
          <cell r="N116" t="str">
            <v/>
          </cell>
          <cell r="O116" t="str">
            <v>2025/08/04</v>
          </cell>
        </row>
        <row r="117">
          <cell r="C117" t="str">
            <v>GL502447</v>
          </cell>
          <cell r="D117" t="str">
            <v>欧洲区</v>
          </cell>
          <cell r="E117" t="str">
            <v>IT 意大利区</v>
          </cell>
          <cell r="F117" t="str">
            <v>米兰枢纽仓</v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>米兰枢纽仓</v>
          </cell>
          <cell r="L117" t="str">
            <v>Deputy Hub Head 副仓长</v>
          </cell>
          <cell r="M117" t="str">
            <v>P1-3</v>
          </cell>
          <cell r="N117" t="str">
            <v/>
          </cell>
          <cell r="O117" t="str">
            <v>2026/03/16</v>
          </cell>
        </row>
        <row r="118">
          <cell r="C118" t="str">
            <v>GL500885</v>
          </cell>
          <cell r="D118" t="str">
            <v>美洲区</v>
          </cell>
          <cell r="E118" t="str">
            <v>FL 佛州大区</v>
          </cell>
          <cell r="F118" t="str">
            <v>MIA.H</v>
          </cell>
          <cell r="G118" t="str">
            <v>分拣组</v>
          </cell>
          <cell r="H118" t="str">
            <v/>
          </cell>
          <cell r="I118" t="str">
            <v/>
          </cell>
          <cell r="J118" t="str">
            <v/>
          </cell>
          <cell r="K118" t="str">
            <v>分拣组</v>
          </cell>
          <cell r="L118" t="str">
            <v>Sorting Lead 分拣组长</v>
          </cell>
          <cell r="M118" t="str">
            <v>P2-1</v>
          </cell>
          <cell r="N118" t="str">
            <v/>
          </cell>
          <cell r="O118" t="str">
            <v>2025/06/06</v>
          </cell>
        </row>
        <row r="119">
          <cell r="C119" t="str">
            <v>GL501956</v>
          </cell>
          <cell r="D119" t="str">
            <v>美洲区</v>
          </cell>
          <cell r="E119" t="str">
            <v>MS 中南大区</v>
          </cell>
          <cell r="F119" t="str">
            <v>AS 奥萨查沿海片区</v>
          </cell>
          <cell r="G119" t="str">
            <v>揽收组</v>
          </cell>
          <cell r="H119" t="str">
            <v/>
          </cell>
          <cell r="I119" t="str">
            <v/>
          </cell>
          <cell r="J119" t="str">
            <v/>
          </cell>
          <cell r="K119" t="str">
            <v>揽收组</v>
          </cell>
          <cell r="L119" t="str">
            <v>Pickup Support Specialist 揽收支持专员</v>
          </cell>
          <cell r="M119" t="str">
            <v>P1-2</v>
          </cell>
          <cell r="N119" t="str">
            <v/>
          </cell>
          <cell r="O119" t="str">
            <v>2025/12/19</v>
          </cell>
        </row>
        <row r="120">
          <cell r="C120" t="str">
            <v>GL501914</v>
          </cell>
          <cell r="D120" t="str">
            <v>美洲区</v>
          </cell>
          <cell r="E120" t="str">
            <v>US人力资源部</v>
          </cell>
          <cell r="F120" t="str">
            <v>美洲HRBP组</v>
          </cell>
          <cell r="G120" t="str">
            <v>综合HRBP组</v>
          </cell>
          <cell r="H120" t="str">
            <v/>
          </cell>
          <cell r="I120" t="str">
            <v/>
          </cell>
          <cell r="J120" t="str">
            <v/>
          </cell>
          <cell r="K120" t="str">
            <v>综合HRBP组</v>
          </cell>
          <cell r="L120" t="str">
            <v>HRBP Assistant HRBP助理</v>
          </cell>
          <cell r="M120" t="str">
            <v>P1-1</v>
          </cell>
          <cell r="N120" t="str">
            <v/>
          </cell>
          <cell r="O120" t="str">
            <v>2025/12/08</v>
          </cell>
        </row>
        <row r="121">
          <cell r="C121" t="str">
            <v>GL502605</v>
          </cell>
          <cell r="D121" t="str">
            <v>欧洲区</v>
          </cell>
          <cell r="E121" t="str">
            <v>NL 荷兰区</v>
          </cell>
          <cell r="F121" t="str">
            <v>管培生项目组</v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>管培生项目组</v>
          </cell>
          <cell r="L121" t="str">
            <v>Management Trainee 管理培训生</v>
          </cell>
          <cell r="M121" t="str">
            <v>P1-1</v>
          </cell>
          <cell r="N121" t="str">
            <v/>
          </cell>
          <cell r="O121" t="str">
            <v>2026/04/07</v>
          </cell>
        </row>
        <row r="122">
          <cell r="C122" t="str">
            <v>GL501912</v>
          </cell>
          <cell r="D122" t="str">
            <v>美洲区</v>
          </cell>
          <cell r="E122" t="str">
            <v>NE 东北大区</v>
          </cell>
          <cell r="F122" t="str">
            <v>EWR.H</v>
          </cell>
          <cell r="G122" t="str">
            <v>综办组</v>
          </cell>
          <cell r="H122" t="str">
            <v/>
          </cell>
          <cell r="I122" t="str">
            <v/>
          </cell>
          <cell r="J122" t="str">
            <v/>
          </cell>
          <cell r="K122" t="str">
            <v>综办组</v>
          </cell>
          <cell r="L122" t="str">
            <v>General Affairs Lead 综办组长</v>
          </cell>
          <cell r="M122" t="str">
            <v>P2-1</v>
          </cell>
          <cell r="N122" t="str">
            <v/>
          </cell>
          <cell r="O122" t="str">
            <v>2025/12/10</v>
          </cell>
        </row>
        <row r="123">
          <cell r="C123" t="str">
            <v>GL502343</v>
          </cell>
          <cell r="D123" t="str">
            <v>美洲区</v>
          </cell>
          <cell r="E123" t="str">
            <v>US人力资源部</v>
          </cell>
          <cell r="F123" t="str">
            <v>美洲HRBP组</v>
          </cell>
          <cell r="G123" t="str">
            <v>东北区HR组</v>
          </cell>
          <cell r="H123" t="str">
            <v/>
          </cell>
          <cell r="I123" t="str">
            <v/>
          </cell>
          <cell r="J123" t="str">
            <v/>
          </cell>
          <cell r="K123" t="str">
            <v>东北区HR组</v>
          </cell>
          <cell r="L123" t="str">
            <v>Junior Recruitment Specialist 初级招聘专员</v>
          </cell>
          <cell r="M123" t="str">
            <v>P1-2</v>
          </cell>
          <cell r="N123" t="str">
            <v/>
          </cell>
          <cell r="O123" t="str">
            <v>2026/02/18</v>
          </cell>
        </row>
        <row r="124">
          <cell r="C124" t="str">
            <v>GL501435</v>
          </cell>
          <cell r="D124" t="str">
            <v>美洲区</v>
          </cell>
          <cell r="E124" t="str">
            <v>TX 德州大区</v>
          </cell>
          <cell r="F124" t="str">
            <v>IAH.H</v>
          </cell>
          <cell r="G124" t="str">
            <v>分拣组</v>
          </cell>
          <cell r="H124" t="str">
            <v/>
          </cell>
          <cell r="I124" t="str">
            <v/>
          </cell>
          <cell r="J124" t="str">
            <v/>
          </cell>
          <cell r="K124" t="str">
            <v>分拣组</v>
          </cell>
          <cell r="L124" t="str">
            <v>Sorter 分拣员</v>
          </cell>
          <cell r="M124" t="str">
            <v>P1-2</v>
          </cell>
          <cell r="N124" t="str">
            <v/>
          </cell>
          <cell r="O124" t="str">
            <v>2025/09/15</v>
          </cell>
        </row>
        <row r="125">
          <cell r="C125" t="str">
            <v>GL500909</v>
          </cell>
          <cell r="D125" t="str">
            <v>美洲区</v>
          </cell>
          <cell r="E125" t="str">
            <v>TX 德州大区</v>
          </cell>
          <cell r="F125" t="str">
            <v>IAH.H</v>
          </cell>
          <cell r="G125" t="str">
            <v>分拣组</v>
          </cell>
          <cell r="H125" t="str">
            <v/>
          </cell>
          <cell r="I125" t="str">
            <v/>
          </cell>
          <cell r="J125" t="str">
            <v/>
          </cell>
          <cell r="K125" t="str">
            <v>分拣组</v>
          </cell>
          <cell r="L125" t="str">
            <v>Sorting Lead 分拣组长</v>
          </cell>
          <cell r="M125" t="str">
            <v>P2-1</v>
          </cell>
          <cell r="N125" t="str">
            <v/>
          </cell>
          <cell r="O125" t="str">
            <v>2025/07/28</v>
          </cell>
        </row>
        <row r="126">
          <cell r="C126" t="str">
            <v>GL502256</v>
          </cell>
          <cell r="D126" t="str">
            <v>美洲区</v>
          </cell>
          <cell r="E126" t="str">
            <v>GL 大湖大区</v>
          </cell>
          <cell r="F126" t="str">
            <v>运营支持部</v>
          </cell>
          <cell r="G126" t="str">
            <v>区域支持组</v>
          </cell>
          <cell r="H126" t="str">
            <v/>
          </cell>
          <cell r="I126" t="str">
            <v/>
          </cell>
          <cell r="J126" t="str">
            <v/>
          </cell>
          <cell r="K126" t="str">
            <v>区域支持组</v>
          </cell>
          <cell r="L126" t="str">
            <v>Regional Support Specialist 区域支持专员</v>
          </cell>
          <cell r="M126" t="str">
            <v>P1-2</v>
          </cell>
          <cell r="N126" t="str">
            <v/>
          </cell>
          <cell r="O126" t="str">
            <v>2026/02/11</v>
          </cell>
        </row>
        <row r="127">
          <cell r="C127" t="str">
            <v>GL502397</v>
          </cell>
          <cell r="D127" t="str">
            <v>美洲区</v>
          </cell>
          <cell r="E127" t="str">
            <v>TX 德州大区</v>
          </cell>
          <cell r="F127" t="str">
            <v>IAH.H</v>
          </cell>
          <cell r="G127" t="str">
            <v>分拣组</v>
          </cell>
          <cell r="H127" t="str">
            <v/>
          </cell>
          <cell r="I127" t="str">
            <v/>
          </cell>
          <cell r="J127" t="str">
            <v/>
          </cell>
          <cell r="K127" t="str">
            <v>分拣组</v>
          </cell>
          <cell r="L127" t="str">
            <v>Sorter 分拣员</v>
          </cell>
          <cell r="M127" t="str">
            <v>P1-2</v>
          </cell>
          <cell r="N127" t="str">
            <v/>
          </cell>
          <cell r="O127" t="str">
            <v>2026/03/02</v>
          </cell>
        </row>
        <row r="128">
          <cell r="C128" t="str">
            <v>GL502070</v>
          </cell>
          <cell r="D128" t="str">
            <v>美洲区</v>
          </cell>
          <cell r="E128" t="str">
            <v>GL 大湖大区</v>
          </cell>
          <cell r="F128" t="str">
            <v>ORD.H</v>
          </cell>
          <cell r="G128" t="str">
            <v>调度组</v>
          </cell>
          <cell r="H128" t="str">
            <v/>
          </cell>
          <cell r="I128" t="str">
            <v/>
          </cell>
          <cell r="J128" t="str">
            <v/>
          </cell>
          <cell r="K128" t="str">
            <v>调度组</v>
          </cell>
          <cell r="L128" t="str">
            <v>Dispatcher 调度员</v>
          </cell>
          <cell r="M128" t="str">
            <v>P1-1</v>
          </cell>
          <cell r="N128" t="str">
            <v/>
          </cell>
          <cell r="O128" t="str">
            <v>2026/01/19</v>
          </cell>
        </row>
        <row r="129">
          <cell r="C129" t="str">
            <v>GL501052</v>
          </cell>
          <cell r="D129" t="str">
            <v>美洲区</v>
          </cell>
          <cell r="E129" t="str">
            <v>TX 德州大区</v>
          </cell>
          <cell r="F129" t="str">
            <v>CT 中德州片区</v>
          </cell>
          <cell r="G129" t="str">
            <v>AUS01</v>
          </cell>
          <cell r="H129" t="str">
            <v/>
          </cell>
          <cell r="I129" t="str">
            <v/>
          </cell>
          <cell r="J129" t="str">
            <v/>
          </cell>
          <cell r="K129" t="str">
            <v>AUS01</v>
          </cell>
          <cell r="L129" t="str">
            <v>Station Operations Specialist 站点运营专员</v>
          </cell>
          <cell r="M129" t="str">
            <v>P1-2</v>
          </cell>
          <cell r="N129" t="str">
            <v/>
          </cell>
          <cell r="O129" t="str">
            <v>2025/07/21</v>
          </cell>
        </row>
        <row r="130">
          <cell r="C130" t="str">
            <v>GL501808</v>
          </cell>
          <cell r="D130" t="str">
            <v>美洲区</v>
          </cell>
          <cell r="E130" t="str">
            <v>FL 佛州大区</v>
          </cell>
          <cell r="F130" t="str">
            <v>WF 西佛片区</v>
          </cell>
          <cell r="G130" t="str">
            <v>SRQ01</v>
          </cell>
          <cell r="H130" t="str">
            <v/>
          </cell>
          <cell r="I130" t="str">
            <v/>
          </cell>
          <cell r="J130" t="str">
            <v/>
          </cell>
          <cell r="K130" t="str">
            <v>SRQ01</v>
          </cell>
          <cell r="L130" t="str">
            <v>Station Operations Specialist 站点运营专员</v>
          </cell>
          <cell r="M130" t="str">
            <v>P1-3</v>
          </cell>
          <cell r="N130" t="str">
            <v/>
          </cell>
          <cell r="O130" t="str">
            <v>2025/12/01</v>
          </cell>
        </row>
        <row r="131">
          <cell r="C131" t="str">
            <v>GL500271</v>
          </cell>
          <cell r="D131" t="str">
            <v>美洲区</v>
          </cell>
          <cell r="E131" t="str">
            <v>MS 中南大区</v>
          </cell>
          <cell r="F131" t="str">
            <v>CS 夏洛特及周边片区</v>
          </cell>
          <cell r="G131" t="str">
            <v>GSO01</v>
          </cell>
          <cell r="H131" t="str">
            <v/>
          </cell>
          <cell r="I131" t="str">
            <v/>
          </cell>
          <cell r="J131" t="str">
            <v/>
          </cell>
          <cell r="K131" t="str">
            <v>GSO01</v>
          </cell>
          <cell r="L131" t="str">
            <v>Station Head 站长</v>
          </cell>
          <cell r="M131" t="str">
            <v>M2-1</v>
          </cell>
          <cell r="N131" t="str">
            <v/>
          </cell>
          <cell r="O131" t="str">
            <v>2025/01/09</v>
          </cell>
        </row>
        <row r="132">
          <cell r="C132" t="str">
            <v>GL502248</v>
          </cell>
          <cell r="D132" t="str">
            <v>欧洲区</v>
          </cell>
          <cell r="E132" t="str">
            <v>NL 荷兰区</v>
          </cell>
          <cell r="F132" t="str">
            <v>南部战区</v>
          </cell>
          <cell r="G132" t="str">
            <v>鹿特丹站-RTD</v>
          </cell>
          <cell r="H132" t="str">
            <v/>
          </cell>
          <cell r="I132" t="str">
            <v/>
          </cell>
          <cell r="J132" t="str">
            <v/>
          </cell>
          <cell r="K132" t="str">
            <v>鹿特丹站-RTD</v>
          </cell>
          <cell r="L132" t="str">
            <v>Warehouse Lead 操作组长</v>
          </cell>
          <cell r="M132" t="str">
            <v>P2-1</v>
          </cell>
          <cell r="N132" t="str">
            <v/>
          </cell>
          <cell r="O132" t="str">
            <v>2026/03/02</v>
          </cell>
        </row>
        <row r="133">
          <cell r="C133" t="str">
            <v>GL501960</v>
          </cell>
          <cell r="D133" t="str">
            <v>美洲区</v>
          </cell>
          <cell r="E133" t="str">
            <v>NE 东北大区</v>
          </cell>
          <cell r="F133" t="str">
            <v>DC 华盛顿片区</v>
          </cell>
          <cell r="G133" t="str">
            <v>BWI01</v>
          </cell>
          <cell r="H133" t="str">
            <v/>
          </cell>
          <cell r="I133" t="str">
            <v/>
          </cell>
          <cell r="J133" t="str">
            <v/>
          </cell>
          <cell r="K133" t="str">
            <v>BWI01</v>
          </cell>
          <cell r="L133" t="str">
            <v>Station Operations Specialist 站点运营专员</v>
          </cell>
          <cell r="M133" t="str">
            <v>P1-3</v>
          </cell>
          <cell r="N133" t="str">
            <v/>
          </cell>
          <cell r="O133" t="str">
            <v>2025/12/15</v>
          </cell>
        </row>
        <row r="134">
          <cell r="C134" t="str">
            <v>GL500278</v>
          </cell>
          <cell r="D134" t="str">
            <v>美洲区</v>
          </cell>
          <cell r="E134" t="str">
            <v>US人力资源部</v>
          </cell>
          <cell r="F134" t="str">
            <v>美洲HRBP组</v>
          </cell>
          <cell r="G134" t="str">
            <v>招聘组</v>
          </cell>
          <cell r="H134" t="str">
            <v/>
          </cell>
          <cell r="I134" t="str">
            <v/>
          </cell>
          <cell r="J134" t="str">
            <v/>
          </cell>
          <cell r="K134" t="str">
            <v>招聘组</v>
          </cell>
          <cell r="L134" t="str">
            <v>Junior Recruitment Specialist 初级招聘专员</v>
          </cell>
          <cell r="M134" t="str">
            <v>P1-2</v>
          </cell>
          <cell r="N134" t="str">
            <v/>
          </cell>
          <cell r="O134" t="str">
            <v>2025/01/03</v>
          </cell>
        </row>
        <row r="135">
          <cell r="C135" t="str">
            <v>GL501722</v>
          </cell>
          <cell r="D135" t="str">
            <v>美洲区</v>
          </cell>
          <cell r="E135" t="str">
            <v>US人力资源部</v>
          </cell>
          <cell r="F135" t="str">
            <v>美洲HRBP组</v>
          </cell>
          <cell r="G135" t="str">
            <v>德州区HR组</v>
          </cell>
          <cell r="H135" t="str">
            <v/>
          </cell>
          <cell r="I135" t="str">
            <v/>
          </cell>
          <cell r="J135" t="str">
            <v/>
          </cell>
          <cell r="K135" t="str">
            <v>德州区HR组</v>
          </cell>
          <cell r="L135" t="str">
            <v>Junior Recruitment Specialist 初级招聘专员</v>
          </cell>
          <cell r="M135" t="str">
            <v>P1-2</v>
          </cell>
          <cell r="N135" t="str">
            <v/>
          </cell>
          <cell r="O135" t="str">
            <v>2025/11/05</v>
          </cell>
        </row>
        <row r="136">
          <cell r="C136" t="str">
            <v>GL501819</v>
          </cell>
          <cell r="D136" t="str">
            <v>美洲区</v>
          </cell>
          <cell r="E136" t="str">
            <v>WE 美西大区</v>
          </cell>
          <cell r="F136" t="str">
            <v>CNO.H</v>
          </cell>
          <cell r="G136" t="str">
            <v>操作组</v>
          </cell>
          <cell r="H136" t="str">
            <v/>
          </cell>
          <cell r="I136" t="str">
            <v/>
          </cell>
          <cell r="J136" t="str">
            <v/>
          </cell>
          <cell r="K136" t="str">
            <v>操作组</v>
          </cell>
          <cell r="L136" t="str">
            <v>Warehouse Operator 操作员</v>
          </cell>
          <cell r="M136" t="str">
            <v>P1-1</v>
          </cell>
          <cell r="N136" t="str">
            <v/>
          </cell>
          <cell r="O136" t="str">
            <v>2025/11/19</v>
          </cell>
        </row>
        <row r="137">
          <cell r="C137" t="str">
            <v>GL502086</v>
          </cell>
          <cell r="D137" t="str">
            <v>美洲区</v>
          </cell>
          <cell r="E137" t="str">
            <v>TX 德州大区</v>
          </cell>
          <cell r="F137" t="str">
            <v>CT 中德州片区</v>
          </cell>
          <cell r="G137" t="str">
            <v>MEM01</v>
          </cell>
          <cell r="H137" t="str">
            <v/>
          </cell>
          <cell r="I137" t="str">
            <v/>
          </cell>
          <cell r="J137" t="str">
            <v/>
          </cell>
          <cell r="K137" t="str">
            <v>MEM01</v>
          </cell>
          <cell r="L137" t="str">
            <v>Station Operations Specialist 站点运营专员</v>
          </cell>
          <cell r="M137" t="str">
            <v>P1-2</v>
          </cell>
          <cell r="N137" t="str">
            <v/>
          </cell>
          <cell r="O137" t="str">
            <v>2026/01/12</v>
          </cell>
        </row>
        <row r="138">
          <cell r="C138" t="str">
            <v>GL502531</v>
          </cell>
          <cell r="D138" t="str">
            <v>欧洲区</v>
          </cell>
          <cell r="E138" t="str">
            <v>FR 法国区</v>
          </cell>
          <cell r="F138" t="str">
            <v>东部战区</v>
          </cell>
          <cell r="G138" t="str">
            <v>里昂-LYN</v>
          </cell>
          <cell r="H138" t="str">
            <v/>
          </cell>
          <cell r="I138" t="str">
            <v/>
          </cell>
          <cell r="J138" t="str">
            <v/>
          </cell>
          <cell r="K138" t="str">
            <v>里昂-LYN</v>
          </cell>
          <cell r="L138" t="str">
            <v>Warehouse Operator操作员</v>
          </cell>
          <cell r="M138" t="str">
            <v>P1-2</v>
          </cell>
          <cell r="N138" t="str">
            <v/>
          </cell>
          <cell r="O138" t="str">
            <v>2026/03/23</v>
          </cell>
        </row>
        <row r="139">
          <cell r="C139" t="str">
            <v>GL501613</v>
          </cell>
          <cell r="D139" t="str">
            <v>欧洲区</v>
          </cell>
          <cell r="E139" t="str">
            <v>FR 法国区</v>
          </cell>
          <cell r="F139" t="str">
            <v>南部战区</v>
          </cell>
          <cell r="G139" t="str">
            <v>马赛-MSL</v>
          </cell>
          <cell r="H139" t="str">
            <v/>
          </cell>
          <cell r="I139" t="str">
            <v/>
          </cell>
          <cell r="J139" t="str">
            <v/>
          </cell>
          <cell r="K139" t="str">
            <v>马赛-MSL</v>
          </cell>
          <cell r="L139" t="str">
            <v>Terminal  Specialist终端专员</v>
          </cell>
          <cell r="M139" t="str">
            <v>P1-2</v>
          </cell>
          <cell r="N139" t="str">
            <v/>
          </cell>
          <cell r="O139" t="str">
            <v>2025/10/20</v>
          </cell>
        </row>
        <row r="140">
          <cell r="C140" t="str">
            <v>GL502324</v>
          </cell>
          <cell r="D140" t="str">
            <v>欧洲区</v>
          </cell>
          <cell r="E140" t="str">
            <v>FR 法国区</v>
          </cell>
          <cell r="F140" t="str">
            <v>巴黎枢纽仓</v>
          </cell>
          <cell r="G140" t="str">
            <v>理货入库组</v>
          </cell>
          <cell r="H140" t="str">
            <v/>
          </cell>
          <cell r="I140" t="str">
            <v/>
          </cell>
          <cell r="J140" t="str">
            <v/>
          </cell>
          <cell r="K140" t="str">
            <v>理货入库组</v>
          </cell>
          <cell r="L140" t="str">
            <v>Warehouse Operator操作员</v>
          </cell>
          <cell r="M140" t="str">
            <v>P1-2</v>
          </cell>
          <cell r="N140" t="str">
            <v/>
          </cell>
          <cell r="O140" t="str">
            <v>2026/03/02</v>
          </cell>
        </row>
        <row r="141">
          <cell r="C141" t="str">
            <v>GL501996</v>
          </cell>
          <cell r="D141" t="str">
            <v>美洲区</v>
          </cell>
          <cell r="E141" t="str">
            <v>MS 中南大区</v>
          </cell>
          <cell r="F141" t="str">
            <v>CS 夏洛特及周边片区</v>
          </cell>
          <cell r="G141" t="str">
            <v>CAE01</v>
          </cell>
          <cell r="H141" t="str">
            <v/>
          </cell>
          <cell r="I141" t="str">
            <v/>
          </cell>
          <cell r="J141" t="str">
            <v/>
          </cell>
          <cell r="K141" t="str">
            <v>CAE01</v>
          </cell>
          <cell r="L141" t="str">
            <v>Warehouse Operator 操作员</v>
          </cell>
          <cell r="M141" t="str">
            <v>P1-2</v>
          </cell>
          <cell r="N141" t="str">
            <v/>
          </cell>
          <cell r="O141" t="str">
            <v>2025/12/20</v>
          </cell>
        </row>
        <row r="142">
          <cell r="C142" t="str">
            <v>GL501994</v>
          </cell>
          <cell r="D142" t="str">
            <v>美洲区</v>
          </cell>
          <cell r="E142" t="str">
            <v>NE 东北大区</v>
          </cell>
          <cell r="F142" t="str">
            <v>EWR.H</v>
          </cell>
          <cell r="G142" t="str">
            <v>异常处理组</v>
          </cell>
          <cell r="H142" t="str">
            <v/>
          </cell>
          <cell r="I142" t="str">
            <v/>
          </cell>
          <cell r="J142" t="str">
            <v/>
          </cell>
          <cell r="K142" t="str">
            <v>异常处理组</v>
          </cell>
          <cell r="L142" t="str">
            <v>Returns Specialist 退件员</v>
          </cell>
          <cell r="M142" t="str">
            <v>P1-1</v>
          </cell>
          <cell r="N142" t="str">
            <v/>
          </cell>
          <cell r="O142" t="str">
            <v>2025/12/22</v>
          </cell>
        </row>
        <row r="143">
          <cell r="C143" t="str">
            <v>GL502294</v>
          </cell>
          <cell r="D143" t="str">
            <v>美洲区</v>
          </cell>
          <cell r="E143" t="str">
            <v>NE 东北大区</v>
          </cell>
          <cell r="F143" t="str">
            <v>运营支持部</v>
          </cell>
          <cell r="G143" t="str">
            <v>区域支持组</v>
          </cell>
          <cell r="H143" t="str">
            <v/>
          </cell>
          <cell r="I143" t="str">
            <v/>
          </cell>
          <cell r="J143" t="str">
            <v/>
          </cell>
          <cell r="K143" t="str">
            <v>区域支持组</v>
          </cell>
          <cell r="L143" t="str">
            <v>Station Trainee 站点培训生</v>
          </cell>
          <cell r="M143" t="str">
            <v>P1-2</v>
          </cell>
          <cell r="N143" t="str">
            <v/>
          </cell>
          <cell r="O143" t="str">
            <v>2026/02/23</v>
          </cell>
        </row>
        <row r="144">
          <cell r="C144" t="str">
            <v>GL500314</v>
          </cell>
          <cell r="D144" t="str">
            <v>美洲区</v>
          </cell>
          <cell r="E144" t="str">
            <v>WE 美西大区</v>
          </cell>
          <cell r="F144" t="str">
            <v>SP 西雅图·波特兰片区</v>
          </cell>
          <cell r="G144" t="str">
            <v>SEA01</v>
          </cell>
          <cell r="H144" t="str">
            <v/>
          </cell>
          <cell r="I144" t="str">
            <v/>
          </cell>
          <cell r="J144" t="str">
            <v/>
          </cell>
          <cell r="K144" t="str">
            <v>SEA01</v>
          </cell>
          <cell r="L144" t="str">
            <v>Station Head 站长</v>
          </cell>
          <cell r="M144" t="str">
            <v>M2-1</v>
          </cell>
          <cell r="N144" t="str">
            <v/>
          </cell>
          <cell r="O144" t="str">
            <v>2024/12/23</v>
          </cell>
        </row>
        <row r="145">
          <cell r="C145" t="str">
            <v>GL501533</v>
          </cell>
          <cell r="D145" t="str">
            <v>欧洲区</v>
          </cell>
          <cell r="E145" t="str">
            <v>FR 法国区</v>
          </cell>
          <cell r="F145" t="str">
            <v>安全与合规部</v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>安全与合规部</v>
          </cell>
          <cell r="L145" t="str">
            <v>Safety Compliance Specialist安全合规专员</v>
          </cell>
          <cell r="M145" t="str">
            <v>P1-2</v>
          </cell>
          <cell r="N145" t="str">
            <v/>
          </cell>
          <cell r="O145" t="str">
            <v>2025/10/01</v>
          </cell>
        </row>
        <row r="146">
          <cell r="C146" t="str">
            <v>GL500901</v>
          </cell>
          <cell r="D146" t="str">
            <v>欧洲区</v>
          </cell>
          <cell r="E146" t="str">
            <v>FR 法国区</v>
          </cell>
          <cell r="F146" t="str">
            <v>本地客户部</v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>本地客户部</v>
          </cell>
          <cell r="L146" t="str">
            <v>Senior Sales Supervisor高级销售主管</v>
          </cell>
          <cell r="M146" t="str">
            <v>P2-3</v>
          </cell>
          <cell r="N146" t="str">
            <v/>
          </cell>
          <cell r="O146" t="str">
            <v>2025/10/01</v>
          </cell>
        </row>
        <row r="147">
          <cell r="C147" t="str">
            <v>GL501669</v>
          </cell>
          <cell r="D147" t="str">
            <v>欧洲区</v>
          </cell>
          <cell r="E147" t="str">
            <v>FR 法国区</v>
          </cell>
          <cell r="F147" t="str">
            <v>东部战区</v>
          </cell>
          <cell r="G147" t="str">
            <v>里昂-LYN</v>
          </cell>
          <cell r="H147" t="str">
            <v/>
          </cell>
          <cell r="I147" t="str">
            <v/>
          </cell>
          <cell r="J147" t="str">
            <v/>
          </cell>
          <cell r="K147" t="str">
            <v>里昂-LYN</v>
          </cell>
          <cell r="L147" t="str">
            <v>Warehouse Operator操作员</v>
          </cell>
          <cell r="M147" t="str">
            <v>P1-1</v>
          </cell>
          <cell r="N147" t="str">
            <v/>
          </cell>
          <cell r="O147" t="str">
            <v>2025/10/27</v>
          </cell>
        </row>
        <row r="148">
          <cell r="C148" t="str">
            <v>GL502083</v>
          </cell>
          <cell r="D148" t="str">
            <v>欧洲区</v>
          </cell>
          <cell r="E148" t="str">
            <v>CS 客户服务部</v>
          </cell>
          <cell r="F148" t="str">
            <v>意大利客户服务组</v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>意大利客户服务组</v>
          </cell>
          <cell r="L148" t="str">
            <v>CS Specialist 客服专员</v>
          </cell>
          <cell r="M148" t="str">
            <v>P1-3</v>
          </cell>
          <cell r="N148" t="str">
            <v/>
          </cell>
          <cell r="O148" t="str">
            <v>2026/01/12</v>
          </cell>
        </row>
        <row r="149">
          <cell r="C149" t="str">
            <v>GL501414</v>
          </cell>
          <cell r="D149" t="str">
            <v>美洲区</v>
          </cell>
          <cell r="E149" t="str">
            <v>OM 操作管理部</v>
          </cell>
          <cell r="F149" t="str">
            <v>实施运营组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>实施运营组</v>
          </cell>
          <cell r="L149" t="str">
            <v>Senior Implementation Operations Specialist 高级实施运营专员</v>
          </cell>
          <cell r="M149" t="str">
            <v>P2-1</v>
          </cell>
          <cell r="N149" t="str">
            <v/>
          </cell>
          <cell r="O149" t="str">
            <v>2025/09/15</v>
          </cell>
        </row>
        <row r="150">
          <cell r="C150" t="str">
            <v>GL501384</v>
          </cell>
          <cell r="D150" t="str">
            <v>美洲区</v>
          </cell>
          <cell r="E150" t="str">
            <v>WE 美西大区</v>
          </cell>
          <cell r="F150" t="str">
            <v>CNO.H</v>
          </cell>
          <cell r="G150" t="str">
            <v>异常处理组</v>
          </cell>
          <cell r="H150" t="str">
            <v/>
          </cell>
          <cell r="I150" t="str">
            <v/>
          </cell>
          <cell r="J150" t="str">
            <v/>
          </cell>
          <cell r="K150" t="str">
            <v>异常处理组</v>
          </cell>
          <cell r="L150" t="str">
            <v>Returns Specialist 退件员</v>
          </cell>
          <cell r="M150" t="str">
            <v>P1-1</v>
          </cell>
          <cell r="N150" t="str">
            <v/>
          </cell>
          <cell r="O150" t="str">
            <v>2025/09/04</v>
          </cell>
        </row>
        <row r="151">
          <cell r="C151" t="str">
            <v>GL502567</v>
          </cell>
          <cell r="D151" t="str">
            <v>美洲区</v>
          </cell>
          <cell r="E151" t="str">
            <v>Ground项目部</v>
          </cell>
          <cell r="F151" t="str">
            <v>OG 美西区</v>
          </cell>
          <cell r="G151" t="str">
            <v>CNO.G</v>
          </cell>
          <cell r="H151" t="str">
            <v>调度组</v>
          </cell>
          <cell r="I151" t="str">
            <v/>
          </cell>
          <cell r="J151" t="str">
            <v/>
          </cell>
          <cell r="K151" t="str">
            <v>调度组</v>
          </cell>
          <cell r="L151" t="str">
            <v>Dispatcher 调度员</v>
          </cell>
          <cell r="M151" t="str">
            <v>P1-2</v>
          </cell>
          <cell r="N151" t="str">
            <v/>
          </cell>
          <cell r="O151" t="str">
            <v>2026/03/27</v>
          </cell>
        </row>
        <row r="152">
          <cell r="C152" t="str">
            <v>GL501887</v>
          </cell>
          <cell r="D152" t="str">
            <v>美洲区</v>
          </cell>
          <cell r="E152" t="str">
            <v>Ground项目部</v>
          </cell>
          <cell r="F152" t="str">
            <v>OG 美西区</v>
          </cell>
          <cell r="G152" t="str">
            <v>SE981</v>
          </cell>
          <cell r="H152" t="str">
            <v/>
          </cell>
          <cell r="I152" t="str">
            <v/>
          </cell>
          <cell r="J152" t="str">
            <v/>
          </cell>
          <cell r="K152" t="str">
            <v>SE981</v>
          </cell>
          <cell r="L152" t="str">
            <v>Station Operations Specialist 站点运营专员</v>
          </cell>
          <cell r="M152" t="str">
            <v>P2-1</v>
          </cell>
          <cell r="N152" t="str">
            <v/>
          </cell>
          <cell r="O152" t="str">
            <v>2025/11/29</v>
          </cell>
        </row>
        <row r="153">
          <cell r="C153" t="str">
            <v>GL500407</v>
          </cell>
          <cell r="D153" t="str">
            <v>美洲区</v>
          </cell>
          <cell r="E153" t="str">
            <v>MS 中南大区</v>
          </cell>
          <cell r="F153" t="str">
            <v>AS 奥萨查沿海片区</v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>AS 奥萨查沿海片区</v>
          </cell>
          <cell r="L153" t="str">
            <v>District Head 片区长</v>
          </cell>
          <cell r="M153" t="str">
            <v>M2-2</v>
          </cell>
          <cell r="N153" t="str">
            <v/>
          </cell>
          <cell r="O153" t="str">
            <v>2024/10/01</v>
          </cell>
        </row>
        <row r="154">
          <cell r="C154" t="str">
            <v>GL501872</v>
          </cell>
          <cell r="D154" t="str">
            <v>美洲区</v>
          </cell>
          <cell r="E154" t="str">
            <v>WE 美西大区</v>
          </cell>
          <cell r="F154" t="str">
            <v>SP 西雅图·波特兰片区</v>
          </cell>
          <cell r="G154" t="str">
            <v>PDX01</v>
          </cell>
          <cell r="H154" t="str">
            <v/>
          </cell>
          <cell r="I154" t="str">
            <v/>
          </cell>
          <cell r="J154" t="str">
            <v/>
          </cell>
          <cell r="K154" t="str">
            <v>PDX01</v>
          </cell>
          <cell r="L154" t="str">
            <v>Station Operations Specialist 站点运营专员</v>
          </cell>
          <cell r="M154" t="str">
            <v>P2-1</v>
          </cell>
          <cell r="N154" t="str">
            <v/>
          </cell>
          <cell r="O154" t="str">
            <v>2025/11/27</v>
          </cell>
        </row>
        <row r="155">
          <cell r="C155" t="str">
            <v>GL502178</v>
          </cell>
          <cell r="D155" t="str">
            <v>美洲区</v>
          </cell>
          <cell r="E155" t="str">
            <v>WE 美西大区</v>
          </cell>
          <cell r="F155" t="str">
            <v>LAV.H</v>
          </cell>
          <cell r="G155" t="str">
            <v>调度组</v>
          </cell>
          <cell r="H155" t="str">
            <v/>
          </cell>
          <cell r="I155" t="str">
            <v/>
          </cell>
          <cell r="J155" t="str">
            <v/>
          </cell>
          <cell r="K155" t="str">
            <v>调度组</v>
          </cell>
          <cell r="L155" t="str">
            <v>Dispatcher 调度员</v>
          </cell>
          <cell r="M155" t="str">
            <v>P1-1</v>
          </cell>
          <cell r="N155" t="str">
            <v/>
          </cell>
          <cell r="O155" t="str">
            <v>2026/01/28</v>
          </cell>
        </row>
        <row r="156">
          <cell r="C156" t="str">
            <v>GL502193</v>
          </cell>
          <cell r="D156" t="str">
            <v>美洲区</v>
          </cell>
          <cell r="E156" t="str">
            <v>NE 东北大区</v>
          </cell>
          <cell r="F156" t="str">
            <v>DC 华盛顿片区</v>
          </cell>
          <cell r="G156" t="str">
            <v>BWI01</v>
          </cell>
          <cell r="H156" t="str">
            <v/>
          </cell>
          <cell r="I156" t="str">
            <v/>
          </cell>
          <cell r="J156" t="str">
            <v/>
          </cell>
          <cell r="K156" t="str">
            <v>BWI01</v>
          </cell>
          <cell r="L156" t="str">
            <v>Station Operations Specialist 站点运营专员</v>
          </cell>
          <cell r="M156" t="str">
            <v>P1-2</v>
          </cell>
          <cell r="N156" t="str">
            <v/>
          </cell>
          <cell r="O156" t="str">
            <v>2026/02/16</v>
          </cell>
        </row>
        <row r="157">
          <cell r="C157" t="str">
            <v>GL502542</v>
          </cell>
          <cell r="D157" t="str">
            <v>美洲区</v>
          </cell>
          <cell r="E157" t="str">
            <v>NE 东北大区</v>
          </cell>
          <cell r="F157" t="str">
            <v>DC 华盛顿片区</v>
          </cell>
          <cell r="G157" t="str">
            <v>RIC01</v>
          </cell>
          <cell r="H157" t="str">
            <v/>
          </cell>
          <cell r="I157" t="str">
            <v/>
          </cell>
          <cell r="J157" t="str">
            <v/>
          </cell>
          <cell r="K157" t="str">
            <v>RIC01</v>
          </cell>
          <cell r="L157" t="str">
            <v>Station Operations Specialist 站点运营专员</v>
          </cell>
          <cell r="M157" t="str">
            <v>P1-2</v>
          </cell>
          <cell r="N157" t="str">
            <v/>
          </cell>
          <cell r="O157" t="str">
            <v>2026/03/23</v>
          </cell>
        </row>
        <row r="158">
          <cell r="C158" t="str">
            <v>GL502136</v>
          </cell>
          <cell r="D158" t="str">
            <v>美洲区</v>
          </cell>
          <cell r="E158" t="str">
            <v>TX 德州大区</v>
          </cell>
          <cell r="F158" t="str">
            <v>DFW.H</v>
          </cell>
          <cell r="G158" t="str">
            <v>调度组</v>
          </cell>
          <cell r="H158" t="str">
            <v/>
          </cell>
          <cell r="I158" t="str">
            <v/>
          </cell>
          <cell r="J158" t="str">
            <v/>
          </cell>
          <cell r="K158" t="str">
            <v>调度组</v>
          </cell>
          <cell r="L158" t="str">
            <v>Dispatcher 调度员</v>
          </cell>
          <cell r="M158" t="str">
            <v>P1-2</v>
          </cell>
          <cell r="N158" t="str">
            <v/>
          </cell>
          <cell r="O158" t="str">
            <v>2026/01/20</v>
          </cell>
        </row>
        <row r="159">
          <cell r="C159" t="str">
            <v>GL501367</v>
          </cell>
          <cell r="D159" t="str">
            <v>欧洲区</v>
          </cell>
          <cell r="E159" t="str">
            <v>NL 荷兰区</v>
          </cell>
          <cell r="F159" t="str">
            <v>南部战区</v>
          </cell>
          <cell r="G159" t="str">
            <v>终端运营组</v>
          </cell>
          <cell r="H159" t="str">
            <v/>
          </cell>
          <cell r="I159" t="str">
            <v/>
          </cell>
          <cell r="J159" t="str">
            <v/>
          </cell>
          <cell r="K159" t="str">
            <v>终端运营组</v>
          </cell>
          <cell r="L159" t="str">
            <v>Terminal  Specialist 终端专员</v>
          </cell>
          <cell r="M159" t="str">
            <v>P1-2</v>
          </cell>
          <cell r="N159" t="str">
            <v/>
          </cell>
          <cell r="O159" t="str">
            <v>2025/09/08</v>
          </cell>
        </row>
        <row r="160">
          <cell r="C160" t="str">
            <v>GL500110</v>
          </cell>
          <cell r="D160" t="str">
            <v>欧洲区</v>
          </cell>
          <cell r="E160" t="str">
            <v>NL 荷兰区</v>
          </cell>
          <cell r="F160" t="str">
            <v>阿姆枢纽仓</v>
          </cell>
          <cell r="G160" t="str">
            <v>分拣出库组</v>
          </cell>
          <cell r="H160" t="str">
            <v>设备分拣组</v>
          </cell>
          <cell r="I160" t="str">
            <v/>
          </cell>
          <cell r="J160" t="str">
            <v/>
          </cell>
          <cell r="K160" t="str">
            <v>设备分拣组</v>
          </cell>
          <cell r="L160" t="str">
            <v>Warehouse Operator 操作员</v>
          </cell>
          <cell r="M160" t="str">
            <v>P1-1</v>
          </cell>
          <cell r="N160" t="str">
            <v/>
          </cell>
          <cell r="O160" t="str">
            <v>2025/04/07</v>
          </cell>
        </row>
        <row r="161">
          <cell r="C161" t="str">
            <v>GL502135</v>
          </cell>
          <cell r="D161" t="str">
            <v>美洲区</v>
          </cell>
          <cell r="E161" t="str">
            <v>TX 德州大区</v>
          </cell>
          <cell r="F161" t="str">
            <v>DFW.H</v>
          </cell>
          <cell r="G161" t="str">
            <v>分拣组</v>
          </cell>
          <cell r="H161" t="str">
            <v/>
          </cell>
          <cell r="I161" t="str">
            <v/>
          </cell>
          <cell r="J161" t="str">
            <v/>
          </cell>
          <cell r="K161" t="str">
            <v>分拣组</v>
          </cell>
          <cell r="L161" t="str">
            <v>Sorter 分拣员</v>
          </cell>
          <cell r="M161" t="str">
            <v>P1-2</v>
          </cell>
          <cell r="N161" t="str">
            <v/>
          </cell>
          <cell r="O161" t="str">
            <v>2026/01/20</v>
          </cell>
        </row>
        <row r="162">
          <cell r="C162" t="str">
            <v>GL501657</v>
          </cell>
          <cell r="D162" t="str">
            <v>美洲区</v>
          </cell>
          <cell r="E162" t="str">
            <v>TX 德州大区</v>
          </cell>
          <cell r="F162" t="str">
            <v>运营支持部</v>
          </cell>
          <cell r="G162" t="str">
            <v>区域支持组</v>
          </cell>
          <cell r="H162" t="str">
            <v/>
          </cell>
          <cell r="I162" t="str">
            <v/>
          </cell>
          <cell r="J162" t="str">
            <v/>
          </cell>
          <cell r="K162" t="str">
            <v>区域支持组</v>
          </cell>
          <cell r="L162" t="str">
            <v>Regional Support Specialist 区域支持专员</v>
          </cell>
          <cell r="M162" t="str">
            <v>P1-2</v>
          </cell>
          <cell r="N162" t="str">
            <v/>
          </cell>
          <cell r="O162" t="str">
            <v>2025/11/05</v>
          </cell>
        </row>
        <row r="163">
          <cell r="C163" t="str">
            <v>GL500369</v>
          </cell>
          <cell r="D163" t="str">
            <v>美洲区</v>
          </cell>
          <cell r="E163" t="str">
            <v>DO 数字运营部</v>
          </cell>
          <cell r="F163" t="str">
            <v>美国技术支持组</v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>美国技术支持组</v>
          </cell>
          <cell r="L163" t="str">
            <v>IT support 技术支持工程师</v>
          </cell>
          <cell r="M163" t="str">
            <v>P1-1</v>
          </cell>
          <cell r="N163" t="str">
            <v/>
          </cell>
          <cell r="O163" t="str">
            <v>2024/07/22</v>
          </cell>
        </row>
        <row r="164">
          <cell r="C164" t="str">
            <v>GL502127</v>
          </cell>
          <cell r="D164" t="str">
            <v>美洲区</v>
          </cell>
          <cell r="E164" t="str">
            <v>NE 东北大区</v>
          </cell>
          <cell r="F164" t="str">
            <v>BN 布法罗片区</v>
          </cell>
          <cell r="G164" t="str">
            <v>SYR01</v>
          </cell>
          <cell r="H164" t="str">
            <v/>
          </cell>
          <cell r="I164" t="str">
            <v/>
          </cell>
          <cell r="J164" t="str">
            <v/>
          </cell>
          <cell r="K164" t="str">
            <v>SYR01</v>
          </cell>
          <cell r="L164" t="str">
            <v>Station Operations Specialist 站点运营专员</v>
          </cell>
          <cell r="M164" t="str">
            <v>P1-2</v>
          </cell>
          <cell r="N164" t="str">
            <v/>
          </cell>
          <cell r="O164" t="str">
            <v>2026/02/14</v>
          </cell>
        </row>
        <row r="165">
          <cell r="C165" t="str">
            <v>GL501606</v>
          </cell>
          <cell r="D165" t="str">
            <v>美洲区</v>
          </cell>
          <cell r="E165" t="str">
            <v>TX 德州大区</v>
          </cell>
          <cell r="F165" t="str">
            <v>DFW.H</v>
          </cell>
          <cell r="G165" t="str">
            <v>调度组</v>
          </cell>
          <cell r="H165" t="str">
            <v/>
          </cell>
          <cell r="I165" t="str">
            <v/>
          </cell>
          <cell r="J165" t="str">
            <v/>
          </cell>
          <cell r="K165" t="str">
            <v>调度组</v>
          </cell>
          <cell r="L165" t="str">
            <v>Dispatcher 调度员</v>
          </cell>
          <cell r="M165" t="str">
            <v>P1-2</v>
          </cell>
          <cell r="N165" t="str">
            <v/>
          </cell>
          <cell r="O165" t="str">
            <v>2025/10/16</v>
          </cell>
        </row>
        <row r="166">
          <cell r="C166" t="str">
            <v>GL500910</v>
          </cell>
          <cell r="D166" t="str">
            <v>美洲区</v>
          </cell>
          <cell r="E166" t="str">
            <v>MS 中南大区</v>
          </cell>
          <cell r="F166" t="str">
            <v>AS 亚特兰大和南阿拉巴马片区</v>
          </cell>
          <cell r="G166" t="str">
            <v>ATL01</v>
          </cell>
          <cell r="H166" t="str">
            <v/>
          </cell>
          <cell r="I166" t="str">
            <v/>
          </cell>
          <cell r="J166" t="str">
            <v/>
          </cell>
          <cell r="K166" t="str">
            <v>ATL01</v>
          </cell>
          <cell r="L166" t="str">
            <v>Station Operations Specialist 站点运营专员</v>
          </cell>
          <cell r="M166" t="str">
            <v>P1-3</v>
          </cell>
          <cell r="N166" t="str">
            <v/>
          </cell>
          <cell r="O166" t="str">
            <v>2025/07/21</v>
          </cell>
        </row>
        <row r="167">
          <cell r="C167" t="str">
            <v>GL502396</v>
          </cell>
          <cell r="D167" t="str">
            <v>欧洲区</v>
          </cell>
          <cell r="E167" t="str">
            <v>IT 意大利区</v>
          </cell>
          <cell r="F167" t="str">
            <v>北部战区</v>
          </cell>
          <cell r="G167" t="str">
            <v>终端运营组</v>
          </cell>
          <cell r="H167" t="str">
            <v>都灵站</v>
          </cell>
          <cell r="I167" t="str">
            <v/>
          </cell>
          <cell r="J167" t="str">
            <v/>
          </cell>
          <cell r="K167" t="str">
            <v>都灵站</v>
          </cell>
          <cell r="L167" t="str">
            <v>Terminal Specialist 终端专员</v>
          </cell>
          <cell r="M167" t="str">
            <v>P1-2</v>
          </cell>
          <cell r="N167" t="str">
            <v/>
          </cell>
          <cell r="O167" t="str">
            <v>2026/03/02</v>
          </cell>
        </row>
        <row r="168">
          <cell r="C168" t="str">
            <v>GL501477</v>
          </cell>
          <cell r="D168" t="str">
            <v>欧洲区</v>
          </cell>
          <cell r="E168" t="str">
            <v>FR 法国区</v>
          </cell>
          <cell r="F168" t="str">
            <v>巴黎枢纽仓</v>
          </cell>
          <cell r="G168" t="str">
            <v>设备分拣组</v>
          </cell>
          <cell r="H168" t="str">
            <v/>
          </cell>
          <cell r="I168" t="str">
            <v/>
          </cell>
          <cell r="J168" t="str">
            <v/>
          </cell>
          <cell r="K168" t="str">
            <v>设备分拣组</v>
          </cell>
          <cell r="L168" t="str">
            <v>Warehouse Operator操作员</v>
          </cell>
          <cell r="M168" t="str">
            <v>P1-1</v>
          </cell>
          <cell r="N168" t="str">
            <v/>
          </cell>
          <cell r="O168" t="str">
            <v>2025/09/22</v>
          </cell>
        </row>
        <row r="169">
          <cell r="C169" t="str">
            <v>GL500139</v>
          </cell>
          <cell r="D169" t="str">
            <v>欧洲区</v>
          </cell>
          <cell r="E169" t="str">
            <v>FR 法国区</v>
          </cell>
          <cell r="F169" t="str">
            <v>巴黎枢纽仓</v>
          </cell>
          <cell r="G169" t="str">
            <v>干线出库组</v>
          </cell>
          <cell r="H169" t="str">
            <v/>
          </cell>
          <cell r="I169" t="str">
            <v/>
          </cell>
          <cell r="J169" t="str">
            <v/>
          </cell>
          <cell r="K169" t="str">
            <v>干线出库组</v>
          </cell>
          <cell r="L169" t="str">
            <v>Warehouse Operator操作员</v>
          </cell>
          <cell r="M169" t="str">
            <v>P1-1</v>
          </cell>
          <cell r="N169" t="str">
            <v/>
          </cell>
          <cell r="O169" t="str">
            <v>2025/03/25</v>
          </cell>
        </row>
        <row r="170">
          <cell r="C170" t="str">
            <v>GL500564</v>
          </cell>
          <cell r="D170" t="str">
            <v>美洲区</v>
          </cell>
          <cell r="E170" t="str">
            <v>Ground项目部</v>
          </cell>
          <cell r="F170" t="str">
            <v>OG 美东区</v>
          </cell>
          <cell r="G170" t="str">
            <v>CB080</v>
          </cell>
          <cell r="H170" t="str">
            <v/>
          </cell>
          <cell r="I170" t="str">
            <v/>
          </cell>
          <cell r="J170" t="str">
            <v/>
          </cell>
          <cell r="K170" t="str">
            <v>CB080</v>
          </cell>
          <cell r="L170" t="str">
            <v>Station Operations Specialist 站点运营专员</v>
          </cell>
          <cell r="M170" t="str">
            <v>P1-1</v>
          </cell>
          <cell r="N170" t="str">
            <v/>
          </cell>
          <cell r="O170" t="str">
            <v>2025/04/07</v>
          </cell>
        </row>
        <row r="171">
          <cell r="C171" t="str">
            <v>GL502431</v>
          </cell>
          <cell r="D171" t="str">
            <v>美洲区</v>
          </cell>
          <cell r="E171" t="str">
            <v>MS 中南大区</v>
          </cell>
          <cell r="F171" t="str">
            <v>AS 亚特兰大和南阿拉巴马片区</v>
          </cell>
          <cell r="G171" t="str">
            <v>CSG01</v>
          </cell>
          <cell r="H171" t="str">
            <v/>
          </cell>
          <cell r="I171" t="str">
            <v/>
          </cell>
          <cell r="J171" t="str">
            <v/>
          </cell>
          <cell r="K171" t="str">
            <v>CSG01</v>
          </cell>
          <cell r="L171" t="str">
            <v>Station Operations Specialist 站点运营专员</v>
          </cell>
          <cell r="M171" t="str">
            <v>P1-2</v>
          </cell>
          <cell r="N171" t="str">
            <v/>
          </cell>
          <cell r="O171" t="str">
            <v>2026/03/09</v>
          </cell>
        </row>
        <row r="172">
          <cell r="C172" t="str">
            <v>GL502330</v>
          </cell>
          <cell r="D172" t="str">
            <v>美洲区</v>
          </cell>
          <cell r="E172" t="str">
            <v>NE 东北大区</v>
          </cell>
          <cell r="F172" t="str">
            <v>运营支持部</v>
          </cell>
          <cell r="G172" t="str">
            <v>区域支持组</v>
          </cell>
          <cell r="H172" t="str">
            <v/>
          </cell>
          <cell r="I172" t="str">
            <v/>
          </cell>
          <cell r="J172" t="str">
            <v/>
          </cell>
          <cell r="K172" t="str">
            <v>区域支持组</v>
          </cell>
          <cell r="L172" t="str">
            <v>Station Trainee 站点培训生</v>
          </cell>
          <cell r="M172" t="str">
            <v>P1-2</v>
          </cell>
          <cell r="N172" t="str">
            <v/>
          </cell>
          <cell r="O172" t="str">
            <v>2026/02/25</v>
          </cell>
        </row>
        <row r="173">
          <cell r="C173" t="str">
            <v>GL501543</v>
          </cell>
          <cell r="D173" t="str">
            <v>美洲区</v>
          </cell>
          <cell r="E173" t="str">
            <v>FL 佛州大区</v>
          </cell>
          <cell r="F173" t="str">
            <v>WF 西佛片区</v>
          </cell>
          <cell r="G173" t="str">
            <v>FTM01</v>
          </cell>
          <cell r="H173" t="str">
            <v/>
          </cell>
          <cell r="I173" t="str">
            <v/>
          </cell>
          <cell r="J173" t="str">
            <v/>
          </cell>
          <cell r="K173" t="str">
            <v>FTM01</v>
          </cell>
          <cell r="L173" t="str">
            <v>Station Operations Specialist 站点运营专员</v>
          </cell>
          <cell r="M173" t="str">
            <v>P1-1</v>
          </cell>
          <cell r="N173" t="str">
            <v/>
          </cell>
          <cell r="O173" t="str">
            <v>2025/10/02</v>
          </cell>
        </row>
        <row r="174">
          <cell r="C174" t="str">
            <v>GL502450</v>
          </cell>
          <cell r="D174" t="str">
            <v>美洲区</v>
          </cell>
          <cell r="E174" t="str">
            <v>TX 德州大区</v>
          </cell>
          <cell r="F174" t="str">
            <v>IAH.H</v>
          </cell>
          <cell r="G174" t="str">
            <v>调度组</v>
          </cell>
          <cell r="H174" t="str">
            <v/>
          </cell>
          <cell r="I174" t="str">
            <v/>
          </cell>
          <cell r="J174" t="str">
            <v/>
          </cell>
          <cell r="K174" t="str">
            <v>调度组</v>
          </cell>
          <cell r="L174" t="str">
            <v>Dispatcher 调度员</v>
          </cell>
          <cell r="M174" t="str">
            <v>P1-2</v>
          </cell>
          <cell r="N174" t="str">
            <v/>
          </cell>
          <cell r="O174" t="str">
            <v>2026/03/18</v>
          </cell>
        </row>
        <row r="175">
          <cell r="C175" t="str">
            <v>GL501241</v>
          </cell>
          <cell r="D175" t="str">
            <v>欧洲区</v>
          </cell>
          <cell r="E175" t="str">
            <v>FR 法国区</v>
          </cell>
          <cell r="F175" t="str">
            <v>东部战区</v>
          </cell>
          <cell r="G175" t="str">
            <v>里昂-LYN</v>
          </cell>
          <cell r="H175" t="str">
            <v/>
          </cell>
          <cell r="I175" t="str">
            <v/>
          </cell>
          <cell r="J175" t="str">
            <v/>
          </cell>
          <cell r="K175" t="str">
            <v>里昂-LYN</v>
          </cell>
          <cell r="L175" t="str">
            <v>Warehouse Operator操作员</v>
          </cell>
          <cell r="M175" t="str">
            <v>P1-1</v>
          </cell>
          <cell r="N175" t="str">
            <v/>
          </cell>
          <cell r="O175" t="str">
            <v>2025/08/25</v>
          </cell>
        </row>
        <row r="176">
          <cell r="C176" t="str">
            <v>GL500412</v>
          </cell>
          <cell r="D176" t="str">
            <v>欧洲区</v>
          </cell>
          <cell r="E176" t="str">
            <v>FR 法国区</v>
          </cell>
          <cell r="F176" t="str">
            <v>安全与合规部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>安全与合规部</v>
          </cell>
          <cell r="L176" t="str">
            <v>Safety Compliance Specialist安全合规专员</v>
          </cell>
          <cell r="M176" t="str">
            <v>P1-1</v>
          </cell>
          <cell r="N176" t="str">
            <v/>
          </cell>
          <cell r="O176" t="str">
            <v>2024/09/24</v>
          </cell>
        </row>
        <row r="177">
          <cell r="C177" t="str">
            <v>GL501719</v>
          </cell>
          <cell r="D177" t="str">
            <v>美洲区</v>
          </cell>
          <cell r="E177" t="str">
            <v>US人力资源部</v>
          </cell>
          <cell r="F177" t="str">
            <v>美洲HRBP组</v>
          </cell>
          <cell r="G177" t="str">
            <v>中南区HR组</v>
          </cell>
          <cell r="H177" t="str">
            <v/>
          </cell>
          <cell r="I177" t="str">
            <v/>
          </cell>
          <cell r="J177" t="str">
            <v/>
          </cell>
          <cell r="K177" t="str">
            <v>中南区HR组</v>
          </cell>
          <cell r="L177" t="str">
            <v>Junior HRBP Specialist 初级HRBP专员</v>
          </cell>
          <cell r="M177" t="str">
            <v>P1-2</v>
          </cell>
          <cell r="N177" t="str">
            <v/>
          </cell>
          <cell r="O177" t="str">
            <v>2025/10/29</v>
          </cell>
        </row>
        <row r="178">
          <cell r="C178" t="str">
            <v>GL500003</v>
          </cell>
          <cell r="D178" t="str">
            <v>欧洲区</v>
          </cell>
          <cell r="E178" t="str">
            <v>EU人力资源部</v>
          </cell>
          <cell r="F178" t="str">
            <v>欧洲HRBP组</v>
          </cell>
          <cell r="G178" t="str">
            <v>法国HRBP组</v>
          </cell>
          <cell r="H178" t="str">
            <v/>
          </cell>
          <cell r="I178" t="str">
            <v/>
          </cell>
          <cell r="J178" t="str">
            <v/>
          </cell>
          <cell r="K178" t="str">
            <v>法国HRBP组</v>
          </cell>
          <cell r="L178" t="str">
            <v>Recruitment Assistant 招聘助理</v>
          </cell>
          <cell r="M178" t="str">
            <v>P1-1</v>
          </cell>
          <cell r="N178" t="str">
            <v/>
          </cell>
          <cell r="O178" t="str">
            <v>2025/05/12</v>
          </cell>
        </row>
        <row r="179">
          <cell r="C179" t="str">
            <v>GL501360</v>
          </cell>
          <cell r="D179" t="str">
            <v>美洲区</v>
          </cell>
          <cell r="E179" t="str">
            <v>WE 美西大区</v>
          </cell>
          <cell r="F179" t="str">
            <v>NC 北加片区</v>
          </cell>
          <cell r="G179" t="str">
            <v>SFO.H</v>
          </cell>
          <cell r="H179" t="str">
            <v>操作组</v>
          </cell>
          <cell r="I179" t="str">
            <v/>
          </cell>
          <cell r="J179" t="str">
            <v/>
          </cell>
          <cell r="K179" t="str">
            <v>操作组</v>
          </cell>
          <cell r="L179" t="str">
            <v>Warehouse Operator 操作员</v>
          </cell>
          <cell r="M179" t="str">
            <v>P1-2</v>
          </cell>
          <cell r="N179" t="str">
            <v/>
          </cell>
          <cell r="O179" t="str">
            <v>2025/09/02</v>
          </cell>
        </row>
        <row r="180">
          <cell r="C180" t="str">
            <v>GL502331</v>
          </cell>
          <cell r="D180" t="str">
            <v>美洲区</v>
          </cell>
          <cell r="E180" t="str">
            <v>CS 客户服务部</v>
          </cell>
          <cell r="F180" t="str">
            <v>消费者客服组</v>
          </cell>
          <cell r="G180" t="str">
            <v>海外客服组</v>
          </cell>
          <cell r="H180" t="str">
            <v/>
          </cell>
          <cell r="I180" t="str">
            <v/>
          </cell>
          <cell r="J180" t="str">
            <v/>
          </cell>
          <cell r="K180" t="str">
            <v>海外客服组</v>
          </cell>
          <cell r="L180" t="str">
            <v>Junior Hotline CS Specialist 初级热线客服专员</v>
          </cell>
          <cell r="M180" t="str">
            <v>P1-2</v>
          </cell>
          <cell r="N180" t="str">
            <v/>
          </cell>
          <cell r="O180" t="str">
            <v>2026/02/17</v>
          </cell>
        </row>
        <row r="181">
          <cell r="C181" t="str">
            <v>GL501721</v>
          </cell>
          <cell r="D181" t="str">
            <v>美洲区</v>
          </cell>
          <cell r="E181" t="str">
            <v>WE 美西大区</v>
          </cell>
          <cell r="F181" t="str">
            <v>NC 北加片区</v>
          </cell>
          <cell r="G181" t="str">
            <v>SFO.H</v>
          </cell>
          <cell r="H181" t="str">
            <v>分拣组</v>
          </cell>
          <cell r="I181" t="str">
            <v/>
          </cell>
          <cell r="J181" t="str">
            <v/>
          </cell>
          <cell r="K181" t="str">
            <v>分拣组</v>
          </cell>
          <cell r="L181" t="str">
            <v>Sorter 分拣员</v>
          </cell>
          <cell r="M181" t="str">
            <v>P1-1</v>
          </cell>
          <cell r="N181" t="str">
            <v/>
          </cell>
          <cell r="O181" t="str">
            <v>2025/10/31</v>
          </cell>
        </row>
        <row r="182">
          <cell r="C182" t="str">
            <v>GL501089</v>
          </cell>
          <cell r="D182" t="str">
            <v>欧洲区</v>
          </cell>
          <cell r="E182" t="str">
            <v>EU人力资源部</v>
          </cell>
          <cell r="F182" t="str">
            <v>欧洲HRBP组</v>
          </cell>
          <cell r="G182" t="str">
            <v>法国HRBP组</v>
          </cell>
          <cell r="H182" t="str">
            <v/>
          </cell>
          <cell r="I182" t="str">
            <v/>
          </cell>
          <cell r="J182" t="str">
            <v/>
          </cell>
          <cell r="K182" t="str">
            <v>法国HRBP组</v>
          </cell>
          <cell r="L182" t="str">
            <v>HRBP Specialist HRBP专员</v>
          </cell>
          <cell r="M182" t="str">
            <v>P1-3</v>
          </cell>
          <cell r="N182" t="str">
            <v/>
          </cell>
          <cell r="O182" t="str">
            <v>2025/07/24</v>
          </cell>
        </row>
        <row r="183">
          <cell r="C183" t="str">
            <v>GL500478</v>
          </cell>
          <cell r="D183" t="str">
            <v>欧洲区</v>
          </cell>
          <cell r="E183" t="str">
            <v>FR 法国区</v>
          </cell>
          <cell r="F183" t="str">
            <v>终端管理部</v>
          </cell>
          <cell r="G183" t="str">
            <v>终端寻源组</v>
          </cell>
          <cell r="H183" t="str">
            <v/>
          </cell>
          <cell r="I183" t="str">
            <v/>
          </cell>
          <cell r="J183" t="str">
            <v/>
          </cell>
          <cell r="K183" t="str">
            <v>终端寻源组</v>
          </cell>
          <cell r="L183" t="str">
            <v>Deputy Terminal Sourcing Group Supervisor终端寻源组副主管</v>
          </cell>
          <cell r="M183" t="str">
            <v>M2-1</v>
          </cell>
          <cell r="N183" t="str">
            <v/>
          </cell>
          <cell r="O183" t="str">
            <v>2023/11/13</v>
          </cell>
        </row>
        <row r="184">
          <cell r="C184" t="str">
            <v>GL500969</v>
          </cell>
          <cell r="D184" t="str">
            <v>美洲区</v>
          </cell>
          <cell r="E184" t="str">
            <v>WE 美西大区</v>
          </cell>
          <cell r="F184" t="str">
            <v>SC 南加片区</v>
          </cell>
          <cell r="G184" t="str">
            <v>LAS01</v>
          </cell>
          <cell r="H184" t="str">
            <v/>
          </cell>
          <cell r="I184" t="str">
            <v/>
          </cell>
          <cell r="J184" t="str">
            <v/>
          </cell>
          <cell r="K184" t="str">
            <v>LAS01</v>
          </cell>
          <cell r="L184" t="str">
            <v>Warehouse Operator 操作员</v>
          </cell>
          <cell r="M184" t="str">
            <v>P1-1</v>
          </cell>
          <cell r="N184" t="str">
            <v/>
          </cell>
          <cell r="O184" t="str">
            <v>2025/07/02</v>
          </cell>
        </row>
        <row r="185">
          <cell r="C185" t="str">
            <v>GL502321</v>
          </cell>
          <cell r="D185" t="str">
            <v>美洲区</v>
          </cell>
          <cell r="E185" t="str">
            <v>Ground项目部</v>
          </cell>
          <cell r="F185" t="str">
            <v>OG 美南区</v>
          </cell>
          <cell r="G185" t="str">
            <v>ATL.G</v>
          </cell>
          <cell r="H185" t="str">
            <v>调度组</v>
          </cell>
          <cell r="I185" t="str">
            <v/>
          </cell>
          <cell r="J185" t="str">
            <v/>
          </cell>
          <cell r="K185" t="str">
            <v>调度组</v>
          </cell>
          <cell r="L185" t="str">
            <v>Dispatcher 调度员</v>
          </cell>
          <cell r="M185" t="str">
            <v>P1-2</v>
          </cell>
          <cell r="N185" t="str">
            <v/>
          </cell>
          <cell r="O185" t="str">
            <v>2026/02/19</v>
          </cell>
        </row>
        <row r="186">
          <cell r="C186" t="str">
            <v>GL500707</v>
          </cell>
          <cell r="D186" t="str">
            <v>欧洲区</v>
          </cell>
          <cell r="E186" t="str">
            <v>FR 法国区</v>
          </cell>
          <cell r="F186" t="str">
            <v>终端管理部</v>
          </cell>
          <cell r="G186" t="str">
            <v>终端规划组</v>
          </cell>
          <cell r="H186" t="str">
            <v/>
          </cell>
          <cell r="I186" t="str">
            <v/>
          </cell>
          <cell r="J186" t="str">
            <v/>
          </cell>
          <cell r="K186" t="str">
            <v>终端规划组</v>
          </cell>
          <cell r="L186" t="str">
            <v>Terminal Specialist终端专员</v>
          </cell>
          <cell r="M186" t="str">
            <v>P1-1</v>
          </cell>
          <cell r="N186" t="str">
            <v/>
          </cell>
          <cell r="O186" t="str">
            <v>2025/06/10</v>
          </cell>
        </row>
        <row r="187">
          <cell r="C187" t="str">
            <v>GL502390</v>
          </cell>
          <cell r="D187" t="str">
            <v>欧洲区</v>
          </cell>
          <cell r="E187" t="str">
            <v>CS 客户服务部</v>
          </cell>
          <cell r="F187" t="str">
            <v>法国客户服务组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>法国客户服务组</v>
          </cell>
          <cell r="L187" t="str">
            <v>Junior CS Specialist 初级客服专员</v>
          </cell>
          <cell r="M187" t="str">
            <v>P1-2</v>
          </cell>
          <cell r="N187" t="str">
            <v/>
          </cell>
          <cell r="O187" t="str">
            <v>2026/03/09</v>
          </cell>
        </row>
        <row r="188">
          <cell r="C188" t="str">
            <v>GL501423</v>
          </cell>
          <cell r="D188" t="str">
            <v>欧洲区</v>
          </cell>
          <cell r="E188" t="str">
            <v>FR 法国区</v>
          </cell>
          <cell r="F188" t="str">
            <v>巴黎枢纽仓</v>
          </cell>
          <cell r="G188" t="str">
            <v>巴黎出库组</v>
          </cell>
          <cell r="H188" t="str">
            <v/>
          </cell>
          <cell r="I188" t="str">
            <v/>
          </cell>
          <cell r="J188" t="str">
            <v/>
          </cell>
          <cell r="K188" t="str">
            <v>巴黎出库组</v>
          </cell>
          <cell r="L188" t="str">
            <v>Warehouse Operator操作员</v>
          </cell>
          <cell r="M188" t="str">
            <v>P1-2</v>
          </cell>
          <cell r="N188" t="str">
            <v/>
          </cell>
          <cell r="O188" t="str">
            <v>2025/09/15</v>
          </cell>
        </row>
        <row r="189">
          <cell r="C189" t="str">
            <v>GL500799</v>
          </cell>
          <cell r="D189" t="str">
            <v>美洲区</v>
          </cell>
          <cell r="E189" t="str">
            <v>NE 东北大区</v>
          </cell>
          <cell r="F189" t="str">
            <v>车辆管理部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>车辆管理部</v>
          </cell>
          <cell r="L189" t="str">
            <v>Fleet Support Specialist 车队支持专员</v>
          </cell>
          <cell r="M189" t="str">
            <v>P1-1</v>
          </cell>
          <cell r="N189" t="str">
            <v/>
          </cell>
          <cell r="O189" t="str">
            <v>2025/06/16</v>
          </cell>
        </row>
        <row r="190">
          <cell r="C190" t="str">
            <v>GL502351</v>
          </cell>
          <cell r="D190" t="str">
            <v>美洲区</v>
          </cell>
          <cell r="E190" t="str">
            <v>NE 东北大区</v>
          </cell>
          <cell r="F190" t="str">
            <v>运营支持部</v>
          </cell>
          <cell r="G190" t="str">
            <v>区域支持组</v>
          </cell>
          <cell r="H190" t="str">
            <v/>
          </cell>
          <cell r="I190" t="str">
            <v/>
          </cell>
          <cell r="J190" t="str">
            <v/>
          </cell>
          <cell r="K190" t="str">
            <v>区域支持组</v>
          </cell>
          <cell r="L190" t="str">
            <v>Station Trainee 站点培训生</v>
          </cell>
          <cell r="M190" t="str">
            <v>P1-2</v>
          </cell>
          <cell r="N190" t="str">
            <v/>
          </cell>
          <cell r="O190" t="str">
            <v>2026/03/03</v>
          </cell>
        </row>
        <row r="191">
          <cell r="C191" t="str">
            <v>GL502258</v>
          </cell>
          <cell r="D191" t="str">
            <v>美洲区</v>
          </cell>
          <cell r="E191" t="str">
            <v>SM 站点管理部</v>
          </cell>
          <cell r="F191" t="str">
            <v>站点实施组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>站点实施组</v>
          </cell>
          <cell r="L191" t="str">
            <v>Station Implementation  Supervisor 站点实施主管</v>
          </cell>
          <cell r="M191" t="str">
            <v>P2-2</v>
          </cell>
          <cell r="N191" t="str">
            <v/>
          </cell>
          <cell r="O191" t="str">
            <v>2026/02/06</v>
          </cell>
        </row>
        <row r="192">
          <cell r="C192" t="str">
            <v>GL502344</v>
          </cell>
          <cell r="D192" t="str">
            <v>美洲区</v>
          </cell>
          <cell r="E192" t="str">
            <v>GL 大湖大区</v>
          </cell>
          <cell r="F192" t="str">
            <v>ORD.H</v>
          </cell>
          <cell r="G192" t="str">
            <v>操作组</v>
          </cell>
          <cell r="H192" t="str">
            <v/>
          </cell>
          <cell r="I192" t="str">
            <v/>
          </cell>
          <cell r="J192" t="str">
            <v/>
          </cell>
          <cell r="K192" t="str">
            <v>操作组</v>
          </cell>
          <cell r="L192" t="str">
            <v>Warehouse Lead 操作组长</v>
          </cell>
          <cell r="M192" t="str">
            <v>P2-1</v>
          </cell>
          <cell r="N192" t="str">
            <v/>
          </cell>
          <cell r="O192" t="str">
            <v>2026/02/23</v>
          </cell>
        </row>
        <row r="193">
          <cell r="C193" t="str">
            <v>GL502221</v>
          </cell>
          <cell r="D193" t="str">
            <v>欧洲区</v>
          </cell>
          <cell r="E193" t="str">
            <v>IT 意大利区</v>
          </cell>
          <cell r="F193" t="str">
            <v>米兰枢纽仓</v>
          </cell>
          <cell r="G193" t="str">
            <v>精益设备组</v>
          </cell>
          <cell r="H193" t="str">
            <v/>
          </cell>
          <cell r="I193" t="str">
            <v/>
          </cell>
          <cell r="J193" t="str">
            <v/>
          </cell>
          <cell r="K193" t="str">
            <v>风控安全组</v>
          </cell>
          <cell r="L193" t="str">
            <v>Equipment Maintenance Specialist设备维护专员</v>
          </cell>
          <cell r="M193" t="str">
            <v>P1-1</v>
          </cell>
          <cell r="N193" t="str">
            <v/>
          </cell>
          <cell r="O193" t="str">
            <v>2026/02/06</v>
          </cell>
        </row>
        <row r="194">
          <cell r="C194" t="str">
            <v>GL502311</v>
          </cell>
          <cell r="D194" t="str">
            <v>欧洲区</v>
          </cell>
          <cell r="E194" t="str">
            <v>IT 意大利区</v>
          </cell>
          <cell r="F194" t="str">
            <v>北部战区</v>
          </cell>
          <cell r="G194" t="str">
            <v>都灵站</v>
          </cell>
          <cell r="H194" t="str">
            <v/>
          </cell>
          <cell r="I194" t="str">
            <v/>
          </cell>
          <cell r="J194" t="str">
            <v/>
          </cell>
          <cell r="K194" t="str">
            <v>都灵站</v>
          </cell>
          <cell r="L194" t="str">
            <v>Warehouse Operator操作员</v>
          </cell>
          <cell r="M194" t="str">
            <v>P1-2</v>
          </cell>
          <cell r="N194" t="str">
            <v/>
          </cell>
          <cell r="O194" t="str">
            <v>2026/03/02</v>
          </cell>
        </row>
        <row r="195">
          <cell r="C195" t="str">
            <v>GL501401</v>
          </cell>
          <cell r="D195" t="str">
            <v>欧洲区</v>
          </cell>
          <cell r="E195" t="str">
            <v>IT 意大利区</v>
          </cell>
          <cell r="F195" t="str">
            <v>米兰枢纽仓</v>
          </cell>
          <cell r="G195" t="str">
            <v>人工分拣组</v>
          </cell>
          <cell r="H195" t="str">
            <v/>
          </cell>
          <cell r="I195" t="str">
            <v/>
          </cell>
          <cell r="J195" t="str">
            <v/>
          </cell>
          <cell r="K195" t="str">
            <v>人工分拣组</v>
          </cell>
          <cell r="L195" t="str">
            <v>Warehouse Operator操作员</v>
          </cell>
          <cell r="M195" t="str">
            <v>P1-2</v>
          </cell>
          <cell r="N195" t="str">
            <v/>
          </cell>
          <cell r="O195" t="str">
            <v>2025/09/11</v>
          </cell>
        </row>
        <row r="196">
          <cell r="C196" t="str">
            <v>GL502389</v>
          </cell>
          <cell r="D196" t="str">
            <v>欧洲区</v>
          </cell>
          <cell r="E196" t="str">
            <v>IT 意大利区</v>
          </cell>
          <cell r="F196" t="str">
            <v>北部战区</v>
          </cell>
          <cell r="G196" t="str">
            <v>终端运营组</v>
          </cell>
          <cell r="H196" t="str">
            <v/>
          </cell>
          <cell r="I196" t="str">
            <v/>
          </cell>
          <cell r="J196" t="str">
            <v/>
          </cell>
          <cell r="K196" t="str">
            <v>终端运营组</v>
          </cell>
          <cell r="L196" t="str">
            <v>Terminal Specialist终端专员</v>
          </cell>
          <cell r="M196" t="str">
            <v>P1-3</v>
          </cell>
          <cell r="N196" t="str">
            <v/>
          </cell>
          <cell r="O196" t="str">
            <v>2026/03/05</v>
          </cell>
        </row>
        <row r="197">
          <cell r="C197" t="str">
            <v>GL502309</v>
          </cell>
          <cell r="D197" t="str">
            <v>美洲区</v>
          </cell>
          <cell r="E197" t="str">
            <v>MS 中南大区</v>
          </cell>
          <cell r="F197" t="str">
            <v>BN 田纳西和北阿拉巴马片区</v>
          </cell>
          <cell r="G197" t="str">
            <v>CHA01</v>
          </cell>
          <cell r="H197" t="str">
            <v/>
          </cell>
          <cell r="I197" t="str">
            <v/>
          </cell>
          <cell r="J197" t="str">
            <v/>
          </cell>
          <cell r="K197" t="str">
            <v>CHA01</v>
          </cell>
          <cell r="L197" t="str">
            <v>Warehouse Operator 操作员</v>
          </cell>
          <cell r="M197" t="str">
            <v>P1-1</v>
          </cell>
          <cell r="N197" t="str">
            <v/>
          </cell>
          <cell r="O197" t="str">
            <v>2026/02/13</v>
          </cell>
        </row>
        <row r="198">
          <cell r="C198" t="str">
            <v>GL501127</v>
          </cell>
          <cell r="D198" t="str">
            <v>美洲区</v>
          </cell>
          <cell r="E198" t="str">
            <v>TX 德州大区</v>
          </cell>
          <cell r="F198" t="str">
            <v>揽收部</v>
          </cell>
          <cell r="G198" t="str">
            <v>揽收调度组</v>
          </cell>
          <cell r="H198" t="str">
            <v/>
          </cell>
          <cell r="I198" t="str">
            <v/>
          </cell>
          <cell r="J198" t="str">
            <v/>
          </cell>
          <cell r="K198" t="str">
            <v>揽收调度组</v>
          </cell>
          <cell r="L198" t="str">
            <v>Pickup Dispatcher 揽收调度员</v>
          </cell>
          <cell r="M198" t="str">
            <v>P1-2</v>
          </cell>
          <cell r="N198" t="str">
            <v/>
          </cell>
          <cell r="O198" t="str">
            <v>2025/07/28</v>
          </cell>
        </row>
        <row r="199">
          <cell r="C199" t="str">
            <v>GL502371</v>
          </cell>
          <cell r="D199" t="str">
            <v>美洲区</v>
          </cell>
          <cell r="E199" t="str">
            <v>FL 佛州大区</v>
          </cell>
          <cell r="F199" t="str">
            <v>SF 南佛片区</v>
          </cell>
          <cell r="G199" t="str">
            <v>SJU01</v>
          </cell>
          <cell r="H199" t="str">
            <v>站点运营组</v>
          </cell>
          <cell r="I199" t="str">
            <v/>
          </cell>
          <cell r="J199" t="str">
            <v/>
          </cell>
          <cell r="K199" t="str">
            <v>站点运营组</v>
          </cell>
          <cell r="L199" t="str">
            <v>Station Operations Specialist 站点运营专员</v>
          </cell>
          <cell r="M199" t="str">
            <v>P1-1</v>
          </cell>
          <cell r="N199" t="str">
            <v/>
          </cell>
          <cell r="O199" t="str">
            <v>2026/02/25</v>
          </cell>
        </row>
        <row r="200">
          <cell r="C200" t="str">
            <v>GL502345</v>
          </cell>
          <cell r="D200" t="str">
            <v>美洲区</v>
          </cell>
          <cell r="E200" t="str">
            <v>FL 佛州大区</v>
          </cell>
          <cell r="F200" t="str">
            <v>WF 西佛片区</v>
          </cell>
          <cell r="G200" t="str">
            <v>FTM01</v>
          </cell>
          <cell r="H200" t="str">
            <v/>
          </cell>
          <cell r="I200" t="str">
            <v/>
          </cell>
          <cell r="J200" t="str">
            <v/>
          </cell>
          <cell r="K200" t="str">
            <v>FTM01</v>
          </cell>
          <cell r="L200" t="str">
            <v>Station Operations Specialist 站点运营专员</v>
          </cell>
          <cell r="M200" t="str">
            <v>P1-2</v>
          </cell>
          <cell r="N200" t="str">
            <v/>
          </cell>
          <cell r="O200" t="str">
            <v>2026/02/19</v>
          </cell>
        </row>
        <row r="201">
          <cell r="C201" t="str">
            <v>GL502031</v>
          </cell>
          <cell r="D201" t="str">
            <v>美洲区</v>
          </cell>
          <cell r="E201" t="str">
            <v>WE 美西大区</v>
          </cell>
          <cell r="F201" t="str">
            <v>LAV.H</v>
          </cell>
          <cell r="G201" t="str">
            <v>调度组</v>
          </cell>
          <cell r="H201" t="str">
            <v/>
          </cell>
          <cell r="I201" t="str">
            <v/>
          </cell>
          <cell r="J201" t="str">
            <v/>
          </cell>
          <cell r="K201" t="str">
            <v>调度组</v>
          </cell>
          <cell r="L201" t="str">
            <v>Dispatcher 调度员</v>
          </cell>
          <cell r="M201" t="str">
            <v>P1-1</v>
          </cell>
          <cell r="N201" t="str">
            <v/>
          </cell>
          <cell r="O201" t="str">
            <v>2026/01/02</v>
          </cell>
        </row>
        <row r="202">
          <cell r="C202" t="str">
            <v>GL502008</v>
          </cell>
          <cell r="D202" t="str">
            <v>美洲区</v>
          </cell>
          <cell r="E202" t="str">
            <v>WE 美西大区</v>
          </cell>
          <cell r="F202" t="str">
            <v>NC 北加片区</v>
          </cell>
          <cell r="G202" t="str">
            <v>SFO.H</v>
          </cell>
          <cell r="H202" t="str">
            <v>分拣组</v>
          </cell>
          <cell r="I202" t="str">
            <v/>
          </cell>
          <cell r="J202" t="str">
            <v/>
          </cell>
          <cell r="K202" t="str">
            <v>分拣组</v>
          </cell>
          <cell r="L202" t="str">
            <v>Sorter 分拣员</v>
          </cell>
          <cell r="M202" t="str">
            <v>P1-1</v>
          </cell>
          <cell r="N202" t="str">
            <v/>
          </cell>
          <cell r="O202" t="str">
            <v>2025/12/22</v>
          </cell>
        </row>
        <row r="203">
          <cell r="C203" t="str">
            <v>GL502281</v>
          </cell>
          <cell r="D203" t="str">
            <v>美洲区</v>
          </cell>
          <cell r="E203" t="str">
            <v>WE 美西大区</v>
          </cell>
          <cell r="F203" t="str">
            <v>运营支持部</v>
          </cell>
          <cell r="G203" t="str">
            <v>区域支持组</v>
          </cell>
          <cell r="H203" t="str">
            <v/>
          </cell>
          <cell r="I203" t="str">
            <v/>
          </cell>
          <cell r="J203" t="str">
            <v/>
          </cell>
          <cell r="K203" t="str">
            <v>区域支持组</v>
          </cell>
          <cell r="L203" t="str">
            <v>Regional Support Specialist 区域支持专员</v>
          </cell>
          <cell r="M203" t="str">
            <v>P1-2</v>
          </cell>
          <cell r="N203" t="str">
            <v/>
          </cell>
          <cell r="O203" t="str">
            <v>2026/02/10</v>
          </cell>
        </row>
        <row r="204">
          <cell r="C204" t="str">
            <v>GL501741</v>
          </cell>
          <cell r="D204" t="str">
            <v>欧洲区</v>
          </cell>
          <cell r="E204" t="str">
            <v>FR 法国区</v>
          </cell>
          <cell r="F204" t="str">
            <v>行政采购部</v>
          </cell>
          <cell r="G204" t="str">
            <v>采购组</v>
          </cell>
          <cell r="H204" t="str">
            <v/>
          </cell>
          <cell r="I204" t="str">
            <v/>
          </cell>
          <cell r="J204" t="str">
            <v/>
          </cell>
          <cell r="K204" t="str">
            <v>采购组</v>
          </cell>
          <cell r="L204" t="str">
            <v>Junior Purchasing Specialist初级采购专员</v>
          </cell>
          <cell r="M204" t="str">
            <v>P1-2</v>
          </cell>
          <cell r="N204" t="str">
            <v/>
          </cell>
          <cell r="O204" t="str">
            <v>2025/11/06</v>
          </cell>
        </row>
        <row r="205">
          <cell r="C205" t="str">
            <v>GL502295</v>
          </cell>
          <cell r="D205" t="str">
            <v>FES财经条线</v>
          </cell>
          <cell r="E205" t="str">
            <v>Gofo财务部</v>
          </cell>
          <cell r="F205" t="str">
            <v>欧区财务组</v>
          </cell>
          <cell r="G205" t="str">
            <v>合规及本地支持组</v>
          </cell>
          <cell r="H205" t="str">
            <v>法国财务组</v>
          </cell>
          <cell r="I205" t="str">
            <v/>
          </cell>
          <cell r="J205" t="str">
            <v/>
          </cell>
          <cell r="K205" t="str">
            <v>法国财务组</v>
          </cell>
          <cell r="L205" t="str">
            <v>海外会计</v>
          </cell>
          <cell r="M205" t="str">
            <v>P1-3</v>
          </cell>
          <cell r="N205" t="str">
            <v/>
          </cell>
          <cell r="O205" t="str">
            <v>2026/02/16</v>
          </cell>
        </row>
        <row r="206">
          <cell r="C206" t="str">
            <v>GL500474</v>
          </cell>
          <cell r="D206" t="str">
            <v>欧洲区</v>
          </cell>
          <cell r="E206" t="str">
            <v>FR 法国区</v>
          </cell>
          <cell r="F206" t="str">
            <v>技术支持部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>技术支持部</v>
          </cell>
          <cell r="L206" t="str">
            <v>IT support 技术支持工程师</v>
          </cell>
          <cell r="M206" t="str">
            <v>P1-3</v>
          </cell>
          <cell r="N206" t="str">
            <v/>
          </cell>
          <cell r="O206" t="str">
            <v>2023/11/27</v>
          </cell>
        </row>
        <row r="207">
          <cell r="C207" t="str">
            <v>GL500496</v>
          </cell>
          <cell r="D207" t="str">
            <v>FES财经条线</v>
          </cell>
          <cell r="E207" t="str">
            <v>Gofo财务部</v>
          </cell>
          <cell r="F207" t="str">
            <v>欧区财务组</v>
          </cell>
          <cell r="G207" t="str">
            <v>合规及本地支持组</v>
          </cell>
          <cell r="H207" t="str">
            <v>法国财务组</v>
          </cell>
          <cell r="I207" t="str">
            <v/>
          </cell>
          <cell r="J207" t="str">
            <v/>
          </cell>
          <cell r="K207" t="str">
            <v>法国财务组</v>
          </cell>
          <cell r="L207" t="str">
            <v>高级海外财务主管</v>
          </cell>
          <cell r="M207" t="str">
            <v>P2-3</v>
          </cell>
          <cell r="N207" t="str">
            <v/>
          </cell>
          <cell r="O207" t="str">
            <v>2023/06/19</v>
          </cell>
        </row>
        <row r="208">
          <cell r="C208" t="str">
            <v>GL502039</v>
          </cell>
          <cell r="D208" t="str">
            <v>美洲区</v>
          </cell>
          <cell r="E208" t="str">
            <v>Ground项目部</v>
          </cell>
          <cell r="F208" t="str">
            <v>OG 美西区</v>
          </cell>
          <cell r="G208" t="str">
            <v>CNO.G</v>
          </cell>
          <cell r="H208" t="str">
            <v>操作组</v>
          </cell>
          <cell r="I208" t="str">
            <v/>
          </cell>
          <cell r="J208" t="str">
            <v/>
          </cell>
          <cell r="K208" t="str">
            <v>操作组</v>
          </cell>
          <cell r="L208" t="str">
            <v>Warehouse Lead 操作组长</v>
          </cell>
          <cell r="M208" t="str">
            <v>P2-1</v>
          </cell>
          <cell r="N208" t="str">
            <v/>
          </cell>
          <cell r="O208" t="str">
            <v>2025/12/29</v>
          </cell>
        </row>
        <row r="209">
          <cell r="C209" t="str">
            <v>GL502116</v>
          </cell>
          <cell r="D209" t="str">
            <v>美洲区</v>
          </cell>
          <cell r="E209" t="str">
            <v>US人力资源部</v>
          </cell>
          <cell r="F209" t="str">
            <v>美洲HRBP组</v>
          </cell>
          <cell r="G209" t="str">
            <v>招聘组</v>
          </cell>
          <cell r="H209" t="str">
            <v/>
          </cell>
          <cell r="I209" t="str">
            <v/>
          </cell>
          <cell r="J209" t="str">
            <v/>
          </cell>
          <cell r="K209" t="str">
            <v>招聘组</v>
          </cell>
          <cell r="L209" t="str">
            <v>Recruitment Assistant 招聘助理</v>
          </cell>
          <cell r="M209" t="str">
            <v>P1-1</v>
          </cell>
          <cell r="N209" t="str">
            <v/>
          </cell>
          <cell r="O209" t="str">
            <v>2026/01/15</v>
          </cell>
        </row>
        <row r="210">
          <cell r="C210" t="str">
            <v>GL502225</v>
          </cell>
          <cell r="D210" t="str">
            <v>美洲区</v>
          </cell>
          <cell r="E210" t="str">
            <v>BD 本地客户部</v>
          </cell>
          <cell r="F210" t="str">
            <v>销售支持组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>销售支持组</v>
          </cell>
          <cell r="L210" t="str">
            <v>Senior Marketing Specialist 高级市场专员</v>
          </cell>
          <cell r="M210" t="str">
            <v>P2-1</v>
          </cell>
          <cell r="N210" t="str">
            <v/>
          </cell>
          <cell r="O210" t="str">
            <v>2026/02/01</v>
          </cell>
        </row>
        <row r="211">
          <cell r="C211" t="str">
            <v>GL501251</v>
          </cell>
          <cell r="D211" t="str">
            <v>美洲区</v>
          </cell>
          <cell r="E211" t="str">
            <v>FL 佛州大区</v>
          </cell>
          <cell r="F211" t="str">
            <v>MCO.H</v>
          </cell>
          <cell r="G211" t="str">
            <v>操作组</v>
          </cell>
          <cell r="H211" t="str">
            <v/>
          </cell>
          <cell r="I211" t="str">
            <v/>
          </cell>
          <cell r="J211" t="str">
            <v/>
          </cell>
          <cell r="K211" t="str">
            <v>操作组</v>
          </cell>
          <cell r="L211" t="str">
            <v>Warehouse Operator 操作员</v>
          </cell>
          <cell r="M211" t="str">
            <v>P1-1</v>
          </cell>
          <cell r="N211" t="str">
            <v/>
          </cell>
          <cell r="O211" t="str">
            <v>2025/07/01</v>
          </cell>
        </row>
        <row r="212">
          <cell r="C212" t="str">
            <v>GL502433</v>
          </cell>
          <cell r="D212" t="str">
            <v>美洲区</v>
          </cell>
          <cell r="E212" t="str">
            <v>WE 美西大区</v>
          </cell>
          <cell r="F212" t="str">
            <v>SC 南加片区</v>
          </cell>
          <cell r="G212" t="str">
            <v>SFV01</v>
          </cell>
          <cell r="H212" t="str">
            <v/>
          </cell>
          <cell r="I212" t="str">
            <v/>
          </cell>
          <cell r="J212" t="str">
            <v/>
          </cell>
          <cell r="K212" t="str">
            <v>SFV</v>
          </cell>
          <cell r="L212" t="str">
            <v>Warehouse Operator 操作员(兼)</v>
          </cell>
          <cell r="M212" t="str">
            <v>P1-1</v>
          </cell>
          <cell r="N212" t="str">
            <v/>
          </cell>
          <cell r="O212" t="str">
            <v>2026/03/06</v>
          </cell>
        </row>
        <row r="213">
          <cell r="C213" t="str">
            <v>GL500756</v>
          </cell>
          <cell r="D213" t="str">
            <v>美洲区</v>
          </cell>
          <cell r="E213" t="str">
            <v>GL 大湖大区</v>
          </cell>
          <cell r="F213" t="str">
            <v>WG 西大湖片区</v>
          </cell>
          <cell r="G213" t="str">
            <v>MSN01</v>
          </cell>
          <cell r="H213" t="str">
            <v/>
          </cell>
          <cell r="I213" t="str">
            <v/>
          </cell>
          <cell r="J213" t="str">
            <v/>
          </cell>
          <cell r="K213" t="str">
            <v>MSN</v>
          </cell>
          <cell r="L213" t="str">
            <v>Station Operations Specialist 站点运营专员</v>
          </cell>
          <cell r="M213" t="str">
            <v>P1-3</v>
          </cell>
          <cell r="N213" t="str">
            <v/>
          </cell>
          <cell r="O213" t="str">
            <v>2025/06/16</v>
          </cell>
        </row>
        <row r="214">
          <cell r="C214" t="str">
            <v>GL500297</v>
          </cell>
          <cell r="D214" t="str">
            <v>美洲区</v>
          </cell>
          <cell r="E214" t="str">
            <v>DO 数字运营部</v>
          </cell>
          <cell r="F214" t="str">
            <v>美国技术支持组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>美国技术支持组</v>
          </cell>
          <cell r="L214" t="str">
            <v>IT support 技术支持工程师</v>
          </cell>
          <cell r="M214" t="str">
            <v>P1-2</v>
          </cell>
          <cell r="N214" t="str">
            <v/>
          </cell>
          <cell r="O214" t="str">
            <v>2024/12/30</v>
          </cell>
        </row>
        <row r="215">
          <cell r="C215" t="str">
            <v>GL500243</v>
          </cell>
          <cell r="D215" t="str">
            <v>欧洲区</v>
          </cell>
          <cell r="E215" t="str">
            <v>NL 荷兰区</v>
          </cell>
          <cell r="F215" t="str">
            <v>阿姆枢纽仓</v>
          </cell>
          <cell r="G215" t="str">
            <v>收运供件组</v>
          </cell>
          <cell r="H215" t="str">
            <v>卸车上件组</v>
          </cell>
          <cell r="I215" t="str">
            <v/>
          </cell>
          <cell r="J215" t="str">
            <v/>
          </cell>
          <cell r="K215" t="str">
            <v>卸车上件组</v>
          </cell>
          <cell r="L215" t="str">
            <v>Warehouse Operator 操作员</v>
          </cell>
          <cell r="M215" t="str">
            <v>P1-2</v>
          </cell>
          <cell r="N215" t="str">
            <v/>
          </cell>
          <cell r="O215" t="str">
            <v>2025/01/24</v>
          </cell>
        </row>
        <row r="216">
          <cell r="C216" t="str">
            <v>GL502270</v>
          </cell>
          <cell r="D216" t="str">
            <v>欧洲区</v>
          </cell>
          <cell r="E216" t="str">
            <v>NL 荷兰区</v>
          </cell>
          <cell r="F216" t="str">
            <v>南部战区</v>
          </cell>
          <cell r="G216" t="str">
            <v>鹿特丹站-RTD</v>
          </cell>
          <cell r="H216" t="str">
            <v/>
          </cell>
          <cell r="I216" t="str">
            <v/>
          </cell>
          <cell r="J216" t="str">
            <v/>
          </cell>
          <cell r="K216" t="str">
            <v>鹿特丹站-RTD</v>
          </cell>
          <cell r="L216" t="str">
            <v>Warehouse Operator 操作员</v>
          </cell>
          <cell r="M216" t="str">
            <v>P1-2</v>
          </cell>
          <cell r="N216" t="str">
            <v/>
          </cell>
          <cell r="O216" t="str">
            <v>2026/02/09</v>
          </cell>
        </row>
        <row r="217">
          <cell r="C217" t="str">
            <v>GL502035</v>
          </cell>
          <cell r="D217" t="str">
            <v>美洲区</v>
          </cell>
          <cell r="E217" t="str">
            <v>NE 东北大区</v>
          </cell>
          <cell r="F217" t="str">
            <v>EWR.H</v>
          </cell>
          <cell r="G217" t="str">
            <v>分拣组</v>
          </cell>
          <cell r="H217" t="str">
            <v/>
          </cell>
          <cell r="I217" t="str">
            <v/>
          </cell>
          <cell r="J217" t="str">
            <v/>
          </cell>
          <cell r="K217" t="str">
            <v>分拣组</v>
          </cell>
          <cell r="L217" t="str">
            <v>Sorter 分拣员</v>
          </cell>
          <cell r="M217" t="str">
            <v>P1-1</v>
          </cell>
          <cell r="N217" t="str">
            <v/>
          </cell>
          <cell r="O217" t="str">
            <v>2025/12/24</v>
          </cell>
        </row>
        <row r="218">
          <cell r="C218" t="str">
            <v>GL501763</v>
          </cell>
          <cell r="D218" t="str">
            <v>美洲区</v>
          </cell>
          <cell r="E218" t="str">
            <v>NE 东北大区</v>
          </cell>
          <cell r="F218" t="str">
            <v>运营支持部</v>
          </cell>
          <cell r="G218" t="str">
            <v>区域支持组</v>
          </cell>
          <cell r="H218" t="str">
            <v/>
          </cell>
          <cell r="I218" t="str">
            <v/>
          </cell>
          <cell r="J218" t="str">
            <v/>
          </cell>
          <cell r="K218" t="str">
            <v>区域支持组</v>
          </cell>
          <cell r="L218" t="str">
            <v>Regional Support Specialist 区域支持专员</v>
          </cell>
          <cell r="M218" t="str">
            <v>P1-2</v>
          </cell>
          <cell r="N218" t="str">
            <v/>
          </cell>
          <cell r="O218" t="str">
            <v>2025/11/19</v>
          </cell>
        </row>
        <row r="219">
          <cell r="C219" t="str">
            <v>GL501278</v>
          </cell>
          <cell r="D219" t="str">
            <v>美洲区</v>
          </cell>
          <cell r="E219" t="str">
            <v>WE 美西大区</v>
          </cell>
          <cell r="F219" t="str">
            <v>LA揽收部</v>
          </cell>
          <cell r="G219" t="str">
            <v>揽收支持组</v>
          </cell>
          <cell r="H219" t="str">
            <v/>
          </cell>
          <cell r="I219" t="str">
            <v/>
          </cell>
          <cell r="J219" t="str">
            <v/>
          </cell>
          <cell r="K219" t="str">
            <v>揽收支持组</v>
          </cell>
          <cell r="L219" t="str">
            <v>Pickup Support Specialist 揽收支持专员</v>
          </cell>
          <cell r="M219" t="str">
            <v>P1-2</v>
          </cell>
          <cell r="N219" t="str">
            <v/>
          </cell>
          <cell r="O219" t="str">
            <v>2025/08/25</v>
          </cell>
        </row>
        <row r="220">
          <cell r="C220" t="str">
            <v>GL501226</v>
          </cell>
          <cell r="D220" t="str">
            <v>美洲区</v>
          </cell>
          <cell r="E220" t="str">
            <v>MS 中南大区</v>
          </cell>
          <cell r="F220" t="str">
            <v>ATL.H</v>
          </cell>
          <cell r="G220" t="str">
            <v>操作组</v>
          </cell>
          <cell r="H220" t="str">
            <v/>
          </cell>
          <cell r="I220" t="str">
            <v/>
          </cell>
          <cell r="J220" t="str">
            <v/>
          </cell>
          <cell r="K220" t="str">
            <v>操作组</v>
          </cell>
          <cell r="L220" t="str">
            <v>Warehouse Operator 操作员</v>
          </cell>
          <cell r="M220" t="str">
            <v>P1-1</v>
          </cell>
          <cell r="N220" t="str">
            <v/>
          </cell>
          <cell r="O220" t="str">
            <v>2025/08/11</v>
          </cell>
        </row>
        <row r="221">
          <cell r="C221" t="str">
            <v>GL500401</v>
          </cell>
          <cell r="D221" t="str">
            <v>欧洲区</v>
          </cell>
          <cell r="E221" t="str">
            <v>FR 法国区</v>
          </cell>
          <cell r="F221" t="str">
            <v>巴黎枢纽仓</v>
          </cell>
          <cell r="G221" t="str">
            <v>设备分拣组</v>
          </cell>
          <cell r="H221" t="str">
            <v/>
          </cell>
          <cell r="I221" t="str">
            <v/>
          </cell>
          <cell r="J221" t="str">
            <v/>
          </cell>
          <cell r="K221" t="str">
            <v>设备分拣组</v>
          </cell>
          <cell r="L221" t="str">
            <v>Warehouse Operator操作员</v>
          </cell>
          <cell r="M221" t="str">
            <v>P1-1</v>
          </cell>
          <cell r="N221" t="str">
            <v/>
          </cell>
          <cell r="O221" t="str">
            <v>2024/10/10</v>
          </cell>
        </row>
        <row r="222">
          <cell r="C222" t="str">
            <v>GL502335</v>
          </cell>
          <cell r="D222" t="str">
            <v>美洲区</v>
          </cell>
          <cell r="E222" t="str">
            <v>TX 德州大区</v>
          </cell>
          <cell r="F222" t="str">
            <v>DFW.H</v>
          </cell>
          <cell r="G222" t="str">
            <v>分拣组</v>
          </cell>
          <cell r="H222" t="str">
            <v/>
          </cell>
          <cell r="I222" t="str">
            <v/>
          </cell>
          <cell r="J222" t="str">
            <v/>
          </cell>
          <cell r="K222" t="str">
            <v>分拣组</v>
          </cell>
          <cell r="L222" t="str">
            <v>Sorter 分拣员</v>
          </cell>
          <cell r="M222" t="str">
            <v>P1-2</v>
          </cell>
          <cell r="N222" t="str">
            <v/>
          </cell>
          <cell r="O222" t="str">
            <v>2026/02/18</v>
          </cell>
        </row>
        <row r="223">
          <cell r="C223" t="str">
            <v>GL502252</v>
          </cell>
          <cell r="D223" t="str">
            <v>美洲区</v>
          </cell>
          <cell r="E223" t="str">
            <v>TX 德州大区</v>
          </cell>
          <cell r="F223" t="str">
            <v>运营支持部</v>
          </cell>
          <cell r="G223" t="str">
            <v>区域支持组</v>
          </cell>
          <cell r="H223" t="str">
            <v/>
          </cell>
          <cell r="I223" t="str">
            <v/>
          </cell>
          <cell r="J223" t="str">
            <v/>
          </cell>
          <cell r="K223" t="str">
            <v>区域支持组</v>
          </cell>
          <cell r="L223" t="str">
            <v>Regional Support Specialist 区域支持专员</v>
          </cell>
          <cell r="M223" t="str">
            <v>P1-2</v>
          </cell>
          <cell r="N223" t="str">
            <v/>
          </cell>
          <cell r="O223" t="str">
            <v>2026/02/09</v>
          </cell>
        </row>
        <row r="224">
          <cell r="C224" t="str">
            <v>GL502250</v>
          </cell>
          <cell r="D224" t="str">
            <v>美洲区</v>
          </cell>
          <cell r="E224" t="str">
            <v>WE 美西大区</v>
          </cell>
          <cell r="F224" t="str">
            <v>DS 丹佛·盐湖城片区</v>
          </cell>
          <cell r="G224" t="str">
            <v>DEN.H</v>
          </cell>
          <cell r="H224" t="str">
            <v>调度组</v>
          </cell>
          <cell r="I224" t="str">
            <v/>
          </cell>
          <cell r="J224" t="str">
            <v/>
          </cell>
          <cell r="K224" t="str">
            <v>调度组</v>
          </cell>
          <cell r="L224" t="str">
            <v>Dispatcher 调度员</v>
          </cell>
          <cell r="M224" t="str">
            <v>P1-2</v>
          </cell>
          <cell r="N224" t="str">
            <v/>
          </cell>
          <cell r="O224" t="str">
            <v>2026/02/03</v>
          </cell>
        </row>
        <row r="225">
          <cell r="C225" t="str">
            <v>GL501933</v>
          </cell>
          <cell r="D225" t="str">
            <v>美洲区</v>
          </cell>
          <cell r="E225" t="str">
            <v>FL 佛州大区</v>
          </cell>
          <cell r="F225" t="str">
            <v>SF 南佛片区</v>
          </cell>
          <cell r="G225" t="str">
            <v>SJU01</v>
          </cell>
          <cell r="H225" t="str">
            <v>站点运营组</v>
          </cell>
          <cell r="I225" t="str">
            <v/>
          </cell>
          <cell r="J225" t="str">
            <v/>
          </cell>
          <cell r="K225" t="str">
            <v>站点运营组</v>
          </cell>
          <cell r="L225" t="str">
            <v>Warehouse Operator 操作员</v>
          </cell>
          <cell r="M225" t="str">
            <v>P1-1</v>
          </cell>
          <cell r="N225" t="str">
            <v/>
          </cell>
          <cell r="O225" t="str">
            <v>2025/12/08</v>
          </cell>
        </row>
        <row r="226">
          <cell r="C226" t="str">
            <v>GL501302</v>
          </cell>
          <cell r="D226" t="str">
            <v>美洲区</v>
          </cell>
          <cell r="E226" t="str">
            <v>CM 运力管理部</v>
          </cell>
          <cell r="F226" t="str">
            <v>调度运营组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>调度运营组</v>
          </cell>
          <cell r="L226" t="str">
            <v>Junior Dispatching Operations Specialist 初级调度运营专员</v>
          </cell>
          <cell r="M226" t="str">
            <v>P1-2</v>
          </cell>
          <cell r="N226" t="str">
            <v/>
          </cell>
          <cell r="O226" t="str">
            <v>2025/09/02</v>
          </cell>
        </row>
        <row r="227">
          <cell r="C227" t="str">
            <v>GL502360</v>
          </cell>
          <cell r="D227" t="str">
            <v>欧洲区</v>
          </cell>
          <cell r="E227" t="str">
            <v>IT 意大利区</v>
          </cell>
          <cell r="F227" t="str">
            <v>罗马枢纽仓</v>
          </cell>
          <cell r="G227" t="str">
            <v>异常退件组</v>
          </cell>
          <cell r="H227" t="str">
            <v/>
          </cell>
          <cell r="I227" t="str">
            <v/>
          </cell>
          <cell r="J227" t="str">
            <v/>
          </cell>
          <cell r="K227" t="str">
            <v>异常退件组</v>
          </cell>
          <cell r="L227" t="str">
            <v>Warehouse Operator操作员</v>
          </cell>
          <cell r="M227" t="str">
            <v>P1-1</v>
          </cell>
          <cell r="N227" t="str">
            <v/>
          </cell>
          <cell r="O227" t="str">
            <v>2026/03/02</v>
          </cell>
        </row>
        <row r="228">
          <cell r="C228" t="str">
            <v>GL501563</v>
          </cell>
          <cell r="D228" t="str">
            <v>美洲区</v>
          </cell>
          <cell r="E228" t="str">
            <v>WE 美西大区</v>
          </cell>
          <cell r="F228" t="str">
            <v>CNO.H</v>
          </cell>
          <cell r="G228" t="str">
            <v>操作组</v>
          </cell>
          <cell r="H228" t="str">
            <v/>
          </cell>
          <cell r="I228" t="str">
            <v/>
          </cell>
          <cell r="J228" t="str">
            <v/>
          </cell>
          <cell r="K228" t="str">
            <v>操作组</v>
          </cell>
          <cell r="L228" t="str">
            <v>Warehouse Operator 操作员</v>
          </cell>
          <cell r="M228" t="str">
            <v>P1-1</v>
          </cell>
          <cell r="N228" t="str">
            <v/>
          </cell>
          <cell r="O228" t="str">
            <v>2025/09/24</v>
          </cell>
        </row>
        <row r="229">
          <cell r="C229" t="str">
            <v>GL501289</v>
          </cell>
          <cell r="D229" t="str">
            <v>美洲区</v>
          </cell>
          <cell r="E229" t="str">
            <v>PR 波多黎各区</v>
          </cell>
          <cell r="F229" t="str">
            <v>SJU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>SJU</v>
          </cell>
          <cell r="L229" t="str">
            <v>Warehouse Operator 操作员</v>
          </cell>
          <cell r="M229" t="str">
            <v>P1-1</v>
          </cell>
          <cell r="N229" t="str">
            <v/>
          </cell>
          <cell r="O229" t="str">
            <v>2025/08/18</v>
          </cell>
        </row>
        <row r="230">
          <cell r="C230" t="str">
            <v>GL501736</v>
          </cell>
          <cell r="D230" t="str">
            <v>欧洲区</v>
          </cell>
          <cell r="E230" t="str">
            <v>FR 法国区</v>
          </cell>
          <cell r="F230" t="str">
            <v>西部战区</v>
          </cell>
          <cell r="G230" t="str">
            <v>普瓦捷-POI</v>
          </cell>
          <cell r="H230" t="str">
            <v/>
          </cell>
          <cell r="I230" t="str">
            <v/>
          </cell>
          <cell r="J230" t="str">
            <v/>
          </cell>
          <cell r="K230" t="str">
            <v>普瓦捷-POI</v>
          </cell>
          <cell r="L230" t="str">
            <v>Terminal Specialist 终端专员</v>
          </cell>
          <cell r="M230" t="str">
            <v>P1-1</v>
          </cell>
          <cell r="N230" t="str">
            <v/>
          </cell>
          <cell r="O230" t="str">
            <v>2025/11/03</v>
          </cell>
        </row>
        <row r="231">
          <cell r="C231" t="str">
            <v>GL500634</v>
          </cell>
          <cell r="D231" t="str">
            <v>美洲区</v>
          </cell>
          <cell r="E231" t="str">
            <v>NE 东北大区</v>
          </cell>
          <cell r="F231" t="str">
            <v>DC 华盛顿片区</v>
          </cell>
          <cell r="G231" t="str">
            <v>BWI01</v>
          </cell>
          <cell r="H231" t="str">
            <v/>
          </cell>
          <cell r="I231" t="str">
            <v/>
          </cell>
          <cell r="J231" t="str">
            <v/>
          </cell>
          <cell r="K231" t="str">
            <v>BWI</v>
          </cell>
          <cell r="L231" t="str">
            <v>Station Operations Specialist 站点运营专员</v>
          </cell>
          <cell r="M231" t="str">
            <v>P1-1</v>
          </cell>
          <cell r="N231" t="str">
            <v/>
          </cell>
          <cell r="O231" t="str">
            <v>2025/05/27</v>
          </cell>
        </row>
        <row r="232">
          <cell r="C232" t="str">
            <v>GL500149</v>
          </cell>
          <cell r="D232" t="str">
            <v>美洲区</v>
          </cell>
          <cell r="E232" t="str">
            <v>NE 东北大区</v>
          </cell>
          <cell r="F232" t="str">
            <v>DC 华盛顿片区</v>
          </cell>
          <cell r="G232" t="str">
            <v>BWI01</v>
          </cell>
          <cell r="H232" t="str">
            <v/>
          </cell>
          <cell r="I232" t="str">
            <v/>
          </cell>
          <cell r="J232" t="str">
            <v/>
          </cell>
          <cell r="K232" t="str">
            <v>BWI</v>
          </cell>
          <cell r="L232" t="str">
            <v>Station Operations Specialist 站点运营专员</v>
          </cell>
          <cell r="M232" t="str">
            <v>P1-2</v>
          </cell>
          <cell r="N232" t="str">
            <v/>
          </cell>
          <cell r="O232" t="str">
            <v>2025/03/17</v>
          </cell>
        </row>
        <row r="233">
          <cell r="C233" t="str">
            <v>GL500137</v>
          </cell>
          <cell r="D233" t="str">
            <v>美洲区</v>
          </cell>
          <cell r="E233" t="str">
            <v>NE 东北大区</v>
          </cell>
          <cell r="F233" t="str">
            <v>DC 华盛顿片区</v>
          </cell>
          <cell r="G233" t="str">
            <v>BWI01</v>
          </cell>
          <cell r="H233" t="str">
            <v/>
          </cell>
          <cell r="I233" t="str">
            <v/>
          </cell>
          <cell r="J233" t="str">
            <v/>
          </cell>
          <cell r="K233" t="str">
            <v>BWI</v>
          </cell>
          <cell r="L233" t="str">
            <v>Station Operations Specialist 站点运营专员</v>
          </cell>
          <cell r="M233" t="str">
            <v>P1-2</v>
          </cell>
          <cell r="N233" t="str">
            <v/>
          </cell>
          <cell r="O233" t="str">
            <v>2025/03/26</v>
          </cell>
        </row>
        <row r="234">
          <cell r="C234" t="str">
            <v>GL500698</v>
          </cell>
          <cell r="D234" t="str">
            <v>美洲区</v>
          </cell>
          <cell r="E234" t="str">
            <v>NE 东北大区</v>
          </cell>
          <cell r="F234" t="str">
            <v>DC 华盛顿片区</v>
          </cell>
          <cell r="G234" t="str">
            <v>BWI01</v>
          </cell>
          <cell r="H234" t="str">
            <v/>
          </cell>
          <cell r="I234" t="str">
            <v/>
          </cell>
          <cell r="J234" t="str">
            <v/>
          </cell>
          <cell r="K234" t="str">
            <v>BWI</v>
          </cell>
          <cell r="L234" t="str">
            <v>Station Operations Specialist 站点运营专员</v>
          </cell>
          <cell r="M234" t="str">
            <v>P1-1</v>
          </cell>
          <cell r="N234" t="str">
            <v/>
          </cell>
          <cell r="O234" t="str">
            <v>2025/06/10</v>
          </cell>
        </row>
        <row r="235">
          <cell r="C235" t="str">
            <v>GL502025</v>
          </cell>
          <cell r="D235" t="str">
            <v>美洲区</v>
          </cell>
          <cell r="E235" t="str">
            <v>GL 大湖大区</v>
          </cell>
          <cell r="F235" t="str">
            <v>EG 东大湖片区</v>
          </cell>
          <cell r="G235" t="str">
            <v>DTW01</v>
          </cell>
          <cell r="H235" t="str">
            <v/>
          </cell>
          <cell r="I235" t="str">
            <v/>
          </cell>
          <cell r="J235" t="str">
            <v/>
          </cell>
          <cell r="K235" t="str">
            <v>DTW</v>
          </cell>
          <cell r="L235" t="str">
            <v>Station Operations Specialist 站点运营专员</v>
          </cell>
          <cell r="M235" t="str">
            <v>P1-2</v>
          </cell>
          <cell r="N235" t="str">
            <v/>
          </cell>
          <cell r="O235" t="str">
            <v>2026/01/30</v>
          </cell>
        </row>
        <row r="236">
          <cell r="C236" t="str">
            <v>GL501844</v>
          </cell>
          <cell r="D236" t="str">
            <v>美洲区</v>
          </cell>
          <cell r="E236" t="str">
            <v>MS 中南大区</v>
          </cell>
          <cell r="F236" t="str">
            <v>ATL.H</v>
          </cell>
          <cell r="G236" t="str">
            <v>综办组</v>
          </cell>
          <cell r="H236" t="str">
            <v/>
          </cell>
          <cell r="I236" t="str">
            <v/>
          </cell>
          <cell r="J236" t="str">
            <v/>
          </cell>
          <cell r="K236" t="str">
            <v>综办组</v>
          </cell>
          <cell r="L236" t="str">
            <v>EHS Specialist EHS专员</v>
          </cell>
          <cell r="M236" t="str">
            <v>P1-3</v>
          </cell>
          <cell r="N236" t="str">
            <v/>
          </cell>
          <cell r="O236" t="str">
            <v>2025/11/26</v>
          </cell>
        </row>
        <row r="237">
          <cell r="C237" t="str">
            <v>GL500231</v>
          </cell>
          <cell r="D237" t="str">
            <v>美洲区</v>
          </cell>
          <cell r="E237" t="str">
            <v>PR 波多黎各区</v>
          </cell>
          <cell r="F237" t="str">
            <v>SJU.H</v>
          </cell>
          <cell r="G237" t="str">
            <v>分拣组</v>
          </cell>
          <cell r="H237" t="str">
            <v/>
          </cell>
          <cell r="I237" t="str">
            <v/>
          </cell>
          <cell r="J237" t="str">
            <v/>
          </cell>
          <cell r="K237" t="str">
            <v>分拣组</v>
          </cell>
          <cell r="L237" t="str">
            <v>Sorter 分拣员</v>
          </cell>
          <cell r="M237" t="str">
            <v>P1-1</v>
          </cell>
          <cell r="N237" t="str">
            <v/>
          </cell>
          <cell r="O237" t="str">
            <v>2025/01/28</v>
          </cell>
        </row>
        <row r="238">
          <cell r="C238" t="str">
            <v>GL501885</v>
          </cell>
          <cell r="D238" t="str">
            <v>欧洲区</v>
          </cell>
          <cell r="E238" t="str">
            <v>FR 法国区</v>
          </cell>
          <cell r="F238" t="str">
            <v>巴黎枢纽仓</v>
          </cell>
          <cell r="G238" t="str">
            <v>干线出库组</v>
          </cell>
          <cell r="H238" t="str">
            <v/>
          </cell>
          <cell r="I238" t="str">
            <v/>
          </cell>
          <cell r="J238" t="str">
            <v/>
          </cell>
          <cell r="K238" t="str">
            <v>干线出库组</v>
          </cell>
          <cell r="L238" t="str">
            <v>Warehouse Operator操作员</v>
          </cell>
          <cell r="M238" t="str">
            <v>P1-2</v>
          </cell>
          <cell r="N238" t="str">
            <v/>
          </cell>
          <cell r="O238" t="str">
            <v>2025/12/01</v>
          </cell>
        </row>
        <row r="239">
          <cell r="C239" t="str">
            <v>GL501350</v>
          </cell>
          <cell r="D239" t="str">
            <v>欧洲区</v>
          </cell>
          <cell r="E239" t="str">
            <v>FR 法国区</v>
          </cell>
          <cell r="F239" t="str">
            <v>西部战区</v>
          </cell>
          <cell r="G239" t="str">
            <v>南特-NTE</v>
          </cell>
          <cell r="H239" t="str">
            <v/>
          </cell>
          <cell r="I239" t="str">
            <v/>
          </cell>
          <cell r="J239" t="str">
            <v/>
          </cell>
          <cell r="K239" t="str">
            <v>南特-NTE</v>
          </cell>
          <cell r="L239" t="str">
            <v>Warehouse Operator操作员</v>
          </cell>
          <cell r="M239" t="str">
            <v>P1-2</v>
          </cell>
          <cell r="N239" t="str">
            <v/>
          </cell>
          <cell r="O239" t="str">
            <v>2025/09/01</v>
          </cell>
        </row>
        <row r="240">
          <cell r="C240" t="str">
            <v>GL501351</v>
          </cell>
          <cell r="D240" t="str">
            <v>欧洲区</v>
          </cell>
          <cell r="E240" t="str">
            <v>FR 法国区</v>
          </cell>
          <cell r="F240" t="str">
            <v>安全与合规部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>安全与合规部</v>
          </cell>
          <cell r="L240" t="str">
            <v>Safety Compliance Specialist安全合规专员</v>
          </cell>
          <cell r="M240" t="str">
            <v>P1-1</v>
          </cell>
          <cell r="N240" t="str">
            <v/>
          </cell>
          <cell r="O240" t="str">
            <v>2025/09/01</v>
          </cell>
        </row>
        <row r="241">
          <cell r="C241" t="str">
            <v>GL501074</v>
          </cell>
          <cell r="D241" t="str">
            <v>美洲区</v>
          </cell>
          <cell r="E241" t="str">
            <v>Ground项目部</v>
          </cell>
          <cell r="F241" t="str">
            <v>OG 美西区</v>
          </cell>
          <cell r="G241" t="str">
            <v>LA917</v>
          </cell>
          <cell r="H241" t="str">
            <v/>
          </cell>
          <cell r="I241" t="str">
            <v/>
          </cell>
          <cell r="J241" t="str">
            <v/>
          </cell>
          <cell r="K241" t="str">
            <v>LA917</v>
          </cell>
          <cell r="L241" t="str">
            <v>Station Head 站长</v>
          </cell>
          <cell r="M241" t="str">
            <v>P2-1</v>
          </cell>
          <cell r="N241" t="str">
            <v/>
          </cell>
          <cell r="O241" t="str">
            <v>2025/07/16</v>
          </cell>
        </row>
        <row r="242">
          <cell r="C242" t="str">
            <v>GL501211</v>
          </cell>
          <cell r="D242" t="str">
            <v>欧洲区</v>
          </cell>
          <cell r="E242" t="str">
            <v>FR 法国区</v>
          </cell>
          <cell r="F242" t="str">
            <v>巴黎枢纽仓</v>
          </cell>
          <cell r="G242" t="str">
            <v>巴黎出库组</v>
          </cell>
          <cell r="H242" t="str">
            <v/>
          </cell>
          <cell r="I242" t="str">
            <v/>
          </cell>
          <cell r="J242" t="str">
            <v/>
          </cell>
          <cell r="K242" t="str">
            <v>巴黎出库组</v>
          </cell>
          <cell r="L242" t="str">
            <v>Warehouse Operator操作员</v>
          </cell>
          <cell r="M242" t="str">
            <v>P1-1</v>
          </cell>
          <cell r="N242" t="str">
            <v/>
          </cell>
          <cell r="O242" t="str">
            <v>2025/08/06</v>
          </cell>
        </row>
        <row r="243">
          <cell r="C243" t="str">
            <v>GL501559</v>
          </cell>
          <cell r="D243" t="str">
            <v>欧洲区</v>
          </cell>
          <cell r="E243" t="str">
            <v>FR 法国区</v>
          </cell>
          <cell r="F243" t="str">
            <v>巴黎枢纽仓</v>
          </cell>
          <cell r="G243" t="str">
            <v>巴黎出库组</v>
          </cell>
          <cell r="H243" t="str">
            <v/>
          </cell>
          <cell r="I243" t="str">
            <v/>
          </cell>
          <cell r="J243" t="str">
            <v/>
          </cell>
          <cell r="K243" t="str">
            <v>巴黎出库组</v>
          </cell>
          <cell r="L243" t="str">
            <v>Warehouse Operator操作员</v>
          </cell>
          <cell r="M243" t="str">
            <v>P1-2</v>
          </cell>
          <cell r="N243" t="str">
            <v/>
          </cell>
          <cell r="O243" t="str">
            <v>2025/10/06</v>
          </cell>
        </row>
        <row r="244">
          <cell r="C244" t="str">
            <v>GL500004</v>
          </cell>
          <cell r="D244" t="str">
            <v>欧洲区</v>
          </cell>
          <cell r="E244" t="str">
            <v>FR 法国区</v>
          </cell>
          <cell r="F244" t="str">
            <v>巴黎枢纽仓</v>
          </cell>
          <cell r="G244" t="str">
            <v>运营支持组</v>
          </cell>
          <cell r="H244" t="str">
            <v>后勤保障组</v>
          </cell>
          <cell r="I244" t="str">
            <v/>
          </cell>
          <cell r="J244" t="str">
            <v/>
          </cell>
          <cell r="K244" t="str">
            <v>后勤保障组</v>
          </cell>
          <cell r="L244" t="str">
            <v>Warehouse Clerk仓库文员</v>
          </cell>
          <cell r="M244" t="str">
            <v>P1-1</v>
          </cell>
          <cell r="N244" t="str">
            <v/>
          </cell>
          <cell r="O244" t="str">
            <v>2025/05/12</v>
          </cell>
        </row>
        <row r="245">
          <cell r="C245" t="str">
            <v>GL501070</v>
          </cell>
          <cell r="D245" t="str">
            <v>欧洲区</v>
          </cell>
          <cell r="E245" t="str">
            <v>FR 法国区</v>
          </cell>
          <cell r="F245" t="str">
            <v>西部战区</v>
          </cell>
          <cell r="G245" t="str">
            <v>波尔多-BDX</v>
          </cell>
          <cell r="H245" t="str">
            <v/>
          </cell>
          <cell r="I245" t="str">
            <v/>
          </cell>
          <cell r="J245" t="str">
            <v/>
          </cell>
          <cell r="K245" t="str">
            <v>波尔多-BDX</v>
          </cell>
          <cell r="L245" t="str">
            <v>Warehouse Operator操作员</v>
          </cell>
          <cell r="M245" t="str">
            <v>P1-2</v>
          </cell>
          <cell r="N245" t="str">
            <v/>
          </cell>
          <cell r="O245" t="str">
            <v>2025/07/23</v>
          </cell>
        </row>
        <row r="246">
          <cell r="C246" t="str">
            <v>GL502288</v>
          </cell>
          <cell r="D246" t="str">
            <v>美洲区</v>
          </cell>
          <cell r="E246" t="str">
            <v>NE 东北大区</v>
          </cell>
          <cell r="F246" t="str">
            <v>运营支持部</v>
          </cell>
          <cell r="G246" t="str">
            <v>区域支持组</v>
          </cell>
          <cell r="H246" t="str">
            <v/>
          </cell>
          <cell r="I246" t="str">
            <v/>
          </cell>
          <cell r="J246" t="str">
            <v/>
          </cell>
          <cell r="K246" t="str">
            <v>区域支持组</v>
          </cell>
          <cell r="L246" t="str">
            <v>Management Trainee 管培生</v>
          </cell>
          <cell r="M246" t="str">
            <v>P1-2</v>
          </cell>
          <cell r="N246" t="str">
            <v/>
          </cell>
          <cell r="O246" t="str">
            <v>2026/02/09</v>
          </cell>
        </row>
        <row r="247">
          <cell r="C247" t="str">
            <v>GL502379</v>
          </cell>
          <cell r="D247" t="str">
            <v>美洲区</v>
          </cell>
          <cell r="E247" t="str">
            <v>WE 美西大区</v>
          </cell>
          <cell r="F247" t="str">
            <v>NC 北加片区</v>
          </cell>
          <cell r="G247" t="str">
            <v>SFO.H</v>
          </cell>
          <cell r="H247" t="str">
            <v>操作组</v>
          </cell>
          <cell r="I247" t="str">
            <v/>
          </cell>
          <cell r="J247" t="str">
            <v/>
          </cell>
          <cell r="K247" t="str">
            <v>操作组</v>
          </cell>
          <cell r="L247" t="str">
            <v>Warehouse Operator 操作员</v>
          </cell>
          <cell r="M247" t="str">
            <v>P1-2</v>
          </cell>
          <cell r="N247" t="str">
            <v/>
          </cell>
          <cell r="O247" t="str">
            <v>2026/02/22</v>
          </cell>
        </row>
        <row r="248">
          <cell r="C248" t="str">
            <v>GL502055</v>
          </cell>
          <cell r="D248" t="str">
            <v>美洲区</v>
          </cell>
          <cell r="E248" t="str">
            <v>WE 美西大区</v>
          </cell>
          <cell r="F248" t="str">
            <v>NC 北加片区</v>
          </cell>
          <cell r="G248" t="str">
            <v>SFO.H</v>
          </cell>
          <cell r="H248" t="str">
            <v>操作组</v>
          </cell>
          <cell r="I248" t="str">
            <v/>
          </cell>
          <cell r="J248" t="str">
            <v/>
          </cell>
          <cell r="K248" t="str">
            <v>操作组</v>
          </cell>
          <cell r="L248" t="str">
            <v>Warehouse Operator 操作员</v>
          </cell>
          <cell r="M248" t="str">
            <v>P1-1</v>
          </cell>
          <cell r="N248" t="str">
            <v/>
          </cell>
          <cell r="O248" t="str">
            <v>2025/12/29</v>
          </cell>
        </row>
        <row r="249">
          <cell r="C249" t="str">
            <v>GL501968</v>
          </cell>
          <cell r="D249" t="str">
            <v>美洲区</v>
          </cell>
          <cell r="E249" t="str">
            <v>TX 德州大区</v>
          </cell>
          <cell r="F249" t="str">
            <v>DFW.H</v>
          </cell>
          <cell r="G249" t="str">
            <v>调度组</v>
          </cell>
          <cell r="H249" t="str">
            <v/>
          </cell>
          <cell r="I249" t="str">
            <v/>
          </cell>
          <cell r="J249" t="str">
            <v/>
          </cell>
          <cell r="K249" t="str">
            <v>调度组</v>
          </cell>
          <cell r="L249" t="str">
            <v>Dispatcher 调度员</v>
          </cell>
          <cell r="M249" t="str">
            <v>P1-2</v>
          </cell>
          <cell r="N249" t="str">
            <v/>
          </cell>
          <cell r="O249" t="str">
            <v>2025/12/17</v>
          </cell>
        </row>
        <row r="250">
          <cell r="C250" t="str">
            <v>GL500082</v>
          </cell>
          <cell r="D250" t="str">
            <v>欧洲区</v>
          </cell>
          <cell r="E250" t="str">
            <v>FR 法国区</v>
          </cell>
          <cell r="F250" t="str">
            <v>东部战区</v>
          </cell>
          <cell r="G250" t="str">
            <v>里昂-LYN</v>
          </cell>
          <cell r="H250" t="str">
            <v/>
          </cell>
          <cell r="I250" t="str">
            <v/>
          </cell>
          <cell r="J250" t="str">
            <v/>
          </cell>
          <cell r="K250" t="str">
            <v>里昂-LYN</v>
          </cell>
          <cell r="L250" t="str">
            <v>Station Head 站长</v>
          </cell>
          <cell r="M250" t="str">
            <v>P1-2</v>
          </cell>
          <cell r="N250" t="str">
            <v/>
          </cell>
          <cell r="O250" t="str">
            <v>2025/04/14</v>
          </cell>
        </row>
        <row r="251">
          <cell r="C251" t="str">
            <v>GL500466</v>
          </cell>
          <cell r="D251" t="str">
            <v>美洲区</v>
          </cell>
          <cell r="E251" t="str">
            <v>FL 佛州大区</v>
          </cell>
          <cell r="F251" t="str">
            <v>MIA.H</v>
          </cell>
          <cell r="G251" t="str">
            <v>操作组</v>
          </cell>
          <cell r="H251" t="str">
            <v/>
          </cell>
          <cell r="I251" t="str">
            <v/>
          </cell>
          <cell r="J251" t="str">
            <v/>
          </cell>
          <cell r="K251" t="str">
            <v>操作组</v>
          </cell>
          <cell r="L251" t="str">
            <v>Warehouse Operator 操作员</v>
          </cell>
          <cell r="M251" t="str">
            <v>P1-1</v>
          </cell>
          <cell r="N251" t="str">
            <v/>
          </cell>
          <cell r="O251" t="str">
            <v>2023/08/08</v>
          </cell>
        </row>
        <row r="252">
          <cell r="C252" t="str">
            <v>GL500566</v>
          </cell>
          <cell r="D252" t="str">
            <v>美洲区</v>
          </cell>
          <cell r="E252" t="str">
            <v>Ground项目部</v>
          </cell>
          <cell r="F252" t="str">
            <v>OG 美西区</v>
          </cell>
          <cell r="G252" t="str">
            <v>LA917</v>
          </cell>
          <cell r="H252" t="str">
            <v/>
          </cell>
          <cell r="I252" t="str">
            <v/>
          </cell>
          <cell r="J252" t="str">
            <v/>
          </cell>
          <cell r="K252" t="str">
            <v>LA917</v>
          </cell>
          <cell r="L252" t="str">
            <v>Delivery Driver 司机</v>
          </cell>
          <cell r="M252" t="str">
            <v>P1-1</v>
          </cell>
          <cell r="N252" t="str">
            <v/>
          </cell>
          <cell r="O252" t="str">
            <v>2025/04/01</v>
          </cell>
        </row>
        <row r="253">
          <cell r="C253" t="str">
            <v>GL500570</v>
          </cell>
          <cell r="D253" t="str">
            <v>美洲区</v>
          </cell>
          <cell r="E253" t="str">
            <v>Ground项目部</v>
          </cell>
          <cell r="F253" t="str">
            <v>OG 美南区</v>
          </cell>
          <cell r="G253" t="str">
            <v>AT303</v>
          </cell>
          <cell r="H253" t="str">
            <v/>
          </cell>
          <cell r="I253" t="str">
            <v/>
          </cell>
          <cell r="J253" t="str">
            <v/>
          </cell>
          <cell r="K253" t="str">
            <v>AT303</v>
          </cell>
          <cell r="L253" t="str">
            <v>Delivery Driver 司机</v>
          </cell>
          <cell r="M253" t="str">
            <v>P1-1</v>
          </cell>
          <cell r="N253" t="str">
            <v/>
          </cell>
          <cell r="O253" t="str">
            <v>2025/03/21</v>
          </cell>
        </row>
        <row r="254">
          <cell r="C254" t="str">
            <v>GL501582</v>
          </cell>
          <cell r="D254" t="str">
            <v>美洲区</v>
          </cell>
          <cell r="E254" t="str">
            <v>MS 中南大区</v>
          </cell>
          <cell r="F254" t="str">
            <v>BN 田纳西和北阿拉巴马片区</v>
          </cell>
          <cell r="G254" t="str">
            <v>BNA01</v>
          </cell>
          <cell r="H254" t="str">
            <v/>
          </cell>
          <cell r="I254" t="str">
            <v/>
          </cell>
          <cell r="J254" t="str">
            <v/>
          </cell>
          <cell r="K254" t="str">
            <v>BNA</v>
          </cell>
          <cell r="L254" t="str">
            <v>Warehouse Operator 操作员</v>
          </cell>
          <cell r="M254" t="str">
            <v>P1-2</v>
          </cell>
          <cell r="N254" t="str">
            <v/>
          </cell>
          <cell r="O254" t="str">
            <v>2025/10/29</v>
          </cell>
        </row>
        <row r="255">
          <cell r="C255" t="str">
            <v>GL501907</v>
          </cell>
          <cell r="D255" t="str">
            <v>美洲区</v>
          </cell>
          <cell r="E255" t="str">
            <v>US人力资源部</v>
          </cell>
          <cell r="F255" t="str">
            <v>美洲HRBP组</v>
          </cell>
          <cell r="G255" t="str">
            <v>综合HRBP组</v>
          </cell>
          <cell r="H255" t="str">
            <v/>
          </cell>
          <cell r="I255" t="str">
            <v/>
          </cell>
          <cell r="J255" t="str">
            <v/>
          </cell>
          <cell r="K255" t="str">
            <v>综合HRBP组</v>
          </cell>
          <cell r="L255" t="str">
            <v>HRBP Assistant HRBP助理</v>
          </cell>
          <cell r="M255" t="str">
            <v>P1-1</v>
          </cell>
          <cell r="N255" t="str">
            <v/>
          </cell>
          <cell r="O255" t="str">
            <v>2025/12/03</v>
          </cell>
        </row>
        <row r="256">
          <cell r="C256" t="str">
            <v>GL501923</v>
          </cell>
          <cell r="D256" t="str">
            <v>美洲区</v>
          </cell>
          <cell r="E256" t="str">
            <v>MS 中南大区</v>
          </cell>
          <cell r="F256" t="str">
            <v>揽收部</v>
          </cell>
          <cell r="G256" t="str">
            <v>揽收调度组</v>
          </cell>
          <cell r="H256" t="str">
            <v/>
          </cell>
          <cell r="I256" t="str">
            <v/>
          </cell>
          <cell r="J256" t="str">
            <v/>
          </cell>
          <cell r="K256" t="str">
            <v>揽收调度组</v>
          </cell>
          <cell r="L256" t="str">
            <v>Pickup Dispatcher 揽收调度员</v>
          </cell>
          <cell r="M256" t="str">
            <v>P1-2</v>
          </cell>
          <cell r="N256" t="str">
            <v/>
          </cell>
          <cell r="O256" t="str">
            <v>2025/12/09</v>
          </cell>
        </row>
        <row r="257">
          <cell r="C257" t="str">
            <v>GL500328</v>
          </cell>
          <cell r="D257" t="str">
            <v>美洲区</v>
          </cell>
          <cell r="E257" t="str">
            <v>US人力资源部</v>
          </cell>
          <cell r="F257" t="str">
            <v>美洲HRBP组</v>
          </cell>
          <cell r="G257" t="str">
            <v>招聘组</v>
          </cell>
          <cell r="H257" t="str">
            <v/>
          </cell>
          <cell r="I257" t="str">
            <v/>
          </cell>
          <cell r="J257" t="str">
            <v/>
          </cell>
          <cell r="K257" t="str">
            <v>招聘组</v>
          </cell>
          <cell r="L257" t="str">
            <v>Recruitment Specialist 招聘专员</v>
          </cell>
          <cell r="M257" t="str">
            <v>P1-3</v>
          </cell>
          <cell r="N257" t="str">
            <v/>
          </cell>
          <cell r="O257" t="str">
            <v>2024/12/12</v>
          </cell>
        </row>
        <row r="258">
          <cell r="C258" t="str">
            <v>GL501962</v>
          </cell>
          <cell r="D258" t="str">
            <v>美洲区</v>
          </cell>
          <cell r="E258" t="str">
            <v>TX 德州大区</v>
          </cell>
          <cell r="F258" t="str">
            <v>DFW.H</v>
          </cell>
          <cell r="G258" t="str">
            <v>综办组</v>
          </cell>
          <cell r="H258" t="str">
            <v/>
          </cell>
          <cell r="I258" t="str">
            <v/>
          </cell>
          <cell r="J258" t="str">
            <v/>
          </cell>
          <cell r="K258" t="str">
            <v>综办组</v>
          </cell>
          <cell r="L258" t="str">
            <v>Warehouse Clerk 仓库文员</v>
          </cell>
          <cell r="M258" t="str">
            <v>P1-2</v>
          </cell>
          <cell r="N258" t="str">
            <v/>
          </cell>
          <cell r="O258" t="str">
            <v>2025/12/22</v>
          </cell>
        </row>
        <row r="259">
          <cell r="C259" t="str">
            <v>GL501418</v>
          </cell>
          <cell r="D259" t="str">
            <v>美洲区</v>
          </cell>
          <cell r="E259" t="str">
            <v>TX 德州大区</v>
          </cell>
          <cell r="F259" t="str">
            <v>DFW.H</v>
          </cell>
          <cell r="G259" t="str">
            <v>综办组</v>
          </cell>
          <cell r="H259" t="str">
            <v/>
          </cell>
          <cell r="I259" t="str">
            <v/>
          </cell>
          <cell r="J259" t="str">
            <v/>
          </cell>
          <cell r="K259" t="str">
            <v>综办组</v>
          </cell>
          <cell r="L259" t="str">
            <v>General Affairs Lead 综办组长</v>
          </cell>
          <cell r="M259" t="str">
            <v>P1-3</v>
          </cell>
          <cell r="N259" t="str">
            <v/>
          </cell>
          <cell r="O259" t="str">
            <v>2025/09/08</v>
          </cell>
        </row>
        <row r="260">
          <cell r="C260" t="str">
            <v>GL502161</v>
          </cell>
          <cell r="D260" t="str">
            <v>美洲区</v>
          </cell>
          <cell r="E260" t="str">
            <v>TX 德州大区</v>
          </cell>
          <cell r="F260" t="str">
            <v>DFW.H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>DFW.H</v>
          </cell>
          <cell r="L260" t="str">
            <v>Deputy Hub Head 副仓长</v>
          </cell>
          <cell r="M260" t="str">
            <v>M2-1</v>
          </cell>
          <cell r="N260" t="str">
            <v/>
          </cell>
          <cell r="O260" t="str">
            <v>2026/01/22</v>
          </cell>
        </row>
        <row r="261">
          <cell r="C261" t="str">
            <v>GL502341</v>
          </cell>
          <cell r="D261" t="str">
            <v>美洲区</v>
          </cell>
          <cell r="E261" t="str">
            <v>WE 美西大区</v>
          </cell>
          <cell r="F261" t="str">
            <v>LAV.H</v>
          </cell>
          <cell r="G261" t="str">
            <v>操作组</v>
          </cell>
          <cell r="H261" t="str">
            <v/>
          </cell>
          <cell r="I261" t="str">
            <v/>
          </cell>
          <cell r="J261" t="str">
            <v/>
          </cell>
          <cell r="K261" t="str">
            <v>操作组</v>
          </cell>
          <cell r="L261" t="str">
            <v>Warehouse Operator 操作员</v>
          </cell>
          <cell r="M261" t="str">
            <v>P1-1</v>
          </cell>
          <cell r="N261" t="str">
            <v/>
          </cell>
          <cell r="O261" t="str">
            <v>2026/02/17</v>
          </cell>
        </row>
        <row r="262">
          <cell r="C262" t="str">
            <v>GL502051</v>
          </cell>
          <cell r="D262" t="str">
            <v>欧洲区</v>
          </cell>
          <cell r="E262" t="str">
            <v>IT 意大利区</v>
          </cell>
          <cell r="F262" t="str">
            <v>米兰枢纽仓</v>
          </cell>
          <cell r="G262" t="str">
            <v>设备分拣组</v>
          </cell>
          <cell r="H262" t="str">
            <v/>
          </cell>
          <cell r="I262" t="str">
            <v/>
          </cell>
          <cell r="J262" t="str">
            <v/>
          </cell>
          <cell r="K262" t="str">
            <v>设备分拣组</v>
          </cell>
          <cell r="L262" t="str">
            <v>Warehouse Operator操作员</v>
          </cell>
          <cell r="M262" t="str">
            <v>P1-2</v>
          </cell>
          <cell r="N262" t="str">
            <v/>
          </cell>
          <cell r="O262" t="str">
            <v>2026/01/26</v>
          </cell>
        </row>
        <row r="263">
          <cell r="C263" t="str">
            <v>GL501457</v>
          </cell>
          <cell r="D263" t="str">
            <v>欧洲区</v>
          </cell>
          <cell r="E263" t="str">
            <v>IT 意大利区</v>
          </cell>
          <cell r="F263" t="str">
            <v>北部战区</v>
          </cell>
          <cell r="G263" t="str">
            <v>终端运营组</v>
          </cell>
          <cell r="H263" t="str">
            <v/>
          </cell>
          <cell r="I263" t="str">
            <v/>
          </cell>
          <cell r="J263" t="str">
            <v/>
          </cell>
          <cell r="K263" t="str">
            <v>终端运营组</v>
          </cell>
          <cell r="L263" t="str">
            <v>Terminal Specialist终端专员</v>
          </cell>
          <cell r="M263" t="str">
            <v>P1-2</v>
          </cell>
          <cell r="N263" t="str">
            <v/>
          </cell>
          <cell r="O263" t="str">
            <v>2025/11/17</v>
          </cell>
        </row>
        <row r="264">
          <cell r="C264" t="str">
            <v>GL500924</v>
          </cell>
          <cell r="D264" t="str">
            <v>美洲区</v>
          </cell>
          <cell r="E264" t="str">
            <v>FL 佛州大区</v>
          </cell>
          <cell r="F264" t="str">
            <v>MCO.H</v>
          </cell>
          <cell r="G264" t="str">
            <v>分拣组</v>
          </cell>
          <cell r="H264" t="str">
            <v/>
          </cell>
          <cell r="I264" t="str">
            <v/>
          </cell>
          <cell r="J264" t="str">
            <v/>
          </cell>
          <cell r="K264" t="str">
            <v>分拣组</v>
          </cell>
          <cell r="L264" t="str">
            <v>Sorter 分拣员</v>
          </cell>
          <cell r="M264" t="str">
            <v>P1-1</v>
          </cell>
          <cell r="N264" t="str">
            <v/>
          </cell>
          <cell r="O264" t="str">
            <v>2025/07/08</v>
          </cell>
        </row>
        <row r="265">
          <cell r="C265" t="str">
            <v>GL501303</v>
          </cell>
          <cell r="D265" t="str">
            <v>美洲区</v>
          </cell>
          <cell r="E265" t="str">
            <v>WE 美西大区</v>
          </cell>
          <cell r="F265" t="str">
            <v>LAV.H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>LAV.H</v>
          </cell>
          <cell r="L265" t="str">
            <v>Management Trainee 管培生</v>
          </cell>
          <cell r="M265" t="str">
            <v>P1-2</v>
          </cell>
          <cell r="N265" t="str">
            <v/>
          </cell>
          <cell r="O265" t="str">
            <v>2025/09/03</v>
          </cell>
        </row>
        <row r="266">
          <cell r="C266" t="str">
            <v>GL501187</v>
          </cell>
          <cell r="D266" t="str">
            <v>美洲区</v>
          </cell>
          <cell r="E266" t="str">
            <v>FL 佛州大区</v>
          </cell>
          <cell r="F266" t="str">
            <v>SF 南佛片区</v>
          </cell>
          <cell r="G266" t="str">
            <v>MIA01</v>
          </cell>
          <cell r="H266" t="str">
            <v/>
          </cell>
          <cell r="I266" t="str">
            <v/>
          </cell>
          <cell r="J266" t="str">
            <v/>
          </cell>
          <cell r="K266" t="str">
            <v>MIA01</v>
          </cell>
          <cell r="L266" t="str">
            <v>Station Operations Specialist 站点运营专员</v>
          </cell>
          <cell r="M266" t="str">
            <v>P1-2</v>
          </cell>
          <cell r="N266" t="str">
            <v/>
          </cell>
          <cell r="O266" t="str">
            <v>2025/08/12</v>
          </cell>
        </row>
        <row r="267">
          <cell r="C267" t="str">
            <v>GL500285</v>
          </cell>
          <cell r="D267" t="str">
            <v>美洲区</v>
          </cell>
          <cell r="E267" t="str">
            <v>WE 美西大区</v>
          </cell>
          <cell r="F267" t="str">
            <v>SC 南加片区</v>
          </cell>
          <cell r="G267" t="str">
            <v>PHX01</v>
          </cell>
          <cell r="H267" t="str">
            <v/>
          </cell>
          <cell r="I267" t="str">
            <v/>
          </cell>
          <cell r="J267" t="str">
            <v/>
          </cell>
          <cell r="K267" t="str">
            <v>PHX01</v>
          </cell>
          <cell r="L267" t="str">
            <v>Station Head 站长</v>
          </cell>
          <cell r="M267" t="str">
            <v>M2-1</v>
          </cell>
          <cell r="N267" t="str">
            <v/>
          </cell>
          <cell r="O267" t="str">
            <v>2024/12/27</v>
          </cell>
        </row>
        <row r="268">
          <cell r="C268" t="str">
            <v>GL501100</v>
          </cell>
          <cell r="D268" t="str">
            <v>美洲区</v>
          </cell>
          <cell r="E268" t="str">
            <v>FL 佛州大区</v>
          </cell>
          <cell r="F268" t="str">
            <v>MF 中佛片区</v>
          </cell>
          <cell r="G268" t="str">
            <v>MCO01</v>
          </cell>
          <cell r="H268" t="str">
            <v/>
          </cell>
          <cell r="I268" t="str">
            <v/>
          </cell>
          <cell r="J268" t="str">
            <v/>
          </cell>
          <cell r="K268" t="str">
            <v>MCO01</v>
          </cell>
          <cell r="L268" t="str">
            <v>Station Operations Specialist 站点运营专员</v>
          </cell>
          <cell r="M268" t="str">
            <v>P1-1</v>
          </cell>
          <cell r="N268" t="str">
            <v/>
          </cell>
          <cell r="O268" t="str">
            <v>2025/07/24</v>
          </cell>
        </row>
        <row r="269">
          <cell r="C269" t="str">
            <v>GL502033</v>
          </cell>
          <cell r="D269" t="str">
            <v>美洲区</v>
          </cell>
          <cell r="E269" t="str">
            <v>TX 德州大区</v>
          </cell>
          <cell r="F269" t="str">
            <v>GC 墨湾片区</v>
          </cell>
          <cell r="G269" t="str">
            <v>IAH01</v>
          </cell>
          <cell r="H269" t="str">
            <v/>
          </cell>
          <cell r="I269" t="str">
            <v/>
          </cell>
          <cell r="J269" t="str">
            <v/>
          </cell>
          <cell r="K269" t="str">
            <v>IAH</v>
          </cell>
          <cell r="L269" t="str">
            <v>Station Operations Specialist 站点运营专员</v>
          </cell>
          <cell r="M269" t="str">
            <v>P1-2</v>
          </cell>
          <cell r="N269" t="str">
            <v/>
          </cell>
          <cell r="O269" t="str">
            <v>2026/01/12</v>
          </cell>
        </row>
        <row r="270">
          <cell r="C270" t="str">
            <v>GL500251</v>
          </cell>
          <cell r="D270" t="str">
            <v>美洲区</v>
          </cell>
          <cell r="E270" t="str">
            <v>NE 东北大区</v>
          </cell>
          <cell r="F270" t="str">
            <v>车辆管理部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>车辆管理部</v>
          </cell>
          <cell r="L270" t="str">
            <v>Fleet Support Specialist 车队支持专员</v>
          </cell>
          <cell r="M270" t="str">
            <v>P1-2</v>
          </cell>
          <cell r="N270" t="str">
            <v/>
          </cell>
          <cell r="O270" t="str">
            <v>2025/01/20</v>
          </cell>
        </row>
        <row r="271">
          <cell r="C271" t="str">
            <v>GL500656</v>
          </cell>
          <cell r="D271" t="str">
            <v>欧洲区</v>
          </cell>
          <cell r="E271" t="str">
            <v>FR 法国区</v>
          </cell>
          <cell r="F271" t="str">
            <v>巴黎枢纽仓</v>
          </cell>
          <cell r="G271" t="str">
            <v>理货入库组</v>
          </cell>
          <cell r="H271" t="str">
            <v/>
          </cell>
          <cell r="I271" t="str">
            <v/>
          </cell>
          <cell r="J271" t="str">
            <v/>
          </cell>
          <cell r="K271" t="str">
            <v>理货入库组</v>
          </cell>
          <cell r="L271" t="str">
            <v>Warehouse Operator操作员</v>
          </cell>
          <cell r="M271" t="str">
            <v>P1-1</v>
          </cell>
          <cell r="N271" t="str">
            <v/>
          </cell>
          <cell r="O271" t="str">
            <v>2025/06/02</v>
          </cell>
        </row>
        <row r="272">
          <cell r="C272" t="str">
            <v>GL502151</v>
          </cell>
          <cell r="D272" t="str">
            <v>欧洲区</v>
          </cell>
          <cell r="E272" t="str">
            <v>IT 意大利区</v>
          </cell>
          <cell r="F272" t="str">
            <v>南部战区</v>
          </cell>
          <cell r="G272" t="str">
            <v>终端运营组</v>
          </cell>
          <cell r="H272" t="str">
            <v/>
          </cell>
          <cell r="I272" t="str">
            <v/>
          </cell>
          <cell r="J272" t="str">
            <v/>
          </cell>
          <cell r="K272" t="str">
            <v>终端运营组</v>
          </cell>
          <cell r="L272" t="str">
            <v>Terminal Specialist终端专员</v>
          </cell>
          <cell r="M272" t="str">
            <v>P1-2</v>
          </cell>
          <cell r="N272" t="str">
            <v/>
          </cell>
          <cell r="O272" t="str">
            <v>2026/01/22</v>
          </cell>
        </row>
        <row r="273">
          <cell r="C273" t="str">
            <v>GL501195</v>
          </cell>
          <cell r="D273" t="str">
            <v>欧洲区</v>
          </cell>
          <cell r="E273" t="str">
            <v>FR 法国区</v>
          </cell>
          <cell r="F273" t="str">
            <v>东部战区</v>
          </cell>
          <cell r="G273" t="str">
            <v>斯特拉斯堡-SXB</v>
          </cell>
          <cell r="H273" t="str">
            <v/>
          </cell>
          <cell r="I273" t="str">
            <v/>
          </cell>
          <cell r="J273" t="str">
            <v/>
          </cell>
          <cell r="K273" t="str">
            <v>斯特拉斯堡-SXB</v>
          </cell>
          <cell r="L273" t="str">
            <v>Warehouse Operator操作员</v>
          </cell>
          <cell r="M273" t="str">
            <v>P1-1</v>
          </cell>
          <cell r="N273" t="str">
            <v/>
          </cell>
          <cell r="O273" t="str">
            <v>2025/08/06</v>
          </cell>
        </row>
        <row r="274">
          <cell r="C274" t="str">
            <v>GL502044</v>
          </cell>
          <cell r="D274" t="str">
            <v>美洲区</v>
          </cell>
          <cell r="E274" t="str">
            <v>WE 美西大区</v>
          </cell>
          <cell r="F274" t="str">
            <v>NC 北加片区</v>
          </cell>
          <cell r="G274" t="str">
            <v>SFO.H</v>
          </cell>
          <cell r="H274" t="str">
            <v>分拣组</v>
          </cell>
          <cell r="I274" t="str">
            <v/>
          </cell>
          <cell r="J274" t="str">
            <v/>
          </cell>
          <cell r="K274" t="str">
            <v>分拣组</v>
          </cell>
          <cell r="L274" t="str">
            <v>Sorter 分拣员</v>
          </cell>
          <cell r="M274" t="str">
            <v>P1-1</v>
          </cell>
          <cell r="N274" t="str">
            <v/>
          </cell>
          <cell r="O274" t="str">
            <v>2025/12/29</v>
          </cell>
        </row>
        <row r="275">
          <cell r="C275" t="str">
            <v>GL501575</v>
          </cell>
          <cell r="D275" t="str">
            <v>美洲区</v>
          </cell>
          <cell r="E275" t="str">
            <v>WE 美西大区</v>
          </cell>
          <cell r="F275" t="str">
            <v>LAV.H</v>
          </cell>
          <cell r="G275" t="str">
            <v>调度组</v>
          </cell>
          <cell r="H275" t="str">
            <v/>
          </cell>
          <cell r="I275" t="str">
            <v/>
          </cell>
          <cell r="J275" t="str">
            <v/>
          </cell>
          <cell r="K275" t="str">
            <v>调度组</v>
          </cell>
          <cell r="L275" t="str">
            <v>Dispatcher 调度员</v>
          </cell>
          <cell r="M275" t="str">
            <v>P1-1</v>
          </cell>
          <cell r="N275" t="str">
            <v/>
          </cell>
          <cell r="O275" t="str">
            <v>2025/10/06</v>
          </cell>
        </row>
        <row r="276">
          <cell r="C276" t="str">
            <v>GL501932</v>
          </cell>
          <cell r="D276" t="str">
            <v>美洲区</v>
          </cell>
          <cell r="E276" t="str">
            <v>TX 德州大区</v>
          </cell>
          <cell r="F276" t="str">
            <v>GC 墨湾片区</v>
          </cell>
          <cell r="G276" t="str">
            <v>IAH01</v>
          </cell>
          <cell r="H276" t="str">
            <v/>
          </cell>
          <cell r="I276" t="str">
            <v/>
          </cell>
          <cell r="J276" t="str">
            <v/>
          </cell>
          <cell r="K276" t="str">
            <v>IAH</v>
          </cell>
          <cell r="L276" t="str">
            <v>Station Operations Specialist 站点运营专员</v>
          </cell>
          <cell r="M276" t="str">
            <v>P1-2</v>
          </cell>
          <cell r="N276" t="str">
            <v/>
          </cell>
          <cell r="O276" t="str">
            <v>2025/12/11</v>
          </cell>
        </row>
        <row r="277">
          <cell r="C277" t="str">
            <v>GL502119</v>
          </cell>
          <cell r="D277" t="str">
            <v>欧洲区</v>
          </cell>
          <cell r="E277" t="str">
            <v>NL 荷兰区</v>
          </cell>
          <cell r="F277" t="str">
            <v>北部战区</v>
          </cell>
          <cell r="G277" t="str">
            <v>终端运营组</v>
          </cell>
          <cell r="H277" t="str">
            <v/>
          </cell>
          <cell r="I277" t="str">
            <v/>
          </cell>
          <cell r="J277" t="str">
            <v/>
          </cell>
          <cell r="K277" t="str">
            <v>终端运营组</v>
          </cell>
          <cell r="L277" t="str">
            <v>Terminal  Specialist 终端专员</v>
          </cell>
          <cell r="M277" t="str">
            <v>P1-2</v>
          </cell>
          <cell r="N277" t="str">
            <v/>
          </cell>
          <cell r="O277" t="str">
            <v>2026/01/14</v>
          </cell>
        </row>
        <row r="278">
          <cell r="C278" t="str">
            <v>GL501154</v>
          </cell>
          <cell r="D278" t="str">
            <v>欧洲区</v>
          </cell>
          <cell r="E278" t="str">
            <v>FR 法国区</v>
          </cell>
          <cell r="F278" t="str">
            <v>操作管理部</v>
          </cell>
          <cell r="G278" t="str">
            <v>数据分析组</v>
          </cell>
          <cell r="H278" t="str">
            <v/>
          </cell>
          <cell r="I278" t="str">
            <v/>
          </cell>
          <cell r="J278" t="str">
            <v/>
          </cell>
          <cell r="K278" t="str">
            <v>数据分析组</v>
          </cell>
          <cell r="L278" t="str">
            <v>Data Analyst Specialist 数据分析专员</v>
          </cell>
          <cell r="M278" t="str">
            <v>P1-2</v>
          </cell>
          <cell r="N278" t="str">
            <v/>
          </cell>
          <cell r="O278" t="str">
            <v>2025/08/11</v>
          </cell>
        </row>
        <row r="279">
          <cell r="C279" t="str">
            <v>GL501841</v>
          </cell>
          <cell r="D279" t="str">
            <v>美洲区</v>
          </cell>
          <cell r="E279" t="str">
            <v>NE 东北大区</v>
          </cell>
          <cell r="F279" t="str">
            <v>MA 新英格兰片区</v>
          </cell>
          <cell r="G279" t="str">
            <v>PVD01</v>
          </cell>
          <cell r="H279" t="str">
            <v/>
          </cell>
          <cell r="I279" t="str">
            <v/>
          </cell>
          <cell r="J279" t="str">
            <v/>
          </cell>
          <cell r="K279" t="str">
            <v>PVD</v>
          </cell>
          <cell r="L279" t="str">
            <v>Station Operations Specialist 站点运营专员</v>
          </cell>
          <cell r="M279" t="str">
            <v>P1-1</v>
          </cell>
          <cell r="N279" t="str">
            <v/>
          </cell>
          <cell r="O279" t="str">
            <v>2025/11/18</v>
          </cell>
        </row>
        <row r="280">
          <cell r="C280" t="str">
            <v>GL500814</v>
          </cell>
          <cell r="D280" t="str">
            <v>美洲区</v>
          </cell>
          <cell r="E280" t="str">
            <v>Ground项目部</v>
          </cell>
          <cell r="F280" t="str">
            <v>OG 美西区</v>
          </cell>
          <cell r="G280" t="str">
            <v>LA900</v>
          </cell>
          <cell r="H280" t="str">
            <v/>
          </cell>
          <cell r="I280" t="str">
            <v/>
          </cell>
          <cell r="J280" t="str">
            <v/>
          </cell>
          <cell r="K280" t="str">
            <v>LA900</v>
          </cell>
          <cell r="L280" t="str">
            <v>Station Operations Specialist 站点运营专员</v>
          </cell>
          <cell r="M280" t="str">
            <v>P1-3</v>
          </cell>
          <cell r="N280" t="str">
            <v/>
          </cell>
          <cell r="O280" t="str">
            <v>2025/06/18</v>
          </cell>
        </row>
        <row r="281">
          <cell r="C281" t="str">
            <v>GL500239</v>
          </cell>
          <cell r="D281" t="str">
            <v>美洲区</v>
          </cell>
          <cell r="E281" t="str">
            <v>FL 佛州大区</v>
          </cell>
          <cell r="F281" t="str">
            <v>MIA.H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>MIA.H</v>
          </cell>
          <cell r="L281" t="str">
            <v>Hub Head 仓长</v>
          </cell>
          <cell r="M281" t="str">
            <v>M2-2</v>
          </cell>
          <cell r="N281" t="str">
            <v/>
          </cell>
          <cell r="O281" t="str">
            <v>2025/01/27</v>
          </cell>
        </row>
        <row r="282">
          <cell r="C282" t="str">
            <v>GL501285</v>
          </cell>
          <cell r="D282" t="str">
            <v>美洲区</v>
          </cell>
          <cell r="E282" t="str">
            <v>GL 大湖大区</v>
          </cell>
          <cell r="F282" t="str">
            <v>NM 中西部北片区</v>
          </cell>
          <cell r="G282" t="str">
            <v>MSP01</v>
          </cell>
          <cell r="H282" t="str">
            <v/>
          </cell>
          <cell r="I282" t="str">
            <v/>
          </cell>
          <cell r="J282" t="str">
            <v/>
          </cell>
          <cell r="K282" t="str">
            <v>MSP</v>
          </cell>
          <cell r="L282" t="str">
            <v>Warehouse Lead 操作组长</v>
          </cell>
          <cell r="M282" t="str">
            <v>P2-1</v>
          </cell>
          <cell r="N282" t="str">
            <v/>
          </cell>
          <cell r="O282" t="str">
            <v>2025/08/25</v>
          </cell>
        </row>
        <row r="283">
          <cell r="C283" t="str">
            <v>GL501781</v>
          </cell>
          <cell r="D283" t="str">
            <v>美洲区</v>
          </cell>
          <cell r="E283" t="str">
            <v>WE 美西大区</v>
          </cell>
          <cell r="F283" t="str">
            <v>SC 南加片区</v>
          </cell>
          <cell r="G283" t="str">
            <v>LAX01</v>
          </cell>
          <cell r="H283" t="str">
            <v/>
          </cell>
          <cell r="I283" t="str">
            <v/>
          </cell>
          <cell r="J283" t="str">
            <v/>
          </cell>
          <cell r="K283" t="str">
            <v>LAX.SAN</v>
          </cell>
          <cell r="L283" t="str">
            <v>Warehouse Operator 操作员</v>
          </cell>
          <cell r="M283" t="str">
            <v>P1-1</v>
          </cell>
          <cell r="N283" t="str">
            <v/>
          </cell>
          <cell r="O283" t="str">
            <v>2025/11/10</v>
          </cell>
        </row>
        <row r="284">
          <cell r="C284" t="str">
            <v>GL501903</v>
          </cell>
          <cell r="D284" t="str">
            <v>美洲区</v>
          </cell>
          <cell r="E284" t="str">
            <v>Ground项目部</v>
          </cell>
          <cell r="F284" t="str">
            <v>OG 美西区</v>
          </cell>
          <cell r="G284" t="str">
            <v>CNO.G</v>
          </cell>
          <cell r="H284" t="str">
            <v/>
          </cell>
          <cell r="I284" t="str">
            <v/>
          </cell>
          <cell r="J284" t="str">
            <v/>
          </cell>
          <cell r="K284" t="str">
            <v>CNO.G</v>
          </cell>
          <cell r="L284" t="str">
            <v>Dispatcher 调度员</v>
          </cell>
          <cell r="M284" t="str">
            <v>P1-2</v>
          </cell>
          <cell r="N284" t="str">
            <v/>
          </cell>
          <cell r="O284" t="str">
            <v>2025/12/03</v>
          </cell>
        </row>
        <row r="285">
          <cell r="C285" t="str">
            <v>GL501221</v>
          </cell>
          <cell r="D285" t="str">
            <v>美洲区</v>
          </cell>
          <cell r="E285" t="str">
            <v>FL 佛州大区</v>
          </cell>
          <cell r="F285" t="str">
            <v>MIA.H</v>
          </cell>
          <cell r="G285" t="str">
            <v>调度组</v>
          </cell>
          <cell r="H285" t="str">
            <v/>
          </cell>
          <cell r="I285" t="str">
            <v/>
          </cell>
          <cell r="J285" t="str">
            <v/>
          </cell>
          <cell r="K285" t="str">
            <v>调度组</v>
          </cell>
          <cell r="L285" t="str">
            <v>Dispatcher 调度员</v>
          </cell>
          <cell r="M285" t="str">
            <v>P1-1</v>
          </cell>
          <cell r="N285" t="str">
            <v/>
          </cell>
          <cell r="O285" t="str">
            <v>2025/06/11</v>
          </cell>
        </row>
        <row r="286">
          <cell r="C286" t="str">
            <v>GL501681</v>
          </cell>
          <cell r="D286" t="str">
            <v>美洲区</v>
          </cell>
          <cell r="E286" t="str">
            <v>WE 美西大区</v>
          </cell>
          <cell r="F286" t="str">
            <v>LA揽收部</v>
          </cell>
          <cell r="G286" t="str">
            <v>揽收支持组</v>
          </cell>
          <cell r="H286" t="str">
            <v/>
          </cell>
          <cell r="I286" t="str">
            <v/>
          </cell>
          <cell r="J286" t="str">
            <v/>
          </cell>
          <cell r="K286" t="str">
            <v>揽收支持组</v>
          </cell>
          <cell r="L286" t="str">
            <v>Pickup Support Specialist 揽收支持专员</v>
          </cell>
          <cell r="M286" t="str">
            <v>P1-1</v>
          </cell>
          <cell r="N286" t="str">
            <v/>
          </cell>
          <cell r="O286" t="str">
            <v>2025/10/27</v>
          </cell>
        </row>
        <row r="287">
          <cell r="C287" t="str">
            <v>GL500562</v>
          </cell>
          <cell r="D287" t="str">
            <v>美洲区</v>
          </cell>
          <cell r="E287" t="str">
            <v>Ground项目部</v>
          </cell>
          <cell r="F287" t="str">
            <v>OG 美西区</v>
          </cell>
          <cell r="G287" t="str">
            <v>SD921</v>
          </cell>
          <cell r="H287" t="str">
            <v/>
          </cell>
          <cell r="I287" t="str">
            <v/>
          </cell>
          <cell r="J287" t="str">
            <v/>
          </cell>
          <cell r="K287" t="str">
            <v>SD921</v>
          </cell>
          <cell r="L287" t="str">
            <v>Station Head 站长</v>
          </cell>
          <cell r="M287" t="str">
            <v>M2-1</v>
          </cell>
          <cell r="N287" t="str">
            <v/>
          </cell>
          <cell r="O287" t="str">
            <v>2025/04/07</v>
          </cell>
        </row>
        <row r="288">
          <cell r="C288" t="str">
            <v>GL500780</v>
          </cell>
          <cell r="D288" t="str">
            <v>美洲区</v>
          </cell>
          <cell r="E288" t="str">
            <v>Ground项目部</v>
          </cell>
          <cell r="F288" t="str">
            <v>OG 美西区</v>
          </cell>
          <cell r="G288" t="str">
            <v>SD921</v>
          </cell>
          <cell r="H288" t="str">
            <v/>
          </cell>
          <cell r="I288" t="str">
            <v/>
          </cell>
          <cell r="J288" t="str">
            <v/>
          </cell>
          <cell r="K288" t="str">
            <v>SD921</v>
          </cell>
          <cell r="L288" t="str">
            <v>Warehouse Operator 操作员</v>
          </cell>
          <cell r="M288" t="str">
            <v>P1-3</v>
          </cell>
          <cell r="N288" t="str">
            <v/>
          </cell>
          <cell r="O288" t="str">
            <v>2025/06/11</v>
          </cell>
        </row>
        <row r="289">
          <cell r="C289" t="str">
            <v>GL500632</v>
          </cell>
          <cell r="D289" t="str">
            <v>美洲区</v>
          </cell>
          <cell r="E289" t="str">
            <v>NE 东北大区</v>
          </cell>
          <cell r="F289" t="str">
            <v>NY 纽约片区</v>
          </cell>
          <cell r="G289" t="str">
            <v>JFK01</v>
          </cell>
          <cell r="H289" t="str">
            <v/>
          </cell>
          <cell r="I289" t="str">
            <v/>
          </cell>
          <cell r="J289" t="str">
            <v/>
          </cell>
          <cell r="K289" t="str">
            <v>JFK</v>
          </cell>
          <cell r="L289" t="str">
            <v>Station Operations Specialist 站点运营专员</v>
          </cell>
          <cell r="M289" t="str">
            <v>P1-1</v>
          </cell>
          <cell r="N289" t="str">
            <v/>
          </cell>
          <cell r="O289" t="str">
            <v>2025/05/27</v>
          </cell>
        </row>
        <row r="290">
          <cell r="C290" t="str">
            <v>GL501711</v>
          </cell>
          <cell r="D290" t="str">
            <v>欧洲区</v>
          </cell>
          <cell r="E290" t="str">
            <v>IT 意大利区</v>
          </cell>
          <cell r="F290" t="str">
            <v>米兰枢纽仓</v>
          </cell>
          <cell r="G290" t="str">
            <v>异常退件组</v>
          </cell>
          <cell r="H290" t="str">
            <v/>
          </cell>
          <cell r="I290" t="str">
            <v/>
          </cell>
          <cell r="J290" t="str">
            <v/>
          </cell>
          <cell r="K290" t="str">
            <v>异常退件组</v>
          </cell>
          <cell r="L290" t="str">
            <v>Warehouse Operator操作员</v>
          </cell>
          <cell r="M290" t="str">
            <v>P1-1</v>
          </cell>
          <cell r="N290" t="str">
            <v/>
          </cell>
          <cell r="O290" t="str">
            <v>2025/11/03</v>
          </cell>
        </row>
        <row r="291">
          <cell r="C291" t="str">
            <v>GL501690</v>
          </cell>
          <cell r="D291" t="str">
            <v>美洲区</v>
          </cell>
          <cell r="E291" t="str">
            <v>TX 德州大区</v>
          </cell>
          <cell r="F291" t="str">
            <v>运营支持部</v>
          </cell>
          <cell r="G291" t="str">
            <v>区域支持组</v>
          </cell>
          <cell r="H291" t="str">
            <v/>
          </cell>
          <cell r="I291" t="str">
            <v/>
          </cell>
          <cell r="J291" t="str">
            <v/>
          </cell>
          <cell r="K291" t="str">
            <v>区域支持组</v>
          </cell>
          <cell r="L291" t="str">
            <v>Regional Support Specialist 区域支持专员</v>
          </cell>
          <cell r="M291" t="str">
            <v>P1-2</v>
          </cell>
          <cell r="N291" t="str">
            <v/>
          </cell>
          <cell r="O291" t="str">
            <v>2025/11/03</v>
          </cell>
        </row>
        <row r="292">
          <cell r="C292" t="str">
            <v>GL502200</v>
          </cell>
          <cell r="D292" t="str">
            <v>欧洲区</v>
          </cell>
          <cell r="E292" t="str">
            <v>IT 意大利区</v>
          </cell>
          <cell r="F292" t="str">
            <v>罗马枢纽仓</v>
          </cell>
          <cell r="G292" t="str">
            <v>出入库组</v>
          </cell>
          <cell r="H292" t="str">
            <v/>
          </cell>
          <cell r="I292" t="str">
            <v/>
          </cell>
          <cell r="J292" t="str">
            <v/>
          </cell>
          <cell r="K292" t="str">
            <v>理货入库组</v>
          </cell>
          <cell r="L292" t="str">
            <v>Warehouse Operator操作员</v>
          </cell>
          <cell r="M292" t="str">
            <v>P1-1</v>
          </cell>
          <cell r="N292" t="str">
            <v/>
          </cell>
          <cell r="O292" t="str">
            <v>2026/02/06</v>
          </cell>
        </row>
        <row r="293">
          <cell r="C293" t="str">
            <v>GL501176</v>
          </cell>
          <cell r="D293" t="str">
            <v>美洲区</v>
          </cell>
          <cell r="E293" t="str">
            <v>Ground项目部</v>
          </cell>
          <cell r="F293" t="str">
            <v>OG 美西区</v>
          </cell>
          <cell r="G293" t="str">
            <v>CNO.G</v>
          </cell>
          <cell r="H293" t="str">
            <v/>
          </cell>
          <cell r="I293" t="str">
            <v/>
          </cell>
          <cell r="J293" t="str">
            <v/>
          </cell>
          <cell r="K293" t="str">
            <v>CNO.G</v>
          </cell>
          <cell r="L293" t="str">
            <v>Warehouse Lead 操作组长</v>
          </cell>
          <cell r="M293" t="str">
            <v>P1-3</v>
          </cell>
          <cell r="N293" t="str">
            <v/>
          </cell>
          <cell r="O293" t="str">
            <v>2025/08/06</v>
          </cell>
        </row>
        <row r="294">
          <cell r="C294" t="str">
            <v>GL501842</v>
          </cell>
          <cell r="D294" t="str">
            <v>欧洲区</v>
          </cell>
          <cell r="E294" t="str">
            <v>IT 意大利区</v>
          </cell>
          <cell r="F294" t="str">
            <v>终端管理部</v>
          </cell>
          <cell r="G294" t="str">
            <v>终端运营组</v>
          </cell>
          <cell r="H294" t="str">
            <v/>
          </cell>
          <cell r="I294" t="str">
            <v/>
          </cell>
          <cell r="J294" t="str">
            <v/>
          </cell>
          <cell r="K294" t="str">
            <v>终端运营组</v>
          </cell>
          <cell r="L294" t="str">
            <v>Terminal Specialist 终端专员</v>
          </cell>
          <cell r="M294" t="str">
            <v>P1-2</v>
          </cell>
          <cell r="N294" t="str">
            <v/>
          </cell>
          <cell r="O294" t="str">
            <v>2026/01/19</v>
          </cell>
        </row>
        <row r="295">
          <cell r="C295" t="str">
            <v>GL502079</v>
          </cell>
          <cell r="D295" t="str">
            <v>欧洲区</v>
          </cell>
          <cell r="E295" t="str">
            <v>IT 意大利区</v>
          </cell>
          <cell r="F295" t="str">
            <v>北部战区</v>
          </cell>
          <cell r="G295" t="str">
            <v>博洛尼亚站</v>
          </cell>
          <cell r="H295" t="str">
            <v/>
          </cell>
          <cell r="I295" t="str">
            <v/>
          </cell>
          <cell r="J295" t="str">
            <v/>
          </cell>
          <cell r="K295" t="str">
            <v>博洛尼亚站</v>
          </cell>
          <cell r="L295" t="str">
            <v>Warehouse Operator操作员</v>
          </cell>
          <cell r="M295" t="str">
            <v>P1-1</v>
          </cell>
          <cell r="N295" t="str">
            <v/>
          </cell>
          <cell r="O295" t="str">
            <v>2026/01/08</v>
          </cell>
        </row>
        <row r="296">
          <cell r="C296" t="str">
            <v>GL501983</v>
          </cell>
          <cell r="D296" t="str">
            <v>欧洲区</v>
          </cell>
          <cell r="E296" t="str">
            <v>EU人力资源部</v>
          </cell>
          <cell r="F296" t="str">
            <v>欧洲HRBP组</v>
          </cell>
          <cell r="G296" t="str">
            <v>意大利HRBP组</v>
          </cell>
          <cell r="H296" t="str">
            <v/>
          </cell>
          <cell r="I296" t="str">
            <v/>
          </cell>
          <cell r="J296" t="str">
            <v/>
          </cell>
          <cell r="K296" t="str">
            <v>意大利HRBP组</v>
          </cell>
          <cell r="L296" t="str">
            <v>Recruitment Assistant 招聘助理</v>
          </cell>
          <cell r="M296" t="str">
            <v>P1-1</v>
          </cell>
          <cell r="N296" t="str">
            <v/>
          </cell>
          <cell r="O296" t="str">
            <v>2026/01/12</v>
          </cell>
        </row>
        <row r="297">
          <cell r="C297" t="str">
            <v>GL500863</v>
          </cell>
          <cell r="D297" t="str">
            <v>欧洲区</v>
          </cell>
          <cell r="E297" t="str">
            <v>BM 品牌市场部</v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>BM 品牌市场部</v>
          </cell>
          <cell r="L297" t="str">
            <v>Brand Marketing Specialist品牌营销专员</v>
          </cell>
          <cell r="M297" t="str">
            <v>P1-2</v>
          </cell>
          <cell r="N297" t="str">
            <v/>
          </cell>
          <cell r="O297" t="str">
            <v>2025/07/01</v>
          </cell>
        </row>
        <row r="298">
          <cell r="C298" t="str">
            <v>GL502075</v>
          </cell>
          <cell r="D298" t="str">
            <v>欧洲区</v>
          </cell>
          <cell r="E298" t="str">
            <v>NL 荷兰区</v>
          </cell>
          <cell r="F298" t="str">
            <v>阿姆枢纽仓</v>
          </cell>
          <cell r="G298" t="str">
            <v>分拣出库组</v>
          </cell>
          <cell r="H298" t="str">
            <v>设备分拣组</v>
          </cell>
          <cell r="I298" t="str">
            <v/>
          </cell>
          <cell r="J298" t="str">
            <v/>
          </cell>
          <cell r="K298" t="str">
            <v>设备分拣组</v>
          </cell>
          <cell r="L298" t="str">
            <v>Warehouse Operator 操作员</v>
          </cell>
          <cell r="M298" t="str">
            <v>P1-1</v>
          </cell>
          <cell r="N298" t="str">
            <v/>
          </cell>
          <cell r="O298" t="str">
            <v>2026/01/12</v>
          </cell>
        </row>
        <row r="299">
          <cell r="C299" t="str">
            <v>GL501301</v>
          </cell>
          <cell r="D299" t="str">
            <v>美洲区</v>
          </cell>
          <cell r="E299" t="str">
            <v>NE 东北大区</v>
          </cell>
          <cell r="F299" t="str">
            <v>BN 布法罗片区</v>
          </cell>
          <cell r="G299" t="str">
            <v>BUF01</v>
          </cell>
          <cell r="H299" t="str">
            <v/>
          </cell>
          <cell r="I299" t="str">
            <v/>
          </cell>
          <cell r="J299" t="str">
            <v/>
          </cell>
          <cell r="K299" t="str">
            <v>BUF</v>
          </cell>
          <cell r="L299" t="str">
            <v>Station Operations Specialist 站点运营专员</v>
          </cell>
          <cell r="M299" t="str">
            <v>P1-3</v>
          </cell>
          <cell r="N299" t="str">
            <v/>
          </cell>
          <cell r="O299" t="str">
            <v>2025/08/25</v>
          </cell>
        </row>
        <row r="300">
          <cell r="C300" t="str">
            <v>GL502162</v>
          </cell>
          <cell r="D300" t="str">
            <v>欧洲区</v>
          </cell>
          <cell r="E300" t="str">
            <v>FR 法国区</v>
          </cell>
          <cell r="F300" t="str">
            <v>西部战区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>西部战区</v>
          </cell>
          <cell r="L300" t="str">
            <v>Operations Support Specialist运营支持专员</v>
          </cell>
          <cell r="M300" t="str">
            <v>P1-2</v>
          </cell>
          <cell r="N300" t="str">
            <v/>
          </cell>
          <cell r="O300" t="str">
            <v>2026/01/23</v>
          </cell>
        </row>
        <row r="301">
          <cell r="C301" t="str">
            <v>GL501928</v>
          </cell>
          <cell r="D301" t="str">
            <v>美洲区</v>
          </cell>
          <cell r="E301" t="str">
            <v>AD 行政部</v>
          </cell>
          <cell r="F301" t="str">
            <v>美东组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>美东组</v>
          </cell>
          <cell r="L301" t="str">
            <v>Admin Specialist 行政专员</v>
          </cell>
          <cell r="M301" t="str">
            <v>P1-2</v>
          </cell>
          <cell r="N301" t="str">
            <v/>
          </cell>
          <cell r="O301" t="str">
            <v>2025/12/09</v>
          </cell>
        </row>
        <row r="302">
          <cell r="C302" t="str">
            <v>GL501771</v>
          </cell>
          <cell r="D302" t="str">
            <v>欧洲区</v>
          </cell>
          <cell r="E302" t="str">
            <v>EU人力资源部</v>
          </cell>
          <cell r="F302" t="str">
            <v>欧洲HRBP组</v>
          </cell>
          <cell r="G302" t="str">
            <v>意大利HRBP组</v>
          </cell>
          <cell r="H302" t="str">
            <v/>
          </cell>
          <cell r="I302" t="str">
            <v/>
          </cell>
          <cell r="J302" t="str">
            <v/>
          </cell>
          <cell r="K302" t="str">
            <v>意大利HRBP组</v>
          </cell>
          <cell r="L302" t="str">
            <v>Senior Recruitment Specialist 高级招聘专员</v>
          </cell>
          <cell r="M302" t="str">
            <v>P2-1</v>
          </cell>
          <cell r="N302" t="str">
            <v/>
          </cell>
          <cell r="O302" t="str">
            <v>2026/01/07</v>
          </cell>
        </row>
        <row r="303">
          <cell r="C303" t="str">
            <v>GL500695</v>
          </cell>
          <cell r="D303" t="str">
            <v>美洲区</v>
          </cell>
          <cell r="E303" t="str">
            <v>FL 佛州大区</v>
          </cell>
          <cell r="F303" t="str">
            <v>MIA.H</v>
          </cell>
          <cell r="G303" t="str">
            <v>操作组</v>
          </cell>
          <cell r="H303" t="str">
            <v/>
          </cell>
          <cell r="I303" t="str">
            <v/>
          </cell>
          <cell r="J303" t="str">
            <v/>
          </cell>
          <cell r="K303" t="str">
            <v>操作组</v>
          </cell>
          <cell r="L303" t="str">
            <v>Warehouse Operator 操作员</v>
          </cell>
          <cell r="M303" t="str">
            <v>P1-1</v>
          </cell>
          <cell r="N303" t="str">
            <v/>
          </cell>
          <cell r="O303" t="str">
            <v>2025/06/09</v>
          </cell>
        </row>
        <row r="304">
          <cell r="C304" t="str">
            <v>GL500305</v>
          </cell>
          <cell r="D304" t="str">
            <v>欧洲区</v>
          </cell>
          <cell r="E304" t="str">
            <v>EU人力资源部</v>
          </cell>
          <cell r="F304" t="str">
            <v>欧洲HRBP组</v>
          </cell>
          <cell r="G304" t="str">
            <v>荷兰HRBP组</v>
          </cell>
          <cell r="H304" t="str">
            <v/>
          </cell>
          <cell r="I304" t="str">
            <v/>
          </cell>
          <cell r="J304" t="str">
            <v/>
          </cell>
          <cell r="K304" t="str">
            <v>荷兰HRBP组</v>
          </cell>
          <cell r="L304" t="str">
            <v>HRBP Specialist HRBP专员</v>
          </cell>
          <cell r="M304" t="str">
            <v>P1-3</v>
          </cell>
          <cell r="N304" t="str">
            <v/>
          </cell>
          <cell r="O304" t="str">
            <v>2024/11/01</v>
          </cell>
        </row>
        <row r="305">
          <cell r="C305" t="str">
            <v>GL500172</v>
          </cell>
          <cell r="D305" t="str">
            <v>欧洲区</v>
          </cell>
          <cell r="E305" t="str">
            <v>EU人力资源部</v>
          </cell>
          <cell r="F305" t="str">
            <v>欧洲HRBP组</v>
          </cell>
          <cell r="G305" t="str">
            <v>荷兰HRBP组</v>
          </cell>
          <cell r="H305" t="str">
            <v/>
          </cell>
          <cell r="I305" t="str">
            <v/>
          </cell>
          <cell r="J305" t="str">
            <v/>
          </cell>
          <cell r="K305" t="str">
            <v>荷兰HRBP组</v>
          </cell>
          <cell r="L305" t="str">
            <v>HRBP Specialist HRBP专员</v>
          </cell>
          <cell r="M305" t="str">
            <v>P1-3</v>
          </cell>
          <cell r="N305" t="str">
            <v/>
          </cell>
          <cell r="O305" t="str">
            <v>2025/03/03</v>
          </cell>
        </row>
        <row r="306">
          <cell r="C306" t="str">
            <v>GL502170</v>
          </cell>
          <cell r="D306" t="str">
            <v>美洲区</v>
          </cell>
          <cell r="E306" t="str">
            <v>FL 佛州大区</v>
          </cell>
          <cell r="F306" t="str">
            <v>MIA.H</v>
          </cell>
          <cell r="G306" t="str">
            <v>调度组</v>
          </cell>
          <cell r="H306" t="str">
            <v/>
          </cell>
          <cell r="I306" t="str">
            <v/>
          </cell>
          <cell r="J306" t="str">
            <v/>
          </cell>
          <cell r="K306" t="str">
            <v>调度组</v>
          </cell>
          <cell r="L306" t="str">
            <v>Dispatcher 调度员</v>
          </cell>
          <cell r="M306" t="str">
            <v>P1-2</v>
          </cell>
          <cell r="N306" t="str">
            <v/>
          </cell>
          <cell r="O306" t="str">
            <v>2026/01/28</v>
          </cell>
        </row>
        <row r="307">
          <cell r="C307" t="str">
            <v>GL500333</v>
          </cell>
          <cell r="D307" t="str">
            <v>美洲区</v>
          </cell>
          <cell r="E307" t="str">
            <v>WE 美西大区</v>
          </cell>
          <cell r="F307" t="str">
            <v>SC 南加片区</v>
          </cell>
          <cell r="G307" t="str">
            <v>LAX01</v>
          </cell>
          <cell r="H307" t="str">
            <v/>
          </cell>
          <cell r="I307" t="str">
            <v/>
          </cell>
          <cell r="J307" t="str">
            <v/>
          </cell>
          <cell r="K307" t="str">
            <v>LAX.SAN</v>
          </cell>
          <cell r="L307" t="str">
            <v>Warehouse Operator 操作员</v>
          </cell>
          <cell r="M307" t="str">
            <v>P1-2</v>
          </cell>
          <cell r="N307" t="str">
            <v/>
          </cell>
          <cell r="O307" t="str">
            <v>2024/12/04</v>
          </cell>
        </row>
        <row r="308">
          <cell r="C308" t="str">
            <v>GL501755</v>
          </cell>
          <cell r="D308" t="str">
            <v>美洲区</v>
          </cell>
          <cell r="E308" t="str">
            <v>NE 东北大区</v>
          </cell>
          <cell r="F308" t="str">
            <v>EWR.H</v>
          </cell>
          <cell r="G308" t="str">
            <v>异常处理组</v>
          </cell>
          <cell r="H308" t="str">
            <v/>
          </cell>
          <cell r="I308" t="str">
            <v/>
          </cell>
          <cell r="J308" t="str">
            <v/>
          </cell>
          <cell r="K308" t="str">
            <v>异常处理组</v>
          </cell>
          <cell r="L308" t="str">
            <v>Returns Specialist 退件员</v>
          </cell>
          <cell r="M308" t="str">
            <v>P1-2</v>
          </cell>
          <cell r="N308" t="str">
            <v/>
          </cell>
          <cell r="O308" t="str">
            <v>2025/11/13</v>
          </cell>
        </row>
        <row r="309">
          <cell r="C309" t="str">
            <v>GL500798</v>
          </cell>
          <cell r="D309" t="str">
            <v>美洲区</v>
          </cell>
          <cell r="E309" t="str">
            <v>NE 东北大区</v>
          </cell>
          <cell r="F309" t="str">
            <v>MA 新英格兰片区</v>
          </cell>
          <cell r="G309" t="str">
            <v>BOS01</v>
          </cell>
          <cell r="H309" t="str">
            <v/>
          </cell>
          <cell r="I309" t="str">
            <v/>
          </cell>
          <cell r="J309" t="str">
            <v/>
          </cell>
          <cell r="K309" t="str">
            <v>BOS</v>
          </cell>
          <cell r="L309" t="str">
            <v>Station Operations Specialist 站点运营专员</v>
          </cell>
          <cell r="M309" t="str">
            <v>P1-1</v>
          </cell>
          <cell r="N309" t="str">
            <v/>
          </cell>
          <cell r="O309" t="str">
            <v>2025/06/22</v>
          </cell>
        </row>
        <row r="310">
          <cell r="C310" t="str">
            <v>GL502202</v>
          </cell>
          <cell r="D310" t="str">
            <v>美洲区</v>
          </cell>
          <cell r="E310" t="str">
            <v>WE 美西大区</v>
          </cell>
          <cell r="F310" t="str">
            <v>CNO.H</v>
          </cell>
          <cell r="G310" t="str">
            <v>操作组</v>
          </cell>
          <cell r="H310" t="str">
            <v/>
          </cell>
          <cell r="I310" t="str">
            <v/>
          </cell>
          <cell r="J310" t="str">
            <v/>
          </cell>
          <cell r="K310" t="str">
            <v>操作组</v>
          </cell>
          <cell r="L310" t="str">
            <v>Warehouse Operator 操作员</v>
          </cell>
          <cell r="M310" t="str">
            <v>P1-2</v>
          </cell>
          <cell r="N310" t="str">
            <v/>
          </cell>
          <cell r="O310" t="str">
            <v>2026/01/28</v>
          </cell>
        </row>
        <row r="311">
          <cell r="C311" t="str">
            <v>GL502106</v>
          </cell>
          <cell r="D311" t="str">
            <v>美洲区</v>
          </cell>
          <cell r="E311" t="str">
            <v>TX 德州大区</v>
          </cell>
          <cell r="F311" t="str">
            <v>NT 北德州片区</v>
          </cell>
          <cell r="G311" t="str">
            <v>DFW01</v>
          </cell>
          <cell r="H311" t="str">
            <v/>
          </cell>
          <cell r="I311" t="str">
            <v/>
          </cell>
          <cell r="J311" t="str">
            <v/>
          </cell>
          <cell r="K311" t="str">
            <v>DFW</v>
          </cell>
          <cell r="L311" t="str">
            <v>Station Operations Specialist 站点运营专员</v>
          </cell>
          <cell r="M311" t="str">
            <v>P1-2</v>
          </cell>
          <cell r="N311" t="str">
            <v/>
          </cell>
          <cell r="O311" t="str">
            <v>2026/01/12</v>
          </cell>
        </row>
        <row r="312">
          <cell r="C312" t="str">
            <v>GL501699</v>
          </cell>
          <cell r="D312" t="str">
            <v>欧洲区</v>
          </cell>
          <cell r="E312" t="str">
            <v>FR 法国区</v>
          </cell>
          <cell r="F312" t="str">
            <v>西部战区</v>
          </cell>
          <cell r="G312" t="str">
            <v>波尔多-BDX</v>
          </cell>
          <cell r="H312" t="str">
            <v/>
          </cell>
          <cell r="I312" t="str">
            <v/>
          </cell>
          <cell r="J312" t="str">
            <v/>
          </cell>
          <cell r="K312" t="str">
            <v>波尔多-BDX</v>
          </cell>
          <cell r="L312" t="str">
            <v>Warehouse Operator操作员</v>
          </cell>
          <cell r="M312" t="str">
            <v>P1-1</v>
          </cell>
          <cell r="N312" t="str">
            <v/>
          </cell>
          <cell r="O312" t="str">
            <v>2025/11/03</v>
          </cell>
        </row>
        <row r="313">
          <cell r="C313" t="str">
            <v>GL501974</v>
          </cell>
          <cell r="D313" t="str">
            <v>美洲区</v>
          </cell>
          <cell r="E313" t="str">
            <v>Ground项目部</v>
          </cell>
          <cell r="F313" t="str">
            <v>OG 美中区</v>
          </cell>
          <cell r="G313" t="str">
            <v>CH600</v>
          </cell>
          <cell r="H313" t="str">
            <v/>
          </cell>
          <cell r="I313" t="str">
            <v/>
          </cell>
          <cell r="J313" t="str">
            <v/>
          </cell>
          <cell r="K313" t="str">
            <v>CH600</v>
          </cell>
          <cell r="L313" t="str">
            <v>Sorter 分拣员</v>
          </cell>
          <cell r="M313" t="str">
            <v>P1-2</v>
          </cell>
          <cell r="N313" t="str">
            <v/>
          </cell>
          <cell r="O313" t="str">
            <v>2025/12/18</v>
          </cell>
        </row>
        <row r="314">
          <cell r="C314" t="str">
            <v>GL502029</v>
          </cell>
          <cell r="D314" t="str">
            <v>美洲区</v>
          </cell>
          <cell r="E314" t="str">
            <v>GL 大湖大区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>GL 大湖大区</v>
          </cell>
          <cell r="L314" t="str">
            <v>Management Trainee 管培生</v>
          </cell>
          <cell r="M314" t="str">
            <v>P1-2</v>
          </cell>
          <cell r="N314" t="str">
            <v/>
          </cell>
          <cell r="O314" t="str">
            <v>2026/01/15</v>
          </cell>
        </row>
        <row r="315">
          <cell r="C315" t="str">
            <v>GL501838</v>
          </cell>
          <cell r="D315" t="str">
            <v>美洲区</v>
          </cell>
          <cell r="E315" t="str">
            <v>MS 中南大区</v>
          </cell>
          <cell r="F315" t="str">
            <v>AS 亚特兰大和南阿拉巴马片区</v>
          </cell>
          <cell r="G315" t="str">
            <v>ATL01</v>
          </cell>
          <cell r="H315" t="str">
            <v/>
          </cell>
          <cell r="I315" t="str">
            <v/>
          </cell>
          <cell r="J315" t="str">
            <v/>
          </cell>
          <cell r="K315" t="str">
            <v>ATL.MAC</v>
          </cell>
          <cell r="L315" t="str">
            <v>Station Operations Specialist 站点运营专员</v>
          </cell>
          <cell r="M315" t="str">
            <v>P1-2</v>
          </cell>
          <cell r="N315" t="str">
            <v/>
          </cell>
          <cell r="O315" t="str">
            <v>2025/12/01</v>
          </cell>
        </row>
        <row r="316">
          <cell r="C316" t="str">
            <v>GL501683</v>
          </cell>
          <cell r="D316" t="str">
            <v>欧洲区</v>
          </cell>
          <cell r="E316" t="str">
            <v>FR 法国区</v>
          </cell>
          <cell r="F316" t="str">
            <v>东部战区</v>
          </cell>
          <cell r="G316" t="str">
            <v>里昂-LYN</v>
          </cell>
          <cell r="H316" t="str">
            <v/>
          </cell>
          <cell r="I316" t="str">
            <v/>
          </cell>
          <cell r="J316" t="str">
            <v/>
          </cell>
          <cell r="K316" t="str">
            <v>里昂-LYN</v>
          </cell>
          <cell r="L316" t="str">
            <v>Warehouse Operator操作员</v>
          </cell>
          <cell r="M316" t="str">
            <v>P1-1</v>
          </cell>
          <cell r="N316" t="str">
            <v/>
          </cell>
          <cell r="O316" t="str">
            <v>2025/10/27</v>
          </cell>
        </row>
        <row r="317">
          <cell r="C317" t="str">
            <v>GL501316</v>
          </cell>
          <cell r="D317" t="str">
            <v>美洲区</v>
          </cell>
          <cell r="E317" t="str">
            <v>NE 东北大区</v>
          </cell>
          <cell r="F317" t="str">
            <v>DC 华盛顿片区</v>
          </cell>
          <cell r="G317" t="str">
            <v>RIC01</v>
          </cell>
          <cell r="H317" t="str">
            <v/>
          </cell>
          <cell r="I317" t="str">
            <v/>
          </cell>
          <cell r="J317" t="str">
            <v/>
          </cell>
          <cell r="K317" t="str">
            <v>RIC</v>
          </cell>
          <cell r="L317" t="str">
            <v>Station Operations Specialist 站点运营专员</v>
          </cell>
          <cell r="M317" t="str">
            <v>P1-2</v>
          </cell>
          <cell r="N317" t="str">
            <v/>
          </cell>
          <cell r="O317" t="str">
            <v>2025/09/08</v>
          </cell>
        </row>
        <row r="318">
          <cell r="C318" t="str">
            <v>GL500950</v>
          </cell>
          <cell r="D318" t="str">
            <v>欧洲区</v>
          </cell>
          <cell r="E318" t="str">
            <v>FR 法国区</v>
          </cell>
          <cell r="F318" t="str">
            <v>东部战区</v>
          </cell>
          <cell r="G318" t="str">
            <v>里昂-LYN</v>
          </cell>
          <cell r="H318" t="str">
            <v/>
          </cell>
          <cell r="I318" t="str">
            <v/>
          </cell>
          <cell r="J318" t="str">
            <v/>
          </cell>
          <cell r="K318" t="str">
            <v>里昂-LYN</v>
          </cell>
          <cell r="L318" t="str">
            <v>Terminal Specialist终端专员</v>
          </cell>
          <cell r="M318" t="str">
            <v>P1-2</v>
          </cell>
          <cell r="N318" t="str">
            <v/>
          </cell>
          <cell r="O318" t="str">
            <v>2025/08/06</v>
          </cell>
        </row>
        <row r="319">
          <cell r="C319" t="str">
            <v>GL501156</v>
          </cell>
          <cell r="D319" t="str">
            <v>欧洲区</v>
          </cell>
          <cell r="E319" t="str">
            <v>FR 法国区</v>
          </cell>
          <cell r="F319" t="str">
            <v>巴黎枢纽仓</v>
          </cell>
          <cell r="G319" t="str">
            <v>干线出库组</v>
          </cell>
          <cell r="H319" t="str">
            <v/>
          </cell>
          <cell r="I319" t="str">
            <v/>
          </cell>
          <cell r="J319" t="str">
            <v/>
          </cell>
          <cell r="K319" t="str">
            <v>干线出库组</v>
          </cell>
          <cell r="L319" t="str">
            <v>Warehouse Operator操作员</v>
          </cell>
          <cell r="M319" t="str">
            <v>P1-2</v>
          </cell>
          <cell r="N319" t="str">
            <v/>
          </cell>
          <cell r="O319" t="str">
            <v>2025/08/01</v>
          </cell>
        </row>
        <row r="320">
          <cell r="C320" t="str">
            <v>GL500490</v>
          </cell>
          <cell r="D320" t="str">
            <v>欧洲区</v>
          </cell>
          <cell r="E320" t="str">
            <v>FR 法国区</v>
          </cell>
          <cell r="F320" t="str">
            <v>技术支持部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>技术支持部</v>
          </cell>
          <cell r="L320" t="str">
            <v>IT Support Manager 技术支持部经理</v>
          </cell>
          <cell r="M320" t="str">
            <v>M3-1</v>
          </cell>
          <cell r="N320" t="str">
            <v/>
          </cell>
          <cell r="O320" t="str">
            <v>2023/07/26</v>
          </cell>
        </row>
        <row r="321">
          <cell r="C321" t="str">
            <v>GL501705</v>
          </cell>
          <cell r="D321" t="str">
            <v>美洲区</v>
          </cell>
          <cell r="E321" t="str">
            <v>NE 东北大区</v>
          </cell>
          <cell r="F321" t="str">
            <v>MA 新英格兰片区</v>
          </cell>
          <cell r="G321" t="str">
            <v>PVD01</v>
          </cell>
          <cell r="H321" t="str">
            <v/>
          </cell>
          <cell r="I321" t="str">
            <v/>
          </cell>
          <cell r="J321" t="str">
            <v/>
          </cell>
          <cell r="K321" t="str">
            <v>PVD</v>
          </cell>
          <cell r="L321" t="str">
            <v>Station Operations Specialist 站点运营专员</v>
          </cell>
          <cell r="M321" t="str">
            <v>P1-1</v>
          </cell>
          <cell r="N321" t="str">
            <v/>
          </cell>
          <cell r="O321" t="str">
            <v>2025/11/03</v>
          </cell>
        </row>
        <row r="322">
          <cell r="C322" t="str">
            <v>GL500719</v>
          </cell>
          <cell r="D322" t="str">
            <v>美洲区</v>
          </cell>
          <cell r="E322" t="str">
            <v>US人力资源部</v>
          </cell>
          <cell r="F322" t="str">
            <v>美洲HRBP组</v>
          </cell>
          <cell r="G322" t="str">
            <v>招聘组</v>
          </cell>
          <cell r="H322" t="str">
            <v/>
          </cell>
          <cell r="I322" t="str">
            <v/>
          </cell>
          <cell r="J322" t="str">
            <v/>
          </cell>
          <cell r="K322" t="str">
            <v>招聘组</v>
          </cell>
          <cell r="L322" t="str">
            <v>Recruitment Assistant 招聘助理</v>
          </cell>
          <cell r="M322" t="str">
            <v>P1-1</v>
          </cell>
          <cell r="N322" t="str">
            <v/>
          </cell>
          <cell r="O322" t="str">
            <v>2025/06/23</v>
          </cell>
        </row>
        <row r="323">
          <cell r="C323" t="str">
            <v>GL501687</v>
          </cell>
          <cell r="D323" t="str">
            <v>美洲区</v>
          </cell>
          <cell r="E323" t="str">
            <v>WE 美西大区</v>
          </cell>
          <cell r="F323" t="str">
            <v>DS 丹佛·盐湖城片区</v>
          </cell>
          <cell r="G323" t="str">
            <v>DEN.H</v>
          </cell>
          <cell r="H323" t="str">
            <v>调度组</v>
          </cell>
          <cell r="I323" t="str">
            <v/>
          </cell>
          <cell r="J323" t="str">
            <v/>
          </cell>
          <cell r="K323" t="str">
            <v>调度组</v>
          </cell>
          <cell r="L323" t="str">
            <v>Dispatcher 调度员</v>
          </cell>
          <cell r="M323" t="str">
            <v>P1-2</v>
          </cell>
          <cell r="N323" t="str">
            <v/>
          </cell>
          <cell r="O323" t="str">
            <v>2025/11/10</v>
          </cell>
        </row>
        <row r="324">
          <cell r="C324" t="str">
            <v>GL500935</v>
          </cell>
          <cell r="D324" t="str">
            <v>美洲区</v>
          </cell>
          <cell r="E324" t="str">
            <v>FL 佛州大区</v>
          </cell>
          <cell r="F324" t="str">
            <v>MIA.H</v>
          </cell>
          <cell r="G324" t="str">
            <v>分拣组</v>
          </cell>
          <cell r="H324" t="str">
            <v/>
          </cell>
          <cell r="I324" t="str">
            <v/>
          </cell>
          <cell r="J324" t="str">
            <v/>
          </cell>
          <cell r="K324" t="str">
            <v>分拣组</v>
          </cell>
          <cell r="L324" t="str">
            <v>Sorting Lead 分拣组长</v>
          </cell>
          <cell r="M324" t="str">
            <v>P2-1</v>
          </cell>
          <cell r="N324" t="str">
            <v/>
          </cell>
          <cell r="O324" t="str">
            <v>2025/07/10</v>
          </cell>
        </row>
        <row r="325">
          <cell r="C325" t="str">
            <v>GL500241</v>
          </cell>
          <cell r="D325" t="str">
            <v>美洲区</v>
          </cell>
          <cell r="E325" t="str">
            <v>NE 东北大区</v>
          </cell>
          <cell r="F325" t="str">
            <v>EWR.H</v>
          </cell>
          <cell r="G325" t="str">
            <v>调度组</v>
          </cell>
          <cell r="H325" t="str">
            <v/>
          </cell>
          <cell r="I325" t="str">
            <v/>
          </cell>
          <cell r="J325" t="str">
            <v/>
          </cell>
          <cell r="K325" t="str">
            <v>调度组</v>
          </cell>
          <cell r="L325" t="str">
            <v>Dispatch Lead 调度组长</v>
          </cell>
          <cell r="M325" t="str">
            <v>P1-3</v>
          </cell>
          <cell r="N325" t="str">
            <v/>
          </cell>
          <cell r="O325" t="str">
            <v>2025/01/20</v>
          </cell>
        </row>
        <row r="326">
          <cell r="C326" t="str">
            <v>GL501511</v>
          </cell>
          <cell r="D326" t="str">
            <v>欧洲区</v>
          </cell>
          <cell r="E326" t="str">
            <v>FR 法国区</v>
          </cell>
          <cell r="F326" t="str">
            <v>南部战区</v>
          </cell>
          <cell r="G326" t="str">
            <v>马赛-MSL</v>
          </cell>
          <cell r="H326" t="str">
            <v/>
          </cell>
          <cell r="I326" t="str">
            <v/>
          </cell>
          <cell r="J326" t="str">
            <v/>
          </cell>
          <cell r="K326" t="str">
            <v>马赛-MSL</v>
          </cell>
          <cell r="L326" t="str">
            <v>Warehouse Operator操作员</v>
          </cell>
          <cell r="M326" t="str">
            <v>P1-2</v>
          </cell>
          <cell r="N326" t="str">
            <v/>
          </cell>
          <cell r="O326" t="str">
            <v>2025/10/01</v>
          </cell>
        </row>
        <row r="327">
          <cell r="C327" t="str">
            <v>GL501244</v>
          </cell>
          <cell r="D327" t="str">
            <v>美洲区</v>
          </cell>
          <cell r="E327" t="str">
            <v>WE 美西大区</v>
          </cell>
          <cell r="F327" t="str">
            <v>NC 北加片区</v>
          </cell>
          <cell r="G327" t="str">
            <v>SFO.H</v>
          </cell>
          <cell r="H327" t="str">
            <v>调度组</v>
          </cell>
          <cell r="I327" t="str">
            <v/>
          </cell>
          <cell r="J327" t="str">
            <v/>
          </cell>
          <cell r="K327" t="str">
            <v>调度组</v>
          </cell>
          <cell r="L327" t="str">
            <v>Dispatcher 调度员</v>
          </cell>
          <cell r="M327" t="str">
            <v>P1-2</v>
          </cell>
          <cell r="N327" t="str">
            <v/>
          </cell>
          <cell r="O327" t="str">
            <v>2025/08/11</v>
          </cell>
        </row>
        <row r="328">
          <cell r="C328" t="str">
            <v>GL501274</v>
          </cell>
          <cell r="D328" t="str">
            <v>美洲区</v>
          </cell>
          <cell r="E328" t="str">
            <v>NE 东北大区</v>
          </cell>
          <cell r="F328" t="str">
            <v>EWR.H</v>
          </cell>
          <cell r="G328" t="str">
            <v>分拣组</v>
          </cell>
          <cell r="H328" t="str">
            <v/>
          </cell>
          <cell r="I328" t="str">
            <v/>
          </cell>
          <cell r="J328" t="str">
            <v/>
          </cell>
          <cell r="K328" t="str">
            <v>分拣组</v>
          </cell>
          <cell r="L328" t="str">
            <v>Sorter 分拣员</v>
          </cell>
          <cell r="M328" t="str">
            <v>P1-1</v>
          </cell>
          <cell r="N328" t="str">
            <v/>
          </cell>
          <cell r="O328" t="str">
            <v>2025/08/18</v>
          </cell>
        </row>
        <row r="329">
          <cell r="C329" t="str">
            <v>GL502174</v>
          </cell>
          <cell r="D329" t="str">
            <v>美洲区</v>
          </cell>
          <cell r="E329" t="str">
            <v>GL 大湖大区</v>
          </cell>
          <cell r="F329" t="str">
            <v>ORD.H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>ORD.H</v>
          </cell>
          <cell r="L329" t="str">
            <v>EHS Specialist EHS专员</v>
          </cell>
          <cell r="M329" t="str">
            <v>P1-2</v>
          </cell>
          <cell r="N329" t="str">
            <v/>
          </cell>
          <cell r="O329" t="str">
            <v>2026/01/26</v>
          </cell>
        </row>
        <row r="330">
          <cell r="C330" t="str">
            <v>GL501924</v>
          </cell>
          <cell r="D330" t="str">
            <v>美洲区</v>
          </cell>
          <cell r="E330" t="str">
            <v>NE 东北大区</v>
          </cell>
          <cell r="F330" t="str">
            <v>EWR.H</v>
          </cell>
          <cell r="G330" t="str">
            <v>装卸组</v>
          </cell>
          <cell r="H330" t="str">
            <v/>
          </cell>
          <cell r="I330" t="str">
            <v/>
          </cell>
          <cell r="J330" t="str">
            <v/>
          </cell>
          <cell r="K330" t="str">
            <v>装卸组</v>
          </cell>
          <cell r="L330" t="str">
            <v>Warehouse Operator 操作员</v>
          </cell>
          <cell r="M330" t="str">
            <v>P1-1</v>
          </cell>
          <cell r="N330" t="str">
            <v/>
          </cell>
          <cell r="O330" t="str">
            <v>2025/12/09</v>
          </cell>
        </row>
        <row r="331">
          <cell r="C331" t="str">
            <v>GL502110</v>
          </cell>
          <cell r="D331" t="str">
            <v>美洲区</v>
          </cell>
          <cell r="E331" t="str">
            <v>NE 东北大区</v>
          </cell>
          <cell r="F331" t="str">
            <v>DC 华盛顿片区</v>
          </cell>
          <cell r="G331" t="str">
            <v>BWI01</v>
          </cell>
          <cell r="H331" t="str">
            <v/>
          </cell>
          <cell r="I331" t="str">
            <v/>
          </cell>
          <cell r="J331" t="str">
            <v/>
          </cell>
          <cell r="K331" t="str">
            <v>IAD.BWI</v>
          </cell>
          <cell r="L331" t="str">
            <v>Station Operations Specialist 站点运营专员</v>
          </cell>
          <cell r="M331" t="str">
            <v>P1-2</v>
          </cell>
          <cell r="N331" t="str">
            <v/>
          </cell>
          <cell r="O331" t="str">
            <v>2026/01/14</v>
          </cell>
        </row>
        <row r="332">
          <cell r="C332" t="str">
            <v>GL501941</v>
          </cell>
          <cell r="D332" t="str">
            <v>美洲区</v>
          </cell>
          <cell r="E332" t="str">
            <v>NE 东北大区</v>
          </cell>
          <cell r="F332" t="str">
            <v>NY 纽约片区</v>
          </cell>
          <cell r="G332" t="str">
            <v>JFK01</v>
          </cell>
          <cell r="H332" t="str">
            <v/>
          </cell>
          <cell r="I332" t="str">
            <v/>
          </cell>
          <cell r="J332" t="str">
            <v/>
          </cell>
          <cell r="K332" t="str">
            <v>JFK</v>
          </cell>
          <cell r="L332" t="str">
            <v>Station Operations Specialist 站点运营专员</v>
          </cell>
          <cell r="M332" t="str">
            <v>P1-2</v>
          </cell>
          <cell r="N332" t="str">
            <v/>
          </cell>
          <cell r="O332" t="str">
            <v>2025/12/17</v>
          </cell>
        </row>
        <row r="333">
          <cell r="C333" t="str">
            <v>GL502149</v>
          </cell>
          <cell r="D333" t="str">
            <v>美洲区</v>
          </cell>
          <cell r="E333" t="str">
            <v>NE 东北大区</v>
          </cell>
          <cell r="F333" t="str">
            <v>NY 纽约片区</v>
          </cell>
          <cell r="G333" t="str">
            <v>BDL01</v>
          </cell>
          <cell r="H333" t="str">
            <v/>
          </cell>
          <cell r="I333" t="str">
            <v/>
          </cell>
          <cell r="J333" t="str">
            <v/>
          </cell>
          <cell r="K333" t="str">
            <v>BDL</v>
          </cell>
          <cell r="L333" t="str">
            <v>Station Operations Specialist 站点运营专员</v>
          </cell>
          <cell r="M333" t="str">
            <v>P1-2</v>
          </cell>
          <cell r="N333" t="str">
            <v/>
          </cell>
          <cell r="O333" t="str">
            <v>2026/01/19</v>
          </cell>
        </row>
        <row r="334">
          <cell r="C334" t="str">
            <v>GL501680</v>
          </cell>
          <cell r="D334" t="str">
            <v>欧洲区</v>
          </cell>
          <cell r="E334" t="str">
            <v>FR 法国区</v>
          </cell>
          <cell r="F334" t="str">
            <v>西部战区</v>
          </cell>
          <cell r="G334" t="str">
            <v>南特-NTE</v>
          </cell>
          <cell r="H334" t="str">
            <v/>
          </cell>
          <cell r="I334" t="str">
            <v/>
          </cell>
          <cell r="J334" t="str">
            <v/>
          </cell>
          <cell r="K334" t="str">
            <v>南特-NTE</v>
          </cell>
          <cell r="L334" t="str">
            <v>Warehouse Operator操作员</v>
          </cell>
          <cell r="M334" t="str">
            <v>P1-1</v>
          </cell>
          <cell r="N334" t="str">
            <v/>
          </cell>
          <cell r="O334" t="str">
            <v>2025/10/27</v>
          </cell>
        </row>
        <row r="335">
          <cell r="C335" t="str">
            <v>GL501076</v>
          </cell>
          <cell r="D335" t="str">
            <v>欧洲区</v>
          </cell>
          <cell r="E335" t="str">
            <v>FR 法国区</v>
          </cell>
          <cell r="F335" t="str">
            <v>西部战区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>西部战区</v>
          </cell>
          <cell r="L335" t="str">
            <v>Operations Support Specialist运营支持专员</v>
          </cell>
          <cell r="M335" t="str">
            <v>P1-2</v>
          </cell>
          <cell r="N335" t="str">
            <v/>
          </cell>
          <cell r="O335" t="str">
            <v>2025/07/25</v>
          </cell>
        </row>
        <row r="336">
          <cell r="C336" t="str">
            <v>GL501295</v>
          </cell>
          <cell r="D336" t="str">
            <v>美洲区</v>
          </cell>
          <cell r="E336" t="str">
            <v>GL 大湖大区</v>
          </cell>
          <cell r="F336" t="str">
            <v>ORD.H</v>
          </cell>
          <cell r="G336" t="str">
            <v>异常处理组</v>
          </cell>
          <cell r="H336" t="str">
            <v/>
          </cell>
          <cell r="I336" t="str">
            <v/>
          </cell>
          <cell r="J336" t="str">
            <v/>
          </cell>
          <cell r="K336" t="str">
            <v>退件组</v>
          </cell>
          <cell r="L336" t="str">
            <v>Returns Specialist 退件员</v>
          </cell>
          <cell r="M336" t="str">
            <v>P1-2</v>
          </cell>
          <cell r="N336" t="str">
            <v/>
          </cell>
          <cell r="O336" t="str">
            <v>2025/08/25</v>
          </cell>
        </row>
        <row r="337">
          <cell r="C337" t="str">
            <v>GL502147</v>
          </cell>
          <cell r="D337" t="str">
            <v>美洲区</v>
          </cell>
          <cell r="E337" t="str">
            <v>GL 大湖大区</v>
          </cell>
          <cell r="F337" t="str">
            <v>EG 东大湖片区</v>
          </cell>
          <cell r="G337" t="str">
            <v>DTW01</v>
          </cell>
          <cell r="H337" t="str">
            <v/>
          </cell>
          <cell r="I337" t="str">
            <v/>
          </cell>
          <cell r="J337" t="str">
            <v/>
          </cell>
          <cell r="K337" t="str">
            <v>DTW</v>
          </cell>
          <cell r="L337" t="str">
            <v>Station Operations Specialist 站点运营专员</v>
          </cell>
          <cell r="M337" t="str">
            <v>P1-2</v>
          </cell>
          <cell r="N337" t="str">
            <v/>
          </cell>
          <cell r="O337" t="str">
            <v>2026/01/17</v>
          </cell>
        </row>
        <row r="338">
          <cell r="C338" t="str">
            <v>GL501377</v>
          </cell>
          <cell r="D338" t="str">
            <v>欧洲区</v>
          </cell>
          <cell r="E338" t="str">
            <v>FR 法国区</v>
          </cell>
          <cell r="F338" t="str">
            <v>巴黎枢纽仓</v>
          </cell>
          <cell r="G338" t="str">
            <v>巴黎出库组</v>
          </cell>
          <cell r="H338" t="str">
            <v/>
          </cell>
          <cell r="I338" t="str">
            <v/>
          </cell>
          <cell r="J338" t="str">
            <v/>
          </cell>
          <cell r="K338" t="str">
            <v>巴黎出库组</v>
          </cell>
          <cell r="L338" t="str">
            <v>Warehouse Operator操作员</v>
          </cell>
          <cell r="M338" t="str">
            <v>P1-1</v>
          </cell>
          <cell r="N338" t="str">
            <v/>
          </cell>
          <cell r="O338" t="str">
            <v>2025/09/08</v>
          </cell>
        </row>
        <row r="339">
          <cell r="C339" t="str">
            <v>GL500043</v>
          </cell>
          <cell r="D339" t="str">
            <v>欧洲区</v>
          </cell>
          <cell r="E339" t="str">
            <v>FR 法国区</v>
          </cell>
          <cell r="F339" t="str">
            <v>西部战区</v>
          </cell>
          <cell r="G339" t="str">
            <v>雷恩-RNS</v>
          </cell>
          <cell r="H339" t="str">
            <v/>
          </cell>
          <cell r="I339" t="str">
            <v/>
          </cell>
          <cell r="J339" t="str">
            <v/>
          </cell>
          <cell r="K339" t="str">
            <v>雷恩-RNS</v>
          </cell>
          <cell r="L339" t="str">
            <v>Station Head 站长</v>
          </cell>
          <cell r="M339" t="str">
            <v>P1-2</v>
          </cell>
          <cell r="N339" t="str">
            <v/>
          </cell>
          <cell r="O339" t="str">
            <v>2025/04/24</v>
          </cell>
        </row>
        <row r="340">
          <cell r="C340" t="str">
            <v>GL501650</v>
          </cell>
          <cell r="D340" t="str">
            <v>欧洲区</v>
          </cell>
          <cell r="E340" t="str">
            <v>FR 法国区</v>
          </cell>
          <cell r="F340" t="str">
            <v>西部战区</v>
          </cell>
          <cell r="G340" t="str">
            <v>雷恩-RNS</v>
          </cell>
          <cell r="H340" t="str">
            <v/>
          </cell>
          <cell r="I340" t="str">
            <v/>
          </cell>
          <cell r="J340" t="str">
            <v/>
          </cell>
          <cell r="K340" t="str">
            <v>雷恩-RNS</v>
          </cell>
          <cell r="L340" t="str">
            <v>Warehouse Operator操作员</v>
          </cell>
          <cell r="M340" t="str">
            <v>P1-2</v>
          </cell>
          <cell r="N340" t="str">
            <v/>
          </cell>
          <cell r="O340" t="str">
            <v>2025/10/22</v>
          </cell>
        </row>
        <row r="341">
          <cell r="C341" t="str">
            <v>GL501053</v>
          </cell>
          <cell r="D341" t="str">
            <v>欧洲区</v>
          </cell>
          <cell r="E341" t="str">
            <v>FR 法国区</v>
          </cell>
          <cell r="F341" t="str">
            <v>巴黎枢纽仓</v>
          </cell>
          <cell r="G341" t="str">
            <v>异常退件组</v>
          </cell>
          <cell r="H341" t="str">
            <v/>
          </cell>
          <cell r="I341" t="str">
            <v/>
          </cell>
          <cell r="J341" t="str">
            <v/>
          </cell>
          <cell r="K341" t="str">
            <v>异常退件组</v>
          </cell>
          <cell r="L341" t="str">
            <v>Warehouse Operator操作员</v>
          </cell>
          <cell r="M341" t="str">
            <v>P1-2</v>
          </cell>
          <cell r="N341" t="str">
            <v/>
          </cell>
          <cell r="O341" t="str">
            <v>2025/07/22</v>
          </cell>
        </row>
        <row r="342">
          <cell r="C342" t="str">
            <v>GL500522</v>
          </cell>
          <cell r="D342" t="str">
            <v>欧洲区</v>
          </cell>
          <cell r="E342" t="str">
            <v>FR 法国区</v>
          </cell>
          <cell r="F342" t="str">
            <v>西部战区</v>
          </cell>
          <cell r="G342" t="str">
            <v>雷恩-RNS</v>
          </cell>
          <cell r="H342" t="str">
            <v/>
          </cell>
          <cell r="I342" t="str">
            <v/>
          </cell>
          <cell r="J342" t="str">
            <v/>
          </cell>
          <cell r="K342" t="str">
            <v>雷恩-RNS</v>
          </cell>
          <cell r="L342" t="str">
            <v>Terminal Specialist终端专员</v>
          </cell>
          <cell r="M342" t="str">
            <v>P1-1</v>
          </cell>
          <cell r="N342" t="str">
            <v/>
          </cell>
          <cell r="O342" t="str">
            <v>2025/05/19</v>
          </cell>
        </row>
        <row r="343">
          <cell r="C343" t="str">
            <v>GL501617</v>
          </cell>
          <cell r="D343" t="str">
            <v>欧洲区</v>
          </cell>
          <cell r="E343" t="str">
            <v>FR 法国区</v>
          </cell>
          <cell r="F343" t="str">
            <v>终端管理部</v>
          </cell>
          <cell r="G343" t="str">
            <v>数据分析组</v>
          </cell>
          <cell r="H343" t="str">
            <v/>
          </cell>
          <cell r="I343" t="str">
            <v/>
          </cell>
          <cell r="J343" t="str">
            <v/>
          </cell>
          <cell r="K343" t="str">
            <v>数据分析组</v>
          </cell>
          <cell r="L343" t="str">
            <v>Data Analyst Specialist 数据分析专员</v>
          </cell>
          <cell r="M343" t="str">
            <v>P1-2</v>
          </cell>
          <cell r="N343" t="str">
            <v/>
          </cell>
          <cell r="O343" t="str">
            <v>2025/10/15</v>
          </cell>
        </row>
        <row r="344">
          <cell r="C344" t="str">
            <v>GL500026</v>
          </cell>
          <cell r="D344" t="str">
            <v>欧洲区</v>
          </cell>
          <cell r="E344" t="str">
            <v>FR 法国区</v>
          </cell>
          <cell r="F344" t="str">
            <v>巴黎枢纽仓</v>
          </cell>
          <cell r="G344" t="str">
            <v>设备分拣组</v>
          </cell>
          <cell r="H344" t="str">
            <v/>
          </cell>
          <cell r="I344" t="str">
            <v/>
          </cell>
          <cell r="J344" t="str">
            <v/>
          </cell>
          <cell r="K344" t="str">
            <v>设备分拣组</v>
          </cell>
          <cell r="L344" t="str">
            <v>Warehouse Operator操作员</v>
          </cell>
          <cell r="M344" t="str">
            <v>P1-1</v>
          </cell>
          <cell r="N344" t="str">
            <v/>
          </cell>
          <cell r="O344" t="str">
            <v>2025/05/02</v>
          </cell>
        </row>
        <row r="345">
          <cell r="C345" t="str">
            <v>GL500520</v>
          </cell>
          <cell r="D345" t="str">
            <v>美洲区</v>
          </cell>
          <cell r="E345" t="str">
            <v>WE 美西大区</v>
          </cell>
          <cell r="F345" t="str">
            <v>DS 丹佛·盐湖城片区</v>
          </cell>
          <cell r="G345" t="str">
            <v>SLC01</v>
          </cell>
          <cell r="H345" t="str">
            <v/>
          </cell>
          <cell r="I345" t="str">
            <v/>
          </cell>
          <cell r="J345" t="str">
            <v/>
          </cell>
          <cell r="K345" t="str">
            <v>SLC</v>
          </cell>
          <cell r="L345" t="str">
            <v>Warehouse Operator 操作员</v>
          </cell>
          <cell r="M345" t="str">
            <v>P1-1</v>
          </cell>
          <cell r="N345" t="str">
            <v/>
          </cell>
          <cell r="O345" t="str">
            <v>2025/05/16</v>
          </cell>
        </row>
        <row r="346">
          <cell r="C346" t="str">
            <v>GL501927</v>
          </cell>
          <cell r="D346" t="str">
            <v>美洲区</v>
          </cell>
          <cell r="E346" t="str">
            <v>WE 美西大区</v>
          </cell>
          <cell r="F346" t="str">
            <v>NC 北加片区</v>
          </cell>
          <cell r="G346" t="str">
            <v>SFO.H</v>
          </cell>
          <cell r="H346" t="str">
            <v/>
          </cell>
          <cell r="I346" t="str">
            <v/>
          </cell>
          <cell r="J346" t="str">
            <v/>
          </cell>
          <cell r="K346" t="str">
            <v>SFO.H</v>
          </cell>
          <cell r="L346" t="str">
            <v>EHS Specialist EHS专员</v>
          </cell>
          <cell r="M346" t="str">
            <v>P1-1</v>
          </cell>
          <cell r="N346" t="str">
            <v/>
          </cell>
          <cell r="O346" t="str">
            <v>2025/12/04</v>
          </cell>
        </row>
        <row r="347">
          <cell r="C347" t="str">
            <v>GL502074</v>
          </cell>
          <cell r="D347" t="str">
            <v>美洲区</v>
          </cell>
          <cell r="E347" t="str">
            <v>TX 德州大区</v>
          </cell>
          <cell r="F347" t="str">
            <v>DFW.H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>DFW.H</v>
          </cell>
          <cell r="L347" t="str">
            <v>EHS Specialist EHS专员</v>
          </cell>
          <cell r="M347" t="str">
            <v>P1-2</v>
          </cell>
          <cell r="N347" t="str">
            <v/>
          </cell>
          <cell r="O347" t="str">
            <v>2026/01/12</v>
          </cell>
        </row>
        <row r="348">
          <cell r="C348" t="str">
            <v>GL501981</v>
          </cell>
          <cell r="D348" t="str">
            <v>美洲区</v>
          </cell>
          <cell r="E348" t="str">
            <v>GL 大湖大区</v>
          </cell>
          <cell r="F348" t="str">
            <v>WG 西大湖片区</v>
          </cell>
          <cell r="G348" t="str">
            <v>ORD01</v>
          </cell>
          <cell r="H348" t="str">
            <v/>
          </cell>
          <cell r="I348" t="str">
            <v/>
          </cell>
          <cell r="J348" t="str">
            <v/>
          </cell>
          <cell r="K348" t="str">
            <v>ORD</v>
          </cell>
          <cell r="L348" t="str">
            <v>Station Operations Specialist 站点运营专员</v>
          </cell>
          <cell r="M348" t="str">
            <v>P1-2</v>
          </cell>
          <cell r="N348" t="str">
            <v/>
          </cell>
          <cell r="O348" t="str">
            <v>2026/01/05</v>
          </cell>
        </row>
        <row r="349">
          <cell r="C349" t="str">
            <v>GL501434</v>
          </cell>
          <cell r="D349" t="str">
            <v>美洲区</v>
          </cell>
          <cell r="E349" t="str">
            <v>PR 波多黎各区</v>
          </cell>
          <cell r="F349" t="str">
            <v>SJU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>SJU</v>
          </cell>
          <cell r="L349" t="str">
            <v>Station Operations Specialist 站点运营专员</v>
          </cell>
          <cell r="M349" t="str">
            <v>P1-1</v>
          </cell>
          <cell r="N349" t="str">
            <v/>
          </cell>
          <cell r="O349" t="str">
            <v>2025/09/17</v>
          </cell>
        </row>
        <row r="350">
          <cell r="C350" t="str">
            <v>GL501654</v>
          </cell>
          <cell r="D350" t="str">
            <v>美洲区</v>
          </cell>
          <cell r="E350" t="str">
            <v>DO 数字运营部</v>
          </cell>
          <cell r="F350" t="str">
            <v>美国技术支持组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>美国技术支持组</v>
          </cell>
          <cell r="L350" t="str">
            <v>IT support 技术支持工程师</v>
          </cell>
          <cell r="M350" t="str">
            <v>P1-2</v>
          </cell>
          <cell r="N350" t="str">
            <v/>
          </cell>
          <cell r="O350" t="str">
            <v>2025/10/27</v>
          </cell>
        </row>
        <row r="351">
          <cell r="C351" t="str">
            <v>GL501499</v>
          </cell>
          <cell r="D351" t="str">
            <v>美洲区</v>
          </cell>
          <cell r="E351" t="str">
            <v>DO 数字运营部</v>
          </cell>
          <cell r="F351" t="str">
            <v>美国技术支持组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>美国技术支持组</v>
          </cell>
          <cell r="L351" t="str">
            <v>IT support 技术支持工程师</v>
          </cell>
          <cell r="M351" t="str">
            <v>P1-1</v>
          </cell>
          <cell r="N351" t="str">
            <v/>
          </cell>
          <cell r="O351" t="str">
            <v>2025/09/23</v>
          </cell>
        </row>
        <row r="352">
          <cell r="C352" t="str">
            <v>GL502124</v>
          </cell>
          <cell r="D352" t="str">
            <v>美洲区</v>
          </cell>
          <cell r="E352" t="str">
            <v>GL 大湖大区</v>
          </cell>
          <cell r="F352" t="str">
            <v>ORD.H</v>
          </cell>
          <cell r="G352" t="str">
            <v>调度组</v>
          </cell>
          <cell r="H352" t="str">
            <v/>
          </cell>
          <cell r="I352" t="str">
            <v/>
          </cell>
          <cell r="J352" t="str">
            <v/>
          </cell>
          <cell r="K352" t="str">
            <v>调度组</v>
          </cell>
          <cell r="L352" t="str">
            <v>Dispatcher 调度员</v>
          </cell>
          <cell r="M352" t="str">
            <v>P1-2</v>
          </cell>
          <cell r="N352" t="str">
            <v/>
          </cell>
          <cell r="O352" t="str">
            <v>2026/01/15</v>
          </cell>
        </row>
        <row r="353">
          <cell r="C353" t="str">
            <v>GL501403</v>
          </cell>
          <cell r="D353" t="str">
            <v>美洲区</v>
          </cell>
          <cell r="E353" t="str">
            <v>FL 佛州大区</v>
          </cell>
          <cell r="F353" t="str">
            <v>WF 西佛片区</v>
          </cell>
          <cell r="G353" t="str">
            <v>FTM01</v>
          </cell>
          <cell r="H353" t="str">
            <v/>
          </cell>
          <cell r="I353" t="str">
            <v/>
          </cell>
          <cell r="J353" t="str">
            <v/>
          </cell>
          <cell r="K353" t="str">
            <v>FTM</v>
          </cell>
          <cell r="L353" t="str">
            <v>Station Operations Specialist 站点运营专员</v>
          </cell>
          <cell r="M353" t="str">
            <v>P1-1</v>
          </cell>
          <cell r="N353" t="str">
            <v/>
          </cell>
          <cell r="O353" t="str">
            <v>2025/09/11</v>
          </cell>
        </row>
        <row r="354">
          <cell r="C354" t="str">
            <v>GL501977</v>
          </cell>
          <cell r="D354" t="str">
            <v>欧洲区</v>
          </cell>
          <cell r="E354" t="str">
            <v>EU人力资源部</v>
          </cell>
          <cell r="F354" t="str">
            <v>欧洲HRBP组</v>
          </cell>
          <cell r="G354" t="str">
            <v>荷兰HRBP组</v>
          </cell>
          <cell r="H354" t="str">
            <v/>
          </cell>
          <cell r="I354" t="str">
            <v/>
          </cell>
          <cell r="J354" t="str">
            <v/>
          </cell>
          <cell r="K354" t="str">
            <v>荷兰HRBP组</v>
          </cell>
          <cell r="L354" t="str">
            <v>Junior Recruitment Specialist 初级招聘专员</v>
          </cell>
          <cell r="M354" t="str">
            <v>P1-2</v>
          </cell>
          <cell r="N354" t="str">
            <v/>
          </cell>
          <cell r="O354" t="str">
            <v>2025/12/18</v>
          </cell>
        </row>
        <row r="355">
          <cell r="C355" t="str">
            <v>GL500672</v>
          </cell>
          <cell r="D355" t="str">
            <v>美洲区</v>
          </cell>
          <cell r="E355" t="str">
            <v>FL 佛州大区</v>
          </cell>
          <cell r="F355" t="str">
            <v>SF 南佛片区</v>
          </cell>
          <cell r="G355" t="str">
            <v>WPB01</v>
          </cell>
          <cell r="H355" t="str">
            <v/>
          </cell>
          <cell r="I355" t="str">
            <v/>
          </cell>
          <cell r="J355" t="str">
            <v/>
          </cell>
          <cell r="K355" t="str">
            <v>WPB</v>
          </cell>
          <cell r="L355" t="str">
            <v>Station Operations Specialist 站点运营专员</v>
          </cell>
          <cell r="M355" t="str">
            <v>P1-1</v>
          </cell>
          <cell r="N355" t="str">
            <v/>
          </cell>
          <cell r="O355" t="str">
            <v>2025/06/01</v>
          </cell>
        </row>
        <row r="356">
          <cell r="C356" t="str">
            <v>GL501946</v>
          </cell>
          <cell r="D356" t="str">
            <v>美洲区</v>
          </cell>
          <cell r="E356" t="str">
            <v>WE 美西大区</v>
          </cell>
          <cell r="F356" t="str">
            <v>LAV.H</v>
          </cell>
          <cell r="G356" t="str">
            <v>合流合包组</v>
          </cell>
          <cell r="H356" t="str">
            <v/>
          </cell>
          <cell r="I356" t="str">
            <v/>
          </cell>
          <cell r="J356" t="str">
            <v/>
          </cell>
          <cell r="K356" t="str">
            <v>合流合包组</v>
          </cell>
          <cell r="L356" t="str">
            <v>Warehouse Operator 操作员</v>
          </cell>
          <cell r="M356" t="str">
            <v>P1-2</v>
          </cell>
          <cell r="N356" t="str">
            <v/>
          </cell>
          <cell r="O356" t="str">
            <v>2025/12/09</v>
          </cell>
        </row>
        <row r="357">
          <cell r="C357" t="str">
            <v>GL501700</v>
          </cell>
          <cell r="D357" t="str">
            <v>美洲区</v>
          </cell>
          <cell r="E357" t="str">
            <v>US人力资源部</v>
          </cell>
          <cell r="F357" t="str">
            <v>美洲HRBP组</v>
          </cell>
          <cell r="G357" t="str">
            <v>招聘组</v>
          </cell>
          <cell r="H357" t="str">
            <v/>
          </cell>
          <cell r="I357" t="str">
            <v/>
          </cell>
          <cell r="J357" t="str">
            <v/>
          </cell>
          <cell r="K357" t="str">
            <v>招聘组</v>
          </cell>
          <cell r="L357" t="str">
            <v>Recruitment Assistant 招聘助理</v>
          </cell>
          <cell r="M357" t="str">
            <v>P1-1</v>
          </cell>
          <cell r="N357" t="str">
            <v/>
          </cell>
          <cell r="O357" t="str">
            <v>2025/11/05</v>
          </cell>
        </row>
        <row r="358">
          <cell r="C358" t="str">
            <v>GL501944</v>
          </cell>
          <cell r="D358" t="str">
            <v>美洲区</v>
          </cell>
          <cell r="E358" t="str">
            <v>NE 东北大区</v>
          </cell>
          <cell r="F358" t="str">
            <v>运营支持部</v>
          </cell>
          <cell r="G358" t="str">
            <v>区域支持组</v>
          </cell>
          <cell r="H358" t="str">
            <v/>
          </cell>
          <cell r="I358" t="str">
            <v/>
          </cell>
          <cell r="J358" t="str">
            <v/>
          </cell>
          <cell r="K358" t="str">
            <v>区域支持组</v>
          </cell>
          <cell r="L358" t="str">
            <v>Management Trainee 管培生</v>
          </cell>
          <cell r="M358" t="str">
            <v>P1-2</v>
          </cell>
          <cell r="N358" t="str">
            <v/>
          </cell>
          <cell r="O358" t="str">
            <v>2025/12/22</v>
          </cell>
        </row>
        <row r="359">
          <cell r="C359" t="str">
            <v>GL500391</v>
          </cell>
          <cell r="D359" t="str">
            <v>美洲区</v>
          </cell>
          <cell r="E359" t="str">
            <v>WE 美西大区</v>
          </cell>
          <cell r="F359" t="str">
            <v>运营支持部</v>
          </cell>
          <cell r="G359" t="str">
            <v>区域支持组</v>
          </cell>
          <cell r="H359" t="str">
            <v/>
          </cell>
          <cell r="I359" t="str">
            <v/>
          </cell>
          <cell r="J359" t="str">
            <v/>
          </cell>
          <cell r="K359" t="str">
            <v>区域支持组</v>
          </cell>
          <cell r="L359" t="str">
            <v>Regional Support Specialist 区域支持专员</v>
          </cell>
          <cell r="M359" t="str">
            <v>P1-3</v>
          </cell>
          <cell r="N359" t="str">
            <v/>
          </cell>
          <cell r="O359" t="str">
            <v>2024/08/26</v>
          </cell>
        </row>
        <row r="360">
          <cell r="C360" t="str">
            <v>GL500920</v>
          </cell>
          <cell r="D360" t="str">
            <v>欧洲区</v>
          </cell>
          <cell r="E360" t="str">
            <v>FR 法国区</v>
          </cell>
          <cell r="F360" t="str">
            <v>行政采购部</v>
          </cell>
          <cell r="G360" t="str">
            <v>采购组</v>
          </cell>
          <cell r="H360" t="str">
            <v/>
          </cell>
          <cell r="I360" t="str">
            <v/>
          </cell>
          <cell r="J360" t="str">
            <v/>
          </cell>
          <cell r="K360" t="str">
            <v>采购组</v>
          </cell>
          <cell r="L360" t="str">
            <v>Purchasing Assistant采购助理</v>
          </cell>
          <cell r="M360" t="str">
            <v>P1-1</v>
          </cell>
          <cell r="N360" t="str">
            <v/>
          </cell>
          <cell r="O360" t="str">
            <v>2025/07/07</v>
          </cell>
        </row>
        <row r="361">
          <cell r="C361" t="str">
            <v>GL500889</v>
          </cell>
          <cell r="D361" t="str">
            <v>欧洲区</v>
          </cell>
          <cell r="E361" t="str">
            <v>FR 法国区</v>
          </cell>
          <cell r="F361" t="str">
            <v>南部战区</v>
          </cell>
          <cell r="G361" t="str">
            <v>蒙彼利埃-MTP</v>
          </cell>
          <cell r="H361" t="str">
            <v/>
          </cell>
          <cell r="I361" t="str">
            <v/>
          </cell>
          <cell r="J361" t="str">
            <v/>
          </cell>
          <cell r="K361" t="str">
            <v>蒙彼利埃-MTP</v>
          </cell>
          <cell r="L361" t="str">
            <v>Terminal  Specialist终端专员</v>
          </cell>
          <cell r="M361" t="str">
            <v>P1-2</v>
          </cell>
          <cell r="N361" t="str">
            <v/>
          </cell>
          <cell r="O361" t="str">
            <v>2025/07/02</v>
          </cell>
        </row>
        <row r="362">
          <cell r="C362" t="str">
            <v>GL500276</v>
          </cell>
          <cell r="D362" t="str">
            <v>欧洲区</v>
          </cell>
          <cell r="E362" t="str">
            <v>FR 法国区</v>
          </cell>
          <cell r="F362" t="str">
            <v>巴黎战区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>巴黎战区</v>
          </cell>
          <cell r="L362" t="str">
            <v>Terminal Specialist终端专员</v>
          </cell>
          <cell r="M362" t="str">
            <v>P1-2</v>
          </cell>
          <cell r="N362" t="str">
            <v/>
          </cell>
          <cell r="O362" t="str">
            <v>2025/01/06</v>
          </cell>
        </row>
        <row r="363">
          <cell r="C363" t="str">
            <v>GL500423</v>
          </cell>
          <cell r="D363" t="str">
            <v>欧洲区</v>
          </cell>
          <cell r="E363" t="str">
            <v>FR 法国区</v>
          </cell>
          <cell r="F363" t="str">
            <v>本地客户部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>本地客户部</v>
          </cell>
          <cell r="L363" t="str">
            <v>Sales Manager销售经理</v>
          </cell>
          <cell r="M363" t="str">
            <v>P3-1</v>
          </cell>
          <cell r="N363" t="str">
            <v/>
          </cell>
          <cell r="O363" t="str">
            <v>2024/09/09</v>
          </cell>
        </row>
        <row r="364">
          <cell r="C364" t="str">
            <v>GL501895</v>
          </cell>
          <cell r="D364" t="str">
            <v>美洲区</v>
          </cell>
          <cell r="E364" t="str">
            <v>Ground项目部</v>
          </cell>
          <cell r="F364" t="str">
            <v>OG 美西区</v>
          </cell>
          <cell r="G364" t="str">
            <v>CNO.G</v>
          </cell>
          <cell r="H364" t="str">
            <v/>
          </cell>
          <cell r="I364" t="str">
            <v/>
          </cell>
          <cell r="J364" t="str">
            <v/>
          </cell>
          <cell r="K364" t="str">
            <v>CNO.G</v>
          </cell>
          <cell r="L364" t="str">
            <v>Sorting Lead 分拣组长</v>
          </cell>
          <cell r="M364" t="str">
            <v>P1-3</v>
          </cell>
          <cell r="N364" t="str">
            <v/>
          </cell>
          <cell r="O364" t="str">
            <v>2025/12/02</v>
          </cell>
        </row>
        <row r="365">
          <cell r="C365" t="str">
            <v>GL501876</v>
          </cell>
          <cell r="D365" t="str">
            <v>欧洲区</v>
          </cell>
          <cell r="E365" t="str">
            <v>IT 意大利区</v>
          </cell>
          <cell r="F365" t="str">
            <v>终端管理部</v>
          </cell>
          <cell r="G365" t="str">
            <v>终端运营组</v>
          </cell>
          <cell r="H365" t="str">
            <v/>
          </cell>
          <cell r="I365" t="str">
            <v/>
          </cell>
          <cell r="J365" t="str">
            <v/>
          </cell>
          <cell r="K365" t="str">
            <v>终端运营组</v>
          </cell>
          <cell r="L365" t="str">
            <v>Terminal Specialist 终端专员</v>
          </cell>
          <cell r="M365" t="str">
            <v>P1-2</v>
          </cell>
          <cell r="N365" t="str">
            <v/>
          </cell>
          <cell r="O365" t="str">
            <v>2025/12/09</v>
          </cell>
        </row>
        <row r="366">
          <cell r="C366" t="str">
            <v>GL501270</v>
          </cell>
          <cell r="D366" t="str">
            <v>美洲区</v>
          </cell>
          <cell r="E366" t="str">
            <v>TX 德州大区</v>
          </cell>
          <cell r="F366" t="str">
            <v>NT 北德州片区</v>
          </cell>
          <cell r="G366" t="str">
            <v>DFW01</v>
          </cell>
          <cell r="H366" t="str">
            <v/>
          </cell>
          <cell r="I366" t="str">
            <v/>
          </cell>
          <cell r="J366" t="str">
            <v/>
          </cell>
          <cell r="K366" t="str">
            <v>DFW</v>
          </cell>
          <cell r="L366" t="str">
            <v>Station Operations Specialist 站点运营专员</v>
          </cell>
          <cell r="M366" t="str">
            <v>P1-2</v>
          </cell>
          <cell r="N366" t="str">
            <v/>
          </cell>
          <cell r="O366" t="str">
            <v>2025/08/26</v>
          </cell>
        </row>
        <row r="367">
          <cell r="C367" t="str">
            <v>GL501067</v>
          </cell>
          <cell r="D367" t="str">
            <v>美洲区</v>
          </cell>
          <cell r="E367" t="str">
            <v>TX 德州大区</v>
          </cell>
          <cell r="F367" t="str">
            <v>DFW.H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>DFW.H</v>
          </cell>
          <cell r="L367" t="str">
            <v>Deputy Hub Head 副仓长</v>
          </cell>
          <cell r="M367" t="str">
            <v>M2-2</v>
          </cell>
          <cell r="N367" t="str">
            <v/>
          </cell>
          <cell r="O367" t="str">
            <v>2025/09/08</v>
          </cell>
        </row>
        <row r="368">
          <cell r="C368" t="str">
            <v>GL501951</v>
          </cell>
          <cell r="D368" t="str">
            <v>欧洲区</v>
          </cell>
          <cell r="E368" t="str">
            <v>NL 荷兰区</v>
          </cell>
          <cell r="F368" t="str">
            <v>行政采购部</v>
          </cell>
          <cell r="G368" t="str">
            <v>采购组</v>
          </cell>
          <cell r="H368" t="str">
            <v/>
          </cell>
          <cell r="I368" t="str">
            <v/>
          </cell>
          <cell r="J368" t="str">
            <v/>
          </cell>
          <cell r="K368" t="str">
            <v>采购组</v>
          </cell>
          <cell r="L368" t="str">
            <v>Junior Purchasing Specialist 初级采购专员</v>
          </cell>
          <cell r="M368" t="str">
            <v>P1-2</v>
          </cell>
          <cell r="N368" t="str">
            <v/>
          </cell>
          <cell r="O368" t="str">
            <v>2025/12/15</v>
          </cell>
        </row>
        <row r="369">
          <cell r="C369" t="str">
            <v>GL501863</v>
          </cell>
          <cell r="D369" t="str">
            <v>美洲区</v>
          </cell>
          <cell r="E369" t="str">
            <v>TX 德州大区</v>
          </cell>
          <cell r="F369" t="str">
            <v>DFW.H</v>
          </cell>
          <cell r="G369" t="str">
            <v>操作组</v>
          </cell>
          <cell r="H369" t="str">
            <v/>
          </cell>
          <cell r="I369" t="str">
            <v/>
          </cell>
          <cell r="J369" t="str">
            <v/>
          </cell>
          <cell r="K369" t="str">
            <v>操作组</v>
          </cell>
          <cell r="L369" t="str">
            <v>Warehouse Operator 操作员</v>
          </cell>
          <cell r="M369" t="str">
            <v>P1-2</v>
          </cell>
          <cell r="N369" t="str">
            <v/>
          </cell>
          <cell r="O369" t="str">
            <v>2025/12/01</v>
          </cell>
        </row>
        <row r="370">
          <cell r="C370" t="str">
            <v>GL501958</v>
          </cell>
          <cell r="D370" t="str">
            <v>美洲区</v>
          </cell>
          <cell r="E370" t="str">
            <v>TX 德州大区</v>
          </cell>
          <cell r="F370" t="str">
            <v>IAH.H</v>
          </cell>
          <cell r="G370" t="str">
            <v>操作组</v>
          </cell>
          <cell r="H370" t="str">
            <v/>
          </cell>
          <cell r="I370" t="str">
            <v/>
          </cell>
          <cell r="J370" t="str">
            <v/>
          </cell>
          <cell r="K370" t="str">
            <v>操作组</v>
          </cell>
          <cell r="L370" t="str">
            <v>Warehouse Operator 操作员</v>
          </cell>
          <cell r="M370" t="str">
            <v>P1-2</v>
          </cell>
          <cell r="N370" t="str">
            <v/>
          </cell>
          <cell r="O370" t="str">
            <v>2025/12/15</v>
          </cell>
        </row>
        <row r="371">
          <cell r="C371" t="str">
            <v>GL501341</v>
          </cell>
          <cell r="D371" t="str">
            <v>美洲区</v>
          </cell>
          <cell r="E371" t="str">
            <v>NE 东北大区</v>
          </cell>
          <cell r="F371" t="str">
            <v>NY 纽约片区</v>
          </cell>
          <cell r="G371" t="str">
            <v>JFK01</v>
          </cell>
          <cell r="H371" t="str">
            <v/>
          </cell>
          <cell r="I371" t="str">
            <v/>
          </cell>
          <cell r="J371" t="str">
            <v/>
          </cell>
          <cell r="K371" t="str">
            <v>JFK</v>
          </cell>
          <cell r="L371" t="str">
            <v>Station Operations Specialist 站点运营专员</v>
          </cell>
          <cell r="M371" t="str">
            <v>P1-2</v>
          </cell>
          <cell r="N371" t="str">
            <v/>
          </cell>
          <cell r="O371" t="str">
            <v>2025/08/30</v>
          </cell>
        </row>
        <row r="372">
          <cell r="C372" t="str">
            <v>GL500637</v>
          </cell>
          <cell r="D372" t="str">
            <v>美洲区</v>
          </cell>
          <cell r="E372" t="str">
            <v>NE 东北大区</v>
          </cell>
          <cell r="F372" t="str">
            <v>EWR.H</v>
          </cell>
          <cell r="G372" t="str">
            <v>综办组</v>
          </cell>
          <cell r="H372" t="str">
            <v/>
          </cell>
          <cell r="I372" t="str">
            <v/>
          </cell>
          <cell r="J372" t="str">
            <v/>
          </cell>
          <cell r="K372" t="str">
            <v>综办组</v>
          </cell>
          <cell r="L372" t="str">
            <v>EHS Specialist EHS专员</v>
          </cell>
          <cell r="M372" t="str">
            <v>P1-2</v>
          </cell>
          <cell r="N372" t="str">
            <v/>
          </cell>
          <cell r="O372" t="str">
            <v>2025/05/26</v>
          </cell>
        </row>
        <row r="373">
          <cell r="C373" t="str">
            <v>GL501130</v>
          </cell>
          <cell r="D373" t="str">
            <v>欧洲区</v>
          </cell>
          <cell r="E373" t="str">
            <v>EU人力资源部</v>
          </cell>
          <cell r="F373" t="str">
            <v>欧洲HRBP组</v>
          </cell>
          <cell r="G373" t="str">
            <v>荷兰HRBP组</v>
          </cell>
          <cell r="H373" t="str">
            <v/>
          </cell>
          <cell r="I373" t="str">
            <v/>
          </cell>
          <cell r="J373" t="str">
            <v/>
          </cell>
          <cell r="K373" t="str">
            <v>荷兰HRBP组</v>
          </cell>
          <cell r="L373" t="str">
            <v>Recruitment Specialist 招聘专员</v>
          </cell>
          <cell r="M373" t="str">
            <v>P1-2</v>
          </cell>
          <cell r="N373" t="str">
            <v/>
          </cell>
          <cell r="O373" t="str">
            <v>2025/08/18</v>
          </cell>
        </row>
        <row r="374">
          <cell r="C374" t="str">
            <v>GL501976</v>
          </cell>
          <cell r="D374" t="str">
            <v>美洲区</v>
          </cell>
          <cell r="E374" t="str">
            <v>TX 德州大区</v>
          </cell>
          <cell r="F374" t="str">
            <v>NT 北德州片区</v>
          </cell>
          <cell r="G374" t="str">
            <v>DFW01</v>
          </cell>
          <cell r="H374" t="str">
            <v/>
          </cell>
          <cell r="I374" t="str">
            <v/>
          </cell>
          <cell r="J374" t="str">
            <v/>
          </cell>
          <cell r="K374" t="str">
            <v>DFW</v>
          </cell>
          <cell r="L374" t="str">
            <v>Station Operations Specialist 站点运营专员</v>
          </cell>
          <cell r="M374" t="str">
            <v>P1-2</v>
          </cell>
          <cell r="N374" t="str">
            <v/>
          </cell>
          <cell r="O374" t="str">
            <v>2025/12/22</v>
          </cell>
        </row>
        <row r="375">
          <cell r="C375" t="str">
            <v>GL501047</v>
          </cell>
          <cell r="D375" t="str">
            <v>美洲区</v>
          </cell>
          <cell r="E375" t="str">
            <v>MS 中南大区</v>
          </cell>
          <cell r="F375" t="str">
            <v>ATL.H</v>
          </cell>
          <cell r="G375" t="str">
            <v>分拣组</v>
          </cell>
          <cell r="H375" t="str">
            <v/>
          </cell>
          <cell r="I375" t="str">
            <v/>
          </cell>
          <cell r="J375" t="str">
            <v/>
          </cell>
          <cell r="K375" t="str">
            <v>分拣组</v>
          </cell>
          <cell r="L375" t="str">
            <v>Sorting Lead 分拣组长</v>
          </cell>
          <cell r="M375" t="str">
            <v>P1-3</v>
          </cell>
          <cell r="N375" t="str">
            <v/>
          </cell>
          <cell r="O375" t="str">
            <v>2025/07/28</v>
          </cell>
        </row>
        <row r="376">
          <cell r="C376" t="str">
            <v>GL500181</v>
          </cell>
          <cell r="D376" t="str">
            <v>美洲区</v>
          </cell>
          <cell r="E376" t="str">
            <v>GL 大湖大区</v>
          </cell>
          <cell r="F376" t="str">
            <v>ORD.H</v>
          </cell>
          <cell r="G376" t="str">
            <v>调度组</v>
          </cell>
          <cell r="H376" t="str">
            <v/>
          </cell>
          <cell r="I376" t="str">
            <v/>
          </cell>
          <cell r="J376" t="str">
            <v/>
          </cell>
          <cell r="K376" t="str">
            <v>调度组</v>
          </cell>
          <cell r="L376" t="str">
            <v>Dispatch Lead 调度组长</v>
          </cell>
          <cell r="M376" t="str">
            <v>P2-1</v>
          </cell>
          <cell r="N376" t="str">
            <v/>
          </cell>
          <cell r="O376" t="str">
            <v>2025/03/03</v>
          </cell>
        </row>
        <row r="377">
          <cell r="C377" t="str">
            <v>GL501649</v>
          </cell>
          <cell r="D377" t="str">
            <v>欧洲区</v>
          </cell>
          <cell r="E377" t="str">
            <v>FR 法国区</v>
          </cell>
          <cell r="F377" t="str">
            <v>巴黎枢纽仓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>巴黎枢纽仓</v>
          </cell>
          <cell r="L377" t="str">
            <v>Deputy Hub Head 副仓长</v>
          </cell>
          <cell r="M377" t="str">
            <v>M2-2</v>
          </cell>
          <cell r="N377" t="str">
            <v/>
          </cell>
          <cell r="O377" t="str">
            <v>2025/10/20</v>
          </cell>
        </row>
        <row r="378">
          <cell r="C378" t="str">
            <v>GL500891</v>
          </cell>
          <cell r="D378" t="str">
            <v>欧洲区</v>
          </cell>
          <cell r="E378" t="str">
            <v>FR 法国区</v>
          </cell>
          <cell r="F378" t="str">
            <v>巴黎枢纽仓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>巴黎枢纽仓</v>
          </cell>
          <cell r="L378" t="str">
            <v>Deputy Hub Head 副仓长</v>
          </cell>
          <cell r="M378" t="str">
            <v>M2-2</v>
          </cell>
          <cell r="N378" t="str">
            <v/>
          </cell>
          <cell r="O378" t="str">
            <v>2025/07/01</v>
          </cell>
        </row>
        <row r="379">
          <cell r="C379" t="str">
            <v>GL501754</v>
          </cell>
          <cell r="D379" t="str">
            <v>美洲区</v>
          </cell>
          <cell r="E379" t="str">
            <v>US人力资源部</v>
          </cell>
          <cell r="F379" t="str">
            <v>美洲HRBP组</v>
          </cell>
          <cell r="G379" t="str">
            <v>美西区HR组</v>
          </cell>
          <cell r="H379" t="str">
            <v/>
          </cell>
          <cell r="I379" t="str">
            <v/>
          </cell>
          <cell r="J379" t="str">
            <v/>
          </cell>
          <cell r="K379" t="str">
            <v>美西区HR组</v>
          </cell>
          <cell r="L379" t="str">
            <v>Junior HRBP Specialist 初级HRBP专员</v>
          </cell>
          <cell r="M379" t="str">
            <v>P1-2</v>
          </cell>
          <cell r="N379" t="str">
            <v/>
          </cell>
          <cell r="O379" t="str">
            <v>2025/11/10</v>
          </cell>
        </row>
        <row r="380">
          <cell r="C380" t="str">
            <v>GL501892</v>
          </cell>
          <cell r="D380" t="str">
            <v>欧洲区</v>
          </cell>
          <cell r="E380" t="str">
            <v>NL 荷兰区</v>
          </cell>
          <cell r="F380" t="str">
            <v>北部战区</v>
          </cell>
          <cell r="G380" t="str">
            <v>终端运营组</v>
          </cell>
          <cell r="H380" t="str">
            <v/>
          </cell>
          <cell r="I380" t="str">
            <v/>
          </cell>
          <cell r="J380" t="str">
            <v/>
          </cell>
          <cell r="K380" t="str">
            <v>终端运营组</v>
          </cell>
          <cell r="L380" t="str">
            <v>Terminal  Specialist 终端专员</v>
          </cell>
          <cell r="M380" t="str">
            <v>P1-2</v>
          </cell>
          <cell r="N380" t="str">
            <v/>
          </cell>
          <cell r="O380" t="str">
            <v>2025/12/03</v>
          </cell>
        </row>
        <row r="381">
          <cell r="C381" t="str">
            <v>GL500364</v>
          </cell>
          <cell r="D381" t="str">
            <v>欧洲区</v>
          </cell>
          <cell r="E381" t="str">
            <v>NL 荷兰区</v>
          </cell>
          <cell r="F381" t="str">
            <v>技术支持部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>技术支持部</v>
          </cell>
          <cell r="L381" t="str">
            <v>IT support 技术支持工程师</v>
          </cell>
          <cell r="M381" t="str">
            <v>P1-3</v>
          </cell>
          <cell r="N381" t="str">
            <v/>
          </cell>
          <cell r="O381" t="str">
            <v>2024/09/25</v>
          </cell>
        </row>
        <row r="382">
          <cell r="C382" t="str">
            <v>GL500174</v>
          </cell>
          <cell r="D382" t="str">
            <v>欧洲区</v>
          </cell>
          <cell r="E382" t="str">
            <v>NL 荷兰区</v>
          </cell>
          <cell r="F382" t="str">
            <v>北部战区</v>
          </cell>
          <cell r="G382" t="str">
            <v>终端运营组</v>
          </cell>
          <cell r="H382" t="str">
            <v/>
          </cell>
          <cell r="I382" t="str">
            <v/>
          </cell>
          <cell r="J382" t="str">
            <v/>
          </cell>
          <cell r="K382" t="str">
            <v>终端运营组</v>
          </cell>
          <cell r="L382" t="str">
            <v>Terminal  Specialist 终端专员</v>
          </cell>
          <cell r="M382" t="str">
            <v>P1-2</v>
          </cell>
          <cell r="N382" t="str">
            <v/>
          </cell>
          <cell r="O382" t="str">
            <v>2025/03/03</v>
          </cell>
        </row>
        <row r="383">
          <cell r="C383" t="str">
            <v>GL500142</v>
          </cell>
          <cell r="D383" t="str">
            <v>欧洲区</v>
          </cell>
          <cell r="E383" t="str">
            <v>FR 法国区</v>
          </cell>
          <cell r="F383" t="str">
            <v>南部战区</v>
          </cell>
          <cell r="G383" t="str">
            <v>尼斯-NCE</v>
          </cell>
          <cell r="H383" t="str">
            <v/>
          </cell>
          <cell r="I383" t="str">
            <v/>
          </cell>
          <cell r="J383" t="str">
            <v/>
          </cell>
          <cell r="K383" t="str">
            <v>尼斯-NCE</v>
          </cell>
          <cell r="L383" t="str">
            <v>Terminal  Specialist终端专员</v>
          </cell>
          <cell r="M383" t="str">
            <v>P1-2</v>
          </cell>
          <cell r="N383" t="str">
            <v/>
          </cell>
          <cell r="O383" t="str">
            <v>2025/03/24</v>
          </cell>
        </row>
        <row r="384">
          <cell r="C384" t="str">
            <v>GL500873</v>
          </cell>
          <cell r="D384" t="str">
            <v>美洲区</v>
          </cell>
          <cell r="E384" t="str">
            <v>Ground项目部</v>
          </cell>
          <cell r="F384" t="str">
            <v>OG 美西区</v>
          </cell>
          <cell r="G384" t="str">
            <v>CNO.G</v>
          </cell>
          <cell r="H384" t="str">
            <v/>
          </cell>
          <cell r="I384" t="str">
            <v/>
          </cell>
          <cell r="J384" t="str">
            <v/>
          </cell>
          <cell r="K384" t="str">
            <v>CNO.G</v>
          </cell>
          <cell r="L384" t="str">
            <v>Sorting Lead 分拣组长</v>
          </cell>
          <cell r="M384" t="str">
            <v>P2-1</v>
          </cell>
          <cell r="N384" t="str">
            <v/>
          </cell>
          <cell r="O384" t="str">
            <v>2025/07/01</v>
          </cell>
        </row>
        <row r="385">
          <cell r="C385" t="str">
            <v>GL501466</v>
          </cell>
          <cell r="D385" t="str">
            <v>美洲区</v>
          </cell>
          <cell r="E385" t="str">
            <v>Ground项目部</v>
          </cell>
          <cell r="F385" t="str">
            <v>派送管理部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>运力管理组</v>
          </cell>
          <cell r="L385" t="str">
            <v>Terminal Operations Specialist 终端运力专员</v>
          </cell>
          <cell r="M385" t="str">
            <v>P1-3</v>
          </cell>
          <cell r="N385" t="str">
            <v/>
          </cell>
          <cell r="O385" t="str">
            <v>2025/09/18</v>
          </cell>
        </row>
        <row r="386">
          <cell r="C386" t="str">
            <v>GL501816</v>
          </cell>
          <cell r="D386" t="str">
            <v>美洲区</v>
          </cell>
          <cell r="E386" t="str">
            <v>MS 中南大区</v>
          </cell>
          <cell r="F386" t="str">
            <v>CS 夏洛特及周边片区</v>
          </cell>
          <cell r="G386" t="str">
            <v>CLT01</v>
          </cell>
          <cell r="H386" t="str">
            <v/>
          </cell>
          <cell r="I386" t="str">
            <v/>
          </cell>
          <cell r="J386" t="str">
            <v/>
          </cell>
          <cell r="K386" t="str">
            <v>CLT</v>
          </cell>
          <cell r="L386" t="str">
            <v>Warehouse Operator 操作员</v>
          </cell>
          <cell r="M386" t="str">
            <v>P1-1</v>
          </cell>
          <cell r="N386" t="str">
            <v/>
          </cell>
          <cell r="O386" t="str">
            <v>2025/11/24</v>
          </cell>
        </row>
        <row r="387">
          <cell r="C387" t="str">
            <v>GL500593</v>
          </cell>
          <cell r="D387" t="str">
            <v>美洲区</v>
          </cell>
          <cell r="E387" t="str">
            <v>Ground项目部</v>
          </cell>
          <cell r="F387" t="str">
            <v>OG 美东区</v>
          </cell>
          <cell r="G387" t="str">
            <v>NJ070</v>
          </cell>
          <cell r="H387" t="str">
            <v/>
          </cell>
          <cell r="I387" t="str">
            <v/>
          </cell>
          <cell r="J387" t="str">
            <v/>
          </cell>
          <cell r="K387" t="str">
            <v>NJ070</v>
          </cell>
          <cell r="L387" t="str">
            <v>Delivery Driver 司机</v>
          </cell>
          <cell r="M387" t="str">
            <v>P1-1</v>
          </cell>
          <cell r="N387" t="str">
            <v/>
          </cell>
          <cell r="O387" t="str">
            <v>2024/12/30</v>
          </cell>
        </row>
        <row r="388">
          <cell r="C388" t="str">
            <v>GL501961</v>
          </cell>
          <cell r="D388" t="str">
            <v>美洲区</v>
          </cell>
          <cell r="E388" t="str">
            <v>Ground项目部</v>
          </cell>
          <cell r="F388" t="str">
            <v>OG 美东区</v>
          </cell>
          <cell r="G388" t="str">
            <v>BO021</v>
          </cell>
          <cell r="H388" t="str">
            <v/>
          </cell>
          <cell r="I388" t="str">
            <v/>
          </cell>
          <cell r="J388" t="str">
            <v/>
          </cell>
          <cell r="K388" t="str">
            <v>BO021</v>
          </cell>
          <cell r="L388" t="str">
            <v>Station Operations Specialist 站点运营专员</v>
          </cell>
          <cell r="M388" t="str">
            <v>P1-2</v>
          </cell>
          <cell r="N388" t="str">
            <v/>
          </cell>
          <cell r="O388" t="str">
            <v>2025/12/15</v>
          </cell>
        </row>
        <row r="389">
          <cell r="C389" t="str">
            <v>GL500877</v>
          </cell>
          <cell r="D389" t="str">
            <v>欧洲区</v>
          </cell>
          <cell r="E389" t="str">
            <v>FR 法国区</v>
          </cell>
          <cell r="F389" t="str">
            <v>西部战区</v>
          </cell>
          <cell r="G389" t="str">
            <v>雷恩-RNS</v>
          </cell>
          <cell r="H389" t="str">
            <v/>
          </cell>
          <cell r="I389" t="str">
            <v/>
          </cell>
          <cell r="J389" t="str">
            <v/>
          </cell>
          <cell r="K389" t="str">
            <v>雷恩-RNS</v>
          </cell>
          <cell r="L389" t="str">
            <v>Terminal  Specialist
终端专员</v>
          </cell>
          <cell r="M389" t="str">
            <v>P1-1</v>
          </cell>
          <cell r="N389" t="str">
            <v/>
          </cell>
          <cell r="O389" t="str">
            <v>2025/07/01</v>
          </cell>
        </row>
        <row r="390">
          <cell r="C390" t="str">
            <v>GL500690</v>
          </cell>
          <cell r="D390" t="str">
            <v>欧洲区</v>
          </cell>
          <cell r="E390" t="str">
            <v>FR 法国区</v>
          </cell>
          <cell r="F390" t="str">
            <v>东部战区</v>
          </cell>
          <cell r="G390" t="str">
            <v>里尔-LIL</v>
          </cell>
          <cell r="H390" t="str">
            <v/>
          </cell>
          <cell r="I390" t="str">
            <v/>
          </cell>
          <cell r="J390" t="str">
            <v/>
          </cell>
          <cell r="K390" t="str">
            <v>里尔-LIL</v>
          </cell>
          <cell r="L390" t="str">
            <v>Terminal  Specialist
终端专员</v>
          </cell>
          <cell r="M390" t="str">
            <v>P1-2</v>
          </cell>
          <cell r="N390" t="str">
            <v/>
          </cell>
          <cell r="O390" t="str">
            <v>2025/07/01</v>
          </cell>
        </row>
        <row r="391">
          <cell r="C391" t="str">
            <v>GL501963</v>
          </cell>
          <cell r="D391" t="str">
            <v>欧洲区</v>
          </cell>
          <cell r="E391" t="str">
            <v>FR 法国区</v>
          </cell>
          <cell r="F391" t="str">
            <v>巴黎战区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>巴黎战区</v>
          </cell>
          <cell r="L391" t="str">
            <v>Terminal Specialist终端专员</v>
          </cell>
          <cell r="M391" t="str">
            <v>P1-2</v>
          </cell>
          <cell r="N391" t="str">
            <v/>
          </cell>
          <cell r="O391" t="str">
            <v>2025/12/16</v>
          </cell>
        </row>
        <row r="392">
          <cell r="C392" t="str">
            <v>GL500741</v>
          </cell>
          <cell r="D392" t="str">
            <v>欧洲区</v>
          </cell>
          <cell r="E392" t="str">
            <v>FR 法国区</v>
          </cell>
          <cell r="F392" t="str">
            <v>东部战区</v>
          </cell>
          <cell r="G392" t="str">
            <v>里昂-LYN</v>
          </cell>
          <cell r="H392" t="str">
            <v/>
          </cell>
          <cell r="I392" t="str">
            <v/>
          </cell>
          <cell r="J392" t="str">
            <v/>
          </cell>
          <cell r="K392" t="str">
            <v>里昂-LYN</v>
          </cell>
          <cell r="L392" t="str">
            <v>Warehouse Operator操作员</v>
          </cell>
          <cell r="M392" t="str">
            <v>P1-1</v>
          </cell>
          <cell r="N392" t="str">
            <v/>
          </cell>
          <cell r="O392" t="str">
            <v>2025/06/18</v>
          </cell>
        </row>
        <row r="393">
          <cell r="C393" t="str">
            <v>GL501007</v>
          </cell>
          <cell r="D393" t="str">
            <v>美洲区</v>
          </cell>
          <cell r="E393" t="str">
            <v>FL 佛州大区</v>
          </cell>
          <cell r="F393" t="str">
            <v>MIA.H</v>
          </cell>
          <cell r="G393" t="str">
            <v>异常处理组</v>
          </cell>
          <cell r="H393" t="str">
            <v/>
          </cell>
          <cell r="I393" t="str">
            <v/>
          </cell>
          <cell r="J393" t="str">
            <v/>
          </cell>
          <cell r="K393" t="str">
            <v>退件组</v>
          </cell>
          <cell r="L393" t="str">
            <v>Returns Specialist 退件员</v>
          </cell>
          <cell r="M393" t="str">
            <v>P1-1</v>
          </cell>
          <cell r="N393" t="str">
            <v/>
          </cell>
          <cell r="O393" t="str">
            <v>2025/06/21</v>
          </cell>
        </row>
        <row r="394">
          <cell r="C394" t="str">
            <v>GL501225</v>
          </cell>
          <cell r="D394" t="str">
            <v>美洲区</v>
          </cell>
          <cell r="E394" t="str">
            <v>WE 美西大区</v>
          </cell>
          <cell r="F394" t="str">
            <v>CNO.H</v>
          </cell>
          <cell r="G394" t="str">
            <v>分拣组</v>
          </cell>
          <cell r="H394" t="str">
            <v/>
          </cell>
          <cell r="I394" t="str">
            <v/>
          </cell>
          <cell r="J394" t="str">
            <v/>
          </cell>
          <cell r="K394" t="str">
            <v>分拣组</v>
          </cell>
          <cell r="L394" t="str">
            <v>Sorter 分拣员</v>
          </cell>
          <cell r="M394" t="str">
            <v>P1-1</v>
          </cell>
          <cell r="N394" t="str">
            <v/>
          </cell>
          <cell r="O394" t="str">
            <v>2025/08/11</v>
          </cell>
        </row>
        <row r="395">
          <cell r="C395" t="str">
            <v>GL500733</v>
          </cell>
          <cell r="D395" t="str">
            <v>美洲区</v>
          </cell>
          <cell r="E395" t="str">
            <v>TX 德州大区</v>
          </cell>
          <cell r="F395" t="str">
            <v>CT 中德州片区</v>
          </cell>
          <cell r="G395" t="str">
            <v>AUS01</v>
          </cell>
          <cell r="H395" t="str">
            <v/>
          </cell>
          <cell r="I395" t="str">
            <v/>
          </cell>
          <cell r="J395" t="str">
            <v/>
          </cell>
          <cell r="K395" t="str">
            <v>AUS</v>
          </cell>
          <cell r="L395" t="str">
            <v>Station Operations Specialist 站点运营专员</v>
          </cell>
          <cell r="M395" t="str">
            <v>P1-3</v>
          </cell>
          <cell r="N395" t="str">
            <v/>
          </cell>
          <cell r="O395" t="str">
            <v>2025/06/16</v>
          </cell>
        </row>
        <row r="396">
          <cell r="C396" t="str">
            <v>GL502045</v>
          </cell>
          <cell r="D396" t="str">
            <v>美洲区</v>
          </cell>
          <cell r="E396" t="str">
            <v>WE 美西大区</v>
          </cell>
          <cell r="F396" t="str">
            <v>DS 丹佛·盐湖城片区</v>
          </cell>
          <cell r="G396" t="str">
            <v>DEN.H</v>
          </cell>
          <cell r="H396" t="str">
            <v>分拣组</v>
          </cell>
          <cell r="I396" t="str">
            <v/>
          </cell>
          <cell r="J396" t="str">
            <v/>
          </cell>
          <cell r="K396" t="str">
            <v>分拣组</v>
          </cell>
          <cell r="L396" t="str">
            <v>Sorter 分拣员</v>
          </cell>
          <cell r="M396" t="str">
            <v>P1-1</v>
          </cell>
          <cell r="N396" t="str">
            <v/>
          </cell>
          <cell r="O396" t="str">
            <v>2025/12/29</v>
          </cell>
        </row>
        <row r="397">
          <cell r="C397" t="str">
            <v>GL501925</v>
          </cell>
          <cell r="D397" t="str">
            <v>美洲区</v>
          </cell>
          <cell r="E397" t="str">
            <v>GL 大湖大区</v>
          </cell>
          <cell r="F397" t="str">
            <v>ORD.H</v>
          </cell>
          <cell r="G397" t="str">
            <v>调度组</v>
          </cell>
          <cell r="H397" t="str">
            <v/>
          </cell>
          <cell r="I397" t="str">
            <v/>
          </cell>
          <cell r="J397" t="str">
            <v/>
          </cell>
          <cell r="K397" t="str">
            <v>调度组</v>
          </cell>
          <cell r="L397" t="str">
            <v>Dispatch Lead 调度组长</v>
          </cell>
          <cell r="M397" t="str">
            <v>P2-1</v>
          </cell>
          <cell r="N397" t="str">
            <v/>
          </cell>
          <cell r="O397" t="str">
            <v>2025/12/08</v>
          </cell>
        </row>
        <row r="398">
          <cell r="C398" t="str">
            <v>GL501527</v>
          </cell>
          <cell r="D398" t="str">
            <v>美洲区</v>
          </cell>
          <cell r="E398" t="str">
            <v>GL 大湖大区</v>
          </cell>
          <cell r="F398" t="str">
            <v>EG 东大湖片区</v>
          </cell>
          <cell r="G398" t="str">
            <v>DTW01</v>
          </cell>
          <cell r="H398" t="str">
            <v/>
          </cell>
          <cell r="I398" t="str">
            <v/>
          </cell>
          <cell r="J398" t="str">
            <v/>
          </cell>
          <cell r="K398" t="str">
            <v>DTW</v>
          </cell>
          <cell r="L398" t="str">
            <v>Station Operations Specialist 站点运营专员</v>
          </cell>
          <cell r="M398" t="str">
            <v>P1-3</v>
          </cell>
          <cell r="N398" t="str">
            <v/>
          </cell>
          <cell r="O398" t="str">
            <v>2025/09/29</v>
          </cell>
        </row>
        <row r="399">
          <cell r="C399" t="str">
            <v>GL501069</v>
          </cell>
          <cell r="D399" t="str">
            <v>美洲区</v>
          </cell>
          <cell r="E399" t="str">
            <v>GL 大湖大区</v>
          </cell>
          <cell r="F399" t="str">
            <v>NM 中西部北片区</v>
          </cell>
          <cell r="G399" t="str">
            <v>STL01</v>
          </cell>
          <cell r="H399" t="str">
            <v/>
          </cell>
          <cell r="I399" t="str">
            <v/>
          </cell>
          <cell r="J399" t="str">
            <v/>
          </cell>
          <cell r="K399" t="str">
            <v>STL</v>
          </cell>
          <cell r="L399" t="str">
            <v>Station Operations Specialist 站点运营专员</v>
          </cell>
          <cell r="M399" t="str">
            <v>P1-3</v>
          </cell>
          <cell r="N399" t="str">
            <v/>
          </cell>
          <cell r="O399" t="str">
            <v>2025/07/28</v>
          </cell>
        </row>
        <row r="400">
          <cell r="C400" t="str">
            <v>GL501150</v>
          </cell>
          <cell r="D400" t="str">
            <v>美洲区</v>
          </cell>
          <cell r="E400" t="str">
            <v>Ground项目部</v>
          </cell>
          <cell r="F400" t="str">
            <v>OG 美南区</v>
          </cell>
          <cell r="G400" t="str">
            <v>AT303</v>
          </cell>
          <cell r="H400" t="str">
            <v/>
          </cell>
          <cell r="I400" t="str">
            <v/>
          </cell>
          <cell r="J400" t="str">
            <v/>
          </cell>
          <cell r="K400" t="str">
            <v>AT303</v>
          </cell>
          <cell r="L400" t="str">
            <v>Station Head （Probation）站长（见习）</v>
          </cell>
          <cell r="M400" t="str">
            <v>P1-2</v>
          </cell>
          <cell r="N400" t="str">
            <v/>
          </cell>
          <cell r="O400" t="str">
            <v>2025/07/30</v>
          </cell>
        </row>
        <row r="401">
          <cell r="C401" t="str">
            <v>GL501889</v>
          </cell>
          <cell r="D401" t="str">
            <v>美洲区</v>
          </cell>
          <cell r="E401" t="str">
            <v>MS 中南大区</v>
          </cell>
          <cell r="F401" t="str">
            <v>CLT.H</v>
          </cell>
          <cell r="G401" t="str">
            <v>操作组</v>
          </cell>
          <cell r="H401" t="str">
            <v/>
          </cell>
          <cell r="I401" t="str">
            <v/>
          </cell>
          <cell r="J401" t="str">
            <v/>
          </cell>
          <cell r="K401" t="str">
            <v>操作组</v>
          </cell>
          <cell r="L401" t="str">
            <v>Warehouse Lead 操作组长</v>
          </cell>
          <cell r="M401" t="str">
            <v>P1-3</v>
          </cell>
          <cell r="N401" t="str">
            <v/>
          </cell>
          <cell r="O401" t="str">
            <v>2025/12/01</v>
          </cell>
        </row>
        <row r="402">
          <cell r="C402" t="str">
            <v>GL501908</v>
          </cell>
          <cell r="D402" t="str">
            <v>美洲区</v>
          </cell>
          <cell r="E402" t="str">
            <v>GL 大湖大区</v>
          </cell>
          <cell r="F402" t="str">
            <v>WG 西大湖片区</v>
          </cell>
          <cell r="G402" t="str">
            <v>ORD01</v>
          </cell>
          <cell r="H402" t="str">
            <v/>
          </cell>
          <cell r="I402" t="str">
            <v/>
          </cell>
          <cell r="J402" t="str">
            <v/>
          </cell>
          <cell r="K402" t="str">
            <v>ORD</v>
          </cell>
          <cell r="L402" t="str">
            <v>Station Operations Specialist 站点运营专员</v>
          </cell>
          <cell r="M402" t="str">
            <v>P1-2</v>
          </cell>
          <cell r="N402" t="str">
            <v/>
          </cell>
          <cell r="O402" t="str">
            <v>2025/12/21</v>
          </cell>
        </row>
        <row r="403">
          <cell r="C403" t="str">
            <v>GL501239</v>
          </cell>
          <cell r="D403" t="str">
            <v>欧洲区</v>
          </cell>
          <cell r="E403" t="str">
            <v>FR 法国区</v>
          </cell>
          <cell r="F403" t="str">
            <v>东部战区</v>
          </cell>
          <cell r="G403" t="str">
            <v>梅斯-MTZ</v>
          </cell>
          <cell r="H403" t="str">
            <v/>
          </cell>
          <cell r="I403" t="str">
            <v/>
          </cell>
          <cell r="J403" t="str">
            <v/>
          </cell>
          <cell r="K403" t="str">
            <v>梅斯-MTZ</v>
          </cell>
          <cell r="L403" t="str">
            <v>Warehouse Operator操作员</v>
          </cell>
          <cell r="M403" t="str">
            <v>P1-1</v>
          </cell>
          <cell r="N403" t="str">
            <v/>
          </cell>
          <cell r="O403" t="str">
            <v>2025/08/25</v>
          </cell>
        </row>
        <row r="404">
          <cell r="C404" t="str">
            <v>GL501086</v>
          </cell>
          <cell r="D404" t="str">
            <v>欧洲区</v>
          </cell>
          <cell r="E404" t="str">
            <v>FR 法国区</v>
          </cell>
          <cell r="F404" t="str">
            <v>东部战区</v>
          </cell>
          <cell r="G404" t="str">
            <v>梅斯-MTZ</v>
          </cell>
          <cell r="H404" t="str">
            <v/>
          </cell>
          <cell r="I404" t="str">
            <v/>
          </cell>
          <cell r="J404" t="str">
            <v/>
          </cell>
          <cell r="K404" t="str">
            <v>梅斯-MTZ</v>
          </cell>
          <cell r="L404" t="str">
            <v>Terminal Specialist终端专员</v>
          </cell>
          <cell r="M404" t="str">
            <v>P1-1</v>
          </cell>
          <cell r="N404" t="str">
            <v/>
          </cell>
          <cell r="O404" t="str">
            <v>2025/07/25</v>
          </cell>
        </row>
        <row r="405">
          <cell r="C405" t="str">
            <v>GL500697</v>
          </cell>
          <cell r="D405" t="str">
            <v>欧洲区</v>
          </cell>
          <cell r="E405" t="str">
            <v>FR 法国区</v>
          </cell>
          <cell r="F405" t="str">
            <v>巴黎枢纽仓</v>
          </cell>
          <cell r="G405" t="str">
            <v>精益设备组</v>
          </cell>
          <cell r="H405" t="str">
            <v/>
          </cell>
          <cell r="I405" t="str">
            <v/>
          </cell>
          <cell r="J405" t="str">
            <v/>
          </cell>
          <cell r="K405" t="str">
            <v>精益设备组</v>
          </cell>
          <cell r="L405" t="str">
            <v>Lean Equipment Specialist精益设备专员</v>
          </cell>
          <cell r="M405" t="str">
            <v>P1-1</v>
          </cell>
          <cell r="N405" t="str">
            <v/>
          </cell>
          <cell r="O405" t="str">
            <v>2025/06/16</v>
          </cell>
        </row>
        <row r="406">
          <cell r="C406" t="str">
            <v>GL500744</v>
          </cell>
          <cell r="D406" t="str">
            <v>欧洲区</v>
          </cell>
          <cell r="E406" t="str">
            <v>FR 法国区</v>
          </cell>
          <cell r="F406" t="str">
            <v>巴黎枢纽仓</v>
          </cell>
          <cell r="G406" t="str">
            <v>精益设备组</v>
          </cell>
          <cell r="H406" t="str">
            <v/>
          </cell>
          <cell r="I406" t="str">
            <v/>
          </cell>
          <cell r="J406" t="str">
            <v/>
          </cell>
          <cell r="K406" t="str">
            <v>精益设备组</v>
          </cell>
          <cell r="L406" t="str">
            <v>Lean Equipment Specialist精益设备专员</v>
          </cell>
          <cell r="M406" t="str">
            <v>P1-1</v>
          </cell>
          <cell r="N406" t="str">
            <v/>
          </cell>
          <cell r="O406" t="str">
            <v>2025/06/16</v>
          </cell>
        </row>
        <row r="407">
          <cell r="C407" t="str">
            <v>GL502016</v>
          </cell>
          <cell r="D407" t="str">
            <v>美洲区</v>
          </cell>
          <cell r="E407" t="str">
            <v>MS 中南大区</v>
          </cell>
          <cell r="F407" t="str">
            <v>ATL.H</v>
          </cell>
          <cell r="G407" t="str">
            <v>分拣组</v>
          </cell>
          <cell r="H407" t="str">
            <v/>
          </cell>
          <cell r="I407" t="str">
            <v/>
          </cell>
          <cell r="J407" t="str">
            <v/>
          </cell>
          <cell r="K407" t="str">
            <v>分拣组</v>
          </cell>
          <cell r="L407" t="str">
            <v>Sorting Lead 分拣组长</v>
          </cell>
          <cell r="M407" t="str">
            <v>P1-3</v>
          </cell>
          <cell r="N407" t="str">
            <v/>
          </cell>
          <cell r="O407" t="str">
            <v>2025/12/22</v>
          </cell>
        </row>
        <row r="408">
          <cell r="C408" t="str">
            <v>GL500343</v>
          </cell>
          <cell r="D408" t="str">
            <v>美洲区</v>
          </cell>
          <cell r="E408" t="str">
            <v>FL 佛州大区</v>
          </cell>
          <cell r="F408" t="str">
            <v>MIA.H</v>
          </cell>
          <cell r="G408" t="str">
            <v>分拣组</v>
          </cell>
          <cell r="H408" t="str">
            <v/>
          </cell>
          <cell r="I408" t="str">
            <v/>
          </cell>
          <cell r="J408" t="str">
            <v/>
          </cell>
          <cell r="K408" t="str">
            <v>分拣组</v>
          </cell>
          <cell r="L408" t="str">
            <v>Sorter 分拣员</v>
          </cell>
          <cell r="M408" t="str">
            <v>P1-1</v>
          </cell>
          <cell r="N408" t="str">
            <v/>
          </cell>
          <cell r="O408" t="str">
            <v>2024/11/20</v>
          </cell>
        </row>
        <row r="409">
          <cell r="C409" t="str">
            <v>GL502000</v>
          </cell>
          <cell r="D409" t="str">
            <v>欧洲区</v>
          </cell>
          <cell r="E409" t="str">
            <v>CS 客户服务部</v>
          </cell>
          <cell r="F409" t="str">
            <v>意大利客户服务组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>意大利在线呼叫组</v>
          </cell>
          <cell r="L409" t="str">
            <v>Junior CS Specialist 初级客服专员</v>
          </cell>
          <cell r="M409" t="str">
            <v>P1-2</v>
          </cell>
          <cell r="N409" t="str">
            <v/>
          </cell>
          <cell r="O409" t="str">
            <v>2025/12/23</v>
          </cell>
        </row>
        <row r="410">
          <cell r="C410" t="str">
            <v>GL501879</v>
          </cell>
          <cell r="D410" t="str">
            <v>欧洲区</v>
          </cell>
          <cell r="E410" t="str">
            <v>FR 法国区</v>
          </cell>
          <cell r="F410" t="str">
            <v>南部战区</v>
          </cell>
          <cell r="G410" t="str">
            <v>尼斯-NCE</v>
          </cell>
          <cell r="H410" t="str">
            <v/>
          </cell>
          <cell r="I410" t="str">
            <v/>
          </cell>
          <cell r="J410" t="str">
            <v/>
          </cell>
          <cell r="K410" t="str">
            <v>尼斯-NCE</v>
          </cell>
          <cell r="L410" t="str">
            <v>Terminal  Specialist终端专员</v>
          </cell>
          <cell r="M410" t="str">
            <v>P1-2</v>
          </cell>
          <cell r="N410" t="str">
            <v/>
          </cell>
          <cell r="O410" t="str">
            <v>2025/12/01</v>
          </cell>
        </row>
        <row r="411">
          <cell r="C411" t="str">
            <v>GL501782</v>
          </cell>
          <cell r="D411" t="str">
            <v>美洲区</v>
          </cell>
          <cell r="E411" t="str">
            <v>FL 佛州大区</v>
          </cell>
          <cell r="F411" t="str">
            <v>MIA.H</v>
          </cell>
          <cell r="G411" t="str">
            <v>调度组</v>
          </cell>
          <cell r="H411" t="str">
            <v/>
          </cell>
          <cell r="I411" t="str">
            <v/>
          </cell>
          <cell r="J411" t="str">
            <v/>
          </cell>
          <cell r="K411" t="str">
            <v>调度组</v>
          </cell>
          <cell r="L411" t="str">
            <v>Dispatcher 调度员</v>
          </cell>
          <cell r="M411" t="str">
            <v>P1-2</v>
          </cell>
          <cell r="N411" t="str">
            <v/>
          </cell>
          <cell r="O411" t="str">
            <v>2025/11/13</v>
          </cell>
        </row>
        <row r="412">
          <cell r="C412" t="str">
            <v>GL500827</v>
          </cell>
          <cell r="D412" t="str">
            <v>美洲区</v>
          </cell>
          <cell r="E412" t="str">
            <v>PR 波多黎各区</v>
          </cell>
          <cell r="F412" t="str">
            <v>SJU.H</v>
          </cell>
          <cell r="G412" t="str">
            <v>分拣组</v>
          </cell>
          <cell r="H412" t="str">
            <v/>
          </cell>
          <cell r="I412" t="str">
            <v/>
          </cell>
          <cell r="J412" t="str">
            <v/>
          </cell>
          <cell r="K412" t="str">
            <v>分拣组</v>
          </cell>
          <cell r="L412" t="str">
            <v>Sorter 分拣员</v>
          </cell>
          <cell r="M412" t="str">
            <v>P1-1</v>
          </cell>
          <cell r="N412" t="str">
            <v/>
          </cell>
          <cell r="O412" t="str">
            <v>2025/06/25</v>
          </cell>
        </row>
        <row r="413">
          <cell r="C413" t="str">
            <v>GL500985</v>
          </cell>
          <cell r="D413" t="str">
            <v>美洲区</v>
          </cell>
          <cell r="E413" t="str">
            <v>FL 佛州大区</v>
          </cell>
          <cell r="F413" t="str">
            <v>MIA.H</v>
          </cell>
          <cell r="G413" t="str">
            <v>操作组</v>
          </cell>
          <cell r="H413" t="str">
            <v/>
          </cell>
          <cell r="I413" t="str">
            <v/>
          </cell>
          <cell r="J413" t="str">
            <v/>
          </cell>
          <cell r="K413" t="str">
            <v>操作组</v>
          </cell>
          <cell r="L413" t="str">
            <v>Warehouse Operator 操作员</v>
          </cell>
          <cell r="M413" t="str">
            <v>P1-1</v>
          </cell>
          <cell r="N413" t="str">
            <v/>
          </cell>
          <cell r="O413" t="str">
            <v>2025/07/14</v>
          </cell>
        </row>
        <row r="414">
          <cell r="C414" t="str">
            <v>GL501238</v>
          </cell>
          <cell r="D414" t="str">
            <v>美洲区</v>
          </cell>
          <cell r="E414" t="str">
            <v>MS 中南大区</v>
          </cell>
          <cell r="F414" t="str">
            <v>AS 亚特兰大和南阿拉巴马片区</v>
          </cell>
          <cell r="G414" t="str">
            <v>ATL01</v>
          </cell>
          <cell r="H414" t="str">
            <v/>
          </cell>
          <cell r="I414" t="str">
            <v/>
          </cell>
          <cell r="J414" t="str">
            <v/>
          </cell>
          <cell r="K414" t="str">
            <v>ATL</v>
          </cell>
          <cell r="L414" t="str">
            <v>Warehouse Operator 操作员</v>
          </cell>
          <cell r="M414" t="str">
            <v>P1-1</v>
          </cell>
          <cell r="N414" t="str">
            <v/>
          </cell>
          <cell r="O414" t="str">
            <v>2025/08/14</v>
          </cell>
        </row>
        <row r="415">
          <cell r="C415" t="str">
            <v>GL501045</v>
          </cell>
          <cell r="D415" t="str">
            <v>美洲区</v>
          </cell>
          <cell r="E415" t="str">
            <v>MS 中南大区</v>
          </cell>
          <cell r="F415" t="str">
            <v>RE 北卡和东南海岸片区</v>
          </cell>
          <cell r="G415" t="str">
            <v>RDU01</v>
          </cell>
          <cell r="H415" t="str">
            <v/>
          </cell>
          <cell r="I415" t="str">
            <v/>
          </cell>
          <cell r="J415" t="str">
            <v/>
          </cell>
          <cell r="K415" t="str">
            <v>RDU</v>
          </cell>
          <cell r="L415" t="str">
            <v>Warehouse Operator 操作员</v>
          </cell>
          <cell r="M415" t="str">
            <v>P1-1</v>
          </cell>
          <cell r="N415" t="str">
            <v/>
          </cell>
          <cell r="O415" t="str">
            <v>2025/08/11</v>
          </cell>
        </row>
        <row r="416">
          <cell r="C416" t="str">
            <v>GL501502</v>
          </cell>
          <cell r="D416" t="str">
            <v>美洲区</v>
          </cell>
          <cell r="E416" t="str">
            <v>WE 美西大区</v>
          </cell>
          <cell r="F416" t="str">
            <v>NC 北加片区</v>
          </cell>
          <cell r="G416" t="str">
            <v>SFO.H</v>
          </cell>
          <cell r="H416" t="str">
            <v>操作组</v>
          </cell>
          <cell r="I416" t="str">
            <v/>
          </cell>
          <cell r="J416" t="str">
            <v/>
          </cell>
          <cell r="K416" t="str">
            <v>操作组</v>
          </cell>
          <cell r="L416" t="str">
            <v>Warehouse Operator 操作员</v>
          </cell>
          <cell r="M416" t="str">
            <v>P1-2</v>
          </cell>
          <cell r="N416" t="str">
            <v/>
          </cell>
          <cell r="O416" t="str">
            <v>2025/09/29</v>
          </cell>
        </row>
        <row r="417">
          <cell r="C417" t="str">
            <v>GL500097</v>
          </cell>
          <cell r="D417" t="str">
            <v>美洲区</v>
          </cell>
          <cell r="E417" t="str">
            <v>DO 数字运营部</v>
          </cell>
          <cell r="F417" t="str">
            <v>美国技术支持组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>美国技术支持组</v>
          </cell>
          <cell r="L417" t="str">
            <v>IT support 技术支持工程师</v>
          </cell>
          <cell r="M417" t="str">
            <v>P1-1</v>
          </cell>
          <cell r="N417" t="str">
            <v/>
          </cell>
          <cell r="O417" t="str">
            <v>2025/04/08</v>
          </cell>
        </row>
        <row r="418">
          <cell r="C418" t="str">
            <v>GL500859</v>
          </cell>
          <cell r="D418" t="str">
            <v>欧洲区</v>
          </cell>
          <cell r="E418" t="str">
            <v>IT 意大利区</v>
          </cell>
          <cell r="F418" t="str">
            <v>终端管理部</v>
          </cell>
          <cell r="G418" t="str">
            <v>终端寻源组</v>
          </cell>
          <cell r="H418" t="str">
            <v/>
          </cell>
          <cell r="I418" t="str">
            <v/>
          </cell>
          <cell r="J418" t="str">
            <v/>
          </cell>
          <cell r="K418" t="str">
            <v>终端寻源组</v>
          </cell>
          <cell r="L418" t="str">
            <v>Terminal Sourcing  Manager 终端寻源经理</v>
          </cell>
          <cell r="M418" t="str">
            <v>P3-1</v>
          </cell>
          <cell r="N418" t="str">
            <v/>
          </cell>
          <cell r="O418" t="str">
            <v>2025/08/18</v>
          </cell>
        </row>
        <row r="419">
          <cell r="C419" t="str">
            <v>GL501783</v>
          </cell>
          <cell r="D419" t="str">
            <v>美洲区</v>
          </cell>
          <cell r="E419" t="str">
            <v>TX 德州大区</v>
          </cell>
          <cell r="F419" t="str">
            <v>IAH.H</v>
          </cell>
          <cell r="G419" t="str">
            <v>调度组</v>
          </cell>
          <cell r="H419" t="str">
            <v/>
          </cell>
          <cell r="I419" t="str">
            <v/>
          </cell>
          <cell r="J419" t="str">
            <v/>
          </cell>
          <cell r="K419" t="str">
            <v>调度组</v>
          </cell>
          <cell r="L419" t="str">
            <v>Dispatcher 调度员</v>
          </cell>
          <cell r="M419" t="str">
            <v>P1-2</v>
          </cell>
          <cell r="N419" t="str">
            <v/>
          </cell>
          <cell r="O419" t="str">
            <v>2025/11/13</v>
          </cell>
        </row>
        <row r="420">
          <cell r="C420" t="str">
            <v>GL500347</v>
          </cell>
          <cell r="D420" t="str">
            <v>美洲区</v>
          </cell>
          <cell r="E420" t="str">
            <v>IC 跨境客户部</v>
          </cell>
          <cell r="F420" t="str">
            <v>海外客户组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>海外客户组</v>
          </cell>
          <cell r="L420" t="str">
            <v>Oversea Client Manager 海外客户经理</v>
          </cell>
          <cell r="M420" t="str">
            <v>P3-1</v>
          </cell>
          <cell r="N420" t="str">
            <v/>
          </cell>
          <cell r="O420" t="str">
            <v>2024/12/02</v>
          </cell>
        </row>
        <row r="421">
          <cell r="C421" t="str">
            <v>GL500734</v>
          </cell>
          <cell r="D421" t="str">
            <v>欧洲区</v>
          </cell>
          <cell r="E421" t="str">
            <v>FR 法国区</v>
          </cell>
          <cell r="F421" t="str">
            <v>南部战区</v>
          </cell>
          <cell r="G421" t="str">
            <v>蒙彼利埃-MTP</v>
          </cell>
          <cell r="H421" t="str">
            <v/>
          </cell>
          <cell r="I421" t="str">
            <v/>
          </cell>
          <cell r="J421" t="str">
            <v/>
          </cell>
          <cell r="K421" t="str">
            <v>蒙彼利埃-MTP</v>
          </cell>
          <cell r="L421" t="str">
            <v>Warehouse Operator操作员</v>
          </cell>
          <cell r="M421" t="str">
            <v>P1-1</v>
          </cell>
          <cell r="N421" t="str">
            <v/>
          </cell>
          <cell r="O421" t="str">
            <v>2025/06/16</v>
          </cell>
        </row>
        <row r="422">
          <cell r="C422" t="str">
            <v>GL500735</v>
          </cell>
          <cell r="D422" t="str">
            <v>欧洲区</v>
          </cell>
          <cell r="E422" t="str">
            <v>FR 法国区</v>
          </cell>
          <cell r="F422" t="str">
            <v>南部战区</v>
          </cell>
          <cell r="G422" t="str">
            <v>尼斯-NCE</v>
          </cell>
          <cell r="H422" t="str">
            <v/>
          </cell>
          <cell r="I422" t="str">
            <v/>
          </cell>
          <cell r="J422" t="str">
            <v/>
          </cell>
          <cell r="K422" t="str">
            <v>尼斯-NCE</v>
          </cell>
          <cell r="L422" t="str">
            <v>Terminal  Specialist终端专员</v>
          </cell>
          <cell r="M422" t="str">
            <v>P1-1</v>
          </cell>
          <cell r="N422" t="str">
            <v/>
          </cell>
          <cell r="O422" t="str">
            <v>2025/06/16</v>
          </cell>
        </row>
        <row r="423">
          <cell r="C423" t="str">
            <v>GL500774</v>
          </cell>
          <cell r="D423" t="str">
            <v>美洲区</v>
          </cell>
          <cell r="E423" t="str">
            <v>NE 东北大区</v>
          </cell>
          <cell r="F423" t="str">
            <v>揽收部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>揽收组</v>
          </cell>
          <cell r="L423" t="str">
            <v>Pickup Support Specialist 揽收支持专员</v>
          </cell>
          <cell r="M423" t="str">
            <v>P1-1</v>
          </cell>
          <cell r="N423" t="str">
            <v/>
          </cell>
          <cell r="O423" t="str">
            <v>2025/06/09</v>
          </cell>
        </row>
        <row r="424">
          <cell r="C424" t="str">
            <v>GL500731</v>
          </cell>
          <cell r="D424" t="str">
            <v>美洲区</v>
          </cell>
          <cell r="E424" t="str">
            <v>FL 佛州大区</v>
          </cell>
          <cell r="F424" t="str">
            <v>SF 南佛片区</v>
          </cell>
          <cell r="G424" t="str">
            <v>MIA01</v>
          </cell>
          <cell r="H424" t="str">
            <v/>
          </cell>
          <cell r="I424" t="str">
            <v/>
          </cell>
          <cell r="J424" t="str">
            <v/>
          </cell>
          <cell r="K424" t="str">
            <v>MIA</v>
          </cell>
          <cell r="L424" t="str">
            <v>Station Operations Specialist 站点运营专员</v>
          </cell>
          <cell r="M424" t="str">
            <v>P1-2</v>
          </cell>
          <cell r="N424" t="str">
            <v/>
          </cell>
          <cell r="O424" t="str">
            <v>2025/06/16</v>
          </cell>
        </row>
        <row r="425">
          <cell r="C425" t="str">
            <v>GL500762</v>
          </cell>
          <cell r="D425" t="str">
            <v>欧洲区</v>
          </cell>
          <cell r="E425" t="str">
            <v>FR 法国区</v>
          </cell>
          <cell r="F425" t="str">
            <v>巴黎枢纽仓</v>
          </cell>
          <cell r="G425" t="str">
            <v>设备分拣组</v>
          </cell>
          <cell r="H425" t="str">
            <v/>
          </cell>
          <cell r="I425" t="str">
            <v/>
          </cell>
          <cell r="J425" t="str">
            <v/>
          </cell>
          <cell r="K425" t="str">
            <v>设备分拣组</v>
          </cell>
          <cell r="L425" t="str">
            <v>Warehouse Operator操作员</v>
          </cell>
          <cell r="M425" t="str">
            <v>P1-1</v>
          </cell>
          <cell r="N425" t="str">
            <v/>
          </cell>
          <cell r="O425" t="str">
            <v>2025/06/16</v>
          </cell>
        </row>
        <row r="426">
          <cell r="C426" t="str">
            <v>GL501373</v>
          </cell>
          <cell r="D426" t="str">
            <v>美洲区</v>
          </cell>
          <cell r="E426" t="str">
            <v>PR 波多黎各区</v>
          </cell>
          <cell r="F426" t="str">
            <v>SJU.H</v>
          </cell>
          <cell r="G426" t="str">
            <v>调度组</v>
          </cell>
          <cell r="H426" t="str">
            <v/>
          </cell>
          <cell r="I426" t="str">
            <v/>
          </cell>
          <cell r="J426" t="str">
            <v/>
          </cell>
          <cell r="K426" t="str">
            <v>调度组</v>
          </cell>
          <cell r="L426" t="str">
            <v>Dispatcher 调度员</v>
          </cell>
          <cell r="M426" t="str">
            <v>P1-1</v>
          </cell>
          <cell r="N426" t="str">
            <v/>
          </cell>
          <cell r="O426" t="str">
            <v>2025/08/26</v>
          </cell>
        </row>
        <row r="427">
          <cell r="C427" t="str">
            <v>GL501382</v>
          </cell>
          <cell r="D427" t="str">
            <v>美洲区</v>
          </cell>
          <cell r="E427" t="str">
            <v>WE 美西大区</v>
          </cell>
          <cell r="F427" t="str">
            <v>LAV.H</v>
          </cell>
          <cell r="G427" t="str">
            <v>合流合包组</v>
          </cell>
          <cell r="H427" t="str">
            <v/>
          </cell>
          <cell r="I427" t="str">
            <v/>
          </cell>
          <cell r="J427" t="str">
            <v/>
          </cell>
          <cell r="K427" t="str">
            <v>合流合包组</v>
          </cell>
          <cell r="L427" t="str">
            <v>Warehouse Operator 操作员</v>
          </cell>
          <cell r="M427" t="str">
            <v>P1-1</v>
          </cell>
          <cell r="N427" t="str">
            <v/>
          </cell>
          <cell r="O427" t="str">
            <v>2025/09/05</v>
          </cell>
        </row>
        <row r="428">
          <cell r="C428" t="str">
            <v>GL501749</v>
          </cell>
          <cell r="D428" t="str">
            <v>美洲区</v>
          </cell>
          <cell r="E428" t="str">
            <v>US人力资源部</v>
          </cell>
          <cell r="F428" t="str">
            <v>美洲HRBP组</v>
          </cell>
          <cell r="G428" t="str">
            <v>中南区HR组</v>
          </cell>
          <cell r="H428" t="str">
            <v/>
          </cell>
          <cell r="I428" t="str">
            <v/>
          </cell>
          <cell r="J428" t="str">
            <v/>
          </cell>
          <cell r="K428" t="str">
            <v>中南区HR组</v>
          </cell>
          <cell r="L428" t="str">
            <v>Junior Recruitment Specialist 初级招聘专员</v>
          </cell>
          <cell r="M428" t="str">
            <v>P1-2</v>
          </cell>
          <cell r="N428" t="str">
            <v/>
          </cell>
          <cell r="O428" t="str">
            <v>2025/11/12</v>
          </cell>
        </row>
        <row r="429">
          <cell r="C429" t="str">
            <v>GL500532</v>
          </cell>
          <cell r="D429" t="str">
            <v>欧洲区</v>
          </cell>
          <cell r="E429" t="str">
            <v>CS 客户服务部</v>
          </cell>
          <cell r="F429" t="str">
            <v>法国客户服务组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>法国在线呼叫组</v>
          </cell>
          <cell r="L429" t="str">
            <v>Junior CS Specialist 初级客服专员</v>
          </cell>
          <cell r="M429" t="str">
            <v>P1-2</v>
          </cell>
          <cell r="N429" t="str">
            <v/>
          </cell>
          <cell r="O429" t="str">
            <v>2025/05/15</v>
          </cell>
        </row>
        <row r="430">
          <cell r="C430" t="str">
            <v>GL500104</v>
          </cell>
          <cell r="D430" t="str">
            <v>美洲区</v>
          </cell>
          <cell r="E430" t="str">
            <v>US人力资源部</v>
          </cell>
          <cell r="F430" t="str">
            <v>美洲HRBP组</v>
          </cell>
          <cell r="G430" t="str">
            <v>综合HRBP组</v>
          </cell>
          <cell r="H430" t="str">
            <v/>
          </cell>
          <cell r="I430" t="str">
            <v/>
          </cell>
          <cell r="J430" t="str">
            <v/>
          </cell>
          <cell r="K430" t="str">
            <v>综合HRBP组</v>
          </cell>
          <cell r="L430" t="str">
            <v>HRBP Assistant HRBP助理</v>
          </cell>
          <cell r="M430" t="str">
            <v>P1-1</v>
          </cell>
          <cell r="N430" t="str">
            <v/>
          </cell>
          <cell r="O430" t="str">
            <v>2025/04/07</v>
          </cell>
        </row>
        <row r="431">
          <cell r="C431" t="str">
            <v>GL501630</v>
          </cell>
          <cell r="D431" t="str">
            <v>美洲区</v>
          </cell>
          <cell r="E431" t="str">
            <v>WE 美西大区</v>
          </cell>
          <cell r="F431" t="str">
            <v>CNO.H</v>
          </cell>
          <cell r="G431" t="str">
            <v>异常处理组</v>
          </cell>
          <cell r="H431" t="str">
            <v/>
          </cell>
          <cell r="I431" t="str">
            <v/>
          </cell>
          <cell r="J431" t="str">
            <v/>
          </cell>
          <cell r="K431" t="str">
            <v>退件组</v>
          </cell>
          <cell r="L431" t="str">
            <v>Returns Specialist 退件员</v>
          </cell>
          <cell r="M431" t="str">
            <v>P1-1</v>
          </cell>
          <cell r="N431" t="str">
            <v/>
          </cell>
          <cell r="O431" t="str">
            <v>2025/10/22</v>
          </cell>
        </row>
        <row r="432">
          <cell r="C432" t="str">
            <v>GL501758</v>
          </cell>
          <cell r="D432" t="str">
            <v>美洲区</v>
          </cell>
          <cell r="E432" t="str">
            <v>WE 美西大区</v>
          </cell>
          <cell r="F432" t="str">
            <v>SC 南加片区</v>
          </cell>
          <cell r="G432" t="str">
            <v>LAX01</v>
          </cell>
          <cell r="H432" t="str">
            <v/>
          </cell>
          <cell r="I432" t="str">
            <v/>
          </cell>
          <cell r="J432" t="str">
            <v/>
          </cell>
          <cell r="K432" t="str">
            <v>LAX.SAN</v>
          </cell>
          <cell r="L432" t="str">
            <v>Warehouse Operator 操作员</v>
          </cell>
          <cell r="M432" t="str">
            <v>P1-1</v>
          </cell>
          <cell r="N432" t="str">
            <v/>
          </cell>
          <cell r="O432" t="str">
            <v>2025/11/07</v>
          </cell>
        </row>
        <row r="433">
          <cell r="C433" t="str">
            <v>GL501343</v>
          </cell>
          <cell r="D433" t="str">
            <v>美洲区</v>
          </cell>
          <cell r="E433" t="str">
            <v>TX 德州大区</v>
          </cell>
          <cell r="F433" t="str">
            <v>揽收部</v>
          </cell>
          <cell r="G433" t="str">
            <v>揽收调度组</v>
          </cell>
          <cell r="H433" t="str">
            <v/>
          </cell>
          <cell r="I433" t="str">
            <v/>
          </cell>
          <cell r="J433" t="str">
            <v/>
          </cell>
          <cell r="K433" t="str">
            <v>揽收调度组</v>
          </cell>
          <cell r="L433" t="str">
            <v>Pickup Dispatcher 揽收调度员</v>
          </cell>
          <cell r="M433" t="str">
            <v>P1-2</v>
          </cell>
          <cell r="N433" t="str">
            <v/>
          </cell>
          <cell r="O433" t="str">
            <v>2025/09/08</v>
          </cell>
        </row>
        <row r="434">
          <cell r="C434" t="str">
            <v>GL500660</v>
          </cell>
          <cell r="D434" t="str">
            <v>欧洲区</v>
          </cell>
          <cell r="E434" t="str">
            <v>FR 法国区</v>
          </cell>
          <cell r="F434" t="str">
            <v>巴黎枢纽仓</v>
          </cell>
          <cell r="G434" t="str">
            <v>精益设备组</v>
          </cell>
          <cell r="H434" t="str">
            <v/>
          </cell>
          <cell r="I434" t="str">
            <v/>
          </cell>
          <cell r="J434" t="str">
            <v/>
          </cell>
          <cell r="K434" t="str">
            <v>精益设备组</v>
          </cell>
          <cell r="L434" t="str">
            <v>Lean Equipment Specialist精益设备专员</v>
          </cell>
          <cell r="M434" t="str">
            <v>P1-2</v>
          </cell>
          <cell r="N434" t="str">
            <v/>
          </cell>
          <cell r="O434" t="str">
            <v>2025/06/10</v>
          </cell>
        </row>
        <row r="435">
          <cell r="C435" t="str">
            <v>GL501124</v>
          </cell>
          <cell r="D435" t="str">
            <v>美洲区</v>
          </cell>
          <cell r="E435" t="str">
            <v>NE 东北大区</v>
          </cell>
          <cell r="F435" t="str">
            <v>NY 纽约片区</v>
          </cell>
          <cell r="G435" t="str">
            <v>BDL01</v>
          </cell>
          <cell r="H435" t="str">
            <v/>
          </cell>
          <cell r="I435" t="str">
            <v/>
          </cell>
          <cell r="J435" t="str">
            <v/>
          </cell>
          <cell r="K435" t="str">
            <v>BDL</v>
          </cell>
          <cell r="L435" t="str">
            <v>Station Operations Specialist 站点运营专员</v>
          </cell>
          <cell r="M435" t="str">
            <v>P1-1</v>
          </cell>
          <cell r="N435" t="str">
            <v/>
          </cell>
          <cell r="O435" t="str">
            <v>2025/08/20</v>
          </cell>
        </row>
        <row r="436">
          <cell r="C436" t="str">
            <v>GL500402</v>
          </cell>
          <cell r="D436" t="str">
            <v>欧洲区</v>
          </cell>
          <cell r="E436" t="str">
            <v>FR 法国区</v>
          </cell>
          <cell r="F436" t="str">
            <v>技术支持部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>技术支持部</v>
          </cell>
          <cell r="L436" t="str">
            <v>Project Specialist 项目专员</v>
          </cell>
          <cell r="M436" t="str">
            <v>P1-3</v>
          </cell>
          <cell r="N436" t="str">
            <v/>
          </cell>
          <cell r="O436" t="str">
            <v>2024/10/10</v>
          </cell>
        </row>
        <row r="437">
          <cell r="C437" t="str">
            <v>GL500062</v>
          </cell>
          <cell r="D437" t="str">
            <v>美洲区</v>
          </cell>
          <cell r="E437" t="str">
            <v>FL 佛州大区</v>
          </cell>
          <cell r="F437" t="str">
            <v>MIA.H</v>
          </cell>
          <cell r="G437" t="str">
            <v>分拣组</v>
          </cell>
          <cell r="H437" t="str">
            <v/>
          </cell>
          <cell r="I437" t="str">
            <v/>
          </cell>
          <cell r="J437" t="str">
            <v/>
          </cell>
          <cell r="K437" t="str">
            <v>分拣组</v>
          </cell>
          <cell r="L437" t="str">
            <v>Sorting Lead 分拣组长</v>
          </cell>
          <cell r="M437" t="str">
            <v>P2-2</v>
          </cell>
          <cell r="N437" t="str">
            <v/>
          </cell>
          <cell r="O437" t="str">
            <v>2025/04/22</v>
          </cell>
        </row>
        <row r="438">
          <cell r="C438" t="str">
            <v>GL501491</v>
          </cell>
          <cell r="D438" t="str">
            <v>美洲区</v>
          </cell>
          <cell r="E438" t="str">
            <v>MS 中南大区</v>
          </cell>
          <cell r="F438" t="str">
            <v>揽收部</v>
          </cell>
          <cell r="G438" t="str">
            <v>揽收调度组</v>
          </cell>
          <cell r="H438" t="str">
            <v/>
          </cell>
          <cell r="I438" t="str">
            <v/>
          </cell>
          <cell r="J438" t="str">
            <v/>
          </cell>
          <cell r="K438" t="str">
            <v>揽收调度组</v>
          </cell>
          <cell r="L438" t="str">
            <v>Pickup Dispatcher 揽收调度员</v>
          </cell>
          <cell r="M438" t="str">
            <v>P1-2</v>
          </cell>
          <cell r="N438" t="str">
            <v/>
          </cell>
          <cell r="O438" t="str">
            <v>2025/09/24</v>
          </cell>
        </row>
        <row r="439">
          <cell r="C439" t="str">
            <v>GL501849</v>
          </cell>
          <cell r="D439" t="str">
            <v>美洲区</v>
          </cell>
          <cell r="E439" t="str">
            <v>WE 美西大区</v>
          </cell>
          <cell r="F439" t="str">
            <v>DS 丹佛·盐湖城片区</v>
          </cell>
          <cell r="G439" t="str">
            <v>DEN.H</v>
          </cell>
          <cell r="H439" t="str">
            <v>分拣组</v>
          </cell>
          <cell r="I439" t="str">
            <v/>
          </cell>
          <cell r="J439" t="str">
            <v/>
          </cell>
          <cell r="K439" t="str">
            <v>分拣组</v>
          </cell>
          <cell r="L439" t="str">
            <v>Sorter 分拣员</v>
          </cell>
          <cell r="M439" t="str">
            <v>P1-2</v>
          </cell>
          <cell r="N439" t="str">
            <v/>
          </cell>
          <cell r="O439" t="str">
            <v>2025/11/21</v>
          </cell>
        </row>
        <row r="440">
          <cell r="C440" t="str">
            <v>GL501673</v>
          </cell>
          <cell r="D440" t="str">
            <v>美洲区</v>
          </cell>
          <cell r="E440" t="str">
            <v>NE 东北大区</v>
          </cell>
          <cell r="F440" t="str">
            <v>NY 纽约片区</v>
          </cell>
          <cell r="G440" t="str">
            <v>JFK01</v>
          </cell>
          <cell r="H440" t="str">
            <v/>
          </cell>
          <cell r="I440" t="str">
            <v/>
          </cell>
          <cell r="J440" t="str">
            <v/>
          </cell>
          <cell r="K440" t="str">
            <v>JFK</v>
          </cell>
          <cell r="L440" t="str">
            <v>Station Operations Specialist 站点运营专员</v>
          </cell>
          <cell r="M440" t="str">
            <v>P1-1</v>
          </cell>
          <cell r="N440" t="str">
            <v/>
          </cell>
          <cell r="O440" t="str">
            <v>2025/10/27</v>
          </cell>
        </row>
        <row r="441">
          <cell r="C441" t="str">
            <v>GL500396</v>
          </cell>
          <cell r="D441" t="str">
            <v>欧洲区</v>
          </cell>
          <cell r="E441" t="str">
            <v>NL 荷兰区</v>
          </cell>
          <cell r="F441" t="str">
            <v>行政采购部</v>
          </cell>
          <cell r="G441" t="str">
            <v>采购组</v>
          </cell>
          <cell r="H441" t="str">
            <v/>
          </cell>
          <cell r="I441" t="str">
            <v/>
          </cell>
          <cell r="J441" t="str">
            <v/>
          </cell>
          <cell r="K441" t="str">
            <v>采购组</v>
          </cell>
          <cell r="L441" t="str">
            <v>Purchasing Specialist 采购专员</v>
          </cell>
          <cell r="M441" t="str">
            <v>P1-2</v>
          </cell>
          <cell r="N441" t="str">
            <v/>
          </cell>
          <cell r="O441" t="str">
            <v>2024/09/25</v>
          </cell>
        </row>
        <row r="442">
          <cell r="C442" t="str">
            <v>GL500864</v>
          </cell>
          <cell r="D442" t="str">
            <v>美洲区</v>
          </cell>
          <cell r="E442" t="str">
            <v>NE 东北大区</v>
          </cell>
          <cell r="F442" t="str">
            <v>车辆管理部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>车辆管理组</v>
          </cell>
          <cell r="L442" t="str">
            <v>Fleet Support Lead 车辆管理组组长</v>
          </cell>
          <cell r="M442" t="str">
            <v>P2-3</v>
          </cell>
          <cell r="N442" t="str">
            <v/>
          </cell>
          <cell r="O442" t="str">
            <v>2025/06/30</v>
          </cell>
        </row>
        <row r="443">
          <cell r="C443" t="str">
            <v>GL501574</v>
          </cell>
          <cell r="D443" t="str">
            <v>美洲区</v>
          </cell>
          <cell r="E443" t="str">
            <v>MS 中南大区</v>
          </cell>
          <cell r="F443" t="str">
            <v>AS 亚特兰大和南阿拉巴马片区</v>
          </cell>
          <cell r="G443" t="str">
            <v>ATL01</v>
          </cell>
          <cell r="H443" t="str">
            <v/>
          </cell>
          <cell r="I443" t="str">
            <v/>
          </cell>
          <cell r="J443" t="str">
            <v/>
          </cell>
          <cell r="K443" t="str">
            <v>ATL</v>
          </cell>
          <cell r="L443" t="str">
            <v>Station Operations Specialist 站点运营专员</v>
          </cell>
          <cell r="M443" t="str">
            <v>P1-2</v>
          </cell>
          <cell r="N443" t="str">
            <v/>
          </cell>
          <cell r="O443" t="str">
            <v>2025/10/27</v>
          </cell>
        </row>
        <row r="444">
          <cell r="C444" t="str">
            <v>GL500561</v>
          </cell>
          <cell r="D444" t="str">
            <v>美洲区</v>
          </cell>
          <cell r="E444" t="str">
            <v>Ground项目部</v>
          </cell>
          <cell r="F444" t="str">
            <v>OG 美东区</v>
          </cell>
          <cell r="G444" t="str">
            <v>MR088</v>
          </cell>
          <cell r="H444" t="str">
            <v/>
          </cell>
          <cell r="I444" t="str">
            <v/>
          </cell>
          <cell r="J444" t="str">
            <v/>
          </cell>
          <cell r="K444" t="str">
            <v>MR088</v>
          </cell>
          <cell r="L444" t="str">
            <v>Delivery Driver 司机</v>
          </cell>
          <cell r="M444" t="str">
            <v>P1-1</v>
          </cell>
          <cell r="N444" t="str">
            <v/>
          </cell>
          <cell r="O444" t="str">
            <v>2025/04/17</v>
          </cell>
        </row>
        <row r="445">
          <cell r="C445" t="str">
            <v>GL500571</v>
          </cell>
          <cell r="D445" t="str">
            <v>美洲区</v>
          </cell>
          <cell r="E445" t="str">
            <v>Ground项目部</v>
          </cell>
          <cell r="F445" t="str">
            <v>OG 美东区</v>
          </cell>
          <cell r="G445" t="str">
            <v>CB080</v>
          </cell>
          <cell r="H445" t="str">
            <v/>
          </cell>
          <cell r="I445" t="str">
            <v/>
          </cell>
          <cell r="J445" t="str">
            <v/>
          </cell>
          <cell r="K445" t="str">
            <v>CB080</v>
          </cell>
          <cell r="L445" t="str">
            <v>Delivery Driver 司机</v>
          </cell>
          <cell r="M445" t="str">
            <v>P1-1</v>
          </cell>
          <cell r="N445" t="str">
            <v/>
          </cell>
          <cell r="O445" t="str">
            <v>2025/03/18</v>
          </cell>
        </row>
        <row r="446">
          <cell r="C446" t="str">
            <v>GL500312</v>
          </cell>
          <cell r="D446" t="str">
            <v>美洲区</v>
          </cell>
          <cell r="E446" t="str">
            <v>CS 客户服务部</v>
          </cell>
          <cell r="F446" t="str">
            <v>消费者客服组</v>
          </cell>
          <cell r="G446" t="str">
            <v>海外客服组</v>
          </cell>
          <cell r="H446" t="str">
            <v/>
          </cell>
          <cell r="I446" t="str">
            <v/>
          </cell>
          <cell r="J446" t="str">
            <v/>
          </cell>
          <cell r="K446" t="str">
            <v>海外客服组</v>
          </cell>
          <cell r="L446" t="str">
            <v>WhatsApp CS Assistant WhatsApp客服助理</v>
          </cell>
          <cell r="M446" t="str">
            <v>P1-1</v>
          </cell>
          <cell r="N446" t="str">
            <v/>
          </cell>
          <cell r="O446" t="str">
            <v>2024/12/23</v>
          </cell>
        </row>
        <row r="447">
          <cell r="C447" t="str">
            <v>GL500552</v>
          </cell>
          <cell r="D447" t="str">
            <v>美洲区</v>
          </cell>
          <cell r="E447" t="str">
            <v>Ground项目部</v>
          </cell>
          <cell r="F447" t="str">
            <v>OG 美东区</v>
          </cell>
          <cell r="G447" t="str">
            <v>MR088</v>
          </cell>
          <cell r="H447" t="str">
            <v/>
          </cell>
          <cell r="I447" t="str">
            <v/>
          </cell>
          <cell r="J447" t="str">
            <v/>
          </cell>
          <cell r="K447" t="str">
            <v>MR088</v>
          </cell>
          <cell r="L447" t="str">
            <v>Delivery Driver 司机</v>
          </cell>
          <cell r="M447" t="str">
            <v>P1-1</v>
          </cell>
          <cell r="N447" t="str">
            <v/>
          </cell>
          <cell r="O447" t="str">
            <v>2025/05/05</v>
          </cell>
        </row>
        <row r="448">
          <cell r="C448" t="str">
            <v>GL500559</v>
          </cell>
          <cell r="D448" t="str">
            <v>美洲区</v>
          </cell>
          <cell r="E448" t="str">
            <v>Ground项目部</v>
          </cell>
          <cell r="F448" t="str">
            <v>OG 美东区</v>
          </cell>
          <cell r="G448" t="str">
            <v>MR088</v>
          </cell>
          <cell r="H448" t="str">
            <v/>
          </cell>
          <cell r="I448" t="str">
            <v/>
          </cell>
          <cell r="J448" t="str">
            <v/>
          </cell>
          <cell r="K448" t="str">
            <v>MR088</v>
          </cell>
          <cell r="L448" t="str">
            <v>Delivery Driver 司机</v>
          </cell>
          <cell r="M448" t="str">
            <v>P1-1</v>
          </cell>
          <cell r="N448" t="str">
            <v/>
          </cell>
          <cell r="O448" t="str">
            <v>2025/04/18</v>
          </cell>
        </row>
        <row r="449">
          <cell r="C449" t="str">
            <v>GL501743</v>
          </cell>
          <cell r="D449" t="str">
            <v>欧洲区</v>
          </cell>
          <cell r="E449" t="str">
            <v>NL 荷兰区</v>
          </cell>
          <cell r="F449" t="str">
            <v>阿姆枢纽仓</v>
          </cell>
          <cell r="G449" t="str">
            <v>分拣出库组</v>
          </cell>
          <cell r="H449" t="str">
            <v>出库交运组</v>
          </cell>
          <cell r="I449" t="str">
            <v/>
          </cell>
          <cell r="J449" t="str">
            <v/>
          </cell>
          <cell r="K449" t="str">
            <v>出库交运组</v>
          </cell>
          <cell r="L449" t="str">
            <v>Warehouse Operator 操作员</v>
          </cell>
          <cell r="M449" t="str">
            <v>P1-1</v>
          </cell>
          <cell r="N449" t="str">
            <v/>
          </cell>
          <cell r="O449" t="str">
            <v>2025/11/10</v>
          </cell>
        </row>
        <row r="450">
          <cell r="C450" t="str">
            <v>GL501584</v>
          </cell>
          <cell r="D450" t="str">
            <v>欧洲区</v>
          </cell>
          <cell r="E450" t="str">
            <v>NL 荷兰区</v>
          </cell>
          <cell r="F450" t="str">
            <v>终端管理部</v>
          </cell>
          <cell r="G450" t="str">
            <v>终端规划组</v>
          </cell>
          <cell r="H450" t="str">
            <v/>
          </cell>
          <cell r="I450" t="str">
            <v/>
          </cell>
          <cell r="J450" t="str">
            <v/>
          </cell>
          <cell r="K450" t="str">
            <v>终端规划组</v>
          </cell>
          <cell r="L450" t="str">
            <v>Terminal  Specialist终端专员</v>
          </cell>
          <cell r="M450" t="str">
            <v>P1-2</v>
          </cell>
          <cell r="N450" t="str">
            <v/>
          </cell>
          <cell r="O450" t="str">
            <v>2025/11/03</v>
          </cell>
        </row>
        <row r="451">
          <cell r="C451" t="str">
            <v>GL501392</v>
          </cell>
          <cell r="D451" t="str">
            <v>美洲区</v>
          </cell>
          <cell r="E451" t="str">
            <v>US人力资源部</v>
          </cell>
          <cell r="F451" t="str">
            <v>美洲HRBP组</v>
          </cell>
          <cell r="G451" t="str">
            <v>东北区HR组</v>
          </cell>
          <cell r="H451" t="str">
            <v/>
          </cell>
          <cell r="I451" t="str">
            <v/>
          </cell>
          <cell r="J451" t="str">
            <v/>
          </cell>
          <cell r="K451" t="str">
            <v>东北区HR组</v>
          </cell>
          <cell r="L451" t="str">
            <v>Recruitment Assistant 招聘助理</v>
          </cell>
          <cell r="M451" t="str">
            <v>P1-1</v>
          </cell>
          <cell r="N451" t="str">
            <v/>
          </cell>
          <cell r="O451" t="str">
            <v>2025/09/10</v>
          </cell>
        </row>
        <row r="452">
          <cell r="C452" t="str">
            <v>GL500572</v>
          </cell>
          <cell r="D452" t="str">
            <v>美洲区</v>
          </cell>
          <cell r="E452" t="str">
            <v>Ground项目部</v>
          </cell>
          <cell r="F452" t="str">
            <v>OG 美东区</v>
          </cell>
          <cell r="G452" t="str">
            <v>CB080</v>
          </cell>
          <cell r="H452" t="str">
            <v/>
          </cell>
          <cell r="I452" t="str">
            <v/>
          </cell>
          <cell r="J452" t="str">
            <v/>
          </cell>
          <cell r="K452" t="str">
            <v>CB080</v>
          </cell>
          <cell r="L452" t="str">
            <v>Delivery Driver 司机</v>
          </cell>
          <cell r="M452" t="str">
            <v>P1-1</v>
          </cell>
          <cell r="N452" t="str">
            <v/>
          </cell>
          <cell r="O452" t="str">
            <v>2025/03/18</v>
          </cell>
        </row>
        <row r="453">
          <cell r="C453" t="str">
            <v>GL501870</v>
          </cell>
          <cell r="D453" t="str">
            <v>欧洲区</v>
          </cell>
          <cell r="E453" t="str">
            <v>NL 荷兰区</v>
          </cell>
          <cell r="F453" t="str">
            <v>南部战区</v>
          </cell>
          <cell r="G453" t="str">
            <v>鹿特丹站-RTD</v>
          </cell>
          <cell r="H453" t="str">
            <v>分拣二组</v>
          </cell>
          <cell r="I453" t="str">
            <v/>
          </cell>
          <cell r="J453" t="str">
            <v/>
          </cell>
          <cell r="K453" t="str">
            <v>分拣二组</v>
          </cell>
          <cell r="L453" t="str">
            <v>Warehouse Operator 操作员</v>
          </cell>
          <cell r="M453" t="str">
            <v>P1-1</v>
          </cell>
          <cell r="N453" t="str">
            <v/>
          </cell>
          <cell r="O453" t="str">
            <v>2025/12/01</v>
          </cell>
        </row>
        <row r="454">
          <cell r="C454" t="str">
            <v>GL500653</v>
          </cell>
          <cell r="D454" t="str">
            <v>欧洲区</v>
          </cell>
          <cell r="E454" t="str">
            <v>FR 法国区</v>
          </cell>
          <cell r="F454" t="str">
            <v>操作管理部</v>
          </cell>
          <cell r="G454" t="str">
            <v>数据分析组</v>
          </cell>
          <cell r="H454" t="str">
            <v/>
          </cell>
          <cell r="I454" t="str">
            <v/>
          </cell>
          <cell r="J454" t="str">
            <v/>
          </cell>
          <cell r="K454" t="str">
            <v>数据分析组</v>
          </cell>
          <cell r="L454" t="str">
            <v>Data Analyst Specialist 数据分析专员</v>
          </cell>
          <cell r="M454" t="str">
            <v>P1-1</v>
          </cell>
          <cell r="N454" t="str">
            <v/>
          </cell>
          <cell r="O454" t="str">
            <v>2025/06/02</v>
          </cell>
        </row>
        <row r="455">
          <cell r="C455" t="str">
            <v>GL500655</v>
          </cell>
          <cell r="D455" t="str">
            <v>欧洲区</v>
          </cell>
          <cell r="E455" t="str">
            <v>FR 法国区</v>
          </cell>
          <cell r="F455" t="str">
            <v>操作管理部</v>
          </cell>
          <cell r="G455" t="str">
            <v>数据分析组</v>
          </cell>
          <cell r="H455" t="str">
            <v/>
          </cell>
          <cell r="I455" t="str">
            <v/>
          </cell>
          <cell r="J455" t="str">
            <v/>
          </cell>
          <cell r="K455" t="str">
            <v>数据分析组</v>
          </cell>
          <cell r="L455" t="str">
            <v>Data Analyst Specialist 数据分析专员</v>
          </cell>
          <cell r="M455" t="str">
            <v>P1-1</v>
          </cell>
          <cell r="N455" t="str">
            <v/>
          </cell>
          <cell r="O455" t="str">
            <v>2025/06/02</v>
          </cell>
        </row>
        <row r="456">
          <cell r="C456" t="str">
            <v>GL501641</v>
          </cell>
          <cell r="D456" t="str">
            <v>FES财经条线</v>
          </cell>
          <cell r="E456" t="str">
            <v>LD 法务部</v>
          </cell>
          <cell r="F456" t="str">
            <v>美洲法务组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>美洲法务组</v>
          </cell>
          <cell r="L456" t="str">
            <v>Legal Associate</v>
          </cell>
          <cell r="M456" t="str">
            <v>P2-2</v>
          </cell>
          <cell r="N456" t="str">
            <v/>
          </cell>
          <cell r="O456" t="str">
            <v>2025/10/18</v>
          </cell>
        </row>
        <row r="457">
          <cell r="C457" t="str">
            <v>GL501036</v>
          </cell>
          <cell r="D457" t="str">
            <v>美洲区</v>
          </cell>
          <cell r="E457" t="str">
            <v>Ground项目部</v>
          </cell>
          <cell r="F457" t="str">
            <v>OG 美西区</v>
          </cell>
          <cell r="G457" t="str">
            <v>CNO.G</v>
          </cell>
          <cell r="H457" t="str">
            <v/>
          </cell>
          <cell r="I457" t="str">
            <v/>
          </cell>
          <cell r="J457" t="str">
            <v/>
          </cell>
          <cell r="K457" t="str">
            <v>CNO.G</v>
          </cell>
          <cell r="L457" t="str">
            <v>Dispatcher 调度员</v>
          </cell>
          <cell r="M457" t="str">
            <v>P1-2</v>
          </cell>
          <cell r="N457" t="str">
            <v/>
          </cell>
          <cell r="O457" t="str">
            <v>2025/07/03</v>
          </cell>
        </row>
        <row r="458">
          <cell r="C458" t="str">
            <v>GL500432</v>
          </cell>
          <cell r="D458" t="str">
            <v>欧洲区</v>
          </cell>
          <cell r="E458" t="str">
            <v>FR 法国区</v>
          </cell>
          <cell r="F458" t="str">
            <v>巴黎枢纽仓</v>
          </cell>
          <cell r="G458" t="str">
            <v>异常退件组</v>
          </cell>
          <cell r="H458" t="str">
            <v/>
          </cell>
          <cell r="I458" t="str">
            <v/>
          </cell>
          <cell r="J458" t="str">
            <v/>
          </cell>
          <cell r="K458" t="str">
            <v>异常退件组</v>
          </cell>
          <cell r="L458" t="str">
            <v>Warehouse Operator操作员</v>
          </cell>
          <cell r="M458" t="str">
            <v>P1-1</v>
          </cell>
          <cell r="N458" t="str">
            <v/>
          </cell>
          <cell r="O458" t="str">
            <v>2024/08/13</v>
          </cell>
        </row>
        <row r="459">
          <cell r="C459" t="str">
            <v>GL500425</v>
          </cell>
          <cell r="D459" t="str">
            <v>欧洲区</v>
          </cell>
          <cell r="E459" t="str">
            <v>FR 法国区</v>
          </cell>
          <cell r="F459" t="str">
            <v>巴黎战区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>巴黎战区</v>
          </cell>
          <cell r="L459" t="str">
            <v>Terminal Specialist终端专员</v>
          </cell>
          <cell r="M459" t="str">
            <v>P1-2</v>
          </cell>
          <cell r="N459" t="str">
            <v/>
          </cell>
          <cell r="O459" t="str">
            <v>2024/09/09</v>
          </cell>
        </row>
        <row r="460">
          <cell r="C460" t="str">
            <v>GL501545</v>
          </cell>
          <cell r="D460" t="str">
            <v>美洲区</v>
          </cell>
          <cell r="E460" t="str">
            <v>WE 美西大区</v>
          </cell>
          <cell r="F460" t="str">
            <v>CNO.H</v>
          </cell>
          <cell r="G460" t="str">
            <v>操作组</v>
          </cell>
          <cell r="H460" t="str">
            <v/>
          </cell>
          <cell r="I460" t="str">
            <v/>
          </cell>
          <cell r="J460" t="str">
            <v/>
          </cell>
          <cell r="K460" t="str">
            <v>操作组</v>
          </cell>
          <cell r="L460" t="str">
            <v>Warehouse Operator 操作员</v>
          </cell>
          <cell r="M460" t="str">
            <v>P1-1</v>
          </cell>
          <cell r="N460" t="str">
            <v/>
          </cell>
          <cell r="O460" t="str">
            <v>2025/09/24</v>
          </cell>
        </row>
        <row r="461">
          <cell r="C461" t="str">
            <v>GL500903</v>
          </cell>
          <cell r="D461" t="str">
            <v>美洲区</v>
          </cell>
          <cell r="E461" t="str">
            <v>NE 东北大区</v>
          </cell>
          <cell r="F461" t="str">
            <v>EWR.H</v>
          </cell>
          <cell r="G461" t="str">
            <v>调度组</v>
          </cell>
          <cell r="H461" t="str">
            <v/>
          </cell>
          <cell r="I461" t="str">
            <v/>
          </cell>
          <cell r="J461" t="str">
            <v/>
          </cell>
          <cell r="K461" t="str">
            <v>调度组</v>
          </cell>
          <cell r="L461" t="str">
            <v>Dispatcher 调度员</v>
          </cell>
          <cell r="M461" t="str">
            <v>P1-2</v>
          </cell>
          <cell r="N461" t="str">
            <v/>
          </cell>
          <cell r="O461" t="str">
            <v>2025/07/08</v>
          </cell>
        </row>
        <row r="462">
          <cell r="C462" t="str">
            <v>GL500625</v>
          </cell>
          <cell r="D462" t="str">
            <v>欧洲区</v>
          </cell>
          <cell r="E462" t="str">
            <v>FR 法国区</v>
          </cell>
          <cell r="F462" t="str">
            <v>巴黎枢纽仓</v>
          </cell>
          <cell r="G462" t="str">
            <v>精益设备组</v>
          </cell>
          <cell r="H462" t="str">
            <v/>
          </cell>
          <cell r="I462" t="str">
            <v/>
          </cell>
          <cell r="J462" t="str">
            <v/>
          </cell>
          <cell r="K462" t="str">
            <v>精益设备组</v>
          </cell>
          <cell r="L462" t="str">
            <v>Lean Equipment Specialist精益设备专员</v>
          </cell>
          <cell r="M462" t="str">
            <v>P1-1</v>
          </cell>
          <cell r="N462" t="str">
            <v/>
          </cell>
          <cell r="O462" t="str">
            <v>2025/05/26</v>
          </cell>
        </row>
        <row r="463">
          <cell r="C463" t="str">
            <v>GL501855</v>
          </cell>
          <cell r="D463" t="str">
            <v>美洲区</v>
          </cell>
          <cell r="E463" t="str">
            <v>NE 东北大区</v>
          </cell>
          <cell r="F463" t="str">
            <v>EWR.H</v>
          </cell>
          <cell r="G463" t="str">
            <v>调度组</v>
          </cell>
          <cell r="H463" t="str">
            <v/>
          </cell>
          <cell r="I463" t="str">
            <v/>
          </cell>
          <cell r="J463" t="str">
            <v/>
          </cell>
          <cell r="K463" t="str">
            <v>调度组</v>
          </cell>
          <cell r="L463" t="str">
            <v>Dispatcher 调度员</v>
          </cell>
          <cell r="M463" t="str">
            <v>P1-1</v>
          </cell>
          <cell r="N463" t="str">
            <v/>
          </cell>
          <cell r="O463" t="str">
            <v>2025/11/25</v>
          </cell>
        </row>
        <row r="464">
          <cell r="C464" t="str">
            <v>GL500819</v>
          </cell>
          <cell r="D464" t="str">
            <v>美洲区</v>
          </cell>
          <cell r="E464" t="str">
            <v>NE 东北大区</v>
          </cell>
          <cell r="F464" t="str">
            <v>EWR.H</v>
          </cell>
          <cell r="G464" t="str">
            <v>调度组</v>
          </cell>
          <cell r="H464" t="str">
            <v/>
          </cell>
          <cell r="I464" t="str">
            <v/>
          </cell>
          <cell r="J464" t="str">
            <v/>
          </cell>
          <cell r="K464" t="str">
            <v>调度组</v>
          </cell>
          <cell r="L464" t="str">
            <v>Dispatcher 调度员</v>
          </cell>
          <cell r="M464" t="str">
            <v>P1-1</v>
          </cell>
          <cell r="N464" t="str">
            <v/>
          </cell>
          <cell r="O464" t="str">
            <v>2025/06/23</v>
          </cell>
        </row>
        <row r="465">
          <cell r="C465" t="str">
            <v>GL501520</v>
          </cell>
          <cell r="D465" t="str">
            <v>美洲区</v>
          </cell>
          <cell r="E465" t="str">
            <v>NE 东北大区</v>
          </cell>
          <cell r="F465" t="str">
            <v>EWR.H</v>
          </cell>
          <cell r="G465" t="str">
            <v>装卸组</v>
          </cell>
          <cell r="H465" t="str">
            <v/>
          </cell>
          <cell r="I465" t="str">
            <v/>
          </cell>
          <cell r="J465" t="str">
            <v/>
          </cell>
          <cell r="K465" t="str">
            <v>装卸组</v>
          </cell>
          <cell r="L465" t="str">
            <v>Warehouse Operator 操作员</v>
          </cell>
          <cell r="M465" t="str">
            <v>P1-2</v>
          </cell>
          <cell r="N465" t="str">
            <v/>
          </cell>
          <cell r="O465" t="str">
            <v>2025/10/01</v>
          </cell>
        </row>
        <row r="466">
          <cell r="C466" t="str">
            <v>GL501542</v>
          </cell>
          <cell r="D466" t="str">
            <v>美洲区</v>
          </cell>
          <cell r="E466" t="str">
            <v>NE 东北大区</v>
          </cell>
          <cell r="F466" t="str">
            <v>EWR.H</v>
          </cell>
          <cell r="G466" t="str">
            <v>装卸组</v>
          </cell>
          <cell r="H466" t="str">
            <v/>
          </cell>
          <cell r="I466" t="str">
            <v/>
          </cell>
          <cell r="J466" t="str">
            <v/>
          </cell>
          <cell r="K466" t="str">
            <v>装卸组</v>
          </cell>
          <cell r="L466" t="str">
            <v>Warehouse Operator 操作员</v>
          </cell>
          <cell r="M466" t="str">
            <v>P1-2</v>
          </cell>
          <cell r="N466" t="str">
            <v/>
          </cell>
          <cell r="O466" t="str">
            <v>2025/09/30</v>
          </cell>
        </row>
        <row r="467">
          <cell r="C467" t="str">
            <v>GL501682</v>
          </cell>
          <cell r="D467" t="str">
            <v>美洲区</v>
          </cell>
          <cell r="E467" t="str">
            <v>FL 佛州大区</v>
          </cell>
          <cell r="F467" t="str">
            <v>MIA.H</v>
          </cell>
          <cell r="G467" t="str">
            <v>调度组</v>
          </cell>
          <cell r="H467" t="str">
            <v/>
          </cell>
          <cell r="I467" t="str">
            <v/>
          </cell>
          <cell r="J467" t="str">
            <v/>
          </cell>
          <cell r="K467" t="str">
            <v>调度组</v>
          </cell>
          <cell r="L467" t="str">
            <v>Dispatcher 调度员</v>
          </cell>
          <cell r="M467" t="str">
            <v>P1-2</v>
          </cell>
          <cell r="N467" t="str">
            <v/>
          </cell>
          <cell r="O467" t="str">
            <v>2025/10/28</v>
          </cell>
        </row>
        <row r="468">
          <cell r="C468" t="str">
            <v>GL501256</v>
          </cell>
          <cell r="D468" t="str">
            <v>欧洲区</v>
          </cell>
          <cell r="E468" t="str">
            <v>FR 法国区</v>
          </cell>
          <cell r="F468" t="str">
            <v>东部战区</v>
          </cell>
          <cell r="G468" t="str">
            <v>里尔-LIL</v>
          </cell>
          <cell r="H468" t="str">
            <v/>
          </cell>
          <cell r="I468" t="str">
            <v/>
          </cell>
          <cell r="J468" t="str">
            <v/>
          </cell>
          <cell r="K468" t="str">
            <v>里尔-LIL</v>
          </cell>
          <cell r="L468" t="str">
            <v>Warehouse Operator操作员</v>
          </cell>
          <cell r="M468" t="str">
            <v>P1-1</v>
          </cell>
          <cell r="N468" t="str">
            <v/>
          </cell>
          <cell r="O468" t="str">
            <v>2025/08/14</v>
          </cell>
        </row>
        <row r="469">
          <cell r="C469" t="str">
            <v>GL501848</v>
          </cell>
          <cell r="D469" t="str">
            <v>欧洲区</v>
          </cell>
          <cell r="E469" t="str">
            <v>FR 法国区</v>
          </cell>
          <cell r="F469" t="str">
            <v>巴黎枢纽仓</v>
          </cell>
          <cell r="G469" t="str">
            <v>干线出库组</v>
          </cell>
          <cell r="H469" t="str">
            <v/>
          </cell>
          <cell r="I469" t="str">
            <v/>
          </cell>
          <cell r="J469" t="str">
            <v/>
          </cell>
          <cell r="K469" t="str">
            <v>干线出库组</v>
          </cell>
          <cell r="L469" t="str">
            <v>Warehouse Operator操作员</v>
          </cell>
          <cell r="M469" t="str">
            <v>P1-2</v>
          </cell>
          <cell r="N469" t="str">
            <v/>
          </cell>
          <cell r="O469" t="str">
            <v>2025/11/10</v>
          </cell>
        </row>
        <row r="470">
          <cell r="C470" t="str">
            <v>GL501030</v>
          </cell>
          <cell r="D470" t="str">
            <v>美洲区</v>
          </cell>
          <cell r="E470" t="str">
            <v>Ground项目部</v>
          </cell>
          <cell r="F470" t="str">
            <v>OG 美西区</v>
          </cell>
          <cell r="G470" t="str">
            <v>CNO.G</v>
          </cell>
          <cell r="H470" t="str">
            <v/>
          </cell>
          <cell r="I470" t="str">
            <v/>
          </cell>
          <cell r="J470" t="str">
            <v/>
          </cell>
          <cell r="K470" t="str">
            <v>CNO.G</v>
          </cell>
          <cell r="L470" t="str">
            <v>Sorting Lead 分拣组长</v>
          </cell>
          <cell r="M470" t="str">
            <v>M2-1</v>
          </cell>
          <cell r="N470" t="str">
            <v/>
          </cell>
          <cell r="O470" t="str">
            <v>2025/07/21</v>
          </cell>
        </row>
        <row r="471">
          <cell r="C471" t="str">
            <v>GL501823</v>
          </cell>
          <cell r="D471" t="str">
            <v>美洲区</v>
          </cell>
          <cell r="E471" t="str">
            <v>Ground项目部</v>
          </cell>
          <cell r="F471" t="str">
            <v>OG 美西区</v>
          </cell>
          <cell r="G471" t="str">
            <v>LA917</v>
          </cell>
          <cell r="H471" t="str">
            <v/>
          </cell>
          <cell r="I471" t="str">
            <v/>
          </cell>
          <cell r="J471" t="str">
            <v/>
          </cell>
          <cell r="K471" t="str">
            <v>LA917</v>
          </cell>
          <cell r="L471" t="str">
            <v>Warehouse Operator 操作员</v>
          </cell>
          <cell r="M471" t="str">
            <v>P1-2</v>
          </cell>
          <cell r="N471" t="str">
            <v/>
          </cell>
          <cell r="O471" t="str">
            <v>2025/11/19</v>
          </cell>
        </row>
        <row r="472">
          <cell r="C472" t="str">
            <v>GL500563</v>
          </cell>
          <cell r="D472" t="str">
            <v>美洲区</v>
          </cell>
          <cell r="E472" t="str">
            <v>Ground项目部</v>
          </cell>
          <cell r="F472" t="str">
            <v>OG 美东区</v>
          </cell>
          <cell r="G472" t="str">
            <v>CB080</v>
          </cell>
          <cell r="H472" t="str">
            <v/>
          </cell>
          <cell r="I472" t="str">
            <v/>
          </cell>
          <cell r="J472" t="str">
            <v/>
          </cell>
          <cell r="K472" t="str">
            <v>CB080</v>
          </cell>
          <cell r="L472" t="str">
            <v>Delivery Driver 司机</v>
          </cell>
          <cell r="M472" t="str">
            <v>P1-1</v>
          </cell>
          <cell r="N472" t="str">
            <v/>
          </cell>
          <cell r="O472" t="str">
            <v>2025/04/07</v>
          </cell>
        </row>
        <row r="473">
          <cell r="C473" t="str">
            <v>GL501624</v>
          </cell>
          <cell r="D473" t="str">
            <v>美洲区</v>
          </cell>
          <cell r="E473" t="str">
            <v>Ground项目部</v>
          </cell>
          <cell r="F473" t="str">
            <v>OG 美东区</v>
          </cell>
          <cell r="G473" t="str">
            <v>BO021</v>
          </cell>
          <cell r="H473" t="str">
            <v/>
          </cell>
          <cell r="I473" t="str">
            <v/>
          </cell>
          <cell r="J473" t="str">
            <v/>
          </cell>
          <cell r="K473" t="str">
            <v>BO021</v>
          </cell>
          <cell r="L473" t="str">
            <v>Station Head （Probation）站长（见习）</v>
          </cell>
          <cell r="M473" t="str">
            <v>M2-1</v>
          </cell>
          <cell r="N473" t="str">
            <v/>
          </cell>
          <cell r="O473" t="str">
            <v>2025/10/17</v>
          </cell>
        </row>
        <row r="474">
          <cell r="C474" t="str">
            <v>GL500857</v>
          </cell>
          <cell r="D474" t="str">
            <v>美洲区</v>
          </cell>
          <cell r="E474" t="str">
            <v>BM 品牌市场部</v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>BM 品牌市场部</v>
          </cell>
          <cell r="L474" t="str">
            <v>Marketing Specialist 市场专员</v>
          </cell>
          <cell r="M474" t="str">
            <v>P1-1</v>
          </cell>
          <cell r="N474" t="str">
            <v/>
          </cell>
          <cell r="O474" t="str">
            <v>2025/06/30</v>
          </cell>
        </row>
        <row r="475">
          <cell r="C475" t="str">
            <v>GL500957</v>
          </cell>
          <cell r="D475" t="str">
            <v>美洲区</v>
          </cell>
          <cell r="E475" t="str">
            <v>Ground项目部</v>
          </cell>
          <cell r="F475" t="str">
            <v>OG 美西区</v>
          </cell>
          <cell r="G475" t="str">
            <v>SD921</v>
          </cell>
          <cell r="H475" t="str">
            <v/>
          </cell>
          <cell r="I475" t="str">
            <v/>
          </cell>
          <cell r="J475" t="str">
            <v/>
          </cell>
          <cell r="K475" t="str">
            <v>SD921</v>
          </cell>
          <cell r="L475" t="str">
            <v>Warehouse Operator 操作员</v>
          </cell>
          <cell r="M475" t="str">
            <v>P1-1</v>
          </cell>
          <cell r="N475" t="str">
            <v/>
          </cell>
          <cell r="O475" t="str">
            <v>2025/06/27</v>
          </cell>
        </row>
        <row r="476">
          <cell r="C476" t="str">
            <v>GL501071</v>
          </cell>
          <cell r="D476" t="str">
            <v>欧洲区</v>
          </cell>
          <cell r="E476" t="str">
            <v>FR 法国区</v>
          </cell>
          <cell r="F476" t="str">
            <v>西部战区</v>
          </cell>
          <cell r="G476" t="str">
            <v>波尔多-BDX</v>
          </cell>
          <cell r="H476" t="str">
            <v/>
          </cell>
          <cell r="I476" t="str">
            <v/>
          </cell>
          <cell r="J476" t="str">
            <v/>
          </cell>
          <cell r="K476" t="str">
            <v>波尔多-BDX</v>
          </cell>
          <cell r="L476" t="str">
            <v>Warehouse Operator操作员</v>
          </cell>
          <cell r="M476" t="str">
            <v>P1-1</v>
          </cell>
          <cell r="N476" t="str">
            <v/>
          </cell>
          <cell r="O476" t="str">
            <v>2025/07/21</v>
          </cell>
        </row>
        <row r="477">
          <cell r="C477" t="str">
            <v>GL500361</v>
          </cell>
          <cell r="D477" t="str">
            <v>美洲区</v>
          </cell>
          <cell r="E477" t="str">
            <v>WE 美西大区</v>
          </cell>
          <cell r="F477" t="str">
            <v>LAV.H</v>
          </cell>
          <cell r="G477" t="str">
            <v>分拣组</v>
          </cell>
          <cell r="H477" t="str">
            <v/>
          </cell>
          <cell r="I477" t="str">
            <v/>
          </cell>
          <cell r="J477" t="str">
            <v/>
          </cell>
          <cell r="K477" t="str">
            <v>分拣组</v>
          </cell>
          <cell r="L477" t="str">
            <v>Maintenance Specialist 维保员</v>
          </cell>
          <cell r="M477" t="str">
            <v>P1-1</v>
          </cell>
          <cell r="N477" t="str">
            <v/>
          </cell>
          <cell r="O477" t="str">
            <v>2024/11/12</v>
          </cell>
        </row>
        <row r="478">
          <cell r="C478" t="str">
            <v>GL500597</v>
          </cell>
          <cell r="D478" t="str">
            <v>美洲区</v>
          </cell>
          <cell r="E478" t="str">
            <v>Ground项目部</v>
          </cell>
          <cell r="F478" t="str">
            <v>OG 美东区</v>
          </cell>
          <cell r="G478" t="str">
            <v>CB080</v>
          </cell>
          <cell r="H478" t="str">
            <v/>
          </cell>
          <cell r="I478" t="str">
            <v/>
          </cell>
          <cell r="J478" t="str">
            <v/>
          </cell>
          <cell r="K478" t="str">
            <v>CB080</v>
          </cell>
          <cell r="L478" t="str">
            <v>Delivery Driver 司机</v>
          </cell>
          <cell r="M478" t="str">
            <v>P1-1</v>
          </cell>
          <cell r="N478" t="str">
            <v/>
          </cell>
          <cell r="O478" t="str">
            <v>2024/12/12</v>
          </cell>
        </row>
        <row r="479">
          <cell r="C479" t="str">
            <v>GL500588</v>
          </cell>
          <cell r="D479" t="str">
            <v>美洲区</v>
          </cell>
          <cell r="E479" t="str">
            <v>Ground项目部</v>
          </cell>
          <cell r="F479" t="str">
            <v>OG 美东区</v>
          </cell>
          <cell r="G479" t="str">
            <v>MR088</v>
          </cell>
          <cell r="H479" t="str">
            <v/>
          </cell>
          <cell r="I479" t="str">
            <v/>
          </cell>
          <cell r="J479" t="str">
            <v/>
          </cell>
          <cell r="K479" t="str">
            <v>MR088</v>
          </cell>
          <cell r="L479" t="str">
            <v>Delivery Driver 司机</v>
          </cell>
          <cell r="M479" t="str">
            <v>P1-1</v>
          </cell>
          <cell r="N479" t="str">
            <v/>
          </cell>
          <cell r="O479" t="str">
            <v>2025/02/10</v>
          </cell>
        </row>
        <row r="480">
          <cell r="C480" t="str">
            <v>GL501101</v>
          </cell>
          <cell r="D480" t="str">
            <v>美洲区</v>
          </cell>
          <cell r="E480" t="str">
            <v>TX 德州大区</v>
          </cell>
          <cell r="F480" t="str">
            <v>运营支持部</v>
          </cell>
          <cell r="G480" t="str">
            <v>区域支持组</v>
          </cell>
          <cell r="H480" t="str">
            <v/>
          </cell>
          <cell r="I480" t="str">
            <v/>
          </cell>
          <cell r="J480" t="str">
            <v/>
          </cell>
          <cell r="K480" t="str">
            <v>区域支持组</v>
          </cell>
          <cell r="L480" t="str">
            <v>Regional Support Specialist 区域支持专员</v>
          </cell>
          <cell r="M480" t="str">
            <v>P2-1</v>
          </cell>
          <cell r="N480" t="str">
            <v/>
          </cell>
          <cell r="O480" t="str">
            <v>2025/08/06</v>
          </cell>
        </row>
        <row r="481">
          <cell r="C481" t="str">
            <v>GL500596</v>
          </cell>
          <cell r="D481" t="str">
            <v>美洲区</v>
          </cell>
          <cell r="E481" t="str">
            <v>Ground项目部</v>
          </cell>
          <cell r="F481" t="str">
            <v>OG 美东区</v>
          </cell>
          <cell r="G481" t="str">
            <v>CB080</v>
          </cell>
          <cell r="H481" t="str">
            <v/>
          </cell>
          <cell r="I481" t="str">
            <v/>
          </cell>
          <cell r="J481" t="str">
            <v/>
          </cell>
          <cell r="K481" t="str">
            <v>CB080</v>
          </cell>
          <cell r="L481" t="str">
            <v>Delivery Driver 司机</v>
          </cell>
          <cell r="M481" t="str">
            <v>P1-1</v>
          </cell>
          <cell r="N481" t="str">
            <v/>
          </cell>
          <cell r="O481" t="str">
            <v>2024/12/13</v>
          </cell>
        </row>
        <row r="482">
          <cell r="C482" t="str">
            <v>GL501054</v>
          </cell>
          <cell r="D482" t="str">
            <v>美洲区</v>
          </cell>
          <cell r="E482" t="str">
            <v>WE 美西大区</v>
          </cell>
          <cell r="F482" t="str">
            <v>SC 南加片区</v>
          </cell>
          <cell r="G482" t="str">
            <v>PHX01</v>
          </cell>
          <cell r="H482" t="str">
            <v/>
          </cell>
          <cell r="I482" t="str">
            <v/>
          </cell>
          <cell r="J482" t="str">
            <v/>
          </cell>
          <cell r="K482" t="str">
            <v>PHX</v>
          </cell>
          <cell r="L482" t="str">
            <v>Station Operations Specialist 站点运营专员</v>
          </cell>
          <cell r="M482" t="str">
            <v>P1-2</v>
          </cell>
          <cell r="N482" t="str">
            <v/>
          </cell>
          <cell r="O482" t="str">
            <v>2025/07/21</v>
          </cell>
        </row>
        <row r="483">
          <cell r="C483" t="str">
            <v>GL501348</v>
          </cell>
          <cell r="D483" t="str">
            <v>美洲区</v>
          </cell>
          <cell r="E483" t="str">
            <v>GL 大湖大区</v>
          </cell>
          <cell r="F483" t="str">
            <v>WG 西大湖片区</v>
          </cell>
          <cell r="G483" t="str">
            <v>MSN01</v>
          </cell>
          <cell r="H483" t="str">
            <v/>
          </cell>
          <cell r="I483" t="str">
            <v/>
          </cell>
          <cell r="J483" t="str">
            <v/>
          </cell>
          <cell r="K483" t="str">
            <v>MSN</v>
          </cell>
          <cell r="L483" t="str">
            <v>Station Operations Specialist 站点运营专员</v>
          </cell>
          <cell r="M483" t="str">
            <v>P1-2</v>
          </cell>
          <cell r="N483" t="str">
            <v/>
          </cell>
          <cell r="O483" t="str">
            <v>2025/09/18</v>
          </cell>
        </row>
        <row r="484">
          <cell r="C484" t="str">
            <v>GL501018</v>
          </cell>
          <cell r="D484" t="str">
            <v>欧洲区</v>
          </cell>
          <cell r="E484" t="str">
            <v>NL 荷兰区</v>
          </cell>
          <cell r="F484" t="str">
            <v>阿姆枢纽仓</v>
          </cell>
          <cell r="G484" t="str">
            <v>分拣组</v>
          </cell>
          <cell r="H484" t="str">
            <v/>
          </cell>
          <cell r="I484" t="str">
            <v/>
          </cell>
          <cell r="J484" t="str">
            <v/>
          </cell>
          <cell r="K484" t="str">
            <v>分拣组</v>
          </cell>
          <cell r="L484" t="str">
            <v>Warehouse Operator操作员</v>
          </cell>
          <cell r="M484" t="str">
            <v>P1-1</v>
          </cell>
          <cell r="N484" t="str">
            <v/>
          </cell>
          <cell r="O484" t="str">
            <v>2025/07/16</v>
          </cell>
        </row>
        <row r="485">
          <cell r="C485" t="str">
            <v>GL501057</v>
          </cell>
          <cell r="D485" t="str">
            <v>美洲区</v>
          </cell>
          <cell r="E485" t="str">
            <v>NE 东北大区</v>
          </cell>
          <cell r="F485" t="str">
            <v>揽收部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>揽收组</v>
          </cell>
          <cell r="L485" t="str">
            <v>Pickup Support Specialist 揽收支持专员</v>
          </cell>
          <cell r="M485" t="str">
            <v>P1-1</v>
          </cell>
          <cell r="N485" t="str">
            <v/>
          </cell>
          <cell r="O485" t="str">
            <v>2025/07/21</v>
          </cell>
        </row>
        <row r="486">
          <cell r="C486" t="str">
            <v>GL501556</v>
          </cell>
          <cell r="D486" t="str">
            <v>美洲区</v>
          </cell>
          <cell r="E486" t="str">
            <v>US人力资源部</v>
          </cell>
          <cell r="F486" t="str">
            <v>美洲HRBP组</v>
          </cell>
          <cell r="G486" t="str">
            <v>东北区HR组</v>
          </cell>
          <cell r="H486" t="str">
            <v/>
          </cell>
          <cell r="I486" t="str">
            <v/>
          </cell>
          <cell r="J486" t="str">
            <v/>
          </cell>
          <cell r="K486" t="str">
            <v>东北区HR组</v>
          </cell>
          <cell r="L486" t="str">
            <v>Recruitment Assistant 招聘助理</v>
          </cell>
          <cell r="M486" t="str">
            <v>P1-1</v>
          </cell>
          <cell r="N486" t="str">
            <v/>
          </cell>
          <cell r="O486" t="str">
            <v>2025/10/06</v>
          </cell>
        </row>
        <row r="487">
          <cell r="C487" t="str">
            <v>GL500398</v>
          </cell>
          <cell r="D487" t="str">
            <v>欧洲区</v>
          </cell>
          <cell r="E487" t="str">
            <v>FR 法国区</v>
          </cell>
          <cell r="F487" t="str">
            <v>巴黎枢纽仓</v>
          </cell>
          <cell r="G487" t="str">
            <v>精益设备组</v>
          </cell>
          <cell r="H487" t="str">
            <v/>
          </cell>
          <cell r="I487" t="str">
            <v/>
          </cell>
          <cell r="J487" t="str">
            <v/>
          </cell>
          <cell r="K487" t="str">
            <v>精益设备组</v>
          </cell>
          <cell r="L487" t="str">
            <v>Lean Equipment Specialist精益设备专员</v>
          </cell>
          <cell r="M487" t="str">
            <v>P1-3</v>
          </cell>
          <cell r="N487" t="str">
            <v/>
          </cell>
          <cell r="O487" t="str">
            <v>2024/10/17</v>
          </cell>
        </row>
        <row r="488">
          <cell r="C488" t="str">
            <v>GL500325</v>
          </cell>
          <cell r="D488" t="str">
            <v>美洲区</v>
          </cell>
          <cell r="E488" t="str">
            <v>NE 东北大区</v>
          </cell>
          <cell r="F488" t="str">
            <v>DC 华盛顿片区</v>
          </cell>
          <cell r="G488" t="str">
            <v>PHL01</v>
          </cell>
          <cell r="H488" t="str">
            <v/>
          </cell>
          <cell r="I488" t="str">
            <v/>
          </cell>
          <cell r="J488" t="str">
            <v/>
          </cell>
          <cell r="K488" t="str">
            <v>PHL</v>
          </cell>
          <cell r="L488" t="str">
            <v>Station Head （Probation）站长（见习）</v>
          </cell>
          <cell r="M488" t="str">
            <v>P1-3</v>
          </cell>
          <cell r="N488" t="str">
            <v/>
          </cell>
          <cell r="O488" t="str">
            <v>2024/12/13</v>
          </cell>
        </row>
        <row r="489">
          <cell r="C489" t="str">
            <v>GL501585</v>
          </cell>
          <cell r="D489" t="str">
            <v>美洲区</v>
          </cell>
          <cell r="E489" t="str">
            <v>NE 东北大区</v>
          </cell>
          <cell r="F489" t="str">
            <v>EWR.H</v>
          </cell>
          <cell r="G489" t="str">
            <v>装卸组</v>
          </cell>
          <cell r="H489" t="str">
            <v/>
          </cell>
          <cell r="I489" t="str">
            <v/>
          </cell>
          <cell r="J489" t="str">
            <v/>
          </cell>
          <cell r="K489" t="str">
            <v>装卸组</v>
          </cell>
          <cell r="L489" t="str">
            <v>Warehouse Operator 操作员</v>
          </cell>
          <cell r="M489" t="str">
            <v>P1-2</v>
          </cell>
          <cell r="N489" t="str">
            <v/>
          </cell>
          <cell r="O489" t="str">
            <v>2025/10/08</v>
          </cell>
        </row>
        <row r="490">
          <cell r="C490" t="str">
            <v>GL501605</v>
          </cell>
          <cell r="D490" t="str">
            <v>美洲区</v>
          </cell>
          <cell r="E490" t="str">
            <v>TX 德州大区</v>
          </cell>
          <cell r="F490" t="str">
            <v>DFW.H</v>
          </cell>
          <cell r="G490" t="str">
            <v>调度组</v>
          </cell>
          <cell r="H490" t="str">
            <v/>
          </cell>
          <cell r="I490" t="str">
            <v/>
          </cell>
          <cell r="J490" t="str">
            <v/>
          </cell>
          <cell r="K490" t="str">
            <v>调度组</v>
          </cell>
          <cell r="L490" t="str">
            <v>Dispatcher 调度员</v>
          </cell>
          <cell r="M490" t="str">
            <v>P1-2</v>
          </cell>
          <cell r="N490" t="str">
            <v/>
          </cell>
          <cell r="O490" t="str">
            <v>2025/10/16</v>
          </cell>
        </row>
        <row r="491">
          <cell r="C491" t="str">
            <v>GL501618</v>
          </cell>
          <cell r="D491" t="str">
            <v>美洲区</v>
          </cell>
          <cell r="E491" t="str">
            <v>NE 东北大区</v>
          </cell>
          <cell r="F491" t="str">
            <v>运营支持部</v>
          </cell>
          <cell r="G491" t="str">
            <v>区域支持组</v>
          </cell>
          <cell r="H491" t="str">
            <v/>
          </cell>
          <cell r="I491" t="str">
            <v/>
          </cell>
          <cell r="J491" t="str">
            <v/>
          </cell>
          <cell r="K491" t="str">
            <v>区域支持组</v>
          </cell>
          <cell r="L491" t="str">
            <v>Regional Support Specialist 区域支持专员</v>
          </cell>
          <cell r="M491" t="str">
            <v>P1-2</v>
          </cell>
          <cell r="N491" t="str">
            <v/>
          </cell>
          <cell r="O491" t="str">
            <v>2025/10/28</v>
          </cell>
        </row>
        <row r="492">
          <cell r="C492" t="str">
            <v>GL501494</v>
          </cell>
          <cell r="D492" t="str">
            <v>美洲区</v>
          </cell>
          <cell r="E492" t="str">
            <v>MS 中南大区</v>
          </cell>
          <cell r="F492" t="str">
            <v>BN 田纳西和北阿拉巴马片区</v>
          </cell>
          <cell r="G492" t="str">
            <v>BHM01</v>
          </cell>
          <cell r="H492" t="str">
            <v/>
          </cell>
          <cell r="I492" t="str">
            <v/>
          </cell>
          <cell r="J492" t="str">
            <v/>
          </cell>
          <cell r="K492" t="str">
            <v>BHM.HSV.CHA</v>
          </cell>
          <cell r="L492" t="str">
            <v>Station Operations Specialist 站点运营专员</v>
          </cell>
          <cell r="M492" t="str">
            <v>P1-2</v>
          </cell>
          <cell r="N492" t="str">
            <v/>
          </cell>
          <cell r="O492" t="str">
            <v>2025/09/29</v>
          </cell>
        </row>
        <row r="493">
          <cell r="C493" t="str">
            <v>GL501094</v>
          </cell>
          <cell r="D493" t="str">
            <v>美洲区</v>
          </cell>
          <cell r="E493" t="str">
            <v>NE 东北大区</v>
          </cell>
          <cell r="F493" t="str">
            <v>EWR.H</v>
          </cell>
          <cell r="G493" t="str">
            <v>分拣组</v>
          </cell>
          <cell r="H493" t="str">
            <v/>
          </cell>
          <cell r="I493" t="str">
            <v/>
          </cell>
          <cell r="J493" t="str">
            <v/>
          </cell>
          <cell r="K493" t="str">
            <v>分拣组</v>
          </cell>
          <cell r="L493" t="str">
            <v>Sorter 分拣员</v>
          </cell>
          <cell r="M493" t="str">
            <v>P1-2</v>
          </cell>
          <cell r="N493" t="str">
            <v/>
          </cell>
          <cell r="O493" t="str">
            <v>2025/07/23</v>
          </cell>
        </row>
        <row r="494">
          <cell r="C494" t="str">
            <v>GL500928</v>
          </cell>
          <cell r="D494" t="str">
            <v>欧洲区</v>
          </cell>
          <cell r="E494" t="str">
            <v>NL 荷兰区</v>
          </cell>
          <cell r="F494" t="str">
            <v>阿姆枢纽仓</v>
          </cell>
          <cell r="G494" t="str">
            <v>收运组</v>
          </cell>
          <cell r="H494" t="str">
            <v/>
          </cell>
          <cell r="I494" t="str">
            <v/>
          </cell>
          <cell r="J494" t="str">
            <v/>
          </cell>
          <cell r="K494" t="str">
            <v>收运组</v>
          </cell>
          <cell r="L494" t="str">
            <v>Warehouse Operator操作员</v>
          </cell>
          <cell r="M494" t="str">
            <v>P1-1</v>
          </cell>
          <cell r="N494" t="str">
            <v/>
          </cell>
          <cell r="O494" t="str">
            <v>2025/07/10</v>
          </cell>
        </row>
        <row r="495">
          <cell r="C495" t="str">
            <v>GL500518</v>
          </cell>
          <cell r="D495" t="str">
            <v>欧洲区</v>
          </cell>
          <cell r="E495" t="str">
            <v>FR 法国区</v>
          </cell>
          <cell r="F495" t="str">
            <v>巴黎枢纽仓</v>
          </cell>
          <cell r="G495" t="str">
            <v>巴黎出库组</v>
          </cell>
          <cell r="H495" t="str">
            <v/>
          </cell>
          <cell r="I495" t="str">
            <v/>
          </cell>
          <cell r="J495" t="str">
            <v/>
          </cell>
          <cell r="K495" t="str">
            <v>巴黎出库组</v>
          </cell>
          <cell r="L495" t="str">
            <v>Warehouse Operator操作员</v>
          </cell>
          <cell r="M495" t="str">
            <v>P1-2</v>
          </cell>
          <cell r="N495" t="str">
            <v/>
          </cell>
          <cell r="O495" t="str">
            <v>2025/05/22</v>
          </cell>
        </row>
        <row r="496">
          <cell r="C496" t="str">
            <v>GL500003</v>
          </cell>
          <cell r="D496" t="str">
            <v>欧洲区</v>
          </cell>
          <cell r="E496" t="str">
            <v>EU人力资源部</v>
          </cell>
          <cell r="F496" t="str">
            <v>欧洲HRBP组</v>
          </cell>
          <cell r="G496" t="str">
            <v>法国HRBP组</v>
          </cell>
          <cell r="H496" t="str">
            <v/>
          </cell>
          <cell r="I496" t="str">
            <v/>
          </cell>
          <cell r="J496" t="str">
            <v/>
          </cell>
          <cell r="K496" t="str">
            <v>法国HRBP组</v>
          </cell>
          <cell r="L496" t="str">
            <v>Recruitment Assistant 招聘助理</v>
          </cell>
          <cell r="M496" t="str">
            <v>P1-1</v>
          </cell>
          <cell r="N496" t="str">
            <v/>
          </cell>
          <cell r="O496" t="str">
            <v>2025/05/12</v>
          </cell>
        </row>
        <row r="497">
          <cell r="C497" t="str">
            <v>GL501621</v>
          </cell>
          <cell r="D497" t="str">
            <v>欧洲区</v>
          </cell>
          <cell r="E497" t="str">
            <v>FR 法国区</v>
          </cell>
          <cell r="F497" t="str">
            <v>巴黎枢纽仓</v>
          </cell>
          <cell r="G497" t="str">
            <v>异常退件组</v>
          </cell>
          <cell r="H497" t="str">
            <v/>
          </cell>
          <cell r="I497" t="str">
            <v/>
          </cell>
          <cell r="J497" t="str">
            <v/>
          </cell>
          <cell r="K497" t="str">
            <v>异常退件组</v>
          </cell>
          <cell r="L497" t="str">
            <v>Warehouse Operator操作员</v>
          </cell>
          <cell r="M497" t="str">
            <v>P1-2</v>
          </cell>
          <cell r="N497" t="str">
            <v/>
          </cell>
          <cell r="O497" t="str">
            <v>2025/10/22</v>
          </cell>
        </row>
        <row r="498">
          <cell r="C498" t="str">
            <v>GL501319</v>
          </cell>
          <cell r="D498" t="str">
            <v>欧洲区</v>
          </cell>
          <cell r="E498" t="str">
            <v>NL 荷兰区</v>
          </cell>
          <cell r="F498" t="str">
            <v>运输管理部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>运输管理部</v>
          </cell>
          <cell r="L498" t="str">
            <v>Transportation Specialist 运输管理专员</v>
          </cell>
          <cell r="M498" t="str">
            <v>P1-3</v>
          </cell>
          <cell r="N498" t="str">
            <v/>
          </cell>
          <cell r="O498" t="str">
            <v>2025/10/25</v>
          </cell>
        </row>
        <row r="499">
          <cell r="C499" t="str">
            <v>GL501666</v>
          </cell>
          <cell r="D499" t="str">
            <v>欧洲区</v>
          </cell>
          <cell r="E499" t="str">
            <v>FR 法国区</v>
          </cell>
          <cell r="F499" t="str">
            <v>西部战区</v>
          </cell>
          <cell r="G499" t="str">
            <v>雷恩-RNS</v>
          </cell>
          <cell r="H499" t="str">
            <v/>
          </cell>
          <cell r="I499" t="str">
            <v/>
          </cell>
          <cell r="J499" t="str">
            <v/>
          </cell>
          <cell r="K499" t="str">
            <v>雷恩-RNS</v>
          </cell>
          <cell r="L499" t="str">
            <v>Terminal Specialist终端专员</v>
          </cell>
          <cell r="M499" t="str">
            <v>P1-1</v>
          </cell>
          <cell r="N499" t="str">
            <v/>
          </cell>
          <cell r="O499" t="str">
            <v>2025/10/27</v>
          </cell>
        </row>
        <row r="500">
          <cell r="C500" t="str">
            <v>GL500001</v>
          </cell>
          <cell r="D500" t="str">
            <v>欧洲区</v>
          </cell>
          <cell r="E500" t="str">
            <v>FR 法国区</v>
          </cell>
          <cell r="F500" t="str">
            <v>南部战区</v>
          </cell>
          <cell r="G500" t="str">
            <v>马赛-MSL</v>
          </cell>
          <cell r="H500" t="str">
            <v/>
          </cell>
          <cell r="I500" t="str">
            <v/>
          </cell>
          <cell r="J500" t="str">
            <v/>
          </cell>
          <cell r="K500" t="str">
            <v>马赛-MSL</v>
          </cell>
          <cell r="L500" t="str">
            <v>Warehouse Operator操作员</v>
          </cell>
          <cell r="M500" t="str">
            <v>P1-1</v>
          </cell>
          <cell r="N500" t="str">
            <v/>
          </cell>
          <cell r="O500" t="str">
            <v>2025/05/12</v>
          </cell>
        </row>
        <row r="501">
          <cell r="C501" t="str">
            <v>GL501322</v>
          </cell>
          <cell r="D501" t="str">
            <v>美洲区</v>
          </cell>
          <cell r="E501" t="str">
            <v>FL 佛州大区</v>
          </cell>
          <cell r="F501" t="str">
            <v>NF 北佛片区</v>
          </cell>
          <cell r="G501" t="str">
            <v>JAX01</v>
          </cell>
          <cell r="H501" t="str">
            <v/>
          </cell>
          <cell r="I501" t="str">
            <v/>
          </cell>
          <cell r="J501" t="str">
            <v/>
          </cell>
          <cell r="K501" t="str">
            <v>JAX</v>
          </cell>
          <cell r="L501" t="str">
            <v>Station Operations Specialist 站点运营专员</v>
          </cell>
          <cell r="M501" t="str">
            <v>P1-2</v>
          </cell>
          <cell r="N501" t="str">
            <v/>
          </cell>
          <cell r="O501" t="str">
            <v>2025/08/28</v>
          </cell>
        </row>
        <row r="502">
          <cell r="C502" t="str">
            <v>GL501703</v>
          </cell>
          <cell r="D502" t="str">
            <v>美洲区</v>
          </cell>
          <cell r="E502" t="str">
            <v>AD 行政部</v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>AD 行政部</v>
          </cell>
          <cell r="L502" t="str">
            <v>Admin Specialist 行政专员</v>
          </cell>
          <cell r="M502" t="str">
            <v>P1-3</v>
          </cell>
          <cell r="N502" t="str">
            <v/>
          </cell>
          <cell r="O502" t="str">
            <v>2025/10/28</v>
          </cell>
        </row>
        <row r="503">
          <cell r="C503" t="str">
            <v>GL501518</v>
          </cell>
          <cell r="D503" t="str">
            <v>美洲区</v>
          </cell>
          <cell r="E503" t="str">
            <v>FL 佛州大区</v>
          </cell>
          <cell r="F503" t="str">
            <v>WF 西佛片区</v>
          </cell>
          <cell r="G503" t="str">
            <v>SRQ01</v>
          </cell>
          <cell r="H503" t="str">
            <v/>
          </cell>
          <cell r="I503" t="str">
            <v/>
          </cell>
          <cell r="J503" t="str">
            <v/>
          </cell>
          <cell r="K503" t="str">
            <v>SRQ</v>
          </cell>
          <cell r="L503" t="str">
            <v>Station Operations Specialist 站点运营专员</v>
          </cell>
          <cell r="M503" t="str">
            <v>P2-1</v>
          </cell>
          <cell r="N503" t="str">
            <v/>
          </cell>
          <cell r="O503" t="str">
            <v>2025/09/30</v>
          </cell>
        </row>
        <row r="504">
          <cell r="C504" t="str">
            <v>GL501449</v>
          </cell>
          <cell r="D504" t="str">
            <v>美洲区</v>
          </cell>
          <cell r="E504" t="str">
            <v>WE 美西大区</v>
          </cell>
          <cell r="F504" t="str">
            <v>车辆管理部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>车辆管理部</v>
          </cell>
          <cell r="L504" t="str">
            <v>Vehicle Management Specialist 车辆管理专员</v>
          </cell>
          <cell r="M504" t="str">
            <v>P1-2</v>
          </cell>
          <cell r="N504" t="str">
            <v/>
          </cell>
          <cell r="O504" t="str">
            <v>2025/09/15</v>
          </cell>
        </row>
        <row r="505">
          <cell r="C505" t="str">
            <v>GL501168</v>
          </cell>
          <cell r="D505" t="str">
            <v>美洲区</v>
          </cell>
          <cell r="E505" t="str">
            <v>AD 行政部</v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>AD 行政部</v>
          </cell>
          <cell r="L505" t="str">
            <v>Admin Specialist 行政专员</v>
          </cell>
          <cell r="M505" t="str">
            <v>P1-3</v>
          </cell>
          <cell r="N505" t="str">
            <v/>
          </cell>
          <cell r="O505" t="str">
            <v>2025/08/05</v>
          </cell>
        </row>
        <row r="506">
          <cell r="C506" t="str">
            <v>GL501651</v>
          </cell>
          <cell r="D506" t="str">
            <v>美洲区</v>
          </cell>
          <cell r="E506" t="str">
            <v>AD 行政部</v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>AD 行政部</v>
          </cell>
          <cell r="L506" t="str">
            <v>Admin Specialist 行政专员</v>
          </cell>
          <cell r="M506" t="str">
            <v>P1-3</v>
          </cell>
          <cell r="N506" t="str">
            <v/>
          </cell>
          <cell r="O506" t="str">
            <v>2025/10/22</v>
          </cell>
        </row>
        <row r="507">
          <cell r="C507" t="str">
            <v>GL500845</v>
          </cell>
          <cell r="D507" t="str">
            <v>美洲区</v>
          </cell>
          <cell r="E507" t="str">
            <v>US人力资源部</v>
          </cell>
          <cell r="F507" t="str">
            <v>美洲HRBP组</v>
          </cell>
          <cell r="G507" t="str">
            <v>招聘组</v>
          </cell>
          <cell r="H507" t="str">
            <v/>
          </cell>
          <cell r="I507" t="str">
            <v/>
          </cell>
          <cell r="J507" t="str">
            <v/>
          </cell>
          <cell r="K507" t="str">
            <v>招聘组</v>
          </cell>
          <cell r="L507" t="str">
            <v>Recruitment Assistant 招聘助理</v>
          </cell>
          <cell r="M507" t="str">
            <v>P1-1</v>
          </cell>
          <cell r="N507" t="str">
            <v/>
          </cell>
          <cell r="O507" t="str">
            <v>2025/06/30</v>
          </cell>
        </row>
        <row r="508">
          <cell r="C508" t="str">
            <v>GL501589</v>
          </cell>
          <cell r="D508" t="str">
            <v>美洲区</v>
          </cell>
          <cell r="E508" t="str">
            <v>TX 德州大区</v>
          </cell>
          <cell r="F508" t="str">
            <v>GC 墨湾片区</v>
          </cell>
          <cell r="G508" t="str">
            <v>IAH01</v>
          </cell>
          <cell r="H508" t="str">
            <v/>
          </cell>
          <cell r="I508" t="str">
            <v/>
          </cell>
          <cell r="J508" t="str">
            <v/>
          </cell>
          <cell r="K508" t="str">
            <v>IAH</v>
          </cell>
          <cell r="L508" t="str">
            <v>Station Operations Specialist 站点运营专员</v>
          </cell>
          <cell r="M508" t="str">
            <v>P1-2</v>
          </cell>
          <cell r="N508" t="str">
            <v/>
          </cell>
          <cell r="O508" t="str">
            <v>2025/10/14</v>
          </cell>
        </row>
        <row r="509">
          <cell r="C509" t="str">
            <v>GL500020</v>
          </cell>
          <cell r="D509" t="str">
            <v>欧洲区</v>
          </cell>
          <cell r="E509" t="str">
            <v>FR 法国区</v>
          </cell>
          <cell r="F509" t="str">
            <v>南部战区</v>
          </cell>
          <cell r="G509" t="str">
            <v>图卢兹-TLS</v>
          </cell>
          <cell r="H509" t="str">
            <v/>
          </cell>
          <cell r="I509" t="str">
            <v/>
          </cell>
          <cell r="J509" t="str">
            <v/>
          </cell>
          <cell r="K509" t="str">
            <v>图卢兹-TLS</v>
          </cell>
          <cell r="L509" t="str">
            <v>Terminal Specialist终端专员</v>
          </cell>
          <cell r="M509" t="str">
            <v>P1-1</v>
          </cell>
          <cell r="N509" t="str">
            <v/>
          </cell>
          <cell r="O509" t="str">
            <v>2025/05/05</v>
          </cell>
        </row>
        <row r="510">
          <cell r="C510" t="str">
            <v>GL500018</v>
          </cell>
          <cell r="D510" t="str">
            <v>欧洲区</v>
          </cell>
          <cell r="E510" t="str">
            <v>FR 法国区</v>
          </cell>
          <cell r="F510" t="str">
            <v>巴黎战区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>巴黎战区</v>
          </cell>
          <cell r="L510" t="str">
            <v>Terminal Specialist终端专员</v>
          </cell>
          <cell r="M510" t="str">
            <v>P1-2</v>
          </cell>
          <cell r="N510" t="str">
            <v/>
          </cell>
          <cell r="O510" t="str">
            <v>2025/05/05</v>
          </cell>
        </row>
        <row r="511">
          <cell r="C511" t="str">
            <v>GL500113</v>
          </cell>
          <cell r="D511" t="str">
            <v>欧洲区</v>
          </cell>
          <cell r="E511" t="str">
            <v>FR 法国区</v>
          </cell>
          <cell r="F511" t="str">
            <v>南部战区</v>
          </cell>
          <cell r="G511" t="str">
            <v>蒙彼利埃-MTP</v>
          </cell>
          <cell r="H511" t="str">
            <v/>
          </cell>
          <cell r="I511" t="str">
            <v/>
          </cell>
          <cell r="J511" t="str">
            <v/>
          </cell>
          <cell r="K511" t="str">
            <v>蒙彼利埃-MTP</v>
          </cell>
          <cell r="L511" t="str">
            <v>Station Head 站长</v>
          </cell>
          <cell r="M511" t="str">
            <v>P1-1</v>
          </cell>
          <cell r="N511" t="str">
            <v/>
          </cell>
          <cell r="O511" t="str">
            <v>2025/04/03</v>
          </cell>
        </row>
        <row r="512">
          <cell r="C512" t="str">
            <v>GL501236</v>
          </cell>
          <cell r="D512" t="str">
            <v>欧洲区</v>
          </cell>
          <cell r="E512" t="str">
            <v>FR 法国区</v>
          </cell>
          <cell r="F512" t="str">
            <v>运输管理部</v>
          </cell>
          <cell r="G512" t="str">
            <v>结算管理组</v>
          </cell>
          <cell r="H512" t="str">
            <v/>
          </cell>
          <cell r="I512" t="str">
            <v/>
          </cell>
          <cell r="J512" t="str">
            <v/>
          </cell>
          <cell r="K512" t="str">
            <v>结算管理组</v>
          </cell>
          <cell r="L512" t="str">
            <v>Transportation Specialist运输管理专员</v>
          </cell>
          <cell r="M512" t="str">
            <v>P1-2</v>
          </cell>
          <cell r="N512" t="str">
            <v/>
          </cell>
          <cell r="O512" t="str">
            <v>2025/08/14</v>
          </cell>
        </row>
        <row r="513">
          <cell r="C513" t="str">
            <v>GL501519</v>
          </cell>
          <cell r="D513" t="str">
            <v>美洲区</v>
          </cell>
          <cell r="E513" t="str">
            <v>FL 佛州大区</v>
          </cell>
          <cell r="F513" t="str">
            <v>WF 西佛片区</v>
          </cell>
          <cell r="G513" t="str">
            <v>SRQ01</v>
          </cell>
          <cell r="H513" t="str">
            <v/>
          </cell>
          <cell r="I513" t="str">
            <v/>
          </cell>
          <cell r="J513" t="str">
            <v/>
          </cell>
          <cell r="K513" t="str">
            <v>SRQ</v>
          </cell>
          <cell r="L513" t="str">
            <v>Station Operations Specialist 站点运营专员</v>
          </cell>
          <cell r="M513" t="str">
            <v>P1-2</v>
          </cell>
          <cell r="N513" t="str">
            <v/>
          </cell>
          <cell r="O513" t="str">
            <v>2025/09/30</v>
          </cell>
        </row>
        <row r="514">
          <cell r="C514" t="str">
            <v>GL501562</v>
          </cell>
          <cell r="D514" t="str">
            <v>美洲区</v>
          </cell>
          <cell r="E514" t="str">
            <v>FL 佛州大区</v>
          </cell>
          <cell r="F514" t="str">
            <v>WF 西佛片区</v>
          </cell>
          <cell r="G514" t="str">
            <v>SRQ01</v>
          </cell>
          <cell r="H514" t="str">
            <v/>
          </cell>
          <cell r="I514" t="str">
            <v/>
          </cell>
          <cell r="J514" t="str">
            <v/>
          </cell>
          <cell r="K514" t="str">
            <v>SRQ</v>
          </cell>
          <cell r="L514" t="str">
            <v>Station Operations Specialist 站点运营专员</v>
          </cell>
          <cell r="M514" t="str">
            <v>P1-2</v>
          </cell>
          <cell r="N514" t="str">
            <v/>
          </cell>
          <cell r="O514" t="str">
            <v>2025/10/07</v>
          </cell>
        </row>
        <row r="515">
          <cell r="C515" t="str">
            <v>GL501371</v>
          </cell>
          <cell r="D515" t="str">
            <v>FES财经条线</v>
          </cell>
          <cell r="E515" t="str">
            <v>LD 法务部</v>
          </cell>
          <cell r="F515" t="str">
            <v>美洲法务组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>美洲法务组</v>
          </cell>
          <cell r="L515" t="str">
            <v>Legal Assistant</v>
          </cell>
          <cell r="M515" t="str">
            <v>P1-2</v>
          </cell>
          <cell r="N515" t="str">
            <v/>
          </cell>
          <cell r="O515" t="str">
            <v>2025/09/04</v>
          </cell>
        </row>
        <row r="516">
          <cell r="C516" t="str">
            <v>GL501114</v>
          </cell>
          <cell r="D516" t="str">
            <v>美洲区</v>
          </cell>
          <cell r="E516" t="str">
            <v>PR 波多黎各区</v>
          </cell>
          <cell r="F516" t="str">
            <v>SJU.H</v>
          </cell>
          <cell r="G516" t="str">
            <v>分拣组</v>
          </cell>
          <cell r="H516" t="str">
            <v/>
          </cell>
          <cell r="I516" t="str">
            <v/>
          </cell>
          <cell r="J516" t="str">
            <v/>
          </cell>
          <cell r="K516" t="str">
            <v>分拣组</v>
          </cell>
          <cell r="L516" t="str">
            <v>Sorter 分拣员</v>
          </cell>
          <cell r="M516" t="str">
            <v>P1-1</v>
          </cell>
          <cell r="N516" t="str">
            <v/>
          </cell>
          <cell r="O516" t="str">
            <v>2025/07/15</v>
          </cell>
        </row>
        <row r="517">
          <cell r="C517" t="str">
            <v>GL501147</v>
          </cell>
          <cell r="D517" t="str">
            <v>美洲区</v>
          </cell>
          <cell r="E517" t="str">
            <v>US人力资源部</v>
          </cell>
          <cell r="F517" t="str">
            <v>美洲HRBP组</v>
          </cell>
          <cell r="G517" t="str">
            <v>中南区HR组</v>
          </cell>
          <cell r="H517" t="str">
            <v/>
          </cell>
          <cell r="I517" t="str">
            <v/>
          </cell>
          <cell r="J517" t="str">
            <v/>
          </cell>
          <cell r="K517" t="str">
            <v>中南区HR组</v>
          </cell>
          <cell r="L517" t="str">
            <v>Junior Recruitment Specialist 初级招聘专员</v>
          </cell>
          <cell r="M517" t="str">
            <v>P1-2</v>
          </cell>
          <cell r="N517" t="str">
            <v/>
          </cell>
          <cell r="O517" t="str">
            <v>2025/08/04</v>
          </cell>
        </row>
        <row r="518">
          <cell r="C518" t="str">
            <v>GL500473</v>
          </cell>
          <cell r="D518" t="str">
            <v>欧洲区</v>
          </cell>
          <cell r="E518" t="str">
            <v>FR 法国区</v>
          </cell>
          <cell r="F518" t="str">
            <v>终端管理部</v>
          </cell>
          <cell r="G518" t="str">
            <v>终端合规组</v>
          </cell>
          <cell r="H518" t="str">
            <v/>
          </cell>
          <cell r="I518" t="str">
            <v/>
          </cell>
          <cell r="J518" t="str">
            <v/>
          </cell>
          <cell r="K518" t="str">
            <v>终端合规组</v>
          </cell>
          <cell r="L518" t="str">
            <v>Terminal  Specialist 终端专员</v>
          </cell>
          <cell r="M518" t="str">
            <v>P1-2</v>
          </cell>
          <cell r="N518" t="str">
            <v/>
          </cell>
          <cell r="O518" t="str">
            <v>2023/11/27</v>
          </cell>
        </row>
        <row r="519">
          <cell r="C519" t="str">
            <v>GL500878</v>
          </cell>
          <cell r="D519" t="str">
            <v>欧洲区</v>
          </cell>
          <cell r="E519" t="str">
            <v>FR 法国区</v>
          </cell>
          <cell r="F519" t="str">
            <v>南部战区</v>
          </cell>
          <cell r="G519" t="str">
            <v>蒙彼利埃-MTP</v>
          </cell>
          <cell r="H519" t="str">
            <v/>
          </cell>
          <cell r="I519" t="str">
            <v/>
          </cell>
          <cell r="J519" t="str">
            <v/>
          </cell>
          <cell r="K519" t="str">
            <v>蒙彼利埃-MTP</v>
          </cell>
          <cell r="L519" t="str">
            <v>Terminal  Specialist终端专员</v>
          </cell>
          <cell r="M519" t="str">
            <v>P1-2</v>
          </cell>
          <cell r="N519" t="str">
            <v/>
          </cell>
          <cell r="O519" t="str">
            <v>2025/07/02</v>
          </cell>
        </row>
        <row r="520">
          <cell r="C520" t="str">
            <v>GL500876</v>
          </cell>
          <cell r="D520" t="str">
            <v>欧洲区</v>
          </cell>
          <cell r="E520" t="str">
            <v>FR 法国区</v>
          </cell>
          <cell r="F520" t="str">
            <v>西部战区</v>
          </cell>
          <cell r="G520" t="str">
            <v>南特-NTE</v>
          </cell>
          <cell r="H520" t="str">
            <v/>
          </cell>
          <cell r="I520" t="str">
            <v/>
          </cell>
          <cell r="J520" t="str">
            <v/>
          </cell>
          <cell r="K520" t="str">
            <v>南特-NTE</v>
          </cell>
          <cell r="L520" t="str">
            <v>Terminal  Specialist
终端专员</v>
          </cell>
          <cell r="M520" t="str">
            <v>P1-1</v>
          </cell>
          <cell r="N520" t="str">
            <v/>
          </cell>
          <cell r="O520" t="str">
            <v>2025/07/01</v>
          </cell>
        </row>
        <row r="521">
          <cell r="C521" t="str">
            <v>GL500458</v>
          </cell>
          <cell r="D521" t="str">
            <v>欧洲区</v>
          </cell>
          <cell r="E521" t="str">
            <v>FR 法国区</v>
          </cell>
          <cell r="F521" t="str">
            <v>巴黎枢纽仓</v>
          </cell>
          <cell r="G521" t="str">
            <v>干线出库组</v>
          </cell>
          <cell r="H521" t="str">
            <v/>
          </cell>
          <cell r="I521" t="str">
            <v/>
          </cell>
          <cell r="J521" t="str">
            <v/>
          </cell>
          <cell r="K521" t="str">
            <v>干线出库组</v>
          </cell>
          <cell r="L521" t="str">
            <v>Warehouse Lead操作组长</v>
          </cell>
          <cell r="M521" t="str">
            <v>P1-3</v>
          </cell>
          <cell r="N521" t="str">
            <v/>
          </cell>
          <cell r="O521" t="str">
            <v>2024/03/18</v>
          </cell>
        </row>
        <row r="522">
          <cell r="C522" t="str">
            <v>GL501593</v>
          </cell>
          <cell r="D522" t="str">
            <v>欧洲区</v>
          </cell>
          <cell r="E522" t="str">
            <v>CS 客户服务部</v>
          </cell>
          <cell r="F522" t="str">
            <v>意大利客户服务组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>意大利在线呼叫组</v>
          </cell>
          <cell r="L522" t="str">
            <v>CS Specialist 客服专员</v>
          </cell>
          <cell r="M522" t="str">
            <v>P1-3</v>
          </cell>
          <cell r="N522" t="str">
            <v/>
          </cell>
          <cell r="O522" t="str">
            <v>2025/10/21</v>
          </cell>
        </row>
        <row r="523">
          <cell r="C523" t="str">
            <v>GL501691</v>
          </cell>
          <cell r="D523" t="str">
            <v>美洲区</v>
          </cell>
          <cell r="E523" t="str">
            <v>FL 佛州大区</v>
          </cell>
          <cell r="F523" t="str">
            <v>MIA.H</v>
          </cell>
          <cell r="G523" t="str">
            <v>分拣组</v>
          </cell>
          <cell r="H523" t="str">
            <v/>
          </cell>
          <cell r="I523" t="str">
            <v/>
          </cell>
          <cell r="J523" t="str">
            <v/>
          </cell>
          <cell r="K523" t="str">
            <v>分拣组</v>
          </cell>
          <cell r="L523" t="str">
            <v>Sorting Lead 分拣组长</v>
          </cell>
          <cell r="M523" t="str">
            <v>P2-1</v>
          </cell>
          <cell r="N523" t="str">
            <v/>
          </cell>
          <cell r="O523" t="str">
            <v>2025/10/28</v>
          </cell>
        </row>
        <row r="524">
          <cell r="C524" t="str">
            <v>GL501141</v>
          </cell>
          <cell r="D524" t="str">
            <v>美洲区</v>
          </cell>
          <cell r="E524" t="str">
            <v>WE 美西大区</v>
          </cell>
          <cell r="F524" t="str">
            <v>CNO.H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>CNO.H</v>
          </cell>
          <cell r="L524" t="str">
            <v>Warehouse Clerk 仓库文员</v>
          </cell>
          <cell r="M524" t="str">
            <v>P1-1</v>
          </cell>
          <cell r="N524" t="str">
            <v/>
          </cell>
          <cell r="O524" t="str">
            <v>2025/07/29</v>
          </cell>
        </row>
        <row r="525">
          <cell r="C525" t="str">
            <v>GL500871</v>
          </cell>
          <cell r="D525" t="str">
            <v>美洲区</v>
          </cell>
          <cell r="E525" t="str">
            <v>WE 美西大区</v>
          </cell>
          <cell r="F525" t="str">
            <v>NC 北加片区</v>
          </cell>
          <cell r="G525" t="str">
            <v>SFO01</v>
          </cell>
          <cell r="H525" t="str">
            <v/>
          </cell>
          <cell r="I525" t="str">
            <v/>
          </cell>
          <cell r="J525" t="str">
            <v/>
          </cell>
          <cell r="K525" t="str">
            <v>SFO</v>
          </cell>
          <cell r="L525" t="str">
            <v>Warehouse Operator 操作员</v>
          </cell>
          <cell r="M525" t="str">
            <v>P1-1</v>
          </cell>
          <cell r="N525" t="str">
            <v/>
          </cell>
          <cell r="O525" t="str">
            <v>2025/06/30</v>
          </cell>
        </row>
        <row r="526">
          <cell r="C526" t="str">
            <v>GL500633</v>
          </cell>
          <cell r="D526" t="str">
            <v>美洲区</v>
          </cell>
          <cell r="E526" t="str">
            <v>MS 中南大区</v>
          </cell>
          <cell r="F526" t="str">
            <v>CS 夏洛特及周边片区</v>
          </cell>
          <cell r="G526" t="str">
            <v>CLT01</v>
          </cell>
          <cell r="H526" t="str">
            <v/>
          </cell>
          <cell r="I526" t="str">
            <v/>
          </cell>
          <cell r="J526" t="str">
            <v/>
          </cell>
          <cell r="K526" t="str">
            <v>CLT.GSO</v>
          </cell>
          <cell r="L526" t="str">
            <v>Station Operations Specialist 站点运营专员</v>
          </cell>
          <cell r="M526" t="str">
            <v>P1-2</v>
          </cell>
          <cell r="N526" t="str">
            <v/>
          </cell>
          <cell r="O526" t="str">
            <v>2025/05/28</v>
          </cell>
        </row>
        <row r="527">
          <cell r="C527" t="str">
            <v>GL500379</v>
          </cell>
          <cell r="D527" t="str">
            <v>美洲区</v>
          </cell>
          <cell r="E527" t="str">
            <v>WE 美西大区</v>
          </cell>
          <cell r="F527" t="str">
            <v>运营支持部</v>
          </cell>
          <cell r="G527" t="str">
            <v>区域支持组</v>
          </cell>
          <cell r="H527" t="str">
            <v/>
          </cell>
          <cell r="I527" t="str">
            <v/>
          </cell>
          <cell r="J527" t="str">
            <v/>
          </cell>
          <cell r="K527" t="str">
            <v>区域支持组</v>
          </cell>
          <cell r="L527" t="str">
            <v>Regional Support Specialist 区域支持专员</v>
          </cell>
          <cell r="M527" t="str">
            <v>P1-2</v>
          </cell>
          <cell r="N527" t="str">
            <v/>
          </cell>
          <cell r="O527" t="str">
            <v>2024/08/26</v>
          </cell>
        </row>
        <row r="528">
          <cell r="C528" t="str">
            <v>GL500628</v>
          </cell>
          <cell r="D528" t="str">
            <v>欧洲区</v>
          </cell>
          <cell r="E528" t="str">
            <v>CS 客户服务部</v>
          </cell>
          <cell r="F528" t="str">
            <v>荷兰客户服务组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>荷兰在线呼叫组</v>
          </cell>
          <cell r="L528" t="str">
            <v>Junior CS Specialist 初级客服专员</v>
          </cell>
          <cell r="M528" t="str">
            <v>P1-2</v>
          </cell>
          <cell r="N528" t="str">
            <v/>
          </cell>
          <cell r="O528" t="str">
            <v>2025/05/27</v>
          </cell>
        </row>
        <row r="529">
          <cell r="C529" t="str">
            <v>GL501557</v>
          </cell>
          <cell r="D529" t="str">
            <v>欧洲区</v>
          </cell>
          <cell r="E529" t="str">
            <v>FR 法国区</v>
          </cell>
          <cell r="F529" t="str">
            <v>运输管理部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>运输管理部</v>
          </cell>
          <cell r="L529" t="str">
            <v>Transportation Specialist运输管理专员</v>
          </cell>
          <cell r="M529" t="str">
            <v>P1-2</v>
          </cell>
          <cell r="N529" t="str">
            <v/>
          </cell>
          <cell r="O529" t="str">
            <v>2025/10/06</v>
          </cell>
        </row>
        <row r="530">
          <cell r="C530" t="str">
            <v>GL501644</v>
          </cell>
          <cell r="D530" t="str">
            <v>欧洲区</v>
          </cell>
          <cell r="E530" t="str">
            <v>FR 法国区</v>
          </cell>
          <cell r="F530" t="str">
            <v>巴黎枢纽仓</v>
          </cell>
          <cell r="G530" t="str">
            <v>异常退件组</v>
          </cell>
          <cell r="H530" t="str">
            <v/>
          </cell>
          <cell r="I530" t="str">
            <v/>
          </cell>
          <cell r="J530" t="str">
            <v/>
          </cell>
          <cell r="K530" t="str">
            <v>异常退件组</v>
          </cell>
          <cell r="L530" t="str">
            <v>Warehouse Operator操作员</v>
          </cell>
          <cell r="M530" t="str">
            <v>P1-2</v>
          </cell>
          <cell r="N530" t="str">
            <v/>
          </cell>
          <cell r="O530" t="str">
            <v>2025/10/20</v>
          </cell>
        </row>
        <row r="531">
          <cell r="C531" t="str">
            <v>GL501042</v>
          </cell>
          <cell r="D531" t="str">
            <v>欧洲区</v>
          </cell>
          <cell r="E531" t="str">
            <v>FR 法国区</v>
          </cell>
          <cell r="F531" t="str">
            <v>巴黎枢纽仓</v>
          </cell>
          <cell r="G531" t="str">
            <v>运营支持组</v>
          </cell>
          <cell r="H531" t="str">
            <v>后勤保障组</v>
          </cell>
          <cell r="I531" t="str">
            <v/>
          </cell>
          <cell r="J531" t="str">
            <v/>
          </cell>
          <cell r="K531" t="str">
            <v>后勤保障组</v>
          </cell>
          <cell r="L531" t="str">
            <v>Logistics Support Specialist后勤保障专员</v>
          </cell>
          <cell r="M531" t="str">
            <v>P1-2</v>
          </cell>
          <cell r="N531" t="str">
            <v/>
          </cell>
          <cell r="O531" t="str">
            <v>2025/07/21</v>
          </cell>
        </row>
        <row r="532">
          <cell r="C532" t="str">
            <v>GL500045</v>
          </cell>
          <cell r="D532" t="str">
            <v>欧洲区</v>
          </cell>
          <cell r="E532" t="str">
            <v>FR 法国区</v>
          </cell>
          <cell r="F532" t="str">
            <v>终端管理部</v>
          </cell>
          <cell r="G532" t="str">
            <v>终端寻源组</v>
          </cell>
          <cell r="H532" t="str">
            <v/>
          </cell>
          <cell r="I532" t="str">
            <v/>
          </cell>
          <cell r="J532" t="str">
            <v/>
          </cell>
          <cell r="K532" t="str">
            <v>终端寻源组</v>
          </cell>
          <cell r="L532" t="str">
            <v>Terminal Sourcing Specialist终端寻源专员</v>
          </cell>
          <cell r="M532" t="str">
            <v>P1-2</v>
          </cell>
          <cell r="N532" t="str">
            <v/>
          </cell>
          <cell r="O532" t="str">
            <v>2025/04/24</v>
          </cell>
        </row>
        <row r="533">
          <cell r="C533" t="str">
            <v>GL500344</v>
          </cell>
          <cell r="D533" t="str">
            <v>美洲区</v>
          </cell>
          <cell r="E533" t="str">
            <v>CS 客户服务部</v>
          </cell>
          <cell r="F533" t="str">
            <v>消费者客服组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>消费者客服组</v>
          </cell>
          <cell r="L533" t="str">
            <v>Consumer Customer Service Supervisor 消费者客服组主管</v>
          </cell>
          <cell r="M533" t="str">
            <v>P2-2</v>
          </cell>
          <cell r="N533" t="str">
            <v/>
          </cell>
          <cell r="O533" t="str">
            <v>2024/12/02</v>
          </cell>
        </row>
        <row r="534">
          <cell r="C534" t="str">
            <v>GL501199</v>
          </cell>
          <cell r="D534" t="str">
            <v>美洲区</v>
          </cell>
          <cell r="E534" t="str">
            <v>WE 美西大区</v>
          </cell>
          <cell r="F534" t="str">
            <v>CNO.H</v>
          </cell>
          <cell r="G534" t="str">
            <v>装卸组</v>
          </cell>
          <cell r="H534" t="str">
            <v/>
          </cell>
          <cell r="I534" t="str">
            <v/>
          </cell>
          <cell r="J534" t="str">
            <v/>
          </cell>
          <cell r="K534" t="str">
            <v>装卸组</v>
          </cell>
          <cell r="L534" t="str">
            <v>Warehouse Operator 操作员</v>
          </cell>
          <cell r="M534" t="str">
            <v>P1-1</v>
          </cell>
          <cell r="N534" t="str">
            <v/>
          </cell>
          <cell r="O534" t="str">
            <v>2025/08/06</v>
          </cell>
        </row>
        <row r="535">
          <cell r="C535" t="str">
            <v>GL501383</v>
          </cell>
          <cell r="D535" t="str">
            <v>美洲区</v>
          </cell>
          <cell r="E535" t="str">
            <v>WE 美西大区</v>
          </cell>
          <cell r="F535" t="str">
            <v>SC 南加片区</v>
          </cell>
          <cell r="G535" t="str">
            <v>LAX01</v>
          </cell>
          <cell r="H535" t="str">
            <v/>
          </cell>
          <cell r="I535" t="str">
            <v/>
          </cell>
          <cell r="J535" t="str">
            <v/>
          </cell>
          <cell r="K535" t="str">
            <v>LAX.SAN</v>
          </cell>
          <cell r="L535" t="str">
            <v>Warehouse Operator 操作员</v>
          </cell>
          <cell r="M535" t="str">
            <v>P1-1</v>
          </cell>
          <cell r="N535" t="str">
            <v/>
          </cell>
          <cell r="O535" t="str">
            <v>2025/08/28</v>
          </cell>
        </row>
        <row r="536">
          <cell r="C536" t="str">
            <v>GL500737</v>
          </cell>
          <cell r="D536" t="str">
            <v>美洲区</v>
          </cell>
          <cell r="E536" t="str">
            <v>WE 美西大区</v>
          </cell>
          <cell r="F536" t="str">
            <v>LAV.H</v>
          </cell>
          <cell r="G536" t="str">
            <v>调度组</v>
          </cell>
          <cell r="H536" t="str">
            <v/>
          </cell>
          <cell r="I536" t="str">
            <v/>
          </cell>
          <cell r="J536" t="str">
            <v/>
          </cell>
          <cell r="K536" t="str">
            <v>调度组</v>
          </cell>
          <cell r="L536" t="str">
            <v>Dispatcher 调度员</v>
          </cell>
          <cell r="M536" t="str">
            <v>P1-2</v>
          </cell>
          <cell r="N536" t="str">
            <v/>
          </cell>
          <cell r="O536" t="str">
            <v>2025/06/16</v>
          </cell>
        </row>
        <row r="537">
          <cell r="C537" t="str">
            <v>GL500065</v>
          </cell>
          <cell r="D537" t="str">
            <v>美洲区</v>
          </cell>
          <cell r="E537" t="str">
            <v>NE 东北大区</v>
          </cell>
          <cell r="F537" t="str">
            <v>NY 纽约片区</v>
          </cell>
          <cell r="G537" t="str">
            <v>JFK01</v>
          </cell>
          <cell r="H537" t="str">
            <v/>
          </cell>
          <cell r="I537" t="str">
            <v/>
          </cell>
          <cell r="J537" t="str">
            <v/>
          </cell>
          <cell r="K537" t="str">
            <v>JFK</v>
          </cell>
          <cell r="L537" t="str">
            <v>Station Operations Specialist 站点运营专员</v>
          </cell>
          <cell r="M537" t="str">
            <v>P1-3</v>
          </cell>
          <cell r="N537" t="str">
            <v/>
          </cell>
          <cell r="O537" t="str">
            <v>2025/04/21</v>
          </cell>
        </row>
        <row r="538">
          <cell r="C538" t="str">
            <v>GL501320</v>
          </cell>
          <cell r="D538" t="str">
            <v>美洲区</v>
          </cell>
          <cell r="E538" t="str">
            <v>GL 大湖大区</v>
          </cell>
          <cell r="F538" t="str">
            <v>WG 西大湖片区</v>
          </cell>
          <cell r="G538" t="str">
            <v>ORD01</v>
          </cell>
          <cell r="H538" t="str">
            <v/>
          </cell>
          <cell r="I538" t="str">
            <v/>
          </cell>
          <cell r="J538" t="str">
            <v/>
          </cell>
          <cell r="K538" t="str">
            <v>ORD</v>
          </cell>
          <cell r="L538" t="str">
            <v>Station Operations Specialist 站点运营专员</v>
          </cell>
          <cell r="M538" t="str">
            <v>P1-3</v>
          </cell>
          <cell r="N538" t="str">
            <v/>
          </cell>
          <cell r="O538" t="str">
            <v>2025/09/02</v>
          </cell>
        </row>
        <row r="539">
          <cell r="C539" t="str">
            <v>GL501315</v>
          </cell>
          <cell r="D539" t="str">
            <v>美洲区</v>
          </cell>
          <cell r="E539" t="str">
            <v>WE 美西大区</v>
          </cell>
          <cell r="F539" t="str">
            <v>SC 南加片区</v>
          </cell>
          <cell r="G539" t="str">
            <v>LAX01</v>
          </cell>
          <cell r="H539" t="str">
            <v/>
          </cell>
          <cell r="I539" t="str">
            <v/>
          </cell>
          <cell r="J539" t="str">
            <v/>
          </cell>
          <cell r="K539" t="str">
            <v>LAX.SAN</v>
          </cell>
          <cell r="L539" t="str">
            <v>Station Operations Specialist 站点运营专员</v>
          </cell>
          <cell r="M539" t="str">
            <v>P1-1</v>
          </cell>
          <cell r="N539" t="str">
            <v/>
          </cell>
          <cell r="O539" t="str">
            <v>2025/09/08</v>
          </cell>
        </row>
        <row r="540">
          <cell r="C540" t="str">
            <v>GL501661</v>
          </cell>
          <cell r="D540" t="str">
            <v>美洲区</v>
          </cell>
          <cell r="E540" t="str">
            <v>Ground项目部</v>
          </cell>
          <cell r="F540" t="str">
            <v>OG 美西区</v>
          </cell>
          <cell r="G540" t="str">
            <v>PT972</v>
          </cell>
          <cell r="H540" t="str">
            <v/>
          </cell>
          <cell r="I540" t="str">
            <v/>
          </cell>
          <cell r="J540" t="str">
            <v/>
          </cell>
          <cell r="K540" t="str">
            <v>PD972</v>
          </cell>
          <cell r="L540" t="str">
            <v>Station Head 站长</v>
          </cell>
          <cell r="M540" t="str">
            <v>P2-1</v>
          </cell>
          <cell r="N540" t="str">
            <v/>
          </cell>
          <cell r="O540" t="str">
            <v>2025/10/16</v>
          </cell>
        </row>
        <row r="541">
          <cell r="C541" t="str">
            <v>GL501590</v>
          </cell>
          <cell r="D541" t="str">
            <v>美洲区</v>
          </cell>
          <cell r="E541" t="str">
            <v>TX 德州大区</v>
          </cell>
          <cell r="F541" t="str">
            <v>DFW.H</v>
          </cell>
          <cell r="G541" t="str">
            <v>调度组</v>
          </cell>
          <cell r="H541" t="str">
            <v/>
          </cell>
          <cell r="I541" t="str">
            <v/>
          </cell>
          <cell r="J541" t="str">
            <v/>
          </cell>
          <cell r="K541" t="str">
            <v>调度组</v>
          </cell>
          <cell r="L541" t="str">
            <v>Dispatcher 调度员</v>
          </cell>
          <cell r="M541" t="str">
            <v>P1-2</v>
          </cell>
          <cell r="N541" t="str">
            <v/>
          </cell>
          <cell r="O541" t="str">
            <v>2025/10/16</v>
          </cell>
        </row>
        <row r="542">
          <cell r="C542" t="str">
            <v>GL500376</v>
          </cell>
          <cell r="D542" t="str">
            <v>美洲区</v>
          </cell>
          <cell r="E542" t="str">
            <v>PR 波多黎各区</v>
          </cell>
          <cell r="F542" t="str">
            <v>SJU.H</v>
          </cell>
          <cell r="G542" t="str">
            <v>分拣组</v>
          </cell>
          <cell r="H542" t="str">
            <v/>
          </cell>
          <cell r="I542" t="str">
            <v/>
          </cell>
          <cell r="J542" t="str">
            <v/>
          </cell>
          <cell r="K542" t="str">
            <v>分拣组</v>
          </cell>
          <cell r="L542" t="str">
            <v>Sorting Lead 分拣组长</v>
          </cell>
          <cell r="M542" t="str">
            <v>P1-3</v>
          </cell>
          <cell r="N542" t="str">
            <v/>
          </cell>
          <cell r="O542" t="str">
            <v>2024/06/24</v>
          </cell>
        </row>
        <row r="543">
          <cell r="C543" t="str">
            <v>GL500393</v>
          </cell>
          <cell r="D543" t="str">
            <v>美洲区</v>
          </cell>
          <cell r="E543" t="str">
            <v>PR 波多黎各区</v>
          </cell>
          <cell r="F543" t="str">
            <v>SJU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>SJU</v>
          </cell>
          <cell r="L543" t="str">
            <v>Station Operations Specialist 站点运营专员</v>
          </cell>
          <cell r="M543" t="str">
            <v>P1-1</v>
          </cell>
          <cell r="N543" t="str">
            <v/>
          </cell>
          <cell r="O543" t="str">
            <v>2024/09/28</v>
          </cell>
        </row>
        <row r="544">
          <cell r="C544" t="str">
            <v>GL501178</v>
          </cell>
          <cell r="D544" t="str">
            <v>美洲区</v>
          </cell>
          <cell r="E544" t="str">
            <v>MS 中南大区</v>
          </cell>
          <cell r="F544" t="str">
            <v>揽收部</v>
          </cell>
          <cell r="G544" t="str">
            <v>揽收支持组</v>
          </cell>
          <cell r="H544" t="str">
            <v/>
          </cell>
          <cell r="I544" t="str">
            <v/>
          </cell>
          <cell r="J544" t="str">
            <v/>
          </cell>
          <cell r="K544" t="str">
            <v>揽收支持组</v>
          </cell>
          <cell r="L544" t="str">
            <v>Pickup Support Specialist 揽收支持专员</v>
          </cell>
          <cell r="M544" t="str">
            <v>P1-2</v>
          </cell>
          <cell r="N544" t="str">
            <v/>
          </cell>
          <cell r="O544" t="str">
            <v>2025/08/04</v>
          </cell>
        </row>
        <row r="545">
          <cell r="C545" t="str">
            <v>GL500064</v>
          </cell>
          <cell r="D545" t="str">
            <v>美洲区</v>
          </cell>
          <cell r="E545" t="str">
            <v>FL 佛州大区</v>
          </cell>
          <cell r="F545" t="str">
            <v>MIA.H</v>
          </cell>
          <cell r="G545" t="str">
            <v>分拣组</v>
          </cell>
          <cell r="H545" t="str">
            <v/>
          </cell>
          <cell r="I545" t="str">
            <v/>
          </cell>
          <cell r="J545" t="str">
            <v/>
          </cell>
          <cell r="K545" t="str">
            <v>分拣组</v>
          </cell>
          <cell r="L545" t="str">
            <v>Sorter 分拣员</v>
          </cell>
          <cell r="M545" t="str">
            <v>P1-1</v>
          </cell>
          <cell r="N545" t="str">
            <v/>
          </cell>
          <cell r="O545" t="str">
            <v>2025/04/15</v>
          </cell>
        </row>
        <row r="546">
          <cell r="C546" t="str">
            <v>GL500061</v>
          </cell>
          <cell r="D546" t="str">
            <v>欧洲区</v>
          </cell>
          <cell r="E546" t="str">
            <v>FR 法国区</v>
          </cell>
          <cell r="F546" t="str">
            <v>巴黎战区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>巴黎战区</v>
          </cell>
          <cell r="L546" t="str">
            <v>Terminal Specialist终端专员</v>
          </cell>
          <cell r="M546" t="str">
            <v>P1-2</v>
          </cell>
          <cell r="N546" t="str">
            <v/>
          </cell>
          <cell r="O546" t="str">
            <v>2025/04/22</v>
          </cell>
        </row>
        <row r="547">
          <cell r="C547" t="str">
            <v>GL500536</v>
          </cell>
          <cell r="D547" t="str">
            <v>欧洲区</v>
          </cell>
          <cell r="E547" t="str">
            <v>FR 法国区</v>
          </cell>
          <cell r="F547" t="str">
            <v>西部战区</v>
          </cell>
          <cell r="G547" t="str">
            <v>南特-NTE</v>
          </cell>
          <cell r="H547" t="str">
            <v/>
          </cell>
          <cell r="I547" t="str">
            <v/>
          </cell>
          <cell r="J547" t="str">
            <v/>
          </cell>
          <cell r="K547" t="str">
            <v>南特-NTE</v>
          </cell>
          <cell r="L547" t="str">
            <v>Warehouse Operator操作员</v>
          </cell>
          <cell r="M547" t="str">
            <v>P1-1</v>
          </cell>
          <cell r="N547" t="str">
            <v/>
          </cell>
          <cell r="O547" t="str">
            <v>2025/05/14</v>
          </cell>
        </row>
        <row r="548">
          <cell r="C548" t="str">
            <v>GL501643</v>
          </cell>
          <cell r="D548" t="str">
            <v>欧洲区</v>
          </cell>
          <cell r="E548" t="str">
            <v>FR 法国区</v>
          </cell>
          <cell r="F548" t="str">
            <v>巴黎枢纽仓</v>
          </cell>
          <cell r="G548" t="str">
            <v>设备分拣组</v>
          </cell>
          <cell r="H548" t="str">
            <v/>
          </cell>
          <cell r="I548" t="str">
            <v/>
          </cell>
          <cell r="J548" t="str">
            <v/>
          </cell>
          <cell r="K548" t="str">
            <v>设备分拣组</v>
          </cell>
          <cell r="L548" t="str">
            <v>Warehouse Operator操作员</v>
          </cell>
          <cell r="M548" t="str">
            <v>P1-1</v>
          </cell>
          <cell r="N548" t="str">
            <v/>
          </cell>
          <cell r="O548" t="str">
            <v>2025/10/20</v>
          </cell>
        </row>
        <row r="549">
          <cell r="C549" t="str">
            <v>GL500807</v>
          </cell>
          <cell r="D549" t="str">
            <v>美洲区</v>
          </cell>
          <cell r="E549" t="str">
            <v>WE 美西大区</v>
          </cell>
          <cell r="F549" t="str">
            <v>CNO.H</v>
          </cell>
          <cell r="G549" t="str">
            <v>分拣组</v>
          </cell>
          <cell r="H549" t="str">
            <v/>
          </cell>
          <cell r="I549" t="str">
            <v/>
          </cell>
          <cell r="J549" t="str">
            <v/>
          </cell>
          <cell r="K549" t="str">
            <v>分拣组</v>
          </cell>
          <cell r="L549" t="str">
            <v>Sorting Lead 分拣组长</v>
          </cell>
          <cell r="M549" t="str">
            <v>P1-3</v>
          </cell>
          <cell r="N549" t="str">
            <v/>
          </cell>
          <cell r="O549" t="str">
            <v>2025/07/01</v>
          </cell>
        </row>
        <row r="550">
          <cell r="C550" t="str">
            <v>GL501503</v>
          </cell>
          <cell r="D550" t="str">
            <v>美洲区</v>
          </cell>
          <cell r="E550" t="str">
            <v>NE 东北大区</v>
          </cell>
          <cell r="F550" t="str">
            <v>EWR.H</v>
          </cell>
          <cell r="G550" t="str">
            <v>调度组</v>
          </cell>
          <cell r="H550" t="str">
            <v/>
          </cell>
          <cell r="I550" t="str">
            <v/>
          </cell>
          <cell r="J550" t="str">
            <v/>
          </cell>
          <cell r="K550" t="str">
            <v>调度组</v>
          </cell>
          <cell r="L550" t="str">
            <v>Dispatcher 调度员</v>
          </cell>
          <cell r="M550" t="str">
            <v>P1-2</v>
          </cell>
          <cell r="N550" t="str">
            <v/>
          </cell>
          <cell r="O550" t="str">
            <v>2025/09/24</v>
          </cell>
        </row>
        <row r="551">
          <cell r="C551" t="str">
            <v>GL501376</v>
          </cell>
          <cell r="D551" t="str">
            <v>欧洲区</v>
          </cell>
          <cell r="E551" t="str">
            <v>FR 法国区</v>
          </cell>
          <cell r="F551" t="str">
            <v>巴黎枢纽仓</v>
          </cell>
          <cell r="G551" t="str">
            <v>异常退件组</v>
          </cell>
          <cell r="H551" t="str">
            <v/>
          </cell>
          <cell r="I551" t="str">
            <v/>
          </cell>
          <cell r="J551" t="str">
            <v/>
          </cell>
          <cell r="K551" t="str">
            <v>异常退件组</v>
          </cell>
          <cell r="L551" t="str">
            <v>Warehouse Operator操作员</v>
          </cell>
          <cell r="M551" t="str">
            <v>P1-1</v>
          </cell>
          <cell r="N551" t="str">
            <v/>
          </cell>
          <cell r="O551" t="str">
            <v>2025/09/08</v>
          </cell>
        </row>
        <row r="552">
          <cell r="C552" t="str">
            <v>GL501452</v>
          </cell>
          <cell r="D552" t="str">
            <v>欧洲区</v>
          </cell>
          <cell r="E552" t="str">
            <v>FR 法国区</v>
          </cell>
          <cell r="F552" t="str">
            <v>巴黎战区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>巴黎战区</v>
          </cell>
          <cell r="L552" t="str">
            <v>Terminal Specialist终端专员</v>
          </cell>
          <cell r="M552" t="str">
            <v>P1-2</v>
          </cell>
          <cell r="N552" t="str">
            <v/>
          </cell>
          <cell r="O552" t="str">
            <v>2025/09/23</v>
          </cell>
        </row>
        <row r="553">
          <cell r="C553" t="str">
            <v>GL501514</v>
          </cell>
          <cell r="D553" t="str">
            <v>美洲区</v>
          </cell>
          <cell r="E553" t="str">
            <v>WE 美西大区</v>
          </cell>
          <cell r="F553" t="str">
            <v>CNO.H</v>
          </cell>
          <cell r="G553" t="str">
            <v>操作组</v>
          </cell>
          <cell r="H553" t="str">
            <v/>
          </cell>
          <cell r="I553" t="str">
            <v/>
          </cell>
          <cell r="J553" t="str">
            <v/>
          </cell>
          <cell r="K553" t="str">
            <v>操作组</v>
          </cell>
          <cell r="L553" t="str">
            <v>Warehouse Operator 操作员</v>
          </cell>
          <cell r="M553" t="str">
            <v>P1-2</v>
          </cell>
          <cell r="N553" t="str">
            <v/>
          </cell>
          <cell r="O553" t="str">
            <v>2025/09/29</v>
          </cell>
        </row>
        <row r="554">
          <cell r="C554" t="str">
            <v>GL500728</v>
          </cell>
          <cell r="D554" t="str">
            <v>美洲区</v>
          </cell>
          <cell r="E554" t="str">
            <v>FL 佛州大区</v>
          </cell>
          <cell r="F554" t="str">
            <v>MIA.H</v>
          </cell>
          <cell r="G554" t="str">
            <v>调度组</v>
          </cell>
          <cell r="H554" t="str">
            <v/>
          </cell>
          <cell r="I554" t="str">
            <v/>
          </cell>
          <cell r="J554" t="str">
            <v/>
          </cell>
          <cell r="K554" t="str">
            <v>调度组</v>
          </cell>
          <cell r="L554" t="str">
            <v>Dispatcher 调度员</v>
          </cell>
          <cell r="M554" t="str">
            <v>P1-2</v>
          </cell>
          <cell r="N554" t="str">
            <v/>
          </cell>
          <cell r="O554" t="str">
            <v>2025/06/09</v>
          </cell>
        </row>
        <row r="555">
          <cell r="C555" t="str">
            <v>GL500722</v>
          </cell>
          <cell r="D555" t="str">
            <v>欧洲区</v>
          </cell>
          <cell r="E555" t="str">
            <v>FR 法国区</v>
          </cell>
          <cell r="F555" t="str">
            <v>巴黎枢纽仓</v>
          </cell>
          <cell r="G555" t="str">
            <v>异常退件组</v>
          </cell>
          <cell r="H555" t="str">
            <v/>
          </cell>
          <cell r="I555" t="str">
            <v/>
          </cell>
          <cell r="J555" t="str">
            <v/>
          </cell>
          <cell r="K555" t="str">
            <v>异常退件组</v>
          </cell>
          <cell r="L555" t="str">
            <v>Warehouse Operator操作员</v>
          </cell>
          <cell r="M555" t="str">
            <v>P1-1</v>
          </cell>
          <cell r="N555" t="str">
            <v/>
          </cell>
          <cell r="O555" t="str">
            <v>2025/06/20</v>
          </cell>
        </row>
        <row r="556">
          <cell r="C556" t="str">
            <v>GL500545</v>
          </cell>
          <cell r="D556" t="str">
            <v>美洲区</v>
          </cell>
          <cell r="E556" t="str">
            <v>US人力资源部</v>
          </cell>
          <cell r="F556" t="str">
            <v>美洲HRBP组</v>
          </cell>
          <cell r="G556" t="str">
            <v>东北区HR组</v>
          </cell>
          <cell r="H556" t="str">
            <v/>
          </cell>
          <cell r="I556" t="str">
            <v/>
          </cell>
          <cell r="J556" t="str">
            <v/>
          </cell>
          <cell r="K556" t="str">
            <v>东北区HR组</v>
          </cell>
          <cell r="L556" t="str">
            <v>Recruitment Assistant 招聘助理</v>
          </cell>
          <cell r="M556" t="str">
            <v>P1-1</v>
          </cell>
          <cell r="N556" t="str">
            <v/>
          </cell>
          <cell r="O556" t="str">
            <v>2025/05/13</v>
          </cell>
        </row>
        <row r="557">
          <cell r="C557" t="str">
            <v>GL501005</v>
          </cell>
          <cell r="D557" t="str">
            <v>美洲区</v>
          </cell>
          <cell r="E557" t="str">
            <v>FL 佛州大区</v>
          </cell>
          <cell r="F557" t="str">
            <v>MCO.H</v>
          </cell>
          <cell r="G557" t="str">
            <v>分拣组</v>
          </cell>
          <cell r="H557" t="str">
            <v/>
          </cell>
          <cell r="I557" t="str">
            <v/>
          </cell>
          <cell r="J557" t="str">
            <v/>
          </cell>
          <cell r="K557" t="str">
            <v>分拣组</v>
          </cell>
          <cell r="L557" t="str">
            <v>Sorter 分拣员</v>
          </cell>
          <cell r="M557" t="str">
            <v>P1-1</v>
          </cell>
          <cell r="N557" t="str">
            <v/>
          </cell>
          <cell r="O557" t="str">
            <v>2025/06/18</v>
          </cell>
        </row>
        <row r="558">
          <cell r="C558" t="str">
            <v>GL501050</v>
          </cell>
          <cell r="D558" t="str">
            <v>美洲区</v>
          </cell>
          <cell r="E558" t="str">
            <v>TX 德州大区</v>
          </cell>
          <cell r="F558" t="str">
            <v>NT 北德州片区</v>
          </cell>
          <cell r="G558" t="str">
            <v>DFW01</v>
          </cell>
          <cell r="H558" t="str">
            <v/>
          </cell>
          <cell r="I558" t="str">
            <v/>
          </cell>
          <cell r="J558" t="str">
            <v/>
          </cell>
          <cell r="K558" t="str">
            <v>DFW</v>
          </cell>
          <cell r="L558" t="str">
            <v>Station Operations Specialist 站点运营专员</v>
          </cell>
          <cell r="M558" t="str">
            <v>P1-3</v>
          </cell>
          <cell r="N558" t="str">
            <v/>
          </cell>
          <cell r="O558" t="str">
            <v>2025/07/21</v>
          </cell>
        </row>
        <row r="559">
          <cell r="C559" t="str">
            <v>GL500962</v>
          </cell>
          <cell r="D559" t="str">
            <v>美洲区</v>
          </cell>
          <cell r="E559" t="str">
            <v>FL 佛州大区</v>
          </cell>
          <cell r="F559" t="str">
            <v>MIA.H</v>
          </cell>
          <cell r="G559" t="str">
            <v>二程管理组</v>
          </cell>
          <cell r="H559" t="str">
            <v/>
          </cell>
          <cell r="I559" t="str">
            <v/>
          </cell>
          <cell r="J559" t="str">
            <v/>
          </cell>
          <cell r="K559" t="str">
            <v>PR二程管理组</v>
          </cell>
          <cell r="L559" t="str">
            <v>Second-leg air freight Lead 二程发货组长</v>
          </cell>
          <cell r="M559" t="str">
            <v>P1-3</v>
          </cell>
          <cell r="N559" t="str">
            <v/>
          </cell>
          <cell r="O559" t="str">
            <v>2025/07/03</v>
          </cell>
        </row>
        <row r="560">
          <cell r="C560" t="str">
            <v>GL501530</v>
          </cell>
          <cell r="D560" t="str">
            <v>美洲区</v>
          </cell>
          <cell r="E560" t="str">
            <v>US人力资源部</v>
          </cell>
          <cell r="F560" t="str">
            <v>美洲HRBP组</v>
          </cell>
          <cell r="G560" t="str">
            <v>佛州区HR组</v>
          </cell>
          <cell r="H560" t="str">
            <v/>
          </cell>
          <cell r="I560" t="str">
            <v/>
          </cell>
          <cell r="J560" t="str">
            <v/>
          </cell>
          <cell r="K560" t="str">
            <v>佛州区HR组</v>
          </cell>
          <cell r="L560" t="str">
            <v>HRBP Supervisor HRBP主管</v>
          </cell>
          <cell r="M560" t="str">
            <v>P2-2</v>
          </cell>
          <cell r="N560" t="str">
            <v/>
          </cell>
          <cell r="O560" t="str">
            <v>2025/09/29</v>
          </cell>
        </row>
        <row r="561">
          <cell r="C561" t="str">
            <v>GL501258</v>
          </cell>
          <cell r="D561" t="str">
            <v>美洲区</v>
          </cell>
          <cell r="E561" t="str">
            <v>TX 德州大区</v>
          </cell>
          <cell r="F561" t="str">
            <v>DFW.H</v>
          </cell>
          <cell r="G561" t="str">
            <v>分拣组</v>
          </cell>
          <cell r="H561" t="str">
            <v/>
          </cell>
          <cell r="I561" t="str">
            <v/>
          </cell>
          <cell r="J561" t="str">
            <v/>
          </cell>
          <cell r="K561" t="str">
            <v>分拣组</v>
          </cell>
          <cell r="L561" t="str">
            <v>Sorter 分拣员</v>
          </cell>
          <cell r="M561" t="str">
            <v>P1-2</v>
          </cell>
          <cell r="N561" t="str">
            <v/>
          </cell>
          <cell r="O561" t="str">
            <v>2025/08/18</v>
          </cell>
        </row>
        <row r="562">
          <cell r="C562" t="str">
            <v>GL500525</v>
          </cell>
          <cell r="D562" t="str">
            <v>美洲区</v>
          </cell>
          <cell r="E562" t="str">
            <v>WE 美西大区</v>
          </cell>
          <cell r="F562" t="str">
            <v>LAV.H</v>
          </cell>
          <cell r="G562" t="str">
            <v>装卸组</v>
          </cell>
          <cell r="H562" t="str">
            <v/>
          </cell>
          <cell r="I562" t="str">
            <v/>
          </cell>
          <cell r="J562" t="str">
            <v/>
          </cell>
          <cell r="K562" t="str">
            <v>装卸组</v>
          </cell>
          <cell r="L562" t="str">
            <v>Warehouse Operator 操作员</v>
          </cell>
          <cell r="M562" t="str">
            <v>P1-1</v>
          </cell>
          <cell r="N562" t="str">
            <v/>
          </cell>
          <cell r="O562" t="str">
            <v>2025/05/15</v>
          </cell>
        </row>
        <row r="563">
          <cell r="C563" t="str">
            <v>GL500709</v>
          </cell>
          <cell r="D563" t="str">
            <v>欧洲区</v>
          </cell>
          <cell r="E563" t="str">
            <v>IT 意大利区</v>
          </cell>
          <cell r="F563" t="str">
            <v>米兰枢纽仓</v>
          </cell>
          <cell r="G563" t="str">
            <v>人工分拣组</v>
          </cell>
          <cell r="H563" t="str">
            <v/>
          </cell>
          <cell r="I563" t="str">
            <v/>
          </cell>
          <cell r="J563" t="str">
            <v/>
          </cell>
          <cell r="K563" t="str">
            <v>人工分拣组</v>
          </cell>
          <cell r="L563" t="str">
            <v>Warehouse Lead操作组长</v>
          </cell>
          <cell r="M563" t="str">
            <v>P1-3</v>
          </cell>
          <cell r="N563" t="str">
            <v/>
          </cell>
          <cell r="O563" t="str">
            <v>2025/06/16</v>
          </cell>
        </row>
        <row r="564">
          <cell r="C564" t="str">
            <v>GL500838</v>
          </cell>
          <cell r="D564" t="str">
            <v>美洲区</v>
          </cell>
          <cell r="E564" t="str">
            <v>WE 美西大区</v>
          </cell>
          <cell r="F564" t="str">
            <v>CNO.H</v>
          </cell>
          <cell r="G564" t="str">
            <v>调度组</v>
          </cell>
          <cell r="H564" t="str">
            <v/>
          </cell>
          <cell r="I564" t="str">
            <v/>
          </cell>
          <cell r="J564" t="str">
            <v/>
          </cell>
          <cell r="K564" t="str">
            <v>调度组</v>
          </cell>
          <cell r="L564" t="str">
            <v>Dispatch Lead 调度组长</v>
          </cell>
          <cell r="M564" t="str">
            <v>P2-2</v>
          </cell>
          <cell r="N564" t="str">
            <v/>
          </cell>
          <cell r="O564" t="str">
            <v>2025/07/07</v>
          </cell>
        </row>
        <row r="565">
          <cell r="C565" t="str">
            <v>GL500109</v>
          </cell>
          <cell r="D565" t="str">
            <v>欧洲区</v>
          </cell>
          <cell r="E565" t="str">
            <v>FR 法国区</v>
          </cell>
          <cell r="F565" t="str">
            <v>南部战区</v>
          </cell>
          <cell r="G565" t="str">
            <v>图卢兹-TLS</v>
          </cell>
          <cell r="H565" t="str">
            <v/>
          </cell>
          <cell r="I565" t="str">
            <v/>
          </cell>
          <cell r="J565" t="str">
            <v/>
          </cell>
          <cell r="K565" t="str">
            <v>图卢兹-TLS</v>
          </cell>
          <cell r="L565" t="str">
            <v>Terminal Specialist终端专员</v>
          </cell>
          <cell r="M565" t="str">
            <v>P1-1</v>
          </cell>
          <cell r="N565" t="str">
            <v/>
          </cell>
          <cell r="O565" t="str">
            <v>2025/04/07</v>
          </cell>
        </row>
        <row r="566">
          <cell r="C566" t="str">
            <v>GL500077</v>
          </cell>
          <cell r="D566" t="str">
            <v>欧洲区</v>
          </cell>
          <cell r="E566" t="str">
            <v>FR 法国区</v>
          </cell>
          <cell r="F566" t="str">
            <v>西部战区</v>
          </cell>
          <cell r="G566" t="str">
            <v>波尔多-BDX</v>
          </cell>
          <cell r="H566" t="str">
            <v/>
          </cell>
          <cell r="I566" t="str">
            <v/>
          </cell>
          <cell r="J566" t="str">
            <v/>
          </cell>
          <cell r="K566" t="str">
            <v>波尔多-BDX</v>
          </cell>
          <cell r="L566" t="str">
            <v>Warehouse Operator操作员</v>
          </cell>
          <cell r="M566" t="str">
            <v>P1-1</v>
          </cell>
          <cell r="N566" t="str">
            <v/>
          </cell>
          <cell r="O566" t="str">
            <v>2025/04/14</v>
          </cell>
        </row>
        <row r="567">
          <cell r="C567" t="str">
            <v>GL500638</v>
          </cell>
          <cell r="D567" t="str">
            <v>美洲区</v>
          </cell>
          <cell r="E567" t="str">
            <v>NE 东北大区</v>
          </cell>
          <cell r="F567" t="str">
            <v>DC 华盛顿片区</v>
          </cell>
          <cell r="G567" t="str">
            <v>BWI01</v>
          </cell>
          <cell r="H567" t="str">
            <v/>
          </cell>
          <cell r="I567" t="str">
            <v/>
          </cell>
          <cell r="J567" t="str">
            <v/>
          </cell>
          <cell r="K567" t="str">
            <v>IAD.BWI</v>
          </cell>
          <cell r="L567" t="str">
            <v>Station Operations Specialist 站点运营专员</v>
          </cell>
          <cell r="M567" t="str">
            <v>P1-2</v>
          </cell>
          <cell r="N567" t="str">
            <v/>
          </cell>
          <cell r="O567" t="str">
            <v>2025/05/26</v>
          </cell>
        </row>
        <row r="568">
          <cell r="C568" t="str">
            <v>GL500068</v>
          </cell>
          <cell r="D568" t="str">
            <v>美洲区</v>
          </cell>
          <cell r="E568" t="str">
            <v>NE 东北大区</v>
          </cell>
          <cell r="F568" t="str">
            <v>PA 宾州片区</v>
          </cell>
          <cell r="G568" t="str">
            <v>PIT01</v>
          </cell>
          <cell r="H568" t="str">
            <v/>
          </cell>
          <cell r="I568" t="str">
            <v/>
          </cell>
          <cell r="J568" t="str">
            <v/>
          </cell>
          <cell r="K568" t="str">
            <v>PIT</v>
          </cell>
          <cell r="L568" t="str">
            <v>Station Operations Specialist 站点运营专员</v>
          </cell>
          <cell r="M568" t="str">
            <v>P1-3</v>
          </cell>
          <cell r="N568" t="str">
            <v/>
          </cell>
          <cell r="O568" t="str">
            <v>2025/04/22</v>
          </cell>
        </row>
        <row r="569">
          <cell r="C569" t="str">
            <v>GL500911</v>
          </cell>
          <cell r="D569" t="str">
            <v>美洲区</v>
          </cell>
          <cell r="E569" t="str">
            <v>NE 东北大区</v>
          </cell>
          <cell r="F569" t="str">
            <v>EWR.H</v>
          </cell>
          <cell r="G569" t="str">
            <v>异常处理组</v>
          </cell>
          <cell r="H569" t="str">
            <v/>
          </cell>
          <cell r="I569" t="str">
            <v/>
          </cell>
          <cell r="J569" t="str">
            <v/>
          </cell>
          <cell r="K569" t="str">
            <v>退件组</v>
          </cell>
          <cell r="L569" t="str">
            <v>Returns Specialist 退件员</v>
          </cell>
          <cell r="M569" t="str">
            <v>P1-1</v>
          </cell>
          <cell r="N569" t="str">
            <v/>
          </cell>
          <cell r="O569" t="str">
            <v>2025/06/30</v>
          </cell>
        </row>
        <row r="570">
          <cell r="C570" t="str">
            <v>GL501389</v>
          </cell>
          <cell r="D570" t="str">
            <v>欧洲区</v>
          </cell>
          <cell r="E570" t="str">
            <v>IT 意大利区</v>
          </cell>
          <cell r="F570" t="str">
            <v>米兰枢纽仓</v>
          </cell>
          <cell r="G570" t="str">
            <v>人工分拣组</v>
          </cell>
          <cell r="H570" t="str">
            <v/>
          </cell>
          <cell r="I570" t="str">
            <v/>
          </cell>
          <cell r="J570" t="str">
            <v/>
          </cell>
          <cell r="K570" t="str">
            <v>分拣组</v>
          </cell>
          <cell r="L570" t="str">
            <v>Warehouse Operator操作员</v>
          </cell>
          <cell r="M570" t="str">
            <v>P1-1</v>
          </cell>
          <cell r="N570" t="str">
            <v/>
          </cell>
          <cell r="O570" t="str">
            <v>2025/09/15</v>
          </cell>
        </row>
        <row r="571">
          <cell r="C571" t="str">
            <v>GL501023</v>
          </cell>
          <cell r="D571" t="str">
            <v>欧洲区</v>
          </cell>
          <cell r="E571" t="str">
            <v>CS 客户服务部</v>
          </cell>
          <cell r="F571" t="str">
            <v>荷兰客户服务组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>荷兰在线呼叫组</v>
          </cell>
          <cell r="L571" t="str">
            <v>Junior CS Specialist 初级客服专员</v>
          </cell>
          <cell r="M571" t="str">
            <v>P1-2</v>
          </cell>
          <cell r="N571" t="str">
            <v/>
          </cell>
          <cell r="O571" t="str">
            <v>2025/07/16</v>
          </cell>
        </row>
        <row r="572">
          <cell r="C572" t="str">
            <v>GL501334</v>
          </cell>
          <cell r="D572" t="str">
            <v>美洲区</v>
          </cell>
          <cell r="E572" t="str">
            <v>MS 中南大区</v>
          </cell>
          <cell r="F572" t="str">
            <v>BN 田纳西和北阿拉巴马片区</v>
          </cell>
          <cell r="G572" t="str">
            <v>BNA01</v>
          </cell>
          <cell r="H572" t="str">
            <v/>
          </cell>
          <cell r="I572" t="str">
            <v/>
          </cell>
          <cell r="J572" t="str">
            <v/>
          </cell>
          <cell r="K572" t="str">
            <v>BNA.TYS</v>
          </cell>
          <cell r="L572" t="str">
            <v>Station Operations Specialist 站点运营专员</v>
          </cell>
          <cell r="M572" t="str">
            <v>P1-2</v>
          </cell>
          <cell r="N572" t="str">
            <v/>
          </cell>
          <cell r="O572" t="str">
            <v>2025/09/01</v>
          </cell>
        </row>
        <row r="573">
          <cell r="C573" t="str">
            <v>GL501205</v>
          </cell>
          <cell r="D573" t="str">
            <v>美洲区</v>
          </cell>
          <cell r="E573" t="str">
            <v>BM 品牌市场部</v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>BM 品牌市场部</v>
          </cell>
          <cell r="L573" t="str">
            <v>Marketing Specialist 市场专员</v>
          </cell>
          <cell r="M573" t="str">
            <v>P1-2</v>
          </cell>
          <cell r="N573" t="str">
            <v/>
          </cell>
          <cell r="O573" t="str">
            <v>2025/08/06</v>
          </cell>
        </row>
        <row r="574">
          <cell r="C574" t="str">
            <v>GL501484</v>
          </cell>
          <cell r="D574" t="str">
            <v>美洲区</v>
          </cell>
          <cell r="E574" t="str">
            <v>MS 中南大区</v>
          </cell>
          <cell r="F574" t="str">
            <v>ATL.H</v>
          </cell>
          <cell r="G574" t="str">
            <v>调度组</v>
          </cell>
          <cell r="H574" t="str">
            <v/>
          </cell>
          <cell r="I574" t="str">
            <v/>
          </cell>
          <cell r="J574" t="str">
            <v/>
          </cell>
          <cell r="K574" t="str">
            <v>调度组</v>
          </cell>
          <cell r="L574" t="str">
            <v>Dispatcher 调度员</v>
          </cell>
          <cell r="M574" t="str">
            <v>P1-2</v>
          </cell>
          <cell r="N574" t="str">
            <v/>
          </cell>
          <cell r="O574" t="str">
            <v>2025/09/25</v>
          </cell>
        </row>
        <row r="575">
          <cell r="C575" t="str">
            <v>GL501317</v>
          </cell>
          <cell r="D575" t="str">
            <v>美洲区</v>
          </cell>
          <cell r="E575" t="str">
            <v>NE 东北大区</v>
          </cell>
          <cell r="F575" t="str">
            <v>DC 华盛顿片区</v>
          </cell>
          <cell r="G575" t="str">
            <v>RIC01</v>
          </cell>
          <cell r="H575" t="str">
            <v/>
          </cell>
          <cell r="I575" t="str">
            <v/>
          </cell>
          <cell r="J575" t="str">
            <v/>
          </cell>
          <cell r="K575" t="str">
            <v>RIC</v>
          </cell>
          <cell r="L575" t="str">
            <v>Station Operations Specialist 站点运营专员</v>
          </cell>
          <cell r="M575" t="str">
            <v>P1-1</v>
          </cell>
          <cell r="N575" t="str">
            <v/>
          </cell>
          <cell r="O575" t="str">
            <v>2025/09/29</v>
          </cell>
        </row>
        <row r="576">
          <cell r="C576" t="str">
            <v>GL501577</v>
          </cell>
          <cell r="D576" t="str">
            <v>欧洲区</v>
          </cell>
          <cell r="E576" t="str">
            <v>FR 法国区</v>
          </cell>
          <cell r="F576" t="str">
            <v>巴黎枢纽仓</v>
          </cell>
          <cell r="G576" t="str">
            <v>人工分拣组</v>
          </cell>
          <cell r="H576" t="str">
            <v/>
          </cell>
          <cell r="I576" t="str">
            <v/>
          </cell>
          <cell r="J576" t="str">
            <v/>
          </cell>
          <cell r="K576" t="str">
            <v>人工分拣组</v>
          </cell>
          <cell r="L576" t="str">
            <v>Warehouse Operator操作员</v>
          </cell>
          <cell r="M576" t="str">
            <v>P1-2</v>
          </cell>
          <cell r="N576" t="str">
            <v/>
          </cell>
          <cell r="O576" t="str">
            <v>2025/10/07</v>
          </cell>
        </row>
        <row r="577">
          <cell r="C577" t="str">
            <v>GL500671</v>
          </cell>
          <cell r="D577" t="str">
            <v>美洲区</v>
          </cell>
          <cell r="E577" t="str">
            <v>GL 大湖大区</v>
          </cell>
          <cell r="F577" t="str">
            <v>WG 西大湖片区</v>
          </cell>
          <cell r="G577" t="str">
            <v>ORD01</v>
          </cell>
          <cell r="H577" t="str">
            <v/>
          </cell>
          <cell r="I577" t="str">
            <v/>
          </cell>
          <cell r="J577" t="str">
            <v/>
          </cell>
          <cell r="K577" t="str">
            <v>ORD</v>
          </cell>
          <cell r="L577" t="str">
            <v>Station Operations Specialist 站点运营专员</v>
          </cell>
          <cell r="M577" t="str">
            <v>P2-1</v>
          </cell>
          <cell r="N577" t="str">
            <v/>
          </cell>
          <cell r="O577" t="str">
            <v>2025/05/30</v>
          </cell>
        </row>
        <row r="578">
          <cell r="C578" t="str">
            <v>GL501224</v>
          </cell>
          <cell r="D578" t="str">
            <v>美洲区</v>
          </cell>
          <cell r="E578" t="str">
            <v>NE 东北大区</v>
          </cell>
          <cell r="F578" t="str">
            <v>运营支持部</v>
          </cell>
          <cell r="G578" t="str">
            <v>区域支持组</v>
          </cell>
          <cell r="H578" t="str">
            <v/>
          </cell>
          <cell r="I578" t="str">
            <v/>
          </cell>
          <cell r="J578" t="str">
            <v/>
          </cell>
          <cell r="K578" t="str">
            <v>区域支持组</v>
          </cell>
          <cell r="L578" t="str">
            <v>Regional Support Specialist 区域支持专员</v>
          </cell>
          <cell r="M578" t="str">
            <v>P1-2</v>
          </cell>
          <cell r="N578" t="str">
            <v/>
          </cell>
          <cell r="O578" t="str">
            <v>2025/09/08</v>
          </cell>
        </row>
        <row r="579">
          <cell r="C579" t="str">
            <v>GL501277</v>
          </cell>
          <cell r="D579" t="str">
            <v>美洲区</v>
          </cell>
          <cell r="E579" t="str">
            <v>TX 德州大区</v>
          </cell>
          <cell r="F579" t="str">
            <v>IAH.H</v>
          </cell>
          <cell r="G579" t="str">
            <v>调度组</v>
          </cell>
          <cell r="H579" t="str">
            <v/>
          </cell>
          <cell r="I579" t="str">
            <v/>
          </cell>
          <cell r="J579" t="str">
            <v/>
          </cell>
          <cell r="K579" t="str">
            <v>调度组</v>
          </cell>
          <cell r="L579" t="str">
            <v>Dispatcher 调度员</v>
          </cell>
          <cell r="M579" t="str">
            <v>P1-2</v>
          </cell>
          <cell r="N579" t="str">
            <v/>
          </cell>
          <cell r="O579" t="str">
            <v>2025/08/19</v>
          </cell>
        </row>
        <row r="580">
          <cell r="C580" t="str">
            <v>GL501404</v>
          </cell>
          <cell r="D580" t="str">
            <v>美洲区</v>
          </cell>
          <cell r="E580" t="str">
            <v>MS 中南大区</v>
          </cell>
          <cell r="F580" t="str">
            <v>ATL.H</v>
          </cell>
          <cell r="G580" t="str">
            <v>操作组</v>
          </cell>
          <cell r="H580" t="str">
            <v/>
          </cell>
          <cell r="I580" t="str">
            <v/>
          </cell>
          <cell r="J580" t="str">
            <v/>
          </cell>
          <cell r="K580" t="str">
            <v>操作组</v>
          </cell>
          <cell r="L580" t="str">
            <v>Warehouse Operator 操作员</v>
          </cell>
          <cell r="M580" t="str">
            <v>P1-2</v>
          </cell>
          <cell r="N580" t="str">
            <v/>
          </cell>
          <cell r="O580" t="str">
            <v>2025/09/09</v>
          </cell>
        </row>
        <row r="581">
          <cell r="C581" t="str">
            <v>GL501450</v>
          </cell>
          <cell r="D581" t="str">
            <v>美洲区</v>
          </cell>
          <cell r="E581" t="str">
            <v>TX 德州大区</v>
          </cell>
          <cell r="F581" t="str">
            <v>DFW.H</v>
          </cell>
          <cell r="G581" t="str">
            <v>分拣组</v>
          </cell>
          <cell r="H581" t="str">
            <v/>
          </cell>
          <cell r="I581" t="str">
            <v/>
          </cell>
          <cell r="J581" t="str">
            <v/>
          </cell>
          <cell r="K581" t="str">
            <v>分拣组</v>
          </cell>
          <cell r="L581" t="str">
            <v>Sorter 分拣员</v>
          </cell>
          <cell r="M581" t="str">
            <v>P1-2</v>
          </cell>
          <cell r="N581" t="str">
            <v/>
          </cell>
          <cell r="O581" t="str">
            <v>2025/09/22</v>
          </cell>
        </row>
        <row r="582">
          <cell r="C582" t="str">
            <v>GL501528</v>
          </cell>
          <cell r="D582" t="str">
            <v>欧洲区</v>
          </cell>
          <cell r="E582" t="str">
            <v>IT 意大利区</v>
          </cell>
          <cell r="F582" t="str">
            <v>米兰枢纽仓</v>
          </cell>
          <cell r="G582" t="str">
            <v>支线出库组</v>
          </cell>
          <cell r="H582" t="str">
            <v/>
          </cell>
          <cell r="I582" t="str">
            <v/>
          </cell>
          <cell r="J582" t="str">
            <v/>
          </cell>
          <cell r="K582" t="str">
            <v>出库组</v>
          </cell>
          <cell r="L582" t="str">
            <v>Warehouse Operator操作员</v>
          </cell>
          <cell r="M582" t="str">
            <v>P1-2</v>
          </cell>
          <cell r="N582" t="str">
            <v/>
          </cell>
          <cell r="O582" t="str">
            <v>2025/10/06</v>
          </cell>
        </row>
        <row r="583">
          <cell r="C583" t="str">
            <v>GL501535</v>
          </cell>
          <cell r="D583" t="str">
            <v>欧洲区</v>
          </cell>
          <cell r="E583" t="str">
            <v>FR 法国区</v>
          </cell>
          <cell r="F583" t="str">
            <v>巴黎战区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>巴黎战区</v>
          </cell>
          <cell r="L583" t="str">
            <v>Terminal Specialist终端专员</v>
          </cell>
          <cell r="M583" t="str">
            <v>P1-2</v>
          </cell>
          <cell r="N583" t="str">
            <v/>
          </cell>
          <cell r="O583" t="str">
            <v>2025/10/01</v>
          </cell>
        </row>
        <row r="584">
          <cell r="C584" t="str">
            <v>GL500157</v>
          </cell>
          <cell r="D584" t="str">
            <v>美洲区</v>
          </cell>
          <cell r="E584" t="str">
            <v>FL 佛州大区</v>
          </cell>
          <cell r="F584" t="str">
            <v>WF 西佛片区</v>
          </cell>
          <cell r="G584" t="str">
            <v>TPA01</v>
          </cell>
          <cell r="H584" t="str">
            <v/>
          </cell>
          <cell r="I584" t="str">
            <v/>
          </cell>
          <cell r="J584" t="str">
            <v/>
          </cell>
          <cell r="K584" t="str">
            <v>TPA</v>
          </cell>
          <cell r="L584" t="str">
            <v>Station Operations Specialist 站点运营专员</v>
          </cell>
          <cell r="M584" t="str">
            <v>P2-1</v>
          </cell>
          <cell r="N584" t="str">
            <v/>
          </cell>
          <cell r="O584" t="str">
            <v>2025/03/12</v>
          </cell>
        </row>
        <row r="585">
          <cell r="C585" t="str">
            <v>GL501112</v>
          </cell>
          <cell r="D585" t="str">
            <v>美洲区</v>
          </cell>
          <cell r="E585" t="str">
            <v>NE 东北大区</v>
          </cell>
          <cell r="F585" t="str">
            <v>DC 华盛顿片区</v>
          </cell>
          <cell r="G585" t="str">
            <v>PHL01</v>
          </cell>
          <cell r="H585" t="str">
            <v/>
          </cell>
          <cell r="I585" t="str">
            <v/>
          </cell>
          <cell r="J585" t="str">
            <v/>
          </cell>
          <cell r="K585" t="str">
            <v>PHL</v>
          </cell>
          <cell r="L585" t="str">
            <v>Station Operations Specialist 站点运营专员</v>
          </cell>
          <cell r="M585" t="str">
            <v>P1-2</v>
          </cell>
          <cell r="N585" t="str">
            <v/>
          </cell>
          <cell r="O585" t="str">
            <v>2025/08/20</v>
          </cell>
        </row>
        <row r="586">
          <cell r="C586" t="str">
            <v>GL501304</v>
          </cell>
          <cell r="D586" t="str">
            <v>美洲区</v>
          </cell>
          <cell r="E586" t="str">
            <v>NE 东北大区</v>
          </cell>
          <cell r="F586" t="str">
            <v>MA 新英格兰片区</v>
          </cell>
          <cell r="G586" t="str">
            <v>PVD01</v>
          </cell>
          <cell r="H586" t="str">
            <v/>
          </cell>
          <cell r="I586" t="str">
            <v/>
          </cell>
          <cell r="J586" t="str">
            <v/>
          </cell>
          <cell r="K586" t="str">
            <v>PVD</v>
          </cell>
          <cell r="L586" t="str">
            <v>Station Operations Specialist 站点运营专员</v>
          </cell>
          <cell r="M586" t="str">
            <v>P1-1</v>
          </cell>
          <cell r="N586" t="str">
            <v/>
          </cell>
          <cell r="O586" t="str">
            <v>2025/08/25</v>
          </cell>
        </row>
        <row r="587">
          <cell r="C587" t="str">
            <v>GL501056</v>
          </cell>
          <cell r="D587" t="str">
            <v>美洲区</v>
          </cell>
          <cell r="E587" t="str">
            <v>FL 佛州大区</v>
          </cell>
          <cell r="F587" t="str">
            <v>MIA.H</v>
          </cell>
          <cell r="G587" t="str">
            <v>操作组</v>
          </cell>
          <cell r="H587" t="str">
            <v/>
          </cell>
          <cell r="I587" t="str">
            <v/>
          </cell>
          <cell r="J587" t="str">
            <v/>
          </cell>
          <cell r="K587" t="str">
            <v>操作组</v>
          </cell>
          <cell r="L587" t="str">
            <v>Warehouse Operator 操作员</v>
          </cell>
          <cell r="M587" t="str">
            <v>P1-2</v>
          </cell>
          <cell r="N587" t="str">
            <v/>
          </cell>
          <cell r="O587" t="str">
            <v>2025/07/22</v>
          </cell>
        </row>
        <row r="588">
          <cell r="C588" t="str">
            <v>GL501353</v>
          </cell>
          <cell r="D588" t="str">
            <v>美洲区</v>
          </cell>
          <cell r="E588" t="str">
            <v>FL 佛州大区</v>
          </cell>
          <cell r="F588" t="str">
            <v>MIA.H</v>
          </cell>
          <cell r="G588" t="str">
            <v>二程管理组</v>
          </cell>
          <cell r="H588" t="str">
            <v/>
          </cell>
          <cell r="I588" t="str">
            <v/>
          </cell>
          <cell r="J588" t="str">
            <v/>
          </cell>
          <cell r="K588" t="str">
            <v>PR二程管理组</v>
          </cell>
          <cell r="L588" t="str">
            <v>Second-leg air freight Specialist 二程发货员</v>
          </cell>
          <cell r="M588" t="str">
            <v>P1-1</v>
          </cell>
          <cell r="N588" t="str">
            <v/>
          </cell>
          <cell r="O588" t="str">
            <v>2025/09/02</v>
          </cell>
        </row>
        <row r="589">
          <cell r="C589" t="str">
            <v>GL501279</v>
          </cell>
          <cell r="D589" t="str">
            <v>美洲区</v>
          </cell>
          <cell r="E589" t="str">
            <v>FL 佛州大区</v>
          </cell>
          <cell r="F589" t="str">
            <v>MCO.H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>MCO.H</v>
          </cell>
          <cell r="L589" t="str">
            <v>Hub Head 仓长</v>
          </cell>
          <cell r="M589" t="str">
            <v>M2-3</v>
          </cell>
          <cell r="N589" t="str">
            <v/>
          </cell>
          <cell r="O589" t="str">
            <v>2025/08/20</v>
          </cell>
        </row>
        <row r="590">
          <cell r="C590" t="str">
            <v>GL501417</v>
          </cell>
          <cell r="D590" t="str">
            <v>美洲区</v>
          </cell>
          <cell r="E590" t="str">
            <v>OM 操作管理部</v>
          </cell>
          <cell r="F590" t="str">
            <v>实施运营组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>实施运营组</v>
          </cell>
          <cell r="L590" t="str">
            <v>Implementation Operations Supervisor 实施运营主管</v>
          </cell>
          <cell r="M590" t="str">
            <v>P2-2</v>
          </cell>
          <cell r="N590" t="str">
            <v/>
          </cell>
          <cell r="O590" t="str">
            <v>2025/09/12</v>
          </cell>
        </row>
        <row r="591">
          <cell r="C591" t="str">
            <v>GL500652</v>
          </cell>
          <cell r="D591" t="str">
            <v>欧洲区</v>
          </cell>
          <cell r="E591" t="str">
            <v>FR 法国区</v>
          </cell>
          <cell r="F591" t="str">
            <v>操作管理部</v>
          </cell>
          <cell r="G591" t="str">
            <v>数据分析组</v>
          </cell>
          <cell r="H591" t="str">
            <v/>
          </cell>
          <cell r="I591" t="str">
            <v/>
          </cell>
          <cell r="J591" t="str">
            <v/>
          </cell>
          <cell r="K591" t="str">
            <v>数据分析组</v>
          </cell>
          <cell r="L591" t="str">
            <v>Data Analyst Specialist 数据分析专员</v>
          </cell>
          <cell r="M591" t="str">
            <v>P1-1</v>
          </cell>
          <cell r="N591" t="str">
            <v/>
          </cell>
          <cell r="O591" t="str">
            <v>2025/06/02</v>
          </cell>
        </row>
        <row r="592">
          <cell r="C592" t="str">
            <v>GL501381</v>
          </cell>
          <cell r="D592" t="str">
            <v>美洲区</v>
          </cell>
          <cell r="E592" t="str">
            <v>WE 美西大区</v>
          </cell>
          <cell r="F592" t="str">
            <v>LAV.H</v>
          </cell>
          <cell r="G592" t="str">
            <v>操作组</v>
          </cell>
          <cell r="H592" t="str">
            <v/>
          </cell>
          <cell r="I592" t="str">
            <v/>
          </cell>
          <cell r="J592" t="str">
            <v/>
          </cell>
          <cell r="K592" t="str">
            <v>操作组</v>
          </cell>
          <cell r="L592" t="str">
            <v>Warehouse Operator 操作员</v>
          </cell>
          <cell r="M592" t="str">
            <v>P1-1</v>
          </cell>
          <cell r="N592" t="str">
            <v/>
          </cell>
          <cell r="O592" t="str">
            <v>2025/08/22</v>
          </cell>
        </row>
        <row r="593">
          <cell r="C593" t="str">
            <v>GL500870</v>
          </cell>
          <cell r="D593" t="str">
            <v>美洲区</v>
          </cell>
          <cell r="E593" t="str">
            <v>GL 大湖大区</v>
          </cell>
          <cell r="F593" t="str">
            <v>运营支持部</v>
          </cell>
          <cell r="G593" t="str">
            <v>区域支持组</v>
          </cell>
          <cell r="H593" t="str">
            <v/>
          </cell>
          <cell r="I593" t="str">
            <v/>
          </cell>
          <cell r="J593" t="str">
            <v/>
          </cell>
          <cell r="K593" t="str">
            <v>区域支持组</v>
          </cell>
          <cell r="L593" t="str">
            <v>Regional Support Specialist 区域支持专员</v>
          </cell>
          <cell r="M593" t="str">
            <v>P1-3</v>
          </cell>
          <cell r="N593" t="str">
            <v/>
          </cell>
          <cell r="O593" t="str">
            <v>2025/07/21</v>
          </cell>
        </row>
        <row r="594">
          <cell r="C594" t="str">
            <v>GL500677</v>
          </cell>
          <cell r="D594" t="str">
            <v>美洲区</v>
          </cell>
          <cell r="E594" t="str">
            <v>TX 德州大区</v>
          </cell>
          <cell r="F594" t="str">
            <v>揽收部</v>
          </cell>
          <cell r="G594" t="str">
            <v>揽收调度组</v>
          </cell>
          <cell r="H594" t="str">
            <v/>
          </cell>
          <cell r="I594" t="str">
            <v/>
          </cell>
          <cell r="J594" t="str">
            <v/>
          </cell>
          <cell r="K594" t="str">
            <v>揽收调度组</v>
          </cell>
          <cell r="L594" t="str">
            <v>Pickup Dispatcher 揽收调度员</v>
          </cell>
          <cell r="M594" t="str">
            <v>P1-2</v>
          </cell>
          <cell r="N594" t="str">
            <v/>
          </cell>
          <cell r="O594" t="str">
            <v>2025/06/03</v>
          </cell>
        </row>
        <row r="595">
          <cell r="C595" t="str">
            <v>GL501118</v>
          </cell>
          <cell r="D595" t="str">
            <v>美洲区</v>
          </cell>
          <cell r="E595" t="str">
            <v>TX 德州大区</v>
          </cell>
          <cell r="F595" t="str">
            <v>IAH.H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>IAH.H</v>
          </cell>
          <cell r="L595" t="str">
            <v>Warehouse Clerk 仓库文员</v>
          </cell>
          <cell r="M595" t="str">
            <v>P1-2</v>
          </cell>
          <cell r="N595" t="str">
            <v/>
          </cell>
          <cell r="O595" t="str">
            <v>2025/07/28</v>
          </cell>
        </row>
        <row r="596">
          <cell r="C596" t="str">
            <v>GL500154</v>
          </cell>
          <cell r="D596" t="str">
            <v>欧洲区</v>
          </cell>
          <cell r="E596" t="str">
            <v>NL 荷兰区</v>
          </cell>
          <cell r="F596" t="str">
            <v>终端管理部</v>
          </cell>
          <cell r="G596" t="str">
            <v>数据分析组</v>
          </cell>
          <cell r="H596" t="str">
            <v/>
          </cell>
          <cell r="I596" t="str">
            <v/>
          </cell>
          <cell r="J596" t="str">
            <v/>
          </cell>
          <cell r="K596" t="str">
            <v>数据分析组</v>
          </cell>
          <cell r="L596" t="str">
            <v>Terminal  Specialist终端专员</v>
          </cell>
          <cell r="M596" t="str">
            <v>P1-3</v>
          </cell>
          <cell r="N596" t="str">
            <v/>
          </cell>
          <cell r="O596" t="str">
            <v>2025/03/17</v>
          </cell>
        </row>
        <row r="597">
          <cell r="C597" t="str">
            <v>GL500575</v>
          </cell>
          <cell r="D597" t="str">
            <v>美洲区</v>
          </cell>
          <cell r="E597" t="str">
            <v>Ground项目部</v>
          </cell>
          <cell r="F597" t="str">
            <v>OG 美西区</v>
          </cell>
          <cell r="G597" t="str">
            <v>LA917</v>
          </cell>
          <cell r="H597" t="str">
            <v/>
          </cell>
          <cell r="I597" t="str">
            <v/>
          </cell>
          <cell r="J597" t="str">
            <v/>
          </cell>
          <cell r="K597" t="str">
            <v>LA917</v>
          </cell>
          <cell r="L597" t="str">
            <v>Delivery Driver 司机</v>
          </cell>
          <cell r="M597" t="str">
            <v>P1-1</v>
          </cell>
          <cell r="N597" t="str">
            <v/>
          </cell>
          <cell r="O597" t="str">
            <v>2025/03/17</v>
          </cell>
        </row>
        <row r="598">
          <cell r="C598" t="str">
            <v>GL501272</v>
          </cell>
          <cell r="D598" t="str">
            <v>美洲区</v>
          </cell>
          <cell r="E598" t="str">
            <v>TX 德州大区</v>
          </cell>
          <cell r="F598" t="str">
            <v>IAH.H</v>
          </cell>
          <cell r="G598" t="str">
            <v>操作组</v>
          </cell>
          <cell r="H598" t="str">
            <v/>
          </cell>
          <cell r="I598" t="str">
            <v/>
          </cell>
          <cell r="J598" t="str">
            <v/>
          </cell>
          <cell r="K598" t="str">
            <v>操作组</v>
          </cell>
          <cell r="L598" t="str">
            <v>Warehouse Operator 操作员</v>
          </cell>
          <cell r="M598" t="str">
            <v>P1-2</v>
          </cell>
          <cell r="N598" t="str">
            <v/>
          </cell>
          <cell r="O598" t="str">
            <v>2025/09/15</v>
          </cell>
        </row>
        <row r="599">
          <cell r="C599" t="str">
            <v>GL501190</v>
          </cell>
          <cell r="D599" t="str">
            <v>美洲区</v>
          </cell>
          <cell r="E599" t="str">
            <v>NE 东北大区</v>
          </cell>
          <cell r="F599" t="str">
            <v>BN 布法罗片区</v>
          </cell>
          <cell r="G599" t="str">
            <v>ALB01</v>
          </cell>
          <cell r="H599" t="str">
            <v/>
          </cell>
          <cell r="I599" t="str">
            <v/>
          </cell>
          <cell r="J599" t="str">
            <v/>
          </cell>
          <cell r="K599" t="str">
            <v>ALB</v>
          </cell>
          <cell r="L599" t="str">
            <v>Station Operations Specialist 站点运营专员</v>
          </cell>
          <cell r="M599" t="str">
            <v>P1-2</v>
          </cell>
          <cell r="N599" t="str">
            <v/>
          </cell>
          <cell r="O599" t="str">
            <v>2025/08/08</v>
          </cell>
        </row>
        <row r="600">
          <cell r="C600" t="str">
            <v>GL500574</v>
          </cell>
          <cell r="D600" t="str">
            <v>美洲区</v>
          </cell>
          <cell r="E600" t="str">
            <v>Ground项目部</v>
          </cell>
          <cell r="F600" t="str">
            <v>OG 美西区</v>
          </cell>
          <cell r="G600" t="str">
            <v>CNO.G</v>
          </cell>
          <cell r="H600" t="str">
            <v/>
          </cell>
          <cell r="I600" t="str">
            <v/>
          </cell>
          <cell r="J600" t="str">
            <v/>
          </cell>
          <cell r="K600" t="str">
            <v>CNO.G</v>
          </cell>
          <cell r="L600" t="str">
            <v>Warehouse Lead 操作组长</v>
          </cell>
          <cell r="M600" t="str">
            <v>P1-1</v>
          </cell>
          <cell r="N600" t="str">
            <v/>
          </cell>
          <cell r="O600" t="str">
            <v>2025/03/17</v>
          </cell>
        </row>
        <row r="601">
          <cell r="C601" t="str">
            <v>GL501253</v>
          </cell>
          <cell r="D601" t="str">
            <v>美洲区</v>
          </cell>
          <cell r="E601" t="str">
            <v>FL 佛州大区</v>
          </cell>
          <cell r="F601" t="str">
            <v>WF 西佛片区</v>
          </cell>
          <cell r="G601" t="str">
            <v>FTM01</v>
          </cell>
          <cell r="H601" t="str">
            <v/>
          </cell>
          <cell r="I601" t="str">
            <v/>
          </cell>
          <cell r="J601" t="str">
            <v/>
          </cell>
          <cell r="K601" t="str">
            <v>FTM</v>
          </cell>
          <cell r="L601" t="str">
            <v>Station Operations Specialist 站点运营专员</v>
          </cell>
          <cell r="M601" t="str">
            <v>P1-1</v>
          </cell>
          <cell r="N601" t="str">
            <v/>
          </cell>
          <cell r="O601" t="str">
            <v>2025/08/14</v>
          </cell>
        </row>
        <row r="602">
          <cell r="C602" t="str">
            <v>GL501115</v>
          </cell>
          <cell r="D602" t="str">
            <v>美洲区</v>
          </cell>
          <cell r="E602" t="str">
            <v>US人力资源部</v>
          </cell>
          <cell r="F602" t="str">
            <v>美洲HRBP组</v>
          </cell>
          <cell r="G602" t="str">
            <v>佛州区HR组</v>
          </cell>
          <cell r="H602" t="str">
            <v/>
          </cell>
          <cell r="I602" t="str">
            <v/>
          </cell>
          <cell r="J602" t="str">
            <v/>
          </cell>
          <cell r="K602" t="str">
            <v>佛州区HR组</v>
          </cell>
          <cell r="L602" t="str">
            <v>HRBP Assistant HRBP助理</v>
          </cell>
          <cell r="M602" t="str">
            <v>P1-1</v>
          </cell>
          <cell r="N602" t="str">
            <v/>
          </cell>
          <cell r="O602" t="str">
            <v>2025/07/29</v>
          </cell>
        </row>
        <row r="603">
          <cell r="C603" t="str">
            <v>GL500253</v>
          </cell>
          <cell r="D603" t="str">
            <v>美洲区</v>
          </cell>
          <cell r="E603" t="str">
            <v>FL 佛州大区</v>
          </cell>
          <cell r="F603" t="str">
            <v>MIA.H</v>
          </cell>
          <cell r="G603" t="str">
            <v>调度组</v>
          </cell>
          <cell r="H603" t="str">
            <v/>
          </cell>
          <cell r="I603" t="str">
            <v/>
          </cell>
          <cell r="J603" t="str">
            <v/>
          </cell>
          <cell r="K603" t="str">
            <v>调度组</v>
          </cell>
          <cell r="L603" t="str">
            <v>Dispatch Lead 调度组长</v>
          </cell>
          <cell r="M603" t="str">
            <v>P1-3</v>
          </cell>
          <cell r="N603" t="str">
            <v/>
          </cell>
          <cell r="O603" t="str">
            <v>2025/01/20</v>
          </cell>
        </row>
        <row r="604">
          <cell r="C604" t="str">
            <v>GL500824</v>
          </cell>
          <cell r="D604" t="str">
            <v>美洲区</v>
          </cell>
          <cell r="E604" t="str">
            <v>FL 佛州大区</v>
          </cell>
          <cell r="F604" t="str">
            <v>MCO.H</v>
          </cell>
          <cell r="G604" t="str">
            <v>调度组</v>
          </cell>
          <cell r="H604" t="str">
            <v/>
          </cell>
          <cell r="I604" t="str">
            <v/>
          </cell>
          <cell r="J604" t="str">
            <v/>
          </cell>
          <cell r="K604" t="str">
            <v>调度组</v>
          </cell>
          <cell r="L604" t="str">
            <v>Dispatcher 调度员</v>
          </cell>
          <cell r="M604" t="str">
            <v>P1-2</v>
          </cell>
          <cell r="N604" t="str">
            <v/>
          </cell>
          <cell r="O604" t="str">
            <v>2025/06/17</v>
          </cell>
        </row>
        <row r="605">
          <cell r="C605" t="str">
            <v>GL500495</v>
          </cell>
          <cell r="D605" t="str">
            <v>欧洲区</v>
          </cell>
          <cell r="E605" t="str">
            <v>FR 法国区</v>
          </cell>
          <cell r="F605" t="str">
            <v>终端管理部</v>
          </cell>
          <cell r="G605" t="str">
            <v>终端寻源组</v>
          </cell>
          <cell r="H605" t="str">
            <v/>
          </cell>
          <cell r="I605" t="str">
            <v/>
          </cell>
          <cell r="J605" t="str">
            <v/>
          </cell>
          <cell r="K605" t="str">
            <v>终端寻源组</v>
          </cell>
          <cell r="L605" t="str">
            <v>Terminal Sourcing Supervisor
终端寻源主管</v>
          </cell>
          <cell r="M605" t="str">
            <v>P2-3</v>
          </cell>
          <cell r="N605" t="str">
            <v/>
          </cell>
          <cell r="O605" t="str">
            <v>2023/05/15</v>
          </cell>
        </row>
        <row r="606">
          <cell r="C606" t="str">
            <v>GL500703</v>
          </cell>
          <cell r="D606" t="str">
            <v>欧洲区</v>
          </cell>
          <cell r="E606" t="str">
            <v>FR 法国区</v>
          </cell>
          <cell r="F606" t="str">
            <v>巴黎枢纽仓</v>
          </cell>
          <cell r="G606" t="str">
            <v>干线出库组</v>
          </cell>
          <cell r="H606" t="str">
            <v/>
          </cell>
          <cell r="I606" t="str">
            <v/>
          </cell>
          <cell r="J606" t="str">
            <v/>
          </cell>
          <cell r="K606" t="str">
            <v>干线出库组</v>
          </cell>
          <cell r="L606" t="str">
            <v>Warehouse Operator操作员</v>
          </cell>
          <cell r="M606" t="str">
            <v>P1-2</v>
          </cell>
          <cell r="N606" t="str">
            <v/>
          </cell>
          <cell r="O606" t="str">
            <v>2025/06/01</v>
          </cell>
        </row>
        <row r="607">
          <cell r="C607" t="str">
            <v>GL500108</v>
          </cell>
          <cell r="D607" t="str">
            <v>欧洲区</v>
          </cell>
          <cell r="E607" t="str">
            <v>FR 法国区</v>
          </cell>
          <cell r="F607" t="str">
            <v>东部战区</v>
          </cell>
          <cell r="G607" t="str">
            <v>里昂-LYN</v>
          </cell>
          <cell r="H607" t="str">
            <v/>
          </cell>
          <cell r="I607" t="str">
            <v/>
          </cell>
          <cell r="J607" t="str">
            <v/>
          </cell>
          <cell r="K607" t="str">
            <v>里昂-LYN</v>
          </cell>
          <cell r="L607" t="str">
            <v>Warehouse Operator操作员</v>
          </cell>
          <cell r="M607" t="str">
            <v>P1-1</v>
          </cell>
          <cell r="N607" t="str">
            <v/>
          </cell>
          <cell r="O607" t="str">
            <v>2025/04/07</v>
          </cell>
        </row>
        <row r="608">
          <cell r="C608" t="str">
            <v>GL500679</v>
          </cell>
          <cell r="D608" t="str">
            <v>美洲区</v>
          </cell>
          <cell r="E608" t="str">
            <v>US人力资源部</v>
          </cell>
          <cell r="F608" t="str">
            <v>美洲HRBP组</v>
          </cell>
          <cell r="G608" t="str">
            <v>招聘组</v>
          </cell>
          <cell r="H608" t="str">
            <v/>
          </cell>
          <cell r="I608" t="str">
            <v/>
          </cell>
          <cell r="J608" t="str">
            <v/>
          </cell>
          <cell r="K608" t="str">
            <v>招聘组</v>
          </cell>
          <cell r="L608" t="str">
            <v>Recruitment Assistant 招聘助理</v>
          </cell>
          <cell r="M608" t="str">
            <v>P1-1</v>
          </cell>
          <cell r="N608" t="str">
            <v/>
          </cell>
          <cell r="O608" t="str">
            <v>2025/06/16</v>
          </cell>
        </row>
        <row r="609">
          <cell r="C609" t="str">
            <v>GL500712</v>
          </cell>
          <cell r="D609" t="str">
            <v>美洲区</v>
          </cell>
          <cell r="E609" t="str">
            <v>US人力资源部</v>
          </cell>
          <cell r="F609" t="str">
            <v>美洲HRBP组</v>
          </cell>
          <cell r="G609" t="str">
            <v>东北区HR组</v>
          </cell>
          <cell r="H609" t="str">
            <v/>
          </cell>
          <cell r="I609" t="str">
            <v/>
          </cell>
          <cell r="J609" t="str">
            <v/>
          </cell>
          <cell r="K609" t="str">
            <v>东北区HR组</v>
          </cell>
          <cell r="L609" t="str">
            <v>Recruitment Assistant 招聘助理</v>
          </cell>
          <cell r="M609" t="str">
            <v>P1-1</v>
          </cell>
          <cell r="N609" t="str">
            <v/>
          </cell>
          <cell r="O609" t="str">
            <v>2025/06/10</v>
          </cell>
        </row>
        <row r="610">
          <cell r="C610" t="str">
            <v>GL500592</v>
          </cell>
          <cell r="D610" t="str">
            <v>美洲区</v>
          </cell>
          <cell r="E610" t="str">
            <v>Ground项目部</v>
          </cell>
          <cell r="F610" t="str">
            <v>OG 美西区</v>
          </cell>
          <cell r="G610" t="str">
            <v>LA917</v>
          </cell>
          <cell r="H610" t="str">
            <v/>
          </cell>
          <cell r="I610" t="str">
            <v/>
          </cell>
          <cell r="J610" t="str">
            <v/>
          </cell>
          <cell r="K610" t="str">
            <v>LA917</v>
          </cell>
          <cell r="L610" t="str">
            <v>Delivery Driver 司机</v>
          </cell>
          <cell r="M610" t="str">
            <v>P1-1</v>
          </cell>
          <cell r="N610" t="str">
            <v/>
          </cell>
          <cell r="O610" t="str">
            <v>2024/12/30</v>
          </cell>
        </row>
        <row r="611">
          <cell r="C611" t="str">
            <v>GL500716</v>
          </cell>
          <cell r="D611" t="str">
            <v>欧洲区</v>
          </cell>
          <cell r="E611" t="str">
            <v>FR 法国区</v>
          </cell>
          <cell r="F611" t="str">
            <v>终端管理部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>终端管理部</v>
          </cell>
          <cell r="L611" t="str">
            <v>Terminal Supervisor终端主管</v>
          </cell>
          <cell r="M611" t="str">
            <v>P2-3</v>
          </cell>
          <cell r="N611" t="str">
            <v/>
          </cell>
          <cell r="O611" t="str">
            <v>2025/06/10</v>
          </cell>
        </row>
        <row r="612">
          <cell r="C612" t="str">
            <v>GL501271</v>
          </cell>
          <cell r="D612" t="str">
            <v>美洲区</v>
          </cell>
          <cell r="E612" t="str">
            <v>TX 德州大区</v>
          </cell>
          <cell r="F612" t="str">
            <v>IAH.H</v>
          </cell>
          <cell r="G612" t="str">
            <v>分拣组</v>
          </cell>
          <cell r="H612" t="str">
            <v/>
          </cell>
          <cell r="I612" t="str">
            <v/>
          </cell>
          <cell r="J612" t="str">
            <v/>
          </cell>
          <cell r="K612" t="str">
            <v>分拣组</v>
          </cell>
          <cell r="L612" t="str">
            <v>Sorter 分拣员</v>
          </cell>
          <cell r="M612" t="str">
            <v>P1-2</v>
          </cell>
          <cell r="N612" t="str">
            <v/>
          </cell>
          <cell r="O612" t="str">
            <v>2025/08/25</v>
          </cell>
        </row>
        <row r="613">
          <cell r="C613" t="str">
            <v>GL501234</v>
          </cell>
          <cell r="D613" t="str">
            <v>美洲区</v>
          </cell>
          <cell r="E613" t="str">
            <v>TX 德州大区</v>
          </cell>
          <cell r="F613" t="str">
            <v>IAH.H</v>
          </cell>
          <cell r="G613" t="str">
            <v>操作组</v>
          </cell>
          <cell r="H613" t="str">
            <v/>
          </cell>
          <cell r="I613" t="str">
            <v/>
          </cell>
          <cell r="J613" t="str">
            <v/>
          </cell>
          <cell r="K613" t="str">
            <v>操作组</v>
          </cell>
          <cell r="L613" t="str">
            <v>Warehouse Lead 操作组长</v>
          </cell>
          <cell r="M613" t="str">
            <v>P2-1</v>
          </cell>
          <cell r="N613" t="str">
            <v/>
          </cell>
          <cell r="O613" t="str">
            <v>2025/08/25</v>
          </cell>
        </row>
        <row r="614">
          <cell r="C614" t="str">
            <v>GL500789</v>
          </cell>
          <cell r="D614" t="str">
            <v>美洲区</v>
          </cell>
          <cell r="E614" t="str">
            <v>TX 德州大区</v>
          </cell>
          <cell r="F614" t="str">
            <v>IAH.H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>IAH.H</v>
          </cell>
          <cell r="L614" t="str">
            <v>Hub Head 仓长</v>
          </cell>
          <cell r="M614" t="str">
            <v>M2-3</v>
          </cell>
          <cell r="N614" t="str">
            <v/>
          </cell>
          <cell r="O614" t="str">
            <v>2025/06/23</v>
          </cell>
        </row>
        <row r="615">
          <cell r="C615" t="str">
            <v>GL500923</v>
          </cell>
          <cell r="D615" t="str">
            <v>美洲区</v>
          </cell>
          <cell r="E615" t="str">
            <v>TX 德州大区</v>
          </cell>
          <cell r="F615" t="str">
            <v>NT 北德州片区</v>
          </cell>
          <cell r="G615" t="str">
            <v>TUL01</v>
          </cell>
          <cell r="H615" t="str">
            <v/>
          </cell>
          <cell r="I615" t="str">
            <v/>
          </cell>
          <cell r="J615" t="str">
            <v/>
          </cell>
          <cell r="K615" t="str">
            <v>TUL</v>
          </cell>
          <cell r="L615" t="str">
            <v>Station Operations Specialist 站点运营专员</v>
          </cell>
          <cell r="M615" t="str">
            <v>P1-2</v>
          </cell>
          <cell r="N615" t="str">
            <v/>
          </cell>
          <cell r="O615" t="str">
            <v>2025/07/07</v>
          </cell>
        </row>
        <row r="616">
          <cell r="C616" t="str">
            <v>GL501473</v>
          </cell>
          <cell r="D616" t="str">
            <v>欧洲区</v>
          </cell>
          <cell r="E616" t="str">
            <v>FR 法国区</v>
          </cell>
          <cell r="F616" t="str">
            <v>巴黎枢纽仓</v>
          </cell>
          <cell r="G616" t="str">
            <v>巴黎出库组</v>
          </cell>
          <cell r="H616" t="str">
            <v/>
          </cell>
          <cell r="I616" t="str">
            <v/>
          </cell>
          <cell r="J616" t="str">
            <v/>
          </cell>
          <cell r="K616" t="str">
            <v>巴黎出库组</v>
          </cell>
          <cell r="L616" t="str">
            <v>Warehouse Operator操作员</v>
          </cell>
          <cell r="M616" t="str">
            <v>P1-2</v>
          </cell>
          <cell r="N616" t="str">
            <v/>
          </cell>
          <cell r="O616" t="str">
            <v>2025/09/22</v>
          </cell>
        </row>
        <row r="617">
          <cell r="C617" t="str">
            <v>GL500168</v>
          </cell>
          <cell r="D617" t="str">
            <v>欧洲区</v>
          </cell>
          <cell r="E617" t="str">
            <v>CS 客户服务部</v>
          </cell>
          <cell r="F617" t="str">
            <v>法国客户服务组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>法国在线呼叫组</v>
          </cell>
          <cell r="L617" t="str">
            <v>CS Assistant客服助理</v>
          </cell>
          <cell r="M617" t="str">
            <v>P1-1</v>
          </cell>
          <cell r="N617" t="str">
            <v/>
          </cell>
          <cell r="O617" t="str">
            <v>2025/03/05</v>
          </cell>
        </row>
        <row r="618">
          <cell r="C618" t="str">
            <v>GL501331</v>
          </cell>
          <cell r="D618" t="str">
            <v>美洲区</v>
          </cell>
          <cell r="E618" t="str">
            <v>AD 行政部</v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>AD 行政部</v>
          </cell>
          <cell r="L618" t="str">
            <v>Admin Supervisor 行政主管</v>
          </cell>
          <cell r="M618" t="str">
            <v>P2-2</v>
          </cell>
          <cell r="N618" t="str">
            <v/>
          </cell>
          <cell r="O618" t="str">
            <v>2025/09/02</v>
          </cell>
        </row>
        <row r="619">
          <cell r="C619" t="str">
            <v>GL501361</v>
          </cell>
          <cell r="D619" t="str">
            <v>美洲区</v>
          </cell>
          <cell r="E619" t="str">
            <v>WE 美西大区</v>
          </cell>
          <cell r="F619" t="str">
            <v>LAV.H</v>
          </cell>
          <cell r="G619" t="str">
            <v>调度组</v>
          </cell>
          <cell r="H619" t="str">
            <v/>
          </cell>
          <cell r="I619" t="str">
            <v/>
          </cell>
          <cell r="J619" t="str">
            <v/>
          </cell>
          <cell r="K619" t="str">
            <v>调度组</v>
          </cell>
          <cell r="L619" t="str">
            <v>Dispatcher 调度员</v>
          </cell>
          <cell r="M619" t="str">
            <v>P1-1</v>
          </cell>
          <cell r="N619" t="str">
            <v/>
          </cell>
          <cell r="O619" t="str">
            <v>2025/09/02</v>
          </cell>
        </row>
        <row r="620">
          <cell r="C620" t="str">
            <v>GL501451</v>
          </cell>
          <cell r="D620" t="str">
            <v>美洲区</v>
          </cell>
          <cell r="E620" t="str">
            <v>TX 德州大区</v>
          </cell>
          <cell r="F620" t="str">
            <v>DFW.H</v>
          </cell>
          <cell r="G620" t="str">
            <v>操作组</v>
          </cell>
          <cell r="H620" t="str">
            <v/>
          </cell>
          <cell r="I620" t="str">
            <v/>
          </cell>
          <cell r="J620" t="str">
            <v/>
          </cell>
          <cell r="K620" t="str">
            <v>操作组</v>
          </cell>
          <cell r="L620" t="str">
            <v>Warehouse Operator 操作员</v>
          </cell>
          <cell r="M620" t="str">
            <v>P1-3</v>
          </cell>
          <cell r="N620" t="str">
            <v/>
          </cell>
          <cell r="O620" t="str">
            <v>2025/09/23</v>
          </cell>
        </row>
        <row r="621">
          <cell r="C621" t="str">
            <v>GL501405</v>
          </cell>
          <cell r="D621" t="str">
            <v>美洲区</v>
          </cell>
          <cell r="E621" t="str">
            <v>TX 德州大区</v>
          </cell>
          <cell r="F621" t="str">
            <v>IAH.H</v>
          </cell>
          <cell r="G621" t="str">
            <v>操作组</v>
          </cell>
          <cell r="H621" t="str">
            <v/>
          </cell>
          <cell r="I621" t="str">
            <v/>
          </cell>
          <cell r="J621" t="str">
            <v/>
          </cell>
          <cell r="K621" t="str">
            <v>操作组</v>
          </cell>
          <cell r="L621" t="str">
            <v>Warehouse Operator 操作员</v>
          </cell>
          <cell r="M621" t="str">
            <v>P1-2</v>
          </cell>
          <cell r="N621" t="str">
            <v/>
          </cell>
          <cell r="O621" t="str">
            <v>2025/09/11</v>
          </cell>
        </row>
        <row r="622">
          <cell r="C622" t="str">
            <v>GL501183</v>
          </cell>
          <cell r="D622" t="str">
            <v>欧洲区</v>
          </cell>
          <cell r="E622" t="str">
            <v>IT 意大利区</v>
          </cell>
          <cell r="F622" t="str">
            <v>米兰枢纽仓</v>
          </cell>
          <cell r="G622" t="str">
            <v>理货入库组</v>
          </cell>
          <cell r="H622" t="str">
            <v/>
          </cell>
          <cell r="I622" t="str">
            <v/>
          </cell>
          <cell r="J622" t="str">
            <v/>
          </cell>
          <cell r="K622" t="str">
            <v>入库组</v>
          </cell>
          <cell r="L622" t="str">
            <v>Warehouse Lead操作组长</v>
          </cell>
          <cell r="M622" t="str">
            <v>P1-3</v>
          </cell>
          <cell r="N622" t="str">
            <v/>
          </cell>
          <cell r="O622" t="str">
            <v>2025/08/11</v>
          </cell>
        </row>
        <row r="623">
          <cell r="C623" t="str">
            <v>GL500897</v>
          </cell>
          <cell r="D623" t="str">
            <v>美洲区</v>
          </cell>
          <cell r="E623" t="str">
            <v>NE 东北大区</v>
          </cell>
          <cell r="F623" t="str">
            <v>MA 新英格兰片区</v>
          </cell>
          <cell r="G623" t="str">
            <v>PVD01</v>
          </cell>
          <cell r="H623" t="str">
            <v/>
          </cell>
          <cell r="I623" t="str">
            <v/>
          </cell>
          <cell r="J623" t="str">
            <v/>
          </cell>
          <cell r="K623" t="str">
            <v>PVD</v>
          </cell>
          <cell r="L623" t="str">
            <v>Station Operations Specialist 站点运营专员</v>
          </cell>
          <cell r="M623" t="str">
            <v>P1-2</v>
          </cell>
          <cell r="N623" t="str">
            <v/>
          </cell>
          <cell r="O623" t="str">
            <v>2025/07/07</v>
          </cell>
        </row>
        <row r="624">
          <cell r="C624" t="str">
            <v>GL500606</v>
          </cell>
          <cell r="D624" t="str">
            <v>美洲区</v>
          </cell>
          <cell r="E624" t="str">
            <v>GL 大湖大区</v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>GL 大湖区</v>
          </cell>
          <cell r="L624" t="str">
            <v>Deputy Regional Head 副区长</v>
          </cell>
          <cell r="M624" t="str">
            <v>M2-3</v>
          </cell>
          <cell r="N624" t="str">
            <v/>
          </cell>
          <cell r="O624" t="str">
            <v>2023/08/25</v>
          </cell>
        </row>
        <row r="625">
          <cell r="C625" t="str">
            <v>GL500345</v>
          </cell>
          <cell r="D625" t="str">
            <v>美洲区</v>
          </cell>
          <cell r="E625" t="str">
            <v>GL 大湖大区</v>
          </cell>
          <cell r="F625" t="str">
            <v>WG 西大湖片区</v>
          </cell>
          <cell r="G625" t="str">
            <v>ORD01</v>
          </cell>
          <cell r="H625" t="str">
            <v/>
          </cell>
          <cell r="I625" t="str">
            <v/>
          </cell>
          <cell r="J625" t="str">
            <v/>
          </cell>
          <cell r="K625" t="str">
            <v>ORD</v>
          </cell>
          <cell r="L625" t="str">
            <v>Station Head 站长</v>
          </cell>
          <cell r="M625" t="str">
            <v>M2-2</v>
          </cell>
          <cell r="N625" t="str">
            <v/>
          </cell>
          <cell r="O625" t="str">
            <v>2024/12/02</v>
          </cell>
        </row>
        <row r="626">
          <cell r="C626" t="str">
            <v>GL500714</v>
          </cell>
          <cell r="D626" t="str">
            <v>欧洲区</v>
          </cell>
          <cell r="E626" t="str">
            <v>FR 法国区</v>
          </cell>
          <cell r="F626" t="str">
            <v>东部战区</v>
          </cell>
          <cell r="G626" t="str">
            <v>梅斯-MTZ</v>
          </cell>
          <cell r="H626" t="str">
            <v/>
          </cell>
          <cell r="I626" t="str">
            <v/>
          </cell>
          <cell r="J626" t="str">
            <v/>
          </cell>
          <cell r="K626" t="str">
            <v>梅斯-MTZ</v>
          </cell>
          <cell r="L626" t="str">
            <v>Warehouse Operator操作员</v>
          </cell>
          <cell r="M626" t="str">
            <v>P1-1</v>
          </cell>
          <cell r="N626" t="str">
            <v/>
          </cell>
          <cell r="O626" t="str">
            <v>2025/06/10</v>
          </cell>
        </row>
        <row r="627">
          <cell r="C627" t="str">
            <v>GL501356</v>
          </cell>
          <cell r="D627" t="str">
            <v>美洲区</v>
          </cell>
          <cell r="E627" t="str">
            <v>TX 德州大区</v>
          </cell>
          <cell r="F627" t="str">
            <v>IAH.H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>IAH.H</v>
          </cell>
          <cell r="L627" t="str">
            <v>Deputy Hub Head 副仓长</v>
          </cell>
          <cell r="M627" t="str">
            <v>M2-2</v>
          </cell>
          <cell r="N627" t="str">
            <v/>
          </cell>
          <cell r="O627" t="str">
            <v>2025/09/08</v>
          </cell>
        </row>
        <row r="628">
          <cell r="C628" t="str">
            <v>GL501248</v>
          </cell>
          <cell r="D628" t="str">
            <v>美洲区</v>
          </cell>
          <cell r="E628" t="str">
            <v>FL 佛州大区</v>
          </cell>
          <cell r="F628" t="str">
            <v>MCO.H</v>
          </cell>
          <cell r="G628" t="str">
            <v>操作组</v>
          </cell>
          <cell r="H628" t="str">
            <v/>
          </cell>
          <cell r="I628" t="str">
            <v/>
          </cell>
          <cell r="J628" t="str">
            <v/>
          </cell>
          <cell r="K628" t="str">
            <v>操作组</v>
          </cell>
          <cell r="L628" t="str">
            <v>Warehouse Operator 操作员</v>
          </cell>
          <cell r="M628" t="str">
            <v>P1-1</v>
          </cell>
          <cell r="N628" t="str">
            <v/>
          </cell>
          <cell r="O628" t="str">
            <v>2024/07/03</v>
          </cell>
        </row>
        <row r="629">
          <cell r="C629" t="str">
            <v>GL500033</v>
          </cell>
          <cell r="D629" t="str">
            <v>美洲区</v>
          </cell>
          <cell r="E629" t="str">
            <v>AD 行政部</v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>AD 行政部</v>
          </cell>
          <cell r="L629" t="str">
            <v>Admin Assistant 行政助理</v>
          </cell>
          <cell r="M629" t="str">
            <v>P1-1</v>
          </cell>
          <cell r="N629" t="str">
            <v/>
          </cell>
          <cell r="O629" t="str">
            <v>2025/04/28</v>
          </cell>
        </row>
        <row r="630">
          <cell r="C630" t="str">
            <v>GL501083</v>
          </cell>
          <cell r="D630" t="str">
            <v>美洲区</v>
          </cell>
          <cell r="E630" t="str">
            <v>NE 东北大区</v>
          </cell>
          <cell r="F630" t="str">
            <v>EWR.H</v>
          </cell>
          <cell r="G630" t="str">
            <v>异常处理组</v>
          </cell>
          <cell r="H630" t="str">
            <v/>
          </cell>
          <cell r="I630" t="str">
            <v/>
          </cell>
          <cell r="J630" t="str">
            <v/>
          </cell>
          <cell r="K630" t="str">
            <v>退件组</v>
          </cell>
          <cell r="L630" t="str">
            <v>Returns Specialist 退件员</v>
          </cell>
          <cell r="M630" t="str">
            <v>P1-2</v>
          </cell>
          <cell r="N630" t="str">
            <v/>
          </cell>
          <cell r="O630" t="str">
            <v>2025/07/24</v>
          </cell>
        </row>
        <row r="631">
          <cell r="C631" t="str">
            <v>GL501144</v>
          </cell>
          <cell r="D631" t="str">
            <v>美洲区</v>
          </cell>
          <cell r="E631" t="str">
            <v>WE 美西大区</v>
          </cell>
          <cell r="F631" t="str">
            <v>CNO.H</v>
          </cell>
          <cell r="G631" t="str">
            <v>分拣组</v>
          </cell>
          <cell r="H631" t="str">
            <v/>
          </cell>
          <cell r="I631" t="str">
            <v/>
          </cell>
          <cell r="J631" t="str">
            <v/>
          </cell>
          <cell r="K631" t="str">
            <v>分拣组</v>
          </cell>
          <cell r="L631" t="str">
            <v>Warehouse Operator 操作员</v>
          </cell>
          <cell r="M631" t="str">
            <v>P1-1</v>
          </cell>
          <cell r="N631" t="str">
            <v/>
          </cell>
          <cell r="O631" t="str">
            <v>2025/07/30</v>
          </cell>
        </row>
        <row r="632">
          <cell r="C632" t="str">
            <v>GL501203</v>
          </cell>
          <cell r="D632" t="str">
            <v>美洲区</v>
          </cell>
          <cell r="E632" t="str">
            <v>WE 美西大区</v>
          </cell>
          <cell r="F632" t="str">
            <v>CNO.H</v>
          </cell>
          <cell r="G632" t="str">
            <v>操作组</v>
          </cell>
          <cell r="H632" t="str">
            <v/>
          </cell>
          <cell r="I632" t="str">
            <v/>
          </cell>
          <cell r="J632" t="str">
            <v/>
          </cell>
          <cell r="K632" t="str">
            <v>操作组</v>
          </cell>
          <cell r="L632" t="str">
            <v>Warehouse Operator 操作员</v>
          </cell>
          <cell r="M632" t="str">
            <v>P1-1</v>
          </cell>
          <cell r="N632" t="str">
            <v/>
          </cell>
          <cell r="O632" t="str">
            <v>2025/07/31</v>
          </cell>
        </row>
        <row r="633">
          <cell r="C633" t="str">
            <v>GL501436</v>
          </cell>
          <cell r="D633" t="str">
            <v>美洲区</v>
          </cell>
          <cell r="E633" t="str">
            <v>MS 中南大区</v>
          </cell>
          <cell r="F633" t="str">
            <v>ATL.H</v>
          </cell>
          <cell r="G633" t="str">
            <v>分拣组</v>
          </cell>
          <cell r="H633" t="str">
            <v/>
          </cell>
          <cell r="I633" t="str">
            <v/>
          </cell>
          <cell r="J633" t="str">
            <v/>
          </cell>
          <cell r="K633" t="str">
            <v>分拣组</v>
          </cell>
          <cell r="L633" t="str">
            <v>Warehouse Operator 操作员</v>
          </cell>
          <cell r="M633" t="str">
            <v>P1-2</v>
          </cell>
          <cell r="N633" t="str">
            <v/>
          </cell>
          <cell r="O633" t="str">
            <v>2025/09/15</v>
          </cell>
        </row>
        <row r="634">
          <cell r="C634" t="str">
            <v>GL501442</v>
          </cell>
          <cell r="D634" t="str">
            <v>美洲区</v>
          </cell>
          <cell r="E634" t="str">
            <v>PR 波多黎各区</v>
          </cell>
          <cell r="F634" t="str">
            <v>SJU.H</v>
          </cell>
          <cell r="G634" t="str">
            <v>分拣组</v>
          </cell>
          <cell r="H634" t="str">
            <v/>
          </cell>
          <cell r="I634" t="str">
            <v/>
          </cell>
          <cell r="J634" t="str">
            <v/>
          </cell>
          <cell r="K634" t="str">
            <v>分拣组</v>
          </cell>
          <cell r="L634" t="str">
            <v>Sorter 分拣员</v>
          </cell>
          <cell r="M634" t="str">
            <v>P1-1</v>
          </cell>
          <cell r="N634" t="str">
            <v/>
          </cell>
          <cell r="O634" t="str">
            <v>2025/08/27</v>
          </cell>
        </row>
        <row r="635">
          <cell r="C635" t="str">
            <v>GL501440</v>
          </cell>
          <cell r="D635" t="str">
            <v>欧洲区</v>
          </cell>
          <cell r="E635" t="str">
            <v>CS 客户服务部</v>
          </cell>
          <cell r="F635" t="str">
            <v>荷兰客户服务组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>荷兰在线呼叫组</v>
          </cell>
          <cell r="L635" t="str">
            <v>Junior CS Specialist 初级客服专员</v>
          </cell>
          <cell r="M635" t="str">
            <v>P1-2</v>
          </cell>
          <cell r="N635" t="str">
            <v/>
          </cell>
          <cell r="O635" t="str">
            <v>2025/09/22</v>
          </cell>
        </row>
        <row r="636">
          <cell r="C636" t="str">
            <v>GL500419</v>
          </cell>
          <cell r="D636" t="str">
            <v>欧洲区</v>
          </cell>
          <cell r="E636" t="str">
            <v>FR 法国区</v>
          </cell>
          <cell r="F636" t="str">
            <v>巴黎枢纽仓</v>
          </cell>
          <cell r="G636" t="str">
            <v>精益设备组</v>
          </cell>
          <cell r="H636" t="str">
            <v/>
          </cell>
          <cell r="I636" t="str">
            <v/>
          </cell>
          <cell r="J636" t="str">
            <v/>
          </cell>
          <cell r="K636" t="str">
            <v>精益设备组</v>
          </cell>
          <cell r="L636" t="str">
            <v>Lean Equipment Specialist精益设备专员</v>
          </cell>
          <cell r="M636" t="str">
            <v>P1-1</v>
          </cell>
          <cell r="N636" t="str">
            <v/>
          </cell>
          <cell r="O636" t="str">
            <v>2024/09/13</v>
          </cell>
        </row>
        <row r="637">
          <cell r="C637" t="str">
            <v>GL500012</v>
          </cell>
          <cell r="D637" t="str">
            <v>欧洲区</v>
          </cell>
          <cell r="E637" t="str">
            <v>NL 荷兰区</v>
          </cell>
          <cell r="F637" t="str">
            <v>阿姆枢纽仓</v>
          </cell>
          <cell r="G637" t="str">
            <v>分拣组</v>
          </cell>
          <cell r="H637" t="str">
            <v/>
          </cell>
          <cell r="I637" t="str">
            <v/>
          </cell>
          <cell r="J637" t="str">
            <v/>
          </cell>
          <cell r="K637" t="str">
            <v>分拣组</v>
          </cell>
          <cell r="L637" t="str">
            <v>Warehouse Operator操作员</v>
          </cell>
          <cell r="M637" t="str">
            <v>P1-1</v>
          </cell>
          <cell r="N637" t="str">
            <v/>
          </cell>
          <cell r="O637" t="str">
            <v>2025/05/12</v>
          </cell>
        </row>
        <row r="638">
          <cell r="C638" t="str">
            <v>GL500583</v>
          </cell>
          <cell r="D638" t="str">
            <v>美洲区</v>
          </cell>
          <cell r="E638" t="str">
            <v>Ground项目部</v>
          </cell>
          <cell r="F638" t="str">
            <v>OG 美西区</v>
          </cell>
          <cell r="G638" t="str">
            <v>LA917</v>
          </cell>
          <cell r="H638" t="str">
            <v/>
          </cell>
          <cell r="I638" t="str">
            <v/>
          </cell>
          <cell r="J638" t="str">
            <v/>
          </cell>
          <cell r="K638" t="str">
            <v>LA917</v>
          </cell>
          <cell r="L638" t="str">
            <v>Delivery Driver 司机</v>
          </cell>
          <cell r="M638" t="str">
            <v>P1-1</v>
          </cell>
          <cell r="N638" t="str">
            <v/>
          </cell>
          <cell r="O638" t="str">
            <v>2025/03/21</v>
          </cell>
        </row>
        <row r="639">
          <cell r="C639" t="str">
            <v>GL501402</v>
          </cell>
          <cell r="D639" t="str">
            <v>美洲区</v>
          </cell>
          <cell r="E639" t="str">
            <v>FL 佛州大区</v>
          </cell>
          <cell r="F639" t="str">
            <v>WF 西佛片区</v>
          </cell>
          <cell r="G639" t="str">
            <v>TPA01</v>
          </cell>
          <cell r="H639" t="str">
            <v/>
          </cell>
          <cell r="I639" t="str">
            <v/>
          </cell>
          <cell r="J639" t="str">
            <v/>
          </cell>
          <cell r="K639" t="str">
            <v>TPA</v>
          </cell>
          <cell r="L639" t="str">
            <v>Station Operations Specialist 站点运营专员</v>
          </cell>
          <cell r="M639" t="str">
            <v>P1-2</v>
          </cell>
          <cell r="N639" t="str">
            <v/>
          </cell>
          <cell r="O639" t="str">
            <v>2025/09/11</v>
          </cell>
        </row>
        <row r="640">
          <cell r="C640" t="str">
            <v>GL501075</v>
          </cell>
          <cell r="D640" t="str">
            <v>欧洲区</v>
          </cell>
          <cell r="E640" t="str">
            <v>FR 法国区</v>
          </cell>
          <cell r="F640" t="str">
            <v>西部战区</v>
          </cell>
          <cell r="G640" t="str">
            <v>南特-NTE</v>
          </cell>
          <cell r="H640" t="str">
            <v/>
          </cell>
          <cell r="I640" t="str">
            <v/>
          </cell>
          <cell r="J640" t="str">
            <v/>
          </cell>
          <cell r="K640" t="str">
            <v>南特-NTE</v>
          </cell>
          <cell r="L640" t="str">
            <v>Warehouse Operator操作员</v>
          </cell>
          <cell r="M640" t="str">
            <v>P1-1</v>
          </cell>
          <cell r="N640" t="str">
            <v/>
          </cell>
          <cell r="O640" t="str">
            <v>2025/07/21</v>
          </cell>
        </row>
        <row r="641">
          <cell r="C641" t="str">
            <v>GL500979</v>
          </cell>
          <cell r="D641" t="str">
            <v>美洲区</v>
          </cell>
          <cell r="E641" t="str">
            <v>FL 佛州大区</v>
          </cell>
          <cell r="F641" t="str">
            <v>MCO.H</v>
          </cell>
          <cell r="G641" t="str">
            <v>分拣组</v>
          </cell>
          <cell r="H641" t="str">
            <v/>
          </cell>
          <cell r="I641" t="str">
            <v/>
          </cell>
          <cell r="J641" t="str">
            <v/>
          </cell>
          <cell r="K641" t="str">
            <v>分拣组</v>
          </cell>
          <cell r="L641" t="str">
            <v>Sorter 分拣员</v>
          </cell>
          <cell r="M641" t="str">
            <v>P1-1</v>
          </cell>
          <cell r="N641" t="str">
            <v/>
          </cell>
          <cell r="O641" t="str">
            <v>2025/06/28</v>
          </cell>
        </row>
        <row r="642">
          <cell r="C642" t="str">
            <v>GL500076</v>
          </cell>
          <cell r="D642" t="str">
            <v>美洲区</v>
          </cell>
          <cell r="E642" t="str">
            <v>FL 佛州大区</v>
          </cell>
          <cell r="F642" t="str">
            <v>SF 南佛片区</v>
          </cell>
          <cell r="G642" t="str">
            <v>MIA01</v>
          </cell>
          <cell r="H642" t="str">
            <v/>
          </cell>
          <cell r="I642" t="str">
            <v/>
          </cell>
          <cell r="J642" t="str">
            <v/>
          </cell>
          <cell r="K642" t="str">
            <v>MIA</v>
          </cell>
          <cell r="L642" t="str">
            <v>Station Operations Specialist 站点运营专员</v>
          </cell>
          <cell r="M642" t="str">
            <v>P1-3</v>
          </cell>
          <cell r="N642" t="str">
            <v/>
          </cell>
          <cell r="O642" t="str">
            <v>2025/04/14</v>
          </cell>
        </row>
        <row r="643">
          <cell r="C643" t="str">
            <v>GL500544</v>
          </cell>
          <cell r="D643" t="str">
            <v>美洲区</v>
          </cell>
          <cell r="E643" t="str">
            <v>GL 大湖大区</v>
          </cell>
          <cell r="F643" t="str">
            <v>CM 中西部中心片区</v>
          </cell>
          <cell r="G643" t="str">
            <v>CVG01</v>
          </cell>
          <cell r="H643" t="str">
            <v/>
          </cell>
          <cell r="I643" t="str">
            <v/>
          </cell>
          <cell r="J643" t="str">
            <v/>
          </cell>
          <cell r="K643" t="str">
            <v>CVG</v>
          </cell>
          <cell r="L643" t="str">
            <v>Sorter 分拣员</v>
          </cell>
          <cell r="M643" t="str">
            <v>P1-2</v>
          </cell>
          <cell r="N643" t="str">
            <v/>
          </cell>
          <cell r="O643" t="str">
            <v>2025/05/13</v>
          </cell>
        </row>
        <row r="644">
          <cell r="C644" t="str">
            <v>GL500313</v>
          </cell>
          <cell r="D644" t="str">
            <v>美洲区</v>
          </cell>
          <cell r="E644" t="str">
            <v>WE 美西大区</v>
          </cell>
          <cell r="F644" t="str">
            <v>SC 南加片区</v>
          </cell>
          <cell r="G644" t="str">
            <v>LAX01</v>
          </cell>
          <cell r="H644" t="str">
            <v/>
          </cell>
          <cell r="I644" t="str">
            <v/>
          </cell>
          <cell r="J644" t="str">
            <v/>
          </cell>
          <cell r="K644" t="str">
            <v>LAX.SAN</v>
          </cell>
          <cell r="L644" t="str">
            <v>Warehouse Operator 操作员</v>
          </cell>
          <cell r="M644" t="str">
            <v>P1-2</v>
          </cell>
          <cell r="N644" t="str">
            <v/>
          </cell>
          <cell r="O644" t="str">
            <v>2024/12/23</v>
          </cell>
        </row>
        <row r="645">
          <cell r="C645" t="str">
            <v>GL501262</v>
          </cell>
          <cell r="D645" t="str">
            <v>美洲区</v>
          </cell>
          <cell r="E645" t="str">
            <v>FL 佛州大区</v>
          </cell>
          <cell r="F645" t="str">
            <v>MCO.H</v>
          </cell>
          <cell r="G645" t="str">
            <v>操作组</v>
          </cell>
          <cell r="H645" t="str">
            <v/>
          </cell>
          <cell r="I645" t="str">
            <v/>
          </cell>
          <cell r="J645" t="str">
            <v/>
          </cell>
          <cell r="K645" t="str">
            <v>操作组</v>
          </cell>
          <cell r="L645" t="str">
            <v>Warehouse Operator 操作员</v>
          </cell>
          <cell r="M645" t="str">
            <v>P1-1</v>
          </cell>
          <cell r="N645" t="str">
            <v/>
          </cell>
          <cell r="O645" t="str">
            <v>2025/08/18</v>
          </cell>
        </row>
        <row r="646">
          <cell r="C646" t="str">
            <v>GL501438</v>
          </cell>
          <cell r="D646" t="str">
            <v>美洲区</v>
          </cell>
          <cell r="E646" t="str">
            <v>NE 东北大区</v>
          </cell>
          <cell r="F646" t="str">
            <v>EWR.H</v>
          </cell>
          <cell r="G646" t="str">
            <v>调度组</v>
          </cell>
          <cell r="H646" t="str">
            <v/>
          </cell>
          <cell r="I646" t="str">
            <v/>
          </cell>
          <cell r="J646" t="str">
            <v/>
          </cell>
          <cell r="K646" t="str">
            <v>调度组</v>
          </cell>
          <cell r="L646" t="str">
            <v>Dispatcher 调度员</v>
          </cell>
          <cell r="M646" t="str">
            <v>P1-1</v>
          </cell>
          <cell r="N646" t="str">
            <v/>
          </cell>
          <cell r="O646" t="str">
            <v>2025/09/15</v>
          </cell>
        </row>
        <row r="647">
          <cell r="C647" t="str">
            <v>GL500932</v>
          </cell>
          <cell r="D647" t="str">
            <v>美洲区</v>
          </cell>
          <cell r="E647" t="str">
            <v>FL 佛州大区</v>
          </cell>
          <cell r="F647" t="str">
            <v>MIA.H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>MIA.H</v>
          </cell>
          <cell r="L647" t="str">
            <v>Warehouse Clerk 仓库文员</v>
          </cell>
          <cell r="M647" t="str">
            <v>P1-2</v>
          </cell>
          <cell r="N647" t="str">
            <v/>
          </cell>
          <cell r="O647" t="str">
            <v>2025/07/03</v>
          </cell>
        </row>
        <row r="648">
          <cell r="C648" t="str">
            <v>GL501366</v>
          </cell>
          <cell r="D648" t="str">
            <v>美洲区</v>
          </cell>
          <cell r="E648" t="str">
            <v>MS 中南大区</v>
          </cell>
          <cell r="F648" t="str">
            <v>运营支持部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>运营支持部</v>
          </cell>
          <cell r="L648" t="str">
            <v>Operation Support Specialist 运营支持专员</v>
          </cell>
          <cell r="M648" t="str">
            <v>P1-2</v>
          </cell>
          <cell r="N648" t="str">
            <v/>
          </cell>
          <cell r="O648" t="str">
            <v>2025/09/09</v>
          </cell>
        </row>
        <row r="649">
          <cell r="C649" t="str">
            <v>GL500041</v>
          </cell>
          <cell r="D649" t="str">
            <v>美洲区</v>
          </cell>
          <cell r="E649" t="str">
            <v>GL 大湖大区</v>
          </cell>
          <cell r="F649" t="str">
            <v>CM 中西部中心片区</v>
          </cell>
          <cell r="G649" t="str">
            <v>CMH01</v>
          </cell>
          <cell r="H649" t="str">
            <v/>
          </cell>
          <cell r="I649" t="str">
            <v/>
          </cell>
          <cell r="J649" t="str">
            <v/>
          </cell>
          <cell r="K649" t="str">
            <v>CMH</v>
          </cell>
          <cell r="L649" t="str">
            <v>Station Operations Specialist 站点运营专员</v>
          </cell>
          <cell r="M649" t="str">
            <v>P2-1</v>
          </cell>
          <cell r="N649" t="str">
            <v/>
          </cell>
          <cell r="O649" t="str">
            <v>2025/04/22</v>
          </cell>
        </row>
        <row r="650">
          <cell r="C650" t="str">
            <v>GL500487</v>
          </cell>
          <cell r="D650" t="str">
            <v>欧洲区</v>
          </cell>
          <cell r="E650" t="str">
            <v>FR 法国区</v>
          </cell>
          <cell r="F650" t="str">
            <v>巴黎战区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>巴黎战区</v>
          </cell>
          <cell r="L650" t="str">
            <v>Terminal Specialist终端专员</v>
          </cell>
          <cell r="M650" t="str">
            <v>P1-2</v>
          </cell>
          <cell r="N650" t="str">
            <v/>
          </cell>
          <cell r="O650" t="str">
            <v>2023/09/25</v>
          </cell>
        </row>
        <row r="651">
          <cell r="C651" t="str">
            <v>GL500049</v>
          </cell>
          <cell r="D651" t="str">
            <v>美洲区</v>
          </cell>
          <cell r="E651" t="str">
            <v>AD 行政部</v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>AD 行政部</v>
          </cell>
          <cell r="L651" t="str">
            <v>Admin Specialist 行政专员</v>
          </cell>
          <cell r="M651" t="str">
            <v>P1-2</v>
          </cell>
          <cell r="N651" t="str">
            <v/>
          </cell>
          <cell r="O651" t="str">
            <v>2025/04/28</v>
          </cell>
        </row>
        <row r="652">
          <cell r="C652" t="str">
            <v>GL500232</v>
          </cell>
          <cell r="D652" t="str">
            <v>美洲区</v>
          </cell>
          <cell r="E652" t="str">
            <v>GL 大湖大区</v>
          </cell>
          <cell r="F652" t="str">
            <v>WG 西大湖片区</v>
          </cell>
          <cell r="G652" t="str">
            <v>ORD01</v>
          </cell>
          <cell r="H652" t="str">
            <v/>
          </cell>
          <cell r="I652" t="str">
            <v/>
          </cell>
          <cell r="J652" t="str">
            <v/>
          </cell>
          <cell r="K652" t="str">
            <v>ORD</v>
          </cell>
          <cell r="L652" t="str">
            <v>Station Operations Specialist 站点运营专员</v>
          </cell>
          <cell r="M652" t="str">
            <v>P2-1</v>
          </cell>
          <cell r="N652" t="str">
            <v/>
          </cell>
          <cell r="O652" t="str">
            <v>2025/01/29</v>
          </cell>
        </row>
        <row r="653">
          <cell r="C653" t="str">
            <v>GL501200</v>
          </cell>
          <cell r="D653" t="str">
            <v>美洲区</v>
          </cell>
          <cell r="E653" t="str">
            <v>WE 美西大区</v>
          </cell>
          <cell r="F653" t="str">
            <v>CNO.H</v>
          </cell>
          <cell r="G653" t="str">
            <v>装卸组</v>
          </cell>
          <cell r="H653" t="str">
            <v/>
          </cell>
          <cell r="I653" t="str">
            <v/>
          </cell>
          <cell r="J653" t="str">
            <v/>
          </cell>
          <cell r="K653" t="str">
            <v>装卸组</v>
          </cell>
          <cell r="L653" t="str">
            <v>Warehouse Operator 操作员</v>
          </cell>
          <cell r="M653" t="str">
            <v>P1-1</v>
          </cell>
          <cell r="N653" t="str">
            <v/>
          </cell>
          <cell r="O653" t="str">
            <v>2025/07/21</v>
          </cell>
        </row>
        <row r="654">
          <cell r="C654" t="str">
            <v>GL501217</v>
          </cell>
          <cell r="D654" t="str">
            <v>美洲区</v>
          </cell>
          <cell r="E654" t="str">
            <v>FL 佛州大区</v>
          </cell>
          <cell r="F654" t="str">
            <v>MCO.H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>MCO.H</v>
          </cell>
          <cell r="L654" t="str">
            <v>Warehouse Clerk 仓库文员</v>
          </cell>
          <cell r="M654" t="str">
            <v>P1-2</v>
          </cell>
          <cell r="N654" t="str">
            <v/>
          </cell>
          <cell r="O654" t="str">
            <v>2025/08/12</v>
          </cell>
        </row>
        <row r="655">
          <cell r="C655" t="str">
            <v>GL500973</v>
          </cell>
          <cell r="D655" t="str">
            <v>美洲区</v>
          </cell>
          <cell r="E655" t="str">
            <v>FL 佛州大区</v>
          </cell>
          <cell r="F655" t="str">
            <v>MCO.H</v>
          </cell>
          <cell r="G655" t="str">
            <v>分拣组</v>
          </cell>
          <cell r="H655" t="str">
            <v/>
          </cell>
          <cell r="I655" t="str">
            <v/>
          </cell>
          <cell r="J655" t="str">
            <v/>
          </cell>
          <cell r="K655" t="str">
            <v>分拣组</v>
          </cell>
          <cell r="L655" t="str">
            <v>Sorter 分拣员</v>
          </cell>
          <cell r="M655" t="str">
            <v>P1-1</v>
          </cell>
          <cell r="N655" t="str">
            <v/>
          </cell>
          <cell r="O655" t="str">
            <v>2025/06/17</v>
          </cell>
        </row>
        <row r="656">
          <cell r="C656" t="str">
            <v>GL501255</v>
          </cell>
          <cell r="D656" t="str">
            <v>美洲区</v>
          </cell>
          <cell r="E656" t="str">
            <v>FL 佛州大区</v>
          </cell>
          <cell r="F656" t="str">
            <v>MIA.H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>MIA.H</v>
          </cell>
          <cell r="L656" t="str">
            <v>Warehouse Clerk 仓库文员</v>
          </cell>
          <cell r="M656" t="str">
            <v>P1-1</v>
          </cell>
          <cell r="N656" t="str">
            <v/>
          </cell>
          <cell r="O656" t="str">
            <v>2025/08/15</v>
          </cell>
        </row>
        <row r="657">
          <cell r="C657" t="str">
            <v>GL500582</v>
          </cell>
          <cell r="D657" t="str">
            <v>美洲区</v>
          </cell>
          <cell r="E657" t="str">
            <v>Ground项目部</v>
          </cell>
          <cell r="F657" t="str">
            <v>OG 美西区</v>
          </cell>
          <cell r="G657" t="str">
            <v>LA917</v>
          </cell>
          <cell r="H657" t="str">
            <v/>
          </cell>
          <cell r="I657" t="str">
            <v/>
          </cell>
          <cell r="J657" t="str">
            <v/>
          </cell>
          <cell r="K657" t="str">
            <v>LA917</v>
          </cell>
          <cell r="L657" t="str">
            <v>Delivery Driver 司机</v>
          </cell>
          <cell r="M657" t="str">
            <v>P1-1</v>
          </cell>
          <cell r="N657" t="str">
            <v/>
          </cell>
          <cell r="O657" t="str">
            <v>2025/02/26</v>
          </cell>
        </row>
        <row r="658">
          <cell r="C658" t="str">
            <v>GL500894</v>
          </cell>
          <cell r="D658" t="str">
            <v>美洲区</v>
          </cell>
          <cell r="E658" t="str">
            <v>MS 中南大区</v>
          </cell>
          <cell r="F658" t="str">
            <v>ATL.H</v>
          </cell>
          <cell r="G658" t="str">
            <v>分拣组</v>
          </cell>
          <cell r="H658" t="str">
            <v/>
          </cell>
          <cell r="I658" t="str">
            <v/>
          </cell>
          <cell r="J658" t="str">
            <v/>
          </cell>
          <cell r="K658" t="str">
            <v>分拣组</v>
          </cell>
          <cell r="L658" t="str">
            <v>Warehouse Operator 操作员</v>
          </cell>
          <cell r="M658" t="str">
            <v>P1-2</v>
          </cell>
          <cell r="N658" t="str">
            <v/>
          </cell>
          <cell r="O658" t="str">
            <v>2025/07/04</v>
          </cell>
        </row>
        <row r="659">
          <cell r="C659" t="str">
            <v>GL500413</v>
          </cell>
          <cell r="D659" t="str">
            <v>欧洲区</v>
          </cell>
          <cell r="E659" t="str">
            <v>FR 法国区</v>
          </cell>
          <cell r="F659" t="str">
            <v>东部战区</v>
          </cell>
          <cell r="G659" t="str">
            <v>斯特拉斯堡-SXB</v>
          </cell>
          <cell r="H659" t="str">
            <v/>
          </cell>
          <cell r="I659" t="str">
            <v/>
          </cell>
          <cell r="J659" t="str">
            <v/>
          </cell>
          <cell r="K659" t="str">
            <v>斯特拉斯堡-SXB</v>
          </cell>
          <cell r="L659" t="str">
            <v>Warehouse Operator操作员</v>
          </cell>
          <cell r="M659" t="str">
            <v>P1-1</v>
          </cell>
          <cell r="N659" t="str">
            <v/>
          </cell>
          <cell r="O659" t="str">
            <v>2024/09/16</v>
          </cell>
        </row>
        <row r="660">
          <cell r="C660" t="str">
            <v>GL500952</v>
          </cell>
          <cell r="D660" t="str">
            <v>欧洲区</v>
          </cell>
          <cell r="E660" t="str">
            <v>FR 法国区</v>
          </cell>
          <cell r="F660" t="str">
            <v>东部战区</v>
          </cell>
          <cell r="G660" t="str">
            <v>里尔-LIL</v>
          </cell>
          <cell r="H660" t="str">
            <v/>
          </cell>
          <cell r="I660" t="str">
            <v/>
          </cell>
          <cell r="J660" t="str">
            <v/>
          </cell>
          <cell r="K660" t="str">
            <v>里尔-LIL</v>
          </cell>
          <cell r="L660" t="str">
            <v>Terminal  Specialist
终端专员</v>
          </cell>
          <cell r="M660" t="str">
            <v>P1-2</v>
          </cell>
          <cell r="N660" t="str">
            <v/>
          </cell>
          <cell r="O660" t="str">
            <v>2025/08/04</v>
          </cell>
        </row>
        <row r="661">
          <cell r="C661" t="str">
            <v>GL500072</v>
          </cell>
          <cell r="D661" t="str">
            <v>美洲区</v>
          </cell>
          <cell r="E661" t="str">
            <v>NE 东北大区</v>
          </cell>
          <cell r="F661" t="str">
            <v>NY 纽约片区</v>
          </cell>
          <cell r="G661" t="str">
            <v>JFK01</v>
          </cell>
          <cell r="H661" t="str">
            <v/>
          </cell>
          <cell r="I661" t="str">
            <v/>
          </cell>
          <cell r="J661" t="str">
            <v/>
          </cell>
          <cell r="K661" t="str">
            <v>JFK</v>
          </cell>
          <cell r="L661" t="str">
            <v>Station Operations Specialist 站点运营专员</v>
          </cell>
          <cell r="M661" t="str">
            <v>P1-1</v>
          </cell>
          <cell r="N661" t="str">
            <v/>
          </cell>
          <cell r="O661" t="str">
            <v>2025/04/17</v>
          </cell>
        </row>
        <row r="662">
          <cell r="C662" t="str">
            <v>GL500151</v>
          </cell>
          <cell r="D662" t="str">
            <v>美洲区</v>
          </cell>
          <cell r="E662" t="str">
            <v>GL 大湖大区</v>
          </cell>
          <cell r="F662" t="str">
            <v>DTW.CLE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>DTW.CLE</v>
          </cell>
          <cell r="L662" t="str">
            <v>Station Operations Specialist 站点运营专员</v>
          </cell>
          <cell r="M662" t="str">
            <v>P1-2</v>
          </cell>
          <cell r="N662" t="str">
            <v/>
          </cell>
          <cell r="O662" t="str">
            <v>2025/04/01</v>
          </cell>
        </row>
        <row r="663">
          <cell r="C663" t="str">
            <v>GL501202</v>
          </cell>
          <cell r="D663" t="str">
            <v>美洲区</v>
          </cell>
          <cell r="E663" t="str">
            <v>WE 美西大区</v>
          </cell>
          <cell r="F663" t="str">
            <v>CNO.H</v>
          </cell>
          <cell r="G663" t="str">
            <v>装卸组</v>
          </cell>
          <cell r="H663" t="str">
            <v/>
          </cell>
          <cell r="I663" t="str">
            <v/>
          </cell>
          <cell r="J663" t="str">
            <v/>
          </cell>
          <cell r="K663" t="str">
            <v>装卸组</v>
          </cell>
          <cell r="L663" t="str">
            <v>Warehouse Operator 操作员</v>
          </cell>
          <cell r="M663" t="str">
            <v>P1-1</v>
          </cell>
          <cell r="N663" t="str">
            <v/>
          </cell>
          <cell r="O663" t="str">
            <v>2025/07/28</v>
          </cell>
        </row>
        <row r="664">
          <cell r="C664" t="str">
            <v>GL501191</v>
          </cell>
          <cell r="D664" t="str">
            <v>美洲区</v>
          </cell>
          <cell r="E664" t="str">
            <v>WE 美西大区</v>
          </cell>
          <cell r="F664" t="str">
            <v>CNO.H</v>
          </cell>
          <cell r="G664" t="str">
            <v>装卸组</v>
          </cell>
          <cell r="H664" t="str">
            <v/>
          </cell>
          <cell r="I664" t="str">
            <v/>
          </cell>
          <cell r="J664" t="str">
            <v/>
          </cell>
          <cell r="K664" t="str">
            <v>装卸组</v>
          </cell>
          <cell r="L664" t="str">
            <v>Warehouse Operator 操作员</v>
          </cell>
          <cell r="M664" t="str">
            <v>P1-1</v>
          </cell>
          <cell r="N664" t="str">
            <v/>
          </cell>
          <cell r="O664" t="str">
            <v>2025/08/06</v>
          </cell>
        </row>
        <row r="665">
          <cell r="C665" t="str">
            <v>GL501055</v>
          </cell>
          <cell r="D665" t="str">
            <v>美洲区</v>
          </cell>
          <cell r="E665" t="str">
            <v>WE 美西大区</v>
          </cell>
          <cell r="F665" t="str">
            <v>CNO.H</v>
          </cell>
          <cell r="G665" t="str">
            <v>分拣组</v>
          </cell>
          <cell r="H665" t="str">
            <v/>
          </cell>
          <cell r="I665" t="str">
            <v/>
          </cell>
          <cell r="J665" t="str">
            <v/>
          </cell>
          <cell r="K665" t="str">
            <v>分拣组</v>
          </cell>
          <cell r="L665" t="str">
            <v>Warehouse Operator 操作员</v>
          </cell>
          <cell r="M665" t="str">
            <v>P1-1</v>
          </cell>
          <cell r="N665" t="str">
            <v/>
          </cell>
          <cell r="O665" t="str">
            <v>2025/07/18</v>
          </cell>
        </row>
        <row r="666">
          <cell r="C666" t="str">
            <v>GL500961</v>
          </cell>
          <cell r="D666" t="str">
            <v>美洲区</v>
          </cell>
          <cell r="E666" t="str">
            <v>FL 佛州大区</v>
          </cell>
          <cell r="F666" t="str">
            <v>MIA.H</v>
          </cell>
          <cell r="G666" t="str">
            <v>分拣组</v>
          </cell>
          <cell r="H666" t="str">
            <v/>
          </cell>
          <cell r="I666" t="str">
            <v/>
          </cell>
          <cell r="J666" t="str">
            <v/>
          </cell>
          <cell r="K666" t="str">
            <v>分拣组</v>
          </cell>
          <cell r="L666" t="str">
            <v>Sorter 分拣员</v>
          </cell>
          <cell r="M666" t="str">
            <v>P1-1</v>
          </cell>
          <cell r="N666" t="str">
            <v/>
          </cell>
          <cell r="O666" t="str">
            <v>2025/06/12</v>
          </cell>
        </row>
        <row r="667">
          <cell r="C667" t="str">
            <v>GL501379</v>
          </cell>
          <cell r="D667" t="str">
            <v>美洲区</v>
          </cell>
          <cell r="E667" t="str">
            <v>FL 佛州大区</v>
          </cell>
          <cell r="F667" t="str">
            <v>MCO.H</v>
          </cell>
          <cell r="G667" t="str">
            <v>异常处理组</v>
          </cell>
          <cell r="H667" t="str">
            <v/>
          </cell>
          <cell r="I667" t="str">
            <v/>
          </cell>
          <cell r="J667" t="str">
            <v/>
          </cell>
          <cell r="K667" t="str">
            <v>退件组</v>
          </cell>
          <cell r="L667" t="str">
            <v>Returns Specialist 退件员</v>
          </cell>
          <cell r="M667" t="str">
            <v>P1-2</v>
          </cell>
          <cell r="N667" t="str">
            <v/>
          </cell>
          <cell r="O667" t="str">
            <v>2025/09/09</v>
          </cell>
        </row>
        <row r="668">
          <cell r="C668" t="str">
            <v>GL500635</v>
          </cell>
          <cell r="D668" t="str">
            <v>美洲区</v>
          </cell>
          <cell r="E668" t="str">
            <v>GL 大湖大区</v>
          </cell>
          <cell r="F668" t="str">
            <v>ORD.H</v>
          </cell>
          <cell r="G668" t="str">
            <v>分拣组</v>
          </cell>
          <cell r="H668" t="str">
            <v/>
          </cell>
          <cell r="I668" t="str">
            <v/>
          </cell>
          <cell r="J668" t="str">
            <v/>
          </cell>
          <cell r="K668" t="str">
            <v>分拣组</v>
          </cell>
          <cell r="L668" t="str">
            <v>Sorting Lead 分拣组长</v>
          </cell>
          <cell r="M668" t="str">
            <v>P2-1</v>
          </cell>
          <cell r="N668" t="str">
            <v/>
          </cell>
          <cell r="O668" t="str">
            <v>2025/05/27</v>
          </cell>
        </row>
        <row r="669">
          <cell r="C669" t="str">
            <v>GL500783</v>
          </cell>
          <cell r="D669" t="str">
            <v>美洲区</v>
          </cell>
          <cell r="E669" t="str">
            <v>NE 东北大区</v>
          </cell>
          <cell r="F669" t="str">
            <v>EWR.H</v>
          </cell>
          <cell r="G669" t="str">
            <v>操作组</v>
          </cell>
          <cell r="H669" t="str">
            <v/>
          </cell>
          <cell r="I669" t="str">
            <v/>
          </cell>
          <cell r="J669" t="str">
            <v/>
          </cell>
          <cell r="K669" t="str">
            <v>操作组</v>
          </cell>
          <cell r="L669" t="str">
            <v>Warehouse Lead 操作组长</v>
          </cell>
          <cell r="M669" t="str">
            <v>P2-2</v>
          </cell>
          <cell r="N669" t="str">
            <v/>
          </cell>
          <cell r="O669" t="str">
            <v>2025/06/18</v>
          </cell>
        </row>
        <row r="670">
          <cell r="C670" t="str">
            <v>GL501230</v>
          </cell>
          <cell r="D670" t="str">
            <v>欧洲区</v>
          </cell>
          <cell r="E670" t="str">
            <v>CS 客户服务部</v>
          </cell>
          <cell r="F670" t="str">
            <v>意大利客户服务组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>意大利在线呼叫组</v>
          </cell>
          <cell r="L670" t="str">
            <v>Junior CS Specialist 初级客服专员</v>
          </cell>
          <cell r="M670" t="str">
            <v>P1-2</v>
          </cell>
          <cell r="N670" t="str">
            <v/>
          </cell>
          <cell r="O670" t="str">
            <v>2025/08/25</v>
          </cell>
        </row>
        <row r="671">
          <cell r="C671" t="str">
            <v>GL501286</v>
          </cell>
          <cell r="D671" t="str">
            <v>美洲区</v>
          </cell>
          <cell r="E671" t="str">
            <v>US人力资源部</v>
          </cell>
          <cell r="F671" t="str">
            <v>美洲HRBP组</v>
          </cell>
          <cell r="G671" t="str">
            <v>综合HRBP组</v>
          </cell>
          <cell r="H671" t="str">
            <v/>
          </cell>
          <cell r="I671" t="str">
            <v/>
          </cell>
          <cell r="J671" t="str">
            <v/>
          </cell>
          <cell r="K671" t="str">
            <v>综合HRBP组</v>
          </cell>
          <cell r="L671" t="str">
            <v>HRBP Supervisor HRBP主管</v>
          </cell>
          <cell r="M671" t="str">
            <v>P2-2</v>
          </cell>
          <cell r="N671" t="str">
            <v/>
          </cell>
          <cell r="O671" t="str">
            <v>2025/08/25</v>
          </cell>
        </row>
        <row r="672">
          <cell r="C672" t="str">
            <v>GL500207</v>
          </cell>
          <cell r="D672" t="str">
            <v>欧洲区</v>
          </cell>
          <cell r="E672" t="str">
            <v>NL 荷兰区</v>
          </cell>
          <cell r="F672" t="str">
            <v>阿姆枢纽仓</v>
          </cell>
          <cell r="G672" t="str">
            <v>分拣组</v>
          </cell>
          <cell r="H672" t="str">
            <v/>
          </cell>
          <cell r="I672" t="str">
            <v/>
          </cell>
          <cell r="J672" t="str">
            <v/>
          </cell>
          <cell r="K672" t="str">
            <v>分拣组</v>
          </cell>
          <cell r="L672" t="str">
            <v>Warehouse Operator操作员</v>
          </cell>
          <cell r="M672" t="str">
            <v>P1-1</v>
          </cell>
          <cell r="N672" t="str">
            <v/>
          </cell>
          <cell r="O672" t="str">
            <v>2025/03/01</v>
          </cell>
        </row>
        <row r="673">
          <cell r="C673" t="str">
            <v>GL500288</v>
          </cell>
          <cell r="D673" t="str">
            <v>欧洲区</v>
          </cell>
          <cell r="E673" t="str">
            <v>CS 客户服务部</v>
          </cell>
          <cell r="F673" t="str">
            <v>荷兰客户服务组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>荷兰客户服务组</v>
          </cell>
          <cell r="L673" t="str">
            <v>Junior CS Specialist 初级客服专员</v>
          </cell>
          <cell r="M673" t="str">
            <v>P1-2</v>
          </cell>
          <cell r="N673" t="str">
            <v/>
          </cell>
          <cell r="O673" t="str">
            <v>2024/11/25</v>
          </cell>
        </row>
        <row r="674">
          <cell r="C674" t="str">
            <v>GL501020</v>
          </cell>
          <cell r="D674" t="str">
            <v>美洲区</v>
          </cell>
          <cell r="E674" t="str">
            <v>FL 佛州大区</v>
          </cell>
          <cell r="F674" t="str">
            <v>MCO.H</v>
          </cell>
          <cell r="G674" t="str">
            <v>异常处理组</v>
          </cell>
          <cell r="H674" t="str">
            <v/>
          </cell>
          <cell r="I674" t="str">
            <v/>
          </cell>
          <cell r="J674" t="str">
            <v/>
          </cell>
          <cell r="K674" t="str">
            <v>退件组</v>
          </cell>
          <cell r="L674" t="str">
            <v>Returns Specialist 退件员</v>
          </cell>
          <cell r="M674" t="str">
            <v>P1-1</v>
          </cell>
          <cell r="N674" t="str">
            <v/>
          </cell>
          <cell r="O674" t="str">
            <v>2025/07/08</v>
          </cell>
        </row>
        <row r="675">
          <cell r="C675" t="str">
            <v>GL500943</v>
          </cell>
          <cell r="D675" t="str">
            <v>美洲区</v>
          </cell>
          <cell r="E675" t="str">
            <v>WE 美西大区</v>
          </cell>
          <cell r="F675" t="str">
            <v>CNO.H</v>
          </cell>
          <cell r="G675" t="str">
            <v>分拣组</v>
          </cell>
          <cell r="H675" t="str">
            <v/>
          </cell>
          <cell r="I675" t="str">
            <v/>
          </cell>
          <cell r="J675" t="str">
            <v/>
          </cell>
          <cell r="K675" t="str">
            <v>分拣组</v>
          </cell>
          <cell r="L675" t="str">
            <v>Warehouse Lead 操作组长</v>
          </cell>
          <cell r="M675" t="str">
            <v>P2-1</v>
          </cell>
          <cell r="N675" t="str">
            <v/>
          </cell>
          <cell r="O675" t="str">
            <v>2025/07/22</v>
          </cell>
        </row>
        <row r="676">
          <cell r="C676" t="str">
            <v>GL501026</v>
          </cell>
          <cell r="D676" t="str">
            <v>美洲区</v>
          </cell>
          <cell r="E676" t="str">
            <v>FL 佛州大区</v>
          </cell>
          <cell r="F676" t="str">
            <v>MCO.H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>MCO.H</v>
          </cell>
          <cell r="L676" t="str">
            <v>Warehouse Clerk 仓库文员</v>
          </cell>
          <cell r="M676" t="str">
            <v>P1-2</v>
          </cell>
          <cell r="N676" t="str">
            <v/>
          </cell>
          <cell r="O676" t="str">
            <v>2025/07/15</v>
          </cell>
        </row>
        <row r="677">
          <cell r="C677" t="str">
            <v>GL500926</v>
          </cell>
          <cell r="D677" t="str">
            <v>欧洲区</v>
          </cell>
          <cell r="E677" t="str">
            <v>FR 法国区</v>
          </cell>
          <cell r="F677" t="str">
            <v>南部战区</v>
          </cell>
          <cell r="G677" t="str">
            <v>图卢兹-TLS</v>
          </cell>
          <cell r="H677" t="str">
            <v/>
          </cell>
          <cell r="I677" t="str">
            <v/>
          </cell>
          <cell r="J677" t="str">
            <v/>
          </cell>
          <cell r="K677" t="str">
            <v>图卢兹-TLS</v>
          </cell>
          <cell r="L677" t="str">
            <v>Warehouse Operator操作员</v>
          </cell>
          <cell r="M677" t="str">
            <v>P1-1</v>
          </cell>
          <cell r="N677" t="str">
            <v/>
          </cell>
          <cell r="O677" t="str">
            <v>2025/07/05</v>
          </cell>
        </row>
        <row r="678">
          <cell r="C678" t="str">
            <v>GL500169</v>
          </cell>
          <cell r="D678" t="str">
            <v>欧洲区</v>
          </cell>
          <cell r="E678" t="str">
            <v>FR 法国区</v>
          </cell>
          <cell r="F678" t="str">
            <v>技术支持部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>技术支持部</v>
          </cell>
          <cell r="L678" t="str">
            <v>产品助理</v>
          </cell>
          <cell r="M678" t="str">
            <v>P1-1</v>
          </cell>
          <cell r="N678" t="str">
            <v/>
          </cell>
          <cell r="O678" t="str">
            <v>2025/03/05</v>
          </cell>
        </row>
        <row r="679">
          <cell r="C679" t="str">
            <v>GL500654</v>
          </cell>
          <cell r="D679" t="str">
            <v>欧洲区</v>
          </cell>
          <cell r="E679" t="str">
            <v>FR 法国区</v>
          </cell>
          <cell r="F679" t="str">
            <v>巴黎枢纽仓</v>
          </cell>
          <cell r="G679" t="str">
            <v>巴黎出库组</v>
          </cell>
          <cell r="H679" t="str">
            <v/>
          </cell>
          <cell r="I679" t="str">
            <v/>
          </cell>
          <cell r="J679" t="str">
            <v/>
          </cell>
          <cell r="K679" t="str">
            <v>巴黎出库组</v>
          </cell>
          <cell r="L679" t="str">
            <v>Warehouse Operator操作员</v>
          </cell>
          <cell r="M679" t="str">
            <v>P1-2</v>
          </cell>
          <cell r="N679" t="str">
            <v/>
          </cell>
          <cell r="O679" t="str">
            <v>2025/06/02</v>
          </cell>
        </row>
        <row r="680">
          <cell r="C680" t="str">
            <v>GL500851</v>
          </cell>
          <cell r="D680" t="str">
            <v>美洲区</v>
          </cell>
          <cell r="E680" t="str">
            <v>PR 波多黎各区</v>
          </cell>
          <cell r="F680" t="str">
            <v>SJU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>SJU</v>
          </cell>
          <cell r="L680" t="str">
            <v>Station Operations Specialist 站点运营专员</v>
          </cell>
          <cell r="M680" t="str">
            <v>P1-2</v>
          </cell>
          <cell r="N680" t="str">
            <v/>
          </cell>
          <cell r="O680" t="str">
            <v>2025/07/10</v>
          </cell>
        </row>
        <row r="681">
          <cell r="C681" t="str">
            <v>GL501180</v>
          </cell>
          <cell r="D681" t="str">
            <v>美洲区</v>
          </cell>
          <cell r="E681" t="str">
            <v>TX 德州大区</v>
          </cell>
          <cell r="F681" t="str">
            <v>DFW.H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>DFW.H</v>
          </cell>
          <cell r="L681" t="str">
            <v>Deputy Hub Head 副仓长</v>
          </cell>
          <cell r="M681" t="str">
            <v>M2-2</v>
          </cell>
          <cell r="N681" t="str">
            <v/>
          </cell>
          <cell r="O681" t="str">
            <v>2025/08/11</v>
          </cell>
        </row>
        <row r="682">
          <cell r="C682" t="str">
            <v>GL500555</v>
          </cell>
          <cell r="D682" t="str">
            <v>美洲区</v>
          </cell>
          <cell r="E682" t="str">
            <v>FL 佛州大区</v>
          </cell>
          <cell r="F682" t="str">
            <v>MIA.H</v>
          </cell>
          <cell r="G682" t="str">
            <v>异常处理组</v>
          </cell>
          <cell r="H682" t="str">
            <v/>
          </cell>
          <cell r="I682" t="str">
            <v/>
          </cell>
          <cell r="J682" t="str">
            <v/>
          </cell>
          <cell r="K682" t="str">
            <v>退件组</v>
          </cell>
          <cell r="L682" t="str">
            <v>Warehouse Operator 操作员</v>
          </cell>
          <cell r="M682" t="str">
            <v>P1-1</v>
          </cell>
          <cell r="N682" t="str">
            <v/>
          </cell>
          <cell r="O682" t="str">
            <v>2025/04/28</v>
          </cell>
        </row>
        <row r="683">
          <cell r="C683" t="str">
            <v>GL500585</v>
          </cell>
          <cell r="D683" t="str">
            <v>美洲区</v>
          </cell>
          <cell r="E683" t="str">
            <v>Ground项目部</v>
          </cell>
          <cell r="F683" t="str">
            <v>OG 美西区</v>
          </cell>
          <cell r="G683" t="str">
            <v>LA917</v>
          </cell>
          <cell r="H683" t="str">
            <v/>
          </cell>
          <cell r="I683" t="str">
            <v/>
          </cell>
          <cell r="J683" t="str">
            <v/>
          </cell>
          <cell r="K683" t="str">
            <v>LA917</v>
          </cell>
          <cell r="L683" t="str">
            <v>Delivery Driver 司机</v>
          </cell>
          <cell r="M683" t="str">
            <v>P1-1</v>
          </cell>
          <cell r="N683" t="str">
            <v/>
          </cell>
          <cell r="O683" t="str">
            <v>2025/02/19</v>
          </cell>
        </row>
        <row r="684">
          <cell r="C684" t="str">
            <v>GL501105</v>
          </cell>
          <cell r="D684" t="str">
            <v>美洲区</v>
          </cell>
          <cell r="E684" t="str">
            <v>FL 佛州大区</v>
          </cell>
          <cell r="F684" t="str">
            <v>MCO.H</v>
          </cell>
          <cell r="G684" t="str">
            <v>分拣组</v>
          </cell>
          <cell r="H684" t="str">
            <v/>
          </cell>
          <cell r="I684" t="str">
            <v/>
          </cell>
          <cell r="J684" t="str">
            <v/>
          </cell>
          <cell r="K684" t="str">
            <v>分拣组</v>
          </cell>
          <cell r="L684" t="str">
            <v>Sorter 分拣员</v>
          </cell>
          <cell r="M684" t="str">
            <v>P1-1</v>
          </cell>
          <cell r="N684" t="str">
            <v/>
          </cell>
          <cell r="O684" t="str">
            <v>2025/07/08</v>
          </cell>
        </row>
        <row r="685">
          <cell r="C685" t="str">
            <v>GL500958</v>
          </cell>
          <cell r="D685" t="str">
            <v>美洲区</v>
          </cell>
          <cell r="E685" t="str">
            <v>FL 佛州大区</v>
          </cell>
          <cell r="F685" t="str">
            <v>MIA.H</v>
          </cell>
          <cell r="G685" t="str">
            <v>分拣组</v>
          </cell>
          <cell r="H685" t="str">
            <v/>
          </cell>
          <cell r="I685" t="str">
            <v/>
          </cell>
          <cell r="J685" t="str">
            <v/>
          </cell>
          <cell r="K685" t="str">
            <v>分拣组</v>
          </cell>
          <cell r="L685" t="str">
            <v>Sorter 分拣员</v>
          </cell>
          <cell r="M685" t="str">
            <v>P1-1</v>
          </cell>
          <cell r="N685" t="str">
            <v/>
          </cell>
          <cell r="O685" t="str">
            <v>2025/06/12</v>
          </cell>
        </row>
        <row r="686">
          <cell r="C686" t="str">
            <v>GL500960</v>
          </cell>
          <cell r="D686" t="str">
            <v>美洲区</v>
          </cell>
          <cell r="E686" t="str">
            <v>FL 佛州大区</v>
          </cell>
          <cell r="F686" t="str">
            <v>MIA.H</v>
          </cell>
          <cell r="G686" t="str">
            <v>分拣组</v>
          </cell>
          <cell r="H686" t="str">
            <v/>
          </cell>
          <cell r="I686" t="str">
            <v/>
          </cell>
          <cell r="J686" t="str">
            <v/>
          </cell>
          <cell r="K686" t="str">
            <v>分拣组</v>
          </cell>
          <cell r="L686" t="str">
            <v>Sorter 分拣员</v>
          </cell>
          <cell r="M686" t="str">
            <v>P1-1</v>
          </cell>
          <cell r="N686" t="str">
            <v/>
          </cell>
          <cell r="O686" t="str">
            <v>2025/06/12</v>
          </cell>
        </row>
        <row r="687">
          <cell r="C687" t="str">
            <v>GL500981</v>
          </cell>
          <cell r="D687" t="str">
            <v>美洲区</v>
          </cell>
          <cell r="E687" t="str">
            <v>FL 佛州大区</v>
          </cell>
          <cell r="F687" t="str">
            <v>MIA.H</v>
          </cell>
          <cell r="G687" t="str">
            <v>分拣组</v>
          </cell>
          <cell r="H687" t="str">
            <v/>
          </cell>
          <cell r="I687" t="str">
            <v/>
          </cell>
          <cell r="J687" t="str">
            <v/>
          </cell>
          <cell r="K687" t="str">
            <v>分拣组</v>
          </cell>
          <cell r="L687" t="str">
            <v>Sorter 分拣员</v>
          </cell>
          <cell r="M687" t="str">
            <v>P1-1</v>
          </cell>
          <cell r="N687" t="str">
            <v/>
          </cell>
          <cell r="O687" t="str">
            <v>2025/06/17</v>
          </cell>
        </row>
        <row r="688">
          <cell r="C688" t="str">
            <v>GL500982</v>
          </cell>
          <cell r="D688" t="str">
            <v>美洲区</v>
          </cell>
          <cell r="E688" t="str">
            <v>FL 佛州大区</v>
          </cell>
          <cell r="F688" t="str">
            <v>MIA.H</v>
          </cell>
          <cell r="G688" t="str">
            <v>分拣组</v>
          </cell>
          <cell r="H688" t="str">
            <v/>
          </cell>
          <cell r="I688" t="str">
            <v/>
          </cell>
          <cell r="J688" t="str">
            <v/>
          </cell>
          <cell r="K688" t="str">
            <v>分拣组</v>
          </cell>
          <cell r="L688" t="str">
            <v>Sorter 分拣员</v>
          </cell>
          <cell r="M688" t="str">
            <v>P1-1</v>
          </cell>
          <cell r="N688" t="str">
            <v/>
          </cell>
          <cell r="O688" t="str">
            <v>2025/06/17</v>
          </cell>
        </row>
        <row r="689">
          <cell r="C689" t="str">
            <v>GL501391</v>
          </cell>
          <cell r="D689" t="str">
            <v>美洲区</v>
          </cell>
          <cell r="E689" t="str">
            <v>US人力资源部</v>
          </cell>
          <cell r="F689" t="str">
            <v>美洲HRBP组</v>
          </cell>
          <cell r="G689" t="str">
            <v>美西区HR组</v>
          </cell>
          <cell r="H689" t="str">
            <v/>
          </cell>
          <cell r="I689" t="str">
            <v/>
          </cell>
          <cell r="J689" t="str">
            <v/>
          </cell>
          <cell r="K689" t="str">
            <v>美西区HR组</v>
          </cell>
          <cell r="L689" t="str">
            <v>HRBP Assistant HRBP助理</v>
          </cell>
          <cell r="M689" t="str">
            <v>P1-1</v>
          </cell>
          <cell r="N689" t="str">
            <v/>
          </cell>
          <cell r="O689" t="str">
            <v>2025/09/08</v>
          </cell>
        </row>
        <row r="690">
          <cell r="C690" t="str">
            <v>GL501162</v>
          </cell>
          <cell r="D690" t="str">
            <v>美洲区</v>
          </cell>
          <cell r="E690" t="str">
            <v>MS 中南大区</v>
          </cell>
          <cell r="F690" t="str">
            <v>ATL.H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>ATL.H</v>
          </cell>
          <cell r="L690" t="str">
            <v>Deputy Hub Head 副仓长</v>
          </cell>
          <cell r="M690" t="str">
            <v>M2-2</v>
          </cell>
          <cell r="N690" t="str">
            <v/>
          </cell>
          <cell r="O690" t="str">
            <v>2025/09/01</v>
          </cell>
        </row>
        <row r="691">
          <cell r="C691" t="str">
            <v>GL501049</v>
          </cell>
          <cell r="D691" t="str">
            <v>美洲区</v>
          </cell>
          <cell r="E691" t="str">
            <v>MS 中南大区</v>
          </cell>
          <cell r="F691" t="str">
            <v>AS 亚特兰大和南阿拉巴马片区</v>
          </cell>
          <cell r="G691" t="str">
            <v>ATL01</v>
          </cell>
          <cell r="H691" t="str">
            <v/>
          </cell>
          <cell r="I691" t="str">
            <v/>
          </cell>
          <cell r="J691" t="str">
            <v/>
          </cell>
          <cell r="K691" t="str">
            <v>ATL.CHA.MAC</v>
          </cell>
          <cell r="L691" t="str">
            <v>Station Operations Specialist 站点运营专员</v>
          </cell>
          <cell r="M691" t="str">
            <v>P1-2</v>
          </cell>
          <cell r="N691" t="str">
            <v/>
          </cell>
          <cell r="O691" t="str">
            <v>2025/07/31</v>
          </cell>
        </row>
        <row r="692">
          <cell r="C692" t="str">
            <v>GL501325</v>
          </cell>
          <cell r="D692" t="str">
            <v>美洲区</v>
          </cell>
          <cell r="E692" t="str">
            <v>WE 美西大区</v>
          </cell>
          <cell r="F692" t="str">
            <v>CNO.H</v>
          </cell>
          <cell r="G692" t="str">
            <v>调度组</v>
          </cell>
          <cell r="H692" t="str">
            <v/>
          </cell>
          <cell r="I692" t="str">
            <v/>
          </cell>
          <cell r="J692" t="str">
            <v/>
          </cell>
          <cell r="K692" t="str">
            <v>调度组</v>
          </cell>
          <cell r="L692" t="str">
            <v>Dispatcher 调度员</v>
          </cell>
          <cell r="M692" t="str">
            <v>P1-1</v>
          </cell>
          <cell r="N692" t="str">
            <v/>
          </cell>
          <cell r="O692" t="str">
            <v>2025/08/25</v>
          </cell>
        </row>
        <row r="693">
          <cell r="C693" t="str">
            <v>GL500753</v>
          </cell>
          <cell r="D693" t="str">
            <v>美洲区</v>
          </cell>
          <cell r="E693" t="str">
            <v>US人力资源部</v>
          </cell>
          <cell r="F693" t="str">
            <v>美洲HRBP组</v>
          </cell>
          <cell r="G693" t="str">
            <v>佛州区HR组</v>
          </cell>
          <cell r="H693" t="str">
            <v/>
          </cell>
          <cell r="I693" t="str">
            <v/>
          </cell>
          <cell r="J693" t="str">
            <v/>
          </cell>
          <cell r="K693" t="str">
            <v>佛州区HR组</v>
          </cell>
          <cell r="L693" t="str">
            <v>HRBP Supervisor HRBP主管</v>
          </cell>
          <cell r="M693" t="str">
            <v>P2-2</v>
          </cell>
          <cell r="N693" t="str">
            <v/>
          </cell>
          <cell r="O693" t="str">
            <v>2025/06/18</v>
          </cell>
        </row>
        <row r="694">
          <cell r="C694" t="str">
            <v>GL501276</v>
          </cell>
          <cell r="D694" t="str">
            <v>美洲区</v>
          </cell>
          <cell r="E694" t="str">
            <v>FL 佛州大区</v>
          </cell>
          <cell r="F694" t="str">
            <v>MIA.H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>MIA.H</v>
          </cell>
          <cell r="L694" t="str">
            <v>Warehouse Clerk 仓库文员</v>
          </cell>
          <cell r="M694" t="str">
            <v>P1-2</v>
          </cell>
          <cell r="N694" t="str">
            <v/>
          </cell>
          <cell r="O694" t="str">
            <v>2025/08/26</v>
          </cell>
        </row>
        <row r="695">
          <cell r="C695" t="str">
            <v>GL501330</v>
          </cell>
          <cell r="D695" t="str">
            <v>欧洲区</v>
          </cell>
          <cell r="E695" t="str">
            <v>FR 法国区</v>
          </cell>
          <cell r="F695" t="str">
            <v>巴黎枢纽仓</v>
          </cell>
          <cell r="G695" t="str">
            <v>巴黎出库组</v>
          </cell>
          <cell r="H695" t="str">
            <v/>
          </cell>
          <cell r="I695" t="str">
            <v/>
          </cell>
          <cell r="J695" t="str">
            <v/>
          </cell>
          <cell r="K695" t="str">
            <v>巴黎出库组</v>
          </cell>
          <cell r="L695" t="str">
            <v>Warehouse Operator操作员</v>
          </cell>
          <cell r="M695" t="str">
            <v>P1-2</v>
          </cell>
          <cell r="N695" t="str">
            <v/>
          </cell>
          <cell r="O695" t="str">
            <v>2025/09/01</v>
          </cell>
        </row>
        <row r="696">
          <cell r="C696" t="str">
            <v>GL500380</v>
          </cell>
          <cell r="D696" t="str">
            <v>美洲区</v>
          </cell>
          <cell r="E696" t="str">
            <v>CS 客户服务部</v>
          </cell>
          <cell r="F696" t="str">
            <v>消费者客服组</v>
          </cell>
          <cell r="G696" t="str">
            <v>海外客服组</v>
          </cell>
          <cell r="H696" t="str">
            <v/>
          </cell>
          <cell r="I696" t="str">
            <v/>
          </cell>
          <cell r="J696" t="str">
            <v/>
          </cell>
          <cell r="K696" t="str">
            <v>海外客服组</v>
          </cell>
          <cell r="L696" t="str">
            <v>Online CS Assistant 官网在线客服助理</v>
          </cell>
          <cell r="M696" t="str">
            <v>P1-1</v>
          </cell>
          <cell r="N696" t="str">
            <v/>
          </cell>
          <cell r="O696" t="str">
            <v>2024/10/15</v>
          </cell>
        </row>
        <row r="697">
          <cell r="C697" t="str">
            <v>GL500037</v>
          </cell>
          <cell r="D697" t="str">
            <v>欧洲区</v>
          </cell>
          <cell r="E697" t="str">
            <v>IT 意大利区</v>
          </cell>
          <cell r="F697" t="str">
            <v>米兰枢纽仓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>米兰枢纽仓</v>
          </cell>
          <cell r="L697" t="str">
            <v>Hub Head仓长</v>
          </cell>
          <cell r="M697" t="str">
            <v>M2-2</v>
          </cell>
          <cell r="N697" t="str">
            <v/>
          </cell>
          <cell r="O697" t="str">
            <v>2025/05/05</v>
          </cell>
        </row>
        <row r="698">
          <cell r="C698" t="str">
            <v>GL501216</v>
          </cell>
          <cell r="D698" t="str">
            <v>美洲区</v>
          </cell>
          <cell r="E698" t="str">
            <v>NE 东北大区</v>
          </cell>
          <cell r="F698" t="str">
            <v>DC 华盛顿片区</v>
          </cell>
          <cell r="G698" t="str">
            <v>PHL01</v>
          </cell>
          <cell r="H698" t="str">
            <v/>
          </cell>
          <cell r="I698" t="str">
            <v/>
          </cell>
          <cell r="J698" t="str">
            <v/>
          </cell>
          <cell r="K698" t="str">
            <v>PHL</v>
          </cell>
          <cell r="L698" t="str">
            <v>Station Operations Specialist 站点运营专员</v>
          </cell>
          <cell r="M698" t="str">
            <v>P1-2</v>
          </cell>
          <cell r="N698" t="str">
            <v/>
          </cell>
          <cell r="O698" t="str">
            <v>2025/08/13</v>
          </cell>
        </row>
        <row r="699">
          <cell r="C699" t="str">
            <v>GL500573</v>
          </cell>
          <cell r="D699" t="str">
            <v>美洲区</v>
          </cell>
          <cell r="E699" t="str">
            <v>Ground项目部</v>
          </cell>
          <cell r="F699" t="str">
            <v>OG 美中区</v>
          </cell>
          <cell r="G699" t="str">
            <v>CH600</v>
          </cell>
          <cell r="H699" t="str">
            <v/>
          </cell>
          <cell r="I699" t="str">
            <v/>
          </cell>
          <cell r="J699" t="str">
            <v/>
          </cell>
          <cell r="K699" t="str">
            <v>CH600</v>
          </cell>
          <cell r="L699" t="str">
            <v>Delivery Driver 司机</v>
          </cell>
          <cell r="M699" t="str">
            <v>P1-3</v>
          </cell>
          <cell r="N699" t="str">
            <v/>
          </cell>
          <cell r="O699" t="str">
            <v>2025/03/18</v>
          </cell>
        </row>
        <row r="700">
          <cell r="C700" t="str">
            <v>GL500123</v>
          </cell>
          <cell r="D700" t="str">
            <v>美洲区</v>
          </cell>
          <cell r="E700" t="str">
            <v>GL 大湖大区</v>
          </cell>
          <cell r="F700" t="str">
            <v>DTW.CLE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>DTW.CLE</v>
          </cell>
          <cell r="L700" t="str">
            <v>Station Head 站长</v>
          </cell>
          <cell r="M700" t="str">
            <v>M2-1</v>
          </cell>
          <cell r="N700" t="str">
            <v/>
          </cell>
          <cell r="O700" t="str">
            <v>2025/04/01</v>
          </cell>
        </row>
        <row r="701">
          <cell r="C701" t="str">
            <v>GL501267</v>
          </cell>
          <cell r="D701" t="str">
            <v>美洲区</v>
          </cell>
          <cell r="E701" t="str">
            <v>GL 大湖大区</v>
          </cell>
          <cell r="F701" t="str">
            <v>NM 中西部北片区</v>
          </cell>
          <cell r="G701" t="str">
            <v>MCI01</v>
          </cell>
          <cell r="H701" t="str">
            <v/>
          </cell>
          <cell r="I701" t="str">
            <v/>
          </cell>
          <cell r="J701" t="str">
            <v/>
          </cell>
          <cell r="K701" t="str">
            <v>MCI</v>
          </cell>
          <cell r="L701" t="str">
            <v>Station Head （Probation）站长（见习）</v>
          </cell>
          <cell r="M701" t="str">
            <v>P1-3</v>
          </cell>
          <cell r="N701" t="str">
            <v/>
          </cell>
          <cell r="O701" t="str">
            <v>2025/08/18</v>
          </cell>
        </row>
        <row r="702">
          <cell r="C702" t="str">
            <v>GL500739</v>
          </cell>
          <cell r="D702" t="str">
            <v>美洲区</v>
          </cell>
          <cell r="E702" t="str">
            <v>WE 美西大区</v>
          </cell>
          <cell r="F702" t="str">
            <v>LAV.H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>LAV.H</v>
          </cell>
          <cell r="L702" t="str">
            <v>Warehouse Clerk 仓库文员</v>
          </cell>
          <cell r="M702" t="str">
            <v>P1-1</v>
          </cell>
          <cell r="N702" t="str">
            <v/>
          </cell>
          <cell r="O702" t="str">
            <v>2025/06/06</v>
          </cell>
        </row>
        <row r="703">
          <cell r="C703" t="str">
            <v>GL500992</v>
          </cell>
          <cell r="D703" t="str">
            <v>美洲区</v>
          </cell>
          <cell r="E703" t="str">
            <v>FL 佛州大区</v>
          </cell>
          <cell r="F703" t="str">
            <v>MIA.H</v>
          </cell>
          <cell r="G703" t="str">
            <v>操作组</v>
          </cell>
          <cell r="H703" t="str">
            <v/>
          </cell>
          <cell r="I703" t="str">
            <v/>
          </cell>
          <cell r="J703" t="str">
            <v/>
          </cell>
          <cell r="K703" t="str">
            <v>操作组</v>
          </cell>
          <cell r="L703" t="str">
            <v>Warehouse Operator 操作员</v>
          </cell>
          <cell r="M703" t="str">
            <v>P1-1</v>
          </cell>
          <cell r="N703" t="str">
            <v/>
          </cell>
          <cell r="O703" t="str">
            <v>2025/06/07</v>
          </cell>
        </row>
        <row r="704">
          <cell r="C704" t="str">
            <v>GL500007</v>
          </cell>
          <cell r="D704" t="str">
            <v>美洲区</v>
          </cell>
          <cell r="E704" t="str">
            <v>GL 大湖大区</v>
          </cell>
          <cell r="F704" t="str">
            <v>WG 西大湖片区</v>
          </cell>
          <cell r="G704" t="str">
            <v>MKE01</v>
          </cell>
          <cell r="H704" t="str">
            <v/>
          </cell>
          <cell r="I704" t="str">
            <v/>
          </cell>
          <cell r="J704" t="str">
            <v/>
          </cell>
          <cell r="K704" t="str">
            <v>MKE</v>
          </cell>
          <cell r="L704" t="str">
            <v>Sorter 分拣员</v>
          </cell>
          <cell r="M704" t="str">
            <v>P1-2</v>
          </cell>
          <cell r="N704" t="str">
            <v/>
          </cell>
          <cell r="O704" t="str">
            <v>2025/05/06</v>
          </cell>
        </row>
        <row r="705">
          <cell r="C705" t="str">
            <v>GL500526</v>
          </cell>
          <cell r="D705" t="str">
            <v>美洲区</v>
          </cell>
          <cell r="E705" t="str">
            <v>GL 大湖大区</v>
          </cell>
          <cell r="F705" t="str">
            <v>DTW.CLE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>DTW.CLE</v>
          </cell>
          <cell r="L705" t="str">
            <v>Warehouse Operator 操作员</v>
          </cell>
          <cell r="M705" t="str">
            <v>P1-1</v>
          </cell>
          <cell r="N705" t="str">
            <v/>
          </cell>
          <cell r="O705" t="str">
            <v>2025/05/16</v>
          </cell>
        </row>
        <row r="706">
          <cell r="C706" t="str">
            <v>GL500883</v>
          </cell>
          <cell r="D706" t="str">
            <v>美洲区</v>
          </cell>
          <cell r="E706" t="str">
            <v>FL 佛州大区</v>
          </cell>
          <cell r="F706" t="str">
            <v>WF 西佛片区</v>
          </cell>
          <cell r="G706" t="str">
            <v>TPA01</v>
          </cell>
          <cell r="H706" t="str">
            <v/>
          </cell>
          <cell r="I706" t="str">
            <v/>
          </cell>
          <cell r="J706" t="str">
            <v/>
          </cell>
          <cell r="K706" t="str">
            <v>TPA</v>
          </cell>
          <cell r="L706" t="str">
            <v>Station Operations Specialist 站点运营专员</v>
          </cell>
          <cell r="M706" t="str">
            <v>P1-2</v>
          </cell>
          <cell r="N706" t="str">
            <v/>
          </cell>
          <cell r="O706" t="str">
            <v>2025/07/01</v>
          </cell>
        </row>
        <row r="707">
          <cell r="C707" t="str">
            <v>GL500179</v>
          </cell>
          <cell r="D707" t="str">
            <v>欧洲区</v>
          </cell>
          <cell r="E707" t="str">
            <v>FR 法国区</v>
          </cell>
          <cell r="F707" t="str">
            <v>东部战区</v>
          </cell>
          <cell r="G707" t="str">
            <v>斯特拉斯堡-SXB</v>
          </cell>
          <cell r="H707" t="str">
            <v/>
          </cell>
          <cell r="I707" t="str">
            <v/>
          </cell>
          <cell r="J707" t="str">
            <v/>
          </cell>
          <cell r="K707" t="str">
            <v>斯特拉斯堡-SXB</v>
          </cell>
          <cell r="L707" t="str">
            <v>Terminal Specialist终端专员</v>
          </cell>
          <cell r="M707" t="str">
            <v>P1-1</v>
          </cell>
          <cell r="N707" t="str">
            <v/>
          </cell>
          <cell r="O707" t="str">
            <v>2025/03/03</v>
          </cell>
        </row>
        <row r="708">
          <cell r="C708" t="str">
            <v>GL501210</v>
          </cell>
          <cell r="D708" t="str">
            <v>美洲区</v>
          </cell>
          <cell r="E708" t="str">
            <v>MS 中南大区</v>
          </cell>
          <cell r="F708" t="str">
            <v>ATL.H</v>
          </cell>
          <cell r="G708" t="str">
            <v>异常处理组</v>
          </cell>
          <cell r="H708" t="str">
            <v/>
          </cell>
          <cell r="I708" t="str">
            <v/>
          </cell>
          <cell r="J708" t="str">
            <v/>
          </cell>
          <cell r="K708" t="str">
            <v>退件组</v>
          </cell>
          <cell r="L708" t="str">
            <v>Returns Lead 退件组长</v>
          </cell>
          <cell r="M708" t="str">
            <v>P2-1</v>
          </cell>
          <cell r="N708" t="str">
            <v/>
          </cell>
          <cell r="O708" t="str">
            <v>2025/08/13</v>
          </cell>
        </row>
        <row r="709">
          <cell r="C709" t="str">
            <v>GL501151</v>
          </cell>
          <cell r="D709" t="str">
            <v>美洲区</v>
          </cell>
          <cell r="E709" t="str">
            <v>MS 中南大区</v>
          </cell>
          <cell r="F709" t="str">
            <v>ATL.H</v>
          </cell>
          <cell r="G709" t="str">
            <v>分拣组</v>
          </cell>
          <cell r="H709" t="str">
            <v/>
          </cell>
          <cell r="I709" t="str">
            <v/>
          </cell>
          <cell r="J709" t="str">
            <v/>
          </cell>
          <cell r="K709" t="str">
            <v>分拣组</v>
          </cell>
          <cell r="L709" t="str">
            <v>Sorting Lead 分拣组长</v>
          </cell>
          <cell r="M709" t="str">
            <v>P1-3</v>
          </cell>
          <cell r="N709" t="str">
            <v/>
          </cell>
          <cell r="O709" t="str">
            <v>2025/08/04</v>
          </cell>
        </row>
        <row r="710">
          <cell r="C710" t="str">
            <v>GL501242</v>
          </cell>
          <cell r="D710" t="str">
            <v>美洲区</v>
          </cell>
          <cell r="E710" t="str">
            <v>TX 德州大区</v>
          </cell>
          <cell r="F710" t="str">
            <v>DFW.H</v>
          </cell>
          <cell r="G710" t="str">
            <v>分拣组</v>
          </cell>
          <cell r="H710" t="str">
            <v/>
          </cell>
          <cell r="I710" t="str">
            <v/>
          </cell>
          <cell r="J710" t="str">
            <v/>
          </cell>
          <cell r="K710" t="str">
            <v>分拣组</v>
          </cell>
          <cell r="L710" t="str">
            <v>Sorter 分拣员</v>
          </cell>
          <cell r="M710" t="str">
            <v>P1-2</v>
          </cell>
          <cell r="N710" t="str">
            <v/>
          </cell>
          <cell r="O710" t="str">
            <v>2025/08/11</v>
          </cell>
        </row>
        <row r="711">
          <cell r="C711" t="str">
            <v>GL500143</v>
          </cell>
          <cell r="D711" t="str">
            <v>美洲区</v>
          </cell>
          <cell r="E711" t="str">
            <v>TX 德州大区</v>
          </cell>
          <cell r="F711" t="str">
            <v>DFW.H</v>
          </cell>
          <cell r="G711" t="str">
            <v>分拣组</v>
          </cell>
          <cell r="H711" t="str">
            <v/>
          </cell>
          <cell r="I711" t="str">
            <v/>
          </cell>
          <cell r="J711" t="str">
            <v/>
          </cell>
          <cell r="K711" t="str">
            <v>分拣组</v>
          </cell>
          <cell r="L711" t="str">
            <v>Sorter 分拣员</v>
          </cell>
          <cell r="M711" t="str">
            <v>P1-3</v>
          </cell>
          <cell r="N711" t="str">
            <v/>
          </cell>
          <cell r="O711" t="str">
            <v>2025/03/24</v>
          </cell>
        </row>
        <row r="712">
          <cell r="C712" t="str">
            <v>GL500611</v>
          </cell>
          <cell r="D712" t="str">
            <v>美洲区</v>
          </cell>
          <cell r="E712" t="str">
            <v>NE 东北大区</v>
          </cell>
          <cell r="F712" t="str">
            <v>EWR.H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>EWR.H</v>
          </cell>
          <cell r="L712" t="str">
            <v>Hub Head 仓长</v>
          </cell>
          <cell r="M712" t="str">
            <v>M3-1</v>
          </cell>
          <cell r="N712" t="str">
            <v/>
          </cell>
          <cell r="O712" t="str">
            <v>2022/09/23</v>
          </cell>
        </row>
        <row r="713">
          <cell r="C713" t="str">
            <v>GL501021</v>
          </cell>
          <cell r="D713" t="str">
            <v>美洲区</v>
          </cell>
          <cell r="E713" t="str">
            <v>NE 东北大区</v>
          </cell>
          <cell r="F713" t="str">
            <v>揽收部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>揽收组</v>
          </cell>
          <cell r="L713" t="str">
            <v>Pickup Support Specialist 揽收支持专员</v>
          </cell>
          <cell r="M713" t="str">
            <v>P1-2</v>
          </cell>
          <cell r="N713" t="str">
            <v/>
          </cell>
          <cell r="O713" t="str">
            <v>2025/07/15</v>
          </cell>
        </row>
        <row r="714">
          <cell r="C714" t="str">
            <v>GL501143</v>
          </cell>
          <cell r="D714" t="str">
            <v>欧洲区</v>
          </cell>
          <cell r="E714" t="str">
            <v>FR 法国区</v>
          </cell>
          <cell r="F714" t="str">
            <v>巴黎枢纽仓</v>
          </cell>
          <cell r="G714" t="str">
            <v>设备分拣组</v>
          </cell>
          <cell r="H714" t="str">
            <v/>
          </cell>
          <cell r="I714" t="str">
            <v/>
          </cell>
          <cell r="J714" t="str">
            <v/>
          </cell>
          <cell r="K714" t="str">
            <v>设备分拣组</v>
          </cell>
          <cell r="L714" t="str">
            <v>Warehouse Operator操作员</v>
          </cell>
          <cell r="M714" t="str">
            <v>P1-1</v>
          </cell>
          <cell r="N714" t="str">
            <v/>
          </cell>
          <cell r="O714" t="str">
            <v>2025/08/01</v>
          </cell>
        </row>
        <row r="715">
          <cell r="C715" t="str">
            <v>GL500657</v>
          </cell>
          <cell r="D715" t="str">
            <v>欧洲区</v>
          </cell>
          <cell r="E715" t="str">
            <v>FR 法国区</v>
          </cell>
          <cell r="F715" t="str">
            <v>技术支持部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>技术支持部</v>
          </cell>
          <cell r="L715" t="str">
            <v>产品助理</v>
          </cell>
          <cell r="M715" t="str">
            <v>P1-1</v>
          </cell>
          <cell r="N715" t="str">
            <v/>
          </cell>
          <cell r="O715" t="str">
            <v>2025/06/02</v>
          </cell>
        </row>
        <row r="716">
          <cell r="C716" t="str">
            <v>GL500664</v>
          </cell>
          <cell r="D716" t="str">
            <v>美洲区</v>
          </cell>
          <cell r="E716" t="str">
            <v>DO 数字运营部</v>
          </cell>
          <cell r="F716" t="str">
            <v>美国技术支持组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>美国技术支持组</v>
          </cell>
          <cell r="L716" t="str">
            <v>IT support 技术支持工程师</v>
          </cell>
          <cell r="M716" t="str">
            <v>P1-1</v>
          </cell>
          <cell r="N716" t="str">
            <v/>
          </cell>
          <cell r="O716" t="str">
            <v>2025/06/02</v>
          </cell>
        </row>
        <row r="717">
          <cell r="C717" t="str">
            <v>GL500025</v>
          </cell>
          <cell r="D717" t="str">
            <v>美洲区</v>
          </cell>
          <cell r="E717" t="str">
            <v>GL 大湖大区</v>
          </cell>
          <cell r="F717" t="str">
            <v>CM 中西部中心片区</v>
          </cell>
          <cell r="G717" t="str">
            <v>CMH01</v>
          </cell>
          <cell r="H717" t="str">
            <v/>
          </cell>
          <cell r="I717" t="str">
            <v/>
          </cell>
          <cell r="J717" t="str">
            <v/>
          </cell>
          <cell r="K717" t="str">
            <v>CMH</v>
          </cell>
          <cell r="L717" t="str">
            <v>Sorting Lead 分拣组长</v>
          </cell>
          <cell r="M717" t="str">
            <v>P2-1</v>
          </cell>
          <cell r="N717" t="str">
            <v/>
          </cell>
          <cell r="O717" t="str">
            <v>2025/04/30</v>
          </cell>
        </row>
        <row r="718">
          <cell r="C718" t="str">
            <v>GL501034</v>
          </cell>
          <cell r="D718" t="str">
            <v>美洲区</v>
          </cell>
          <cell r="E718" t="str">
            <v>FL 佛州大区</v>
          </cell>
          <cell r="F718" t="str">
            <v>MCO.H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>MCO.H</v>
          </cell>
          <cell r="L718" t="str">
            <v>Warehouse Clerk 仓库文员</v>
          </cell>
          <cell r="M718" t="str">
            <v>P1-2</v>
          </cell>
          <cell r="N718" t="str">
            <v/>
          </cell>
          <cell r="O718" t="str">
            <v>2025/07/17</v>
          </cell>
        </row>
        <row r="719">
          <cell r="C719" t="str">
            <v>GL501313</v>
          </cell>
          <cell r="D719" t="str">
            <v>美洲区</v>
          </cell>
          <cell r="E719" t="str">
            <v>FL 佛州大区</v>
          </cell>
          <cell r="F719" t="str">
            <v>MIA.H</v>
          </cell>
          <cell r="G719" t="str">
            <v>二程管理组</v>
          </cell>
          <cell r="H719" t="str">
            <v/>
          </cell>
          <cell r="I719" t="str">
            <v/>
          </cell>
          <cell r="J719" t="str">
            <v/>
          </cell>
          <cell r="K719" t="str">
            <v>PR二程管理组</v>
          </cell>
          <cell r="L719" t="str">
            <v>Second-leg air freight Specialist 二程发货员</v>
          </cell>
          <cell r="M719" t="str">
            <v>P1-1</v>
          </cell>
          <cell r="N719" t="str">
            <v/>
          </cell>
          <cell r="O719" t="str">
            <v>2025/08/25</v>
          </cell>
        </row>
        <row r="720">
          <cell r="C720" t="str">
            <v>GL501006</v>
          </cell>
          <cell r="D720" t="str">
            <v>美洲区</v>
          </cell>
          <cell r="E720" t="str">
            <v>FL 佛州大区</v>
          </cell>
          <cell r="F720" t="str">
            <v>MIA.H</v>
          </cell>
          <cell r="G720" t="str">
            <v>分拣组</v>
          </cell>
          <cell r="H720" t="str">
            <v/>
          </cell>
          <cell r="I720" t="str">
            <v/>
          </cell>
          <cell r="J720" t="str">
            <v/>
          </cell>
          <cell r="K720" t="str">
            <v>分拣组</v>
          </cell>
          <cell r="L720" t="str">
            <v>Sorter 分拣员</v>
          </cell>
          <cell r="M720" t="str">
            <v>P1-1</v>
          </cell>
          <cell r="N720" t="str">
            <v/>
          </cell>
          <cell r="O720" t="str">
            <v>2025/06/17</v>
          </cell>
        </row>
        <row r="721">
          <cell r="C721" t="str">
            <v>GL500906</v>
          </cell>
          <cell r="D721" t="str">
            <v>美洲区</v>
          </cell>
          <cell r="E721" t="str">
            <v>GL 大湖大区</v>
          </cell>
          <cell r="F721" t="str">
            <v>WG 西大湖片区</v>
          </cell>
          <cell r="G721" t="str">
            <v>MKE01</v>
          </cell>
          <cell r="H721" t="str">
            <v/>
          </cell>
          <cell r="I721" t="str">
            <v/>
          </cell>
          <cell r="J721" t="str">
            <v/>
          </cell>
          <cell r="K721" t="str">
            <v>MKE</v>
          </cell>
          <cell r="L721" t="str">
            <v>Warehouse Lead 操作组长</v>
          </cell>
          <cell r="M721" t="str">
            <v>P1-3</v>
          </cell>
          <cell r="N721" t="str">
            <v/>
          </cell>
          <cell r="O721" t="str">
            <v>2025/07/07</v>
          </cell>
        </row>
        <row r="722">
          <cell r="C722" t="str">
            <v>GL500808</v>
          </cell>
          <cell r="D722" t="str">
            <v>美洲区</v>
          </cell>
          <cell r="E722" t="str">
            <v>WE 美西大区</v>
          </cell>
          <cell r="F722" t="str">
            <v>CNO.H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>CNO.H</v>
          </cell>
          <cell r="L722" t="str">
            <v>Deputy Hub Head 副仓长</v>
          </cell>
          <cell r="M722" t="str">
            <v>M2-2</v>
          </cell>
          <cell r="N722" t="str">
            <v/>
          </cell>
          <cell r="O722" t="str">
            <v>2025/06/18</v>
          </cell>
        </row>
        <row r="723">
          <cell r="C723" t="str">
            <v>GL500569</v>
          </cell>
          <cell r="D723" t="str">
            <v>美洲区</v>
          </cell>
          <cell r="E723" t="str">
            <v>Ground项目部</v>
          </cell>
          <cell r="F723" t="str">
            <v>OG 美东区</v>
          </cell>
          <cell r="G723" t="str">
            <v>MR088</v>
          </cell>
          <cell r="H723" t="str">
            <v/>
          </cell>
          <cell r="I723" t="str">
            <v/>
          </cell>
          <cell r="J723" t="str">
            <v/>
          </cell>
          <cell r="K723" t="str">
            <v>MR088</v>
          </cell>
          <cell r="L723" t="str">
            <v>Delivery Driver 司机</v>
          </cell>
          <cell r="M723" t="str">
            <v>P1-1</v>
          </cell>
          <cell r="N723" t="str">
            <v/>
          </cell>
          <cell r="O723" t="str">
            <v>2025/03/20</v>
          </cell>
        </row>
        <row r="724">
          <cell r="C724" t="str">
            <v>GL501167</v>
          </cell>
          <cell r="D724" t="str">
            <v>美洲区</v>
          </cell>
          <cell r="E724" t="str">
            <v>FL 佛州大区</v>
          </cell>
          <cell r="F724" t="str">
            <v>MIA.H</v>
          </cell>
          <cell r="G724" t="str">
            <v>异常处理组</v>
          </cell>
          <cell r="H724" t="str">
            <v/>
          </cell>
          <cell r="I724" t="str">
            <v/>
          </cell>
          <cell r="J724" t="str">
            <v/>
          </cell>
          <cell r="K724" t="str">
            <v>退件组</v>
          </cell>
          <cell r="L724" t="str">
            <v>Returns Specialist 退件员</v>
          </cell>
          <cell r="M724" t="str">
            <v>P1-1</v>
          </cell>
          <cell r="N724" t="str">
            <v/>
          </cell>
          <cell r="O724" t="str">
            <v>2025/07/31</v>
          </cell>
        </row>
        <row r="725">
          <cell r="C725" t="str">
            <v>GL500996</v>
          </cell>
          <cell r="D725" t="str">
            <v>美洲区</v>
          </cell>
          <cell r="E725" t="str">
            <v>FL 佛州大区</v>
          </cell>
          <cell r="F725" t="str">
            <v>MIA.H</v>
          </cell>
          <cell r="G725" t="str">
            <v>操作组</v>
          </cell>
          <cell r="H725" t="str">
            <v/>
          </cell>
          <cell r="I725" t="str">
            <v/>
          </cell>
          <cell r="J725" t="str">
            <v/>
          </cell>
          <cell r="K725" t="str">
            <v>操作组</v>
          </cell>
          <cell r="L725" t="str">
            <v>Warehouse Operator 操作员</v>
          </cell>
          <cell r="M725" t="str">
            <v>P1-1</v>
          </cell>
          <cell r="N725" t="str">
            <v/>
          </cell>
          <cell r="O725" t="str">
            <v>2025/06/16</v>
          </cell>
        </row>
        <row r="726">
          <cell r="C726" t="str">
            <v>GL500993</v>
          </cell>
          <cell r="D726" t="str">
            <v>美洲区</v>
          </cell>
          <cell r="E726" t="str">
            <v>FL 佛州大区</v>
          </cell>
          <cell r="F726" t="str">
            <v>MIA.H</v>
          </cell>
          <cell r="G726" t="str">
            <v>操作组</v>
          </cell>
          <cell r="H726" t="str">
            <v/>
          </cell>
          <cell r="I726" t="str">
            <v/>
          </cell>
          <cell r="J726" t="str">
            <v/>
          </cell>
          <cell r="K726" t="str">
            <v>操作组</v>
          </cell>
          <cell r="L726" t="str">
            <v>Warehouse Operator 操作员</v>
          </cell>
          <cell r="M726" t="str">
            <v>P1-1</v>
          </cell>
          <cell r="N726" t="str">
            <v/>
          </cell>
          <cell r="O726" t="str">
            <v>2025/06/16</v>
          </cell>
        </row>
        <row r="727">
          <cell r="C727" t="str">
            <v>GL500994</v>
          </cell>
          <cell r="D727" t="str">
            <v>美洲区</v>
          </cell>
          <cell r="E727" t="str">
            <v>FL 佛州大区</v>
          </cell>
          <cell r="F727" t="str">
            <v>MIA.H</v>
          </cell>
          <cell r="G727" t="str">
            <v>操作组</v>
          </cell>
          <cell r="H727" t="str">
            <v/>
          </cell>
          <cell r="I727" t="str">
            <v/>
          </cell>
          <cell r="J727" t="str">
            <v/>
          </cell>
          <cell r="K727" t="str">
            <v>操作组</v>
          </cell>
          <cell r="L727" t="str">
            <v>Warehouse Operator 操作员</v>
          </cell>
          <cell r="M727" t="str">
            <v>P1-1</v>
          </cell>
          <cell r="N727" t="str">
            <v/>
          </cell>
          <cell r="O727" t="str">
            <v>2025/06/14</v>
          </cell>
        </row>
        <row r="728">
          <cell r="C728" t="str">
            <v>GL500991</v>
          </cell>
          <cell r="D728" t="str">
            <v>美洲区</v>
          </cell>
          <cell r="E728" t="str">
            <v>FL 佛州大区</v>
          </cell>
          <cell r="F728" t="str">
            <v>MIA.H</v>
          </cell>
          <cell r="G728" t="str">
            <v>操作组</v>
          </cell>
          <cell r="H728" t="str">
            <v/>
          </cell>
          <cell r="I728" t="str">
            <v/>
          </cell>
          <cell r="J728" t="str">
            <v/>
          </cell>
          <cell r="K728" t="str">
            <v>操作组</v>
          </cell>
          <cell r="L728" t="str">
            <v>Warehouse Operator 操作员</v>
          </cell>
          <cell r="M728" t="str">
            <v>P1-1</v>
          </cell>
          <cell r="N728" t="str">
            <v/>
          </cell>
          <cell r="O728" t="str">
            <v>2025/06/06</v>
          </cell>
        </row>
        <row r="729">
          <cell r="C729" t="str">
            <v>GL501063</v>
          </cell>
          <cell r="D729" t="str">
            <v>美洲区</v>
          </cell>
          <cell r="E729" t="str">
            <v>FL 佛州大区</v>
          </cell>
          <cell r="F729" t="str">
            <v>MIA.H</v>
          </cell>
          <cell r="G729" t="str">
            <v>操作组</v>
          </cell>
          <cell r="H729" t="str">
            <v/>
          </cell>
          <cell r="I729" t="str">
            <v/>
          </cell>
          <cell r="J729" t="str">
            <v/>
          </cell>
          <cell r="K729" t="str">
            <v>操作组</v>
          </cell>
          <cell r="L729" t="str">
            <v>Warehouse Operator 操作员</v>
          </cell>
          <cell r="M729" t="str">
            <v>P1-1</v>
          </cell>
          <cell r="N729" t="str">
            <v/>
          </cell>
          <cell r="O729" t="str">
            <v>2025/07/22</v>
          </cell>
        </row>
        <row r="730">
          <cell r="C730" t="str">
            <v>GL500058</v>
          </cell>
          <cell r="D730" t="str">
            <v>欧洲区</v>
          </cell>
          <cell r="E730" t="str">
            <v>FR 法国区</v>
          </cell>
          <cell r="F730" t="str">
            <v>东部战区</v>
          </cell>
          <cell r="G730" t="str">
            <v>梅斯-MTZ</v>
          </cell>
          <cell r="H730" t="str">
            <v/>
          </cell>
          <cell r="I730" t="str">
            <v/>
          </cell>
          <cell r="J730" t="str">
            <v/>
          </cell>
          <cell r="K730" t="str">
            <v>梅斯-MTZ</v>
          </cell>
          <cell r="L730" t="str">
            <v>Terminal Specialist终端专员</v>
          </cell>
          <cell r="M730" t="str">
            <v>P1-1</v>
          </cell>
          <cell r="N730" t="str">
            <v/>
          </cell>
          <cell r="O730" t="str">
            <v>2025/04/22</v>
          </cell>
        </row>
        <row r="731">
          <cell r="C731" t="str">
            <v>GL500942</v>
          </cell>
          <cell r="D731" t="str">
            <v>美洲区</v>
          </cell>
          <cell r="E731" t="str">
            <v>NE 东北大区</v>
          </cell>
          <cell r="F731" t="str">
            <v>DC 华盛顿片区</v>
          </cell>
          <cell r="G731" t="str">
            <v>PHL01</v>
          </cell>
          <cell r="H731" t="str">
            <v/>
          </cell>
          <cell r="I731" t="str">
            <v/>
          </cell>
          <cell r="J731" t="str">
            <v/>
          </cell>
          <cell r="K731" t="str">
            <v>PHL</v>
          </cell>
          <cell r="L731" t="str">
            <v>Station Operations Specialist 站点运营专员</v>
          </cell>
          <cell r="M731" t="str">
            <v>P1-2</v>
          </cell>
          <cell r="N731" t="str">
            <v/>
          </cell>
          <cell r="O731" t="str">
            <v>2025/07/22</v>
          </cell>
        </row>
        <row r="732">
          <cell r="C732" t="str">
            <v>GL501138</v>
          </cell>
          <cell r="D732" t="str">
            <v>美洲区</v>
          </cell>
          <cell r="E732" t="str">
            <v>GL 大湖大区</v>
          </cell>
          <cell r="F732" t="str">
            <v>运营支持部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>运营支持部</v>
          </cell>
          <cell r="L732" t="str">
            <v>Operation Support Specialist 运营支持专员</v>
          </cell>
          <cell r="M732" t="str">
            <v>P1-2</v>
          </cell>
          <cell r="N732" t="str">
            <v/>
          </cell>
          <cell r="O732" t="str">
            <v>2025/08/04</v>
          </cell>
        </row>
        <row r="733">
          <cell r="C733" t="str">
            <v>GL500170</v>
          </cell>
          <cell r="D733" t="str">
            <v>美洲区</v>
          </cell>
          <cell r="E733" t="str">
            <v>TX 德州大区</v>
          </cell>
          <cell r="F733" t="str">
            <v>DFW.H</v>
          </cell>
          <cell r="G733" t="str">
            <v>调度组</v>
          </cell>
          <cell r="H733" t="str">
            <v/>
          </cell>
          <cell r="I733" t="str">
            <v/>
          </cell>
          <cell r="J733" t="str">
            <v/>
          </cell>
          <cell r="K733" t="str">
            <v>调度组</v>
          </cell>
          <cell r="L733" t="str">
            <v>Dispatcher 调度员</v>
          </cell>
          <cell r="M733" t="str">
            <v>P1-2</v>
          </cell>
          <cell r="N733" t="str">
            <v/>
          </cell>
          <cell r="O733" t="str">
            <v>2025/03/03</v>
          </cell>
        </row>
        <row r="734">
          <cell r="C734" t="str">
            <v>GL501126</v>
          </cell>
          <cell r="D734" t="str">
            <v>美洲区</v>
          </cell>
          <cell r="E734" t="str">
            <v>TX 德州大区</v>
          </cell>
          <cell r="F734" t="str">
            <v>IAH.H</v>
          </cell>
          <cell r="G734" t="str">
            <v>操作组</v>
          </cell>
          <cell r="H734" t="str">
            <v/>
          </cell>
          <cell r="I734" t="str">
            <v/>
          </cell>
          <cell r="J734" t="str">
            <v/>
          </cell>
          <cell r="K734" t="str">
            <v>操作组</v>
          </cell>
          <cell r="L734" t="str">
            <v>Warehouse Operator 操作员</v>
          </cell>
          <cell r="M734" t="str">
            <v>P1-2</v>
          </cell>
          <cell r="N734" t="str">
            <v/>
          </cell>
          <cell r="O734" t="str">
            <v>2025/07/23</v>
          </cell>
        </row>
        <row r="735">
          <cell r="C735" t="str">
            <v>GL501058</v>
          </cell>
          <cell r="D735" t="str">
            <v>美洲区</v>
          </cell>
          <cell r="E735" t="str">
            <v>NE 东北大区</v>
          </cell>
          <cell r="F735" t="str">
            <v>EWR.H</v>
          </cell>
          <cell r="G735" t="str">
            <v>异常处理组</v>
          </cell>
          <cell r="H735" t="str">
            <v/>
          </cell>
          <cell r="I735" t="str">
            <v/>
          </cell>
          <cell r="J735" t="str">
            <v/>
          </cell>
          <cell r="K735" t="str">
            <v>退件组</v>
          </cell>
          <cell r="L735" t="str">
            <v>Returns Specialist 退件员</v>
          </cell>
          <cell r="M735" t="str">
            <v>P1-2</v>
          </cell>
          <cell r="N735" t="str">
            <v/>
          </cell>
          <cell r="O735" t="str">
            <v>2025/07/22</v>
          </cell>
        </row>
        <row r="736">
          <cell r="C736" t="str">
            <v>GL500534</v>
          </cell>
          <cell r="D736" t="str">
            <v>美洲区</v>
          </cell>
          <cell r="E736" t="str">
            <v>US人力资源部</v>
          </cell>
          <cell r="F736" t="str">
            <v>美洲HRBP组</v>
          </cell>
          <cell r="G736" t="str">
            <v>综合HRBP组</v>
          </cell>
          <cell r="H736" t="str">
            <v/>
          </cell>
          <cell r="I736" t="str">
            <v/>
          </cell>
          <cell r="J736" t="str">
            <v/>
          </cell>
          <cell r="K736" t="str">
            <v>综合HRBP组</v>
          </cell>
          <cell r="L736" t="str">
            <v>HRBP Assistant HRBP助理</v>
          </cell>
          <cell r="M736" t="str">
            <v>P1-1</v>
          </cell>
          <cell r="N736" t="str">
            <v/>
          </cell>
          <cell r="O736" t="str">
            <v>2025/05/15</v>
          </cell>
        </row>
        <row r="737">
          <cell r="C737" t="str">
            <v>GL500659</v>
          </cell>
          <cell r="D737" t="str">
            <v>欧洲区</v>
          </cell>
          <cell r="E737" t="str">
            <v>FR 法国区</v>
          </cell>
          <cell r="F737" t="str">
            <v>巴黎枢纽仓</v>
          </cell>
          <cell r="G737" t="str">
            <v>精益设备组</v>
          </cell>
          <cell r="H737" t="str">
            <v/>
          </cell>
          <cell r="I737" t="str">
            <v/>
          </cell>
          <cell r="J737" t="str">
            <v/>
          </cell>
          <cell r="K737" t="str">
            <v>精益设备组</v>
          </cell>
          <cell r="L737" t="str">
            <v>Lean Equipment Specialist精益设备专员</v>
          </cell>
          <cell r="M737" t="str">
            <v>P1-1</v>
          </cell>
          <cell r="N737" t="str">
            <v/>
          </cell>
          <cell r="O737" t="str">
            <v>2025/06/02</v>
          </cell>
        </row>
        <row r="738">
          <cell r="C738" t="str">
            <v>GL500175</v>
          </cell>
          <cell r="D738" t="str">
            <v>欧洲区</v>
          </cell>
          <cell r="E738" t="str">
            <v>FR 法国区</v>
          </cell>
          <cell r="F738" t="str">
            <v>巴黎枢纽仓</v>
          </cell>
          <cell r="G738" t="str">
            <v>精益设备组</v>
          </cell>
          <cell r="H738" t="str">
            <v/>
          </cell>
          <cell r="I738" t="str">
            <v/>
          </cell>
          <cell r="J738" t="str">
            <v/>
          </cell>
          <cell r="K738" t="str">
            <v>精益设备组</v>
          </cell>
          <cell r="L738" t="str">
            <v>Lean Equipment Specialist精益设备专员</v>
          </cell>
          <cell r="M738" t="str">
            <v>P1-1</v>
          </cell>
          <cell r="N738" t="str">
            <v/>
          </cell>
          <cell r="O738" t="str">
            <v>2025/03/03</v>
          </cell>
        </row>
        <row r="739">
          <cell r="C739" t="str">
            <v>GL500212</v>
          </cell>
          <cell r="D739" t="str">
            <v>欧洲区</v>
          </cell>
          <cell r="E739" t="str">
            <v>FR 法国区</v>
          </cell>
          <cell r="F739" t="str">
            <v>巴黎枢纽仓</v>
          </cell>
          <cell r="G739" t="str">
            <v>精益设备组</v>
          </cell>
          <cell r="H739" t="str">
            <v/>
          </cell>
          <cell r="I739" t="str">
            <v/>
          </cell>
          <cell r="J739" t="str">
            <v/>
          </cell>
          <cell r="K739" t="str">
            <v>精益设备组</v>
          </cell>
          <cell r="L739" t="str">
            <v>Lean Equipment Specialist精益设备专员</v>
          </cell>
          <cell r="M739" t="str">
            <v>P1-1</v>
          </cell>
          <cell r="N739" t="str">
            <v/>
          </cell>
          <cell r="O739" t="str">
            <v>2025/02/10</v>
          </cell>
        </row>
        <row r="740">
          <cell r="C740" t="str">
            <v>GL500843</v>
          </cell>
          <cell r="D740" t="str">
            <v>美洲区</v>
          </cell>
          <cell r="E740" t="str">
            <v>GL 大湖大区</v>
          </cell>
          <cell r="F740" t="str">
            <v>DTW.CLE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>DTW.CLE</v>
          </cell>
          <cell r="L740" t="str">
            <v>Station Operations Specialist 站点运营专员</v>
          </cell>
          <cell r="M740" t="str">
            <v>P1-3</v>
          </cell>
          <cell r="N740" t="str">
            <v/>
          </cell>
          <cell r="O740" t="str">
            <v>2025/06/27</v>
          </cell>
        </row>
        <row r="741">
          <cell r="C741" t="str">
            <v>GL500125</v>
          </cell>
          <cell r="D741" t="str">
            <v>欧洲区</v>
          </cell>
          <cell r="E741" t="str">
            <v>FR 法国区</v>
          </cell>
          <cell r="F741" t="str">
            <v>西部战区</v>
          </cell>
          <cell r="G741" t="str">
            <v>波尔多-BDX</v>
          </cell>
          <cell r="H741" t="str">
            <v/>
          </cell>
          <cell r="I741" t="str">
            <v/>
          </cell>
          <cell r="J741" t="str">
            <v/>
          </cell>
          <cell r="K741" t="str">
            <v>波尔多-BDX</v>
          </cell>
          <cell r="L741" t="str">
            <v>Terminal  Specialist终端专员</v>
          </cell>
          <cell r="M741" t="str">
            <v>P1-1</v>
          </cell>
          <cell r="N741" t="str">
            <v/>
          </cell>
          <cell r="O741" t="str">
            <v>2025/04/01</v>
          </cell>
        </row>
        <row r="742">
          <cell r="C742" t="str">
            <v>GL501017</v>
          </cell>
          <cell r="D742" t="str">
            <v>欧洲区</v>
          </cell>
          <cell r="E742" t="str">
            <v>FR 法国区</v>
          </cell>
          <cell r="F742" t="str">
            <v>西部战区</v>
          </cell>
          <cell r="G742" t="str">
            <v>南特-NTE</v>
          </cell>
          <cell r="H742" t="str">
            <v/>
          </cell>
          <cell r="I742" t="str">
            <v/>
          </cell>
          <cell r="J742" t="str">
            <v/>
          </cell>
          <cell r="K742" t="str">
            <v>南特-NTE</v>
          </cell>
          <cell r="L742" t="str">
            <v>Warehouse Operator操作员</v>
          </cell>
          <cell r="M742" t="str">
            <v>P1-1</v>
          </cell>
          <cell r="N742" t="str">
            <v/>
          </cell>
          <cell r="O742" t="str">
            <v>2025/07/16</v>
          </cell>
        </row>
        <row r="743">
          <cell r="C743" t="str">
            <v>GL500017</v>
          </cell>
          <cell r="D743" t="str">
            <v>欧洲区</v>
          </cell>
          <cell r="E743" t="str">
            <v>FR 法国区</v>
          </cell>
          <cell r="F743" t="str">
            <v>巴黎战区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>巴黎战区</v>
          </cell>
          <cell r="L743" t="str">
            <v>Terminal Specialist终端专员</v>
          </cell>
          <cell r="M743" t="str">
            <v>P1-1</v>
          </cell>
          <cell r="N743" t="str">
            <v/>
          </cell>
          <cell r="O743" t="str">
            <v>2025/05/05</v>
          </cell>
        </row>
        <row r="744">
          <cell r="C744" t="str">
            <v>GL500472</v>
          </cell>
          <cell r="D744" t="str">
            <v>欧洲区</v>
          </cell>
          <cell r="E744" t="str">
            <v>FR 法国区</v>
          </cell>
          <cell r="F744" t="str">
            <v>巴黎战区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>巴黎战区</v>
          </cell>
          <cell r="L744" t="str">
            <v>Terminal Specialist终端专员</v>
          </cell>
          <cell r="M744" t="str">
            <v>P1-3</v>
          </cell>
          <cell r="N744" t="str">
            <v/>
          </cell>
          <cell r="O744" t="str">
            <v>2023/12/04</v>
          </cell>
        </row>
        <row r="745">
          <cell r="C745" t="str">
            <v>GL500479</v>
          </cell>
          <cell r="D745" t="str">
            <v>欧洲区</v>
          </cell>
          <cell r="E745" t="str">
            <v>FR 法国区</v>
          </cell>
          <cell r="F745" t="str">
            <v>技术支持部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>技术支持部</v>
          </cell>
          <cell r="L745" t="str">
            <v>IT support 技术支持工程师</v>
          </cell>
          <cell r="M745" t="str">
            <v>P1-3</v>
          </cell>
          <cell r="N745" t="str">
            <v/>
          </cell>
          <cell r="O745" t="str">
            <v>2023/11/10</v>
          </cell>
        </row>
        <row r="746">
          <cell r="C746" t="str">
            <v>GL500927</v>
          </cell>
          <cell r="D746" t="str">
            <v>欧洲区</v>
          </cell>
          <cell r="E746" t="str">
            <v>FR 法国区</v>
          </cell>
          <cell r="F746" t="str">
            <v>西部战区</v>
          </cell>
          <cell r="G746" t="str">
            <v>南特-NTE</v>
          </cell>
          <cell r="H746" t="str">
            <v/>
          </cell>
          <cell r="I746" t="str">
            <v/>
          </cell>
          <cell r="J746" t="str">
            <v/>
          </cell>
          <cell r="K746" t="str">
            <v>南特-NTE</v>
          </cell>
          <cell r="L746" t="str">
            <v>Terminal  Specialist
终端专员</v>
          </cell>
          <cell r="M746" t="str">
            <v>P1-2</v>
          </cell>
          <cell r="N746" t="str">
            <v/>
          </cell>
          <cell r="O746" t="str">
            <v>2025/07/07</v>
          </cell>
        </row>
        <row r="747">
          <cell r="C747" t="str">
            <v>GL500415</v>
          </cell>
          <cell r="D747" t="str">
            <v>欧洲区</v>
          </cell>
          <cell r="E747" t="str">
            <v>FR 法国区</v>
          </cell>
          <cell r="F747" t="str">
            <v>巴黎枢纽仓</v>
          </cell>
          <cell r="G747" t="str">
            <v>异常退件组</v>
          </cell>
          <cell r="H747" t="str">
            <v/>
          </cell>
          <cell r="I747" t="str">
            <v/>
          </cell>
          <cell r="J747" t="str">
            <v/>
          </cell>
          <cell r="K747" t="str">
            <v>异常退件组</v>
          </cell>
          <cell r="L747" t="str">
            <v>Warehouse Operator操作员</v>
          </cell>
          <cell r="M747" t="str">
            <v>P1-1</v>
          </cell>
          <cell r="N747" t="str">
            <v/>
          </cell>
          <cell r="O747" t="str">
            <v>2024/09/16</v>
          </cell>
        </row>
        <row r="748">
          <cell r="C748" t="str">
            <v>GL501085</v>
          </cell>
          <cell r="D748" t="str">
            <v>欧洲区</v>
          </cell>
          <cell r="E748" t="str">
            <v>FR 法国区</v>
          </cell>
          <cell r="F748" t="str">
            <v>西部战区</v>
          </cell>
          <cell r="G748" t="str">
            <v>波尔多-BDX</v>
          </cell>
          <cell r="H748" t="str">
            <v/>
          </cell>
          <cell r="I748" t="str">
            <v/>
          </cell>
          <cell r="J748" t="str">
            <v/>
          </cell>
          <cell r="K748" t="str">
            <v>波尔多-BDX</v>
          </cell>
          <cell r="L748" t="str">
            <v>Warehouse Operator操作员</v>
          </cell>
          <cell r="M748" t="str">
            <v>P1-1</v>
          </cell>
          <cell r="N748" t="str">
            <v/>
          </cell>
          <cell r="O748" t="str">
            <v>2025/07/23</v>
          </cell>
        </row>
        <row r="749">
          <cell r="C749" t="str">
            <v>GL500194</v>
          </cell>
          <cell r="D749" t="str">
            <v>欧洲区</v>
          </cell>
          <cell r="E749" t="str">
            <v>FR 法国区</v>
          </cell>
          <cell r="F749" t="str">
            <v>技术支持部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>技术支持部</v>
          </cell>
          <cell r="L749" t="str">
            <v>产品助理</v>
          </cell>
          <cell r="M749" t="str">
            <v>P1-1</v>
          </cell>
          <cell r="N749" t="str">
            <v/>
          </cell>
          <cell r="O749" t="str">
            <v>2025/02/24</v>
          </cell>
        </row>
        <row r="750">
          <cell r="C750" t="str">
            <v>GL500191</v>
          </cell>
          <cell r="D750" t="str">
            <v>欧洲区</v>
          </cell>
          <cell r="E750" t="str">
            <v>FR 法国区</v>
          </cell>
          <cell r="F750" t="str">
            <v>东部战区</v>
          </cell>
          <cell r="G750" t="str">
            <v>梅斯-MTZ</v>
          </cell>
          <cell r="H750" t="str">
            <v/>
          </cell>
          <cell r="I750" t="str">
            <v/>
          </cell>
          <cell r="J750" t="str">
            <v/>
          </cell>
          <cell r="K750" t="str">
            <v>梅斯-MTZ</v>
          </cell>
          <cell r="L750" t="str">
            <v>Terminal Specialist终端专员</v>
          </cell>
          <cell r="M750" t="str">
            <v>P1-1</v>
          </cell>
          <cell r="N750" t="str">
            <v/>
          </cell>
          <cell r="O750" t="str">
            <v>2025/02/24</v>
          </cell>
        </row>
        <row r="751">
          <cell r="C751" t="str">
            <v>GL500213</v>
          </cell>
          <cell r="D751" t="str">
            <v>欧洲区</v>
          </cell>
          <cell r="E751" t="str">
            <v>FR 法国区</v>
          </cell>
          <cell r="F751" t="str">
            <v>西部战区</v>
          </cell>
          <cell r="G751" t="str">
            <v>波尔多-BDX</v>
          </cell>
          <cell r="H751" t="str">
            <v/>
          </cell>
          <cell r="I751" t="str">
            <v/>
          </cell>
          <cell r="J751" t="str">
            <v/>
          </cell>
          <cell r="K751" t="str">
            <v>波尔多-BDX</v>
          </cell>
          <cell r="L751" t="str">
            <v>Terminal  Specialist终端专员</v>
          </cell>
          <cell r="M751" t="str">
            <v>P1-2</v>
          </cell>
          <cell r="N751" t="str">
            <v/>
          </cell>
          <cell r="O751" t="str">
            <v>2025/02/10</v>
          </cell>
        </row>
        <row r="752">
          <cell r="C752" t="str">
            <v>GL500225</v>
          </cell>
          <cell r="D752" t="str">
            <v>欧洲区</v>
          </cell>
          <cell r="E752" t="str">
            <v>FR 法国区</v>
          </cell>
          <cell r="F752" t="str">
            <v>南部战区</v>
          </cell>
          <cell r="G752" t="str">
            <v>蒙彼利埃-MTP</v>
          </cell>
          <cell r="H752" t="str">
            <v/>
          </cell>
          <cell r="I752" t="str">
            <v/>
          </cell>
          <cell r="J752" t="str">
            <v/>
          </cell>
          <cell r="K752" t="str">
            <v>蒙彼利埃-MTP</v>
          </cell>
          <cell r="L752" t="str">
            <v>Warehouse Operator操作员</v>
          </cell>
          <cell r="M752" t="str">
            <v>P1-2</v>
          </cell>
          <cell r="N752" t="str">
            <v/>
          </cell>
          <cell r="O752" t="str">
            <v>2025/02/03</v>
          </cell>
        </row>
        <row r="753">
          <cell r="C753" t="str">
            <v>GL500484</v>
          </cell>
          <cell r="D753" t="str">
            <v>欧洲区</v>
          </cell>
          <cell r="E753" t="str">
            <v>FR 法国区</v>
          </cell>
          <cell r="F753" t="str">
            <v>巴黎枢纽仓</v>
          </cell>
          <cell r="G753" t="str">
            <v>精益设备组</v>
          </cell>
          <cell r="H753" t="str">
            <v/>
          </cell>
          <cell r="I753" t="str">
            <v/>
          </cell>
          <cell r="J753" t="str">
            <v/>
          </cell>
          <cell r="K753" t="str">
            <v>精益设备组</v>
          </cell>
          <cell r="L753" t="str">
            <v>Lean Equipment Specialist精益设备专员</v>
          </cell>
          <cell r="M753" t="str">
            <v>P1-3</v>
          </cell>
          <cell r="N753" t="str">
            <v/>
          </cell>
          <cell r="O753" t="str">
            <v>2023/10/23</v>
          </cell>
        </row>
        <row r="754">
          <cell r="C754" t="str">
            <v>GL500761</v>
          </cell>
          <cell r="D754" t="str">
            <v>欧洲区</v>
          </cell>
          <cell r="E754" t="str">
            <v>FR 法国区</v>
          </cell>
          <cell r="F754" t="str">
            <v>巴黎枢纽仓</v>
          </cell>
          <cell r="G754" t="str">
            <v>精益设备组</v>
          </cell>
          <cell r="H754" t="str">
            <v/>
          </cell>
          <cell r="I754" t="str">
            <v/>
          </cell>
          <cell r="J754" t="str">
            <v/>
          </cell>
          <cell r="K754" t="str">
            <v>精益设备组</v>
          </cell>
          <cell r="L754" t="str">
            <v>Lean Equipment Specialist精益设备专员</v>
          </cell>
          <cell r="M754" t="str">
            <v>P1-2</v>
          </cell>
          <cell r="N754" t="str">
            <v/>
          </cell>
          <cell r="O754" t="str">
            <v>2025/06/16</v>
          </cell>
        </row>
        <row r="755">
          <cell r="C755" t="str">
            <v>GL500244</v>
          </cell>
          <cell r="D755" t="str">
            <v>欧洲区</v>
          </cell>
          <cell r="E755" t="str">
            <v>NL 荷兰区</v>
          </cell>
          <cell r="F755" t="str">
            <v>阿姆枢纽仓</v>
          </cell>
          <cell r="G755" t="str">
            <v>分拣组</v>
          </cell>
          <cell r="H755" t="str">
            <v/>
          </cell>
          <cell r="I755" t="str">
            <v/>
          </cell>
          <cell r="J755" t="str">
            <v/>
          </cell>
          <cell r="K755" t="str">
            <v>分拣组</v>
          </cell>
          <cell r="L755" t="str">
            <v>Warehouse Operator操作员</v>
          </cell>
          <cell r="M755" t="str">
            <v>P1-1</v>
          </cell>
          <cell r="N755" t="str">
            <v/>
          </cell>
          <cell r="O755" t="str">
            <v>2025/01/24</v>
          </cell>
        </row>
        <row r="756">
          <cell r="C756" t="str">
            <v>GL500624</v>
          </cell>
          <cell r="D756" t="str">
            <v>欧洲区</v>
          </cell>
          <cell r="E756" t="str">
            <v>FR 法国区</v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>FR 法国区</v>
          </cell>
          <cell r="L756" t="str">
            <v>销售主管</v>
          </cell>
          <cell r="M756" t="str">
            <v>P2-2</v>
          </cell>
          <cell r="N756" t="str">
            <v/>
          </cell>
          <cell r="O756" t="str">
            <v>2025/03/01</v>
          </cell>
        </row>
        <row r="757">
          <cell r="C757" t="str">
            <v>GL501148</v>
          </cell>
          <cell r="D757" t="str">
            <v>美洲区</v>
          </cell>
          <cell r="E757" t="str">
            <v>MS 中南大区</v>
          </cell>
          <cell r="F757" t="str">
            <v>CS 夏洛特及周边片区</v>
          </cell>
          <cell r="G757" t="str">
            <v>CLT01</v>
          </cell>
          <cell r="H757" t="str">
            <v/>
          </cell>
          <cell r="I757" t="str">
            <v/>
          </cell>
          <cell r="J757" t="str">
            <v/>
          </cell>
          <cell r="K757" t="str">
            <v>CLT</v>
          </cell>
          <cell r="L757" t="str">
            <v>Station Operations Specialist 站点运营专员</v>
          </cell>
          <cell r="M757" t="str">
            <v>P1-3</v>
          </cell>
          <cell r="N757" t="str">
            <v/>
          </cell>
          <cell r="O757" t="str">
            <v>2025/08/18</v>
          </cell>
        </row>
        <row r="758">
          <cell r="C758" t="str">
            <v>GL501252</v>
          </cell>
          <cell r="D758" t="str">
            <v>美洲区</v>
          </cell>
          <cell r="E758" t="str">
            <v>FL 佛州大区</v>
          </cell>
          <cell r="F758" t="str">
            <v>MCO.H</v>
          </cell>
          <cell r="G758" t="str">
            <v>分拣组</v>
          </cell>
          <cell r="H758" t="str">
            <v/>
          </cell>
          <cell r="I758" t="str">
            <v/>
          </cell>
          <cell r="J758" t="str">
            <v/>
          </cell>
          <cell r="K758" t="str">
            <v>分拣组</v>
          </cell>
          <cell r="L758" t="str">
            <v>Sorter 分拣员</v>
          </cell>
          <cell r="M758" t="str">
            <v>P1-1</v>
          </cell>
          <cell r="N758" t="str">
            <v/>
          </cell>
          <cell r="O758" t="str">
            <v>2025/07/01</v>
          </cell>
        </row>
        <row r="759">
          <cell r="C759" t="str">
            <v>GL500874</v>
          </cell>
          <cell r="D759" t="str">
            <v>美洲区</v>
          </cell>
          <cell r="E759" t="str">
            <v>WE 美西大区</v>
          </cell>
          <cell r="F759" t="str">
            <v>CNO.H</v>
          </cell>
          <cell r="G759" t="str">
            <v>分拣组</v>
          </cell>
          <cell r="H759" t="str">
            <v/>
          </cell>
          <cell r="I759" t="str">
            <v/>
          </cell>
          <cell r="J759" t="str">
            <v/>
          </cell>
          <cell r="K759" t="str">
            <v>分拣组</v>
          </cell>
          <cell r="L759" t="str">
            <v>Warehouse Operator 操作员</v>
          </cell>
          <cell r="M759" t="str">
            <v>P1-1</v>
          </cell>
          <cell r="N759" t="str">
            <v/>
          </cell>
          <cell r="O759" t="str">
            <v>2025/06/24</v>
          </cell>
        </row>
        <row r="760">
          <cell r="C760" t="str">
            <v>GL500159</v>
          </cell>
          <cell r="D760" t="str">
            <v>美洲区</v>
          </cell>
          <cell r="E760" t="str">
            <v>AD 行政部</v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>AD 行政部</v>
          </cell>
          <cell r="L760" t="str">
            <v>Admin Supervisor 行政主管</v>
          </cell>
          <cell r="M760" t="str">
            <v>P2-2</v>
          </cell>
          <cell r="N760" t="str">
            <v/>
          </cell>
          <cell r="O760" t="str">
            <v>2025/03/12</v>
          </cell>
        </row>
        <row r="761">
          <cell r="C761" t="str">
            <v>GL500604</v>
          </cell>
          <cell r="D761" t="str">
            <v>美洲区</v>
          </cell>
          <cell r="E761" t="str">
            <v>Ground项目部</v>
          </cell>
          <cell r="F761" t="str">
            <v>OG 美东区</v>
          </cell>
          <cell r="G761" t="str">
            <v>CB080</v>
          </cell>
          <cell r="H761" t="str">
            <v/>
          </cell>
          <cell r="I761" t="str">
            <v/>
          </cell>
          <cell r="J761" t="str">
            <v/>
          </cell>
          <cell r="K761" t="str">
            <v>CB080</v>
          </cell>
          <cell r="L761" t="str">
            <v>Station Operations Specialist 站点运营专员</v>
          </cell>
          <cell r="M761" t="str">
            <v>P1-2</v>
          </cell>
          <cell r="N761" t="str">
            <v/>
          </cell>
          <cell r="O761" t="str">
            <v>2024/01/05</v>
          </cell>
        </row>
        <row r="762">
          <cell r="C762" t="str">
            <v>GL500349</v>
          </cell>
          <cell r="D762" t="str">
            <v>美洲区</v>
          </cell>
          <cell r="E762" t="str">
            <v>GL 大湖大区</v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>GL 大湖区</v>
          </cell>
          <cell r="L762" t="str">
            <v>Regional Head 区长</v>
          </cell>
          <cell r="M762" t="str">
            <v>M3-2</v>
          </cell>
          <cell r="N762" t="str">
            <v/>
          </cell>
          <cell r="O762" t="str">
            <v>2024/12/02</v>
          </cell>
        </row>
        <row r="763">
          <cell r="C763" t="str">
            <v>GL500577</v>
          </cell>
          <cell r="D763" t="str">
            <v>美洲区</v>
          </cell>
          <cell r="E763" t="str">
            <v>Ground项目部</v>
          </cell>
          <cell r="F763" t="str">
            <v>OG 美南区</v>
          </cell>
          <cell r="G763" t="str">
            <v>AT303</v>
          </cell>
          <cell r="H763" t="str">
            <v/>
          </cell>
          <cell r="I763" t="str">
            <v/>
          </cell>
          <cell r="J763" t="str">
            <v/>
          </cell>
          <cell r="K763" t="str">
            <v>AT303</v>
          </cell>
          <cell r="L763" t="str">
            <v>Delivery Driver 司机</v>
          </cell>
          <cell r="M763" t="str">
            <v>P1-1</v>
          </cell>
          <cell r="N763" t="str">
            <v/>
          </cell>
          <cell r="O763" t="str">
            <v>2025/03/17</v>
          </cell>
        </row>
        <row r="764">
          <cell r="C764" t="str">
            <v>GL500579</v>
          </cell>
          <cell r="D764" t="str">
            <v>美洲区</v>
          </cell>
          <cell r="E764" t="str">
            <v>Ground项目部</v>
          </cell>
          <cell r="F764" t="str">
            <v>OG 美南区</v>
          </cell>
          <cell r="G764" t="str">
            <v>AT303</v>
          </cell>
          <cell r="H764" t="str">
            <v/>
          </cell>
          <cell r="I764" t="str">
            <v/>
          </cell>
          <cell r="J764" t="str">
            <v/>
          </cell>
          <cell r="K764" t="str">
            <v>AT303</v>
          </cell>
          <cell r="L764" t="str">
            <v>Delivery Driver 司机</v>
          </cell>
          <cell r="M764" t="str">
            <v>P1-1</v>
          </cell>
          <cell r="N764" t="str">
            <v/>
          </cell>
          <cell r="O764" t="str">
            <v>2025/03/10</v>
          </cell>
        </row>
        <row r="765">
          <cell r="C765" t="str">
            <v>GL501117</v>
          </cell>
          <cell r="D765" t="str">
            <v>美洲区</v>
          </cell>
          <cell r="E765" t="str">
            <v>TX 德州大区</v>
          </cell>
          <cell r="F765" t="str">
            <v>IAH.H</v>
          </cell>
          <cell r="G765" t="str">
            <v>操作组</v>
          </cell>
          <cell r="H765" t="str">
            <v/>
          </cell>
          <cell r="I765" t="str">
            <v/>
          </cell>
          <cell r="J765" t="str">
            <v/>
          </cell>
          <cell r="K765" t="str">
            <v>操作组</v>
          </cell>
          <cell r="L765" t="str">
            <v>Warehouse Operator 操作员</v>
          </cell>
          <cell r="M765" t="str">
            <v>P1-2</v>
          </cell>
          <cell r="N765" t="str">
            <v/>
          </cell>
          <cell r="O765" t="str">
            <v>2025/07/23</v>
          </cell>
        </row>
        <row r="766">
          <cell r="C766" t="str">
            <v>GL500817</v>
          </cell>
          <cell r="D766" t="str">
            <v>美洲区</v>
          </cell>
          <cell r="E766" t="str">
            <v>CM 运力管理部</v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>CM 运力管理部</v>
          </cell>
          <cell r="L766" t="str">
            <v>Transportation Capacity Specialist 运力管理专员</v>
          </cell>
          <cell r="M766" t="str">
            <v>P1-2</v>
          </cell>
          <cell r="N766" t="str">
            <v/>
          </cell>
          <cell r="O766" t="str">
            <v>2025/06/17</v>
          </cell>
        </row>
        <row r="767">
          <cell r="C767" t="str">
            <v>GL500865</v>
          </cell>
          <cell r="D767" t="str">
            <v>美洲区</v>
          </cell>
          <cell r="E767" t="str">
            <v>TX 德州大区</v>
          </cell>
          <cell r="F767" t="str">
            <v>NT 北德州片区</v>
          </cell>
          <cell r="G767" t="str">
            <v>DFW01</v>
          </cell>
          <cell r="H767" t="str">
            <v/>
          </cell>
          <cell r="I767" t="str">
            <v/>
          </cell>
          <cell r="J767" t="str">
            <v/>
          </cell>
          <cell r="K767" t="str">
            <v>DFW</v>
          </cell>
          <cell r="L767" t="str">
            <v>Station Operations Specialist 站点运营专员</v>
          </cell>
          <cell r="M767" t="str">
            <v>P1-3</v>
          </cell>
          <cell r="N767" t="str">
            <v/>
          </cell>
          <cell r="O767" t="str">
            <v>2025/06/30</v>
          </cell>
        </row>
        <row r="768">
          <cell r="C768" t="str">
            <v>GL500828</v>
          </cell>
          <cell r="D768" t="str">
            <v>美洲区</v>
          </cell>
          <cell r="E768" t="str">
            <v>Ground项目部</v>
          </cell>
          <cell r="F768" t="str">
            <v>OG 美南区</v>
          </cell>
          <cell r="G768" t="str">
            <v>AT303</v>
          </cell>
          <cell r="H768" t="str">
            <v/>
          </cell>
          <cell r="I768" t="str">
            <v/>
          </cell>
          <cell r="J768" t="str">
            <v/>
          </cell>
          <cell r="K768" t="str">
            <v>AT303</v>
          </cell>
          <cell r="L768" t="str">
            <v>Station Head 站长</v>
          </cell>
          <cell r="M768" t="str">
            <v>M2-2</v>
          </cell>
          <cell r="N768" t="str">
            <v/>
          </cell>
          <cell r="O768" t="str">
            <v>2025/06/25</v>
          </cell>
        </row>
        <row r="769">
          <cell r="C769" t="str">
            <v>GL500521</v>
          </cell>
          <cell r="D769" t="str">
            <v>美洲区</v>
          </cell>
          <cell r="E769" t="str">
            <v>WE 美西大区</v>
          </cell>
          <cell r="F769" t="str">
            <v>LAV.H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>LAV.H</v>
          </cell>
          <cell r="L769" t="str">
            <v>Management Trainee 管培生</v>
          </cell>
          <cell r="M769" t="str">
            <v>P1-2</v>
          </cell>
          <cell r="N769" t="str">
            <v/>
          </cell>
          <cell r="O769" t="str">
            <v>2025/05/19</v>
          </cell>
        </row>
        <row r="770">
          <cell r="C770" t="str">
            <v>GL500554</v>
          </cell>
          <cell r="D770" t="str">
            <v>美洲区</v>
          </cell>
          <cell r="E770" t="str">
            <v>Ground项目部</v>
          </cell>
          <cell r="F770" t="str">
            <v>OG 美东区</v>
          </cell>
          <cell r="G770" t="str">
            <v>CB080</v>
          </cell>
          <cell r="H770" t="str">
            <v/>
          </cell>
          <cell r="I770" t="str">
            <v/>
          </cell>
          <cell r="J770" t="str">
            <v/>
          </cell>
          <cell r="K770" t="str">
            <v>CB080</v>
          </cell>
          <cell r="L770" t="str">
            <v>Delivery Driver 司机</v>
          </cell>
          <cell r="M770" t="str">
            <v>P1-1</v>
          </cell>
          <cell r="N770" t="str">
            <v/>
          </cell>
          <cell r="O770" t="str">
            <v>2025/05/01</v>
          </cell>
        </row>
        <row r="771">
          <cell r="C771" t="str">
            <v>GL500686</v>
          </cell>
          <cell r="D771" t="str">
            <v>美洲区</v>
          </cell>
          <cell r="E771" t="str">
            <v>Ground项目部</v>
          </cell>
          <cell r="F771" t="str">
            <v>OG 美东区</v>
          </cell>
          <cell r="G771" t="str">
            <v>CB080</v>
          </cell>
          <cell r="H771" t="str">
            <v/>
          </cell>
          <cell r="I771" t="str">
            <v/>
          </cell>
          <cell r="J771" t="str">
            <v/>
          </cell>
          <cell r="K771" t="str">
            <v>CB080</v>
          </cell>
          <cell r="L771" t="str">
            <v>Delivery Driver 司机</v>
          </cell>
          <cell r="M771" t="str">
            <v>P1-1</v>
          </cell>
          <cell r="N771" t="str">
            <v/>
          </cell>
          <cell r="O771" t="str">
            <v>2025/05/16</v>
          </cell>
        </row>
        <row r="772">
          <cell r="C772" t="str">
            <v>GL500591</v>
          </cell>
          <cell r="D772" t="str">
            <v>美洲区</v>
          </cell>
          <cell r="E772" t="str">
            <v>Ground项目部</v>
          </cell>
          <cell r="F772" t="str">
            <v>OG 美东区</v>
          </cell>
          <cell r="G772" t="str">
            <v>MR088</v>
          </cell>
          <cell r="H772" t="str">
            <v/>
          </cell>
          <cell r="I772" t="str">
            <v/>
          </cell>
          <cell r="J772" t="str">
            <v/>
          </cell>
          <cell r="K772" t="str">
            <v>MR088</v>
          </cell>
          <cell r="L772" t="str">
            <v>Delivery Driver 司机</v>
          </cell>
          <cell r="M772" t="str">
            <v>P1-1</v>
          </cell>
          <cell r="N772" t="str">
            <v/>
          </cell>
          <cell r="O772" t="str">
            <v>2024/12/31</v>
          </cell>
        </row>
        <row r="773">
          <cell r="C773" t="str">
            <v>GL500102</v>
          </cell>
          <cell r="D773" t="str">
            <v>美洲区</v>
          </cell>
          <cell r="E773" t="str">
            <v>PR 波多黎各区</v>
          </cell>
          <cell r="F773" t="str">
            <v>SJU.H</v>
          </cell>
          <cell r="G773" t="str">
            <v>调度组</v>
          </cell>
          <cell r="H773" t="str">
            <v/>
          </cell>
          <cell r="I773" t="str">
            <v/>
          </cell>
          <cell r="J773" t="str">
            <v/>
          </cell>
          <cell r="K773" t="str">
            <v>调度组</v>
          </cell>
          <cell r="L773" t="str">
            <v>Dispatcher 调度员</v>
          </cell>
          <cell r="M773" t="str">
            <v>P1-1</v>
          </cell>
          <cell r="N773" t="str">
            <v/>
          </cell>
          <cell r="O773" t="str">
            <v>2025/04/07</v>
          </cell>
        </row>
        <row r="774">
          <cell r="C774" t="str">
            <v>GL501229</v>
          </cell>
          <cell r="D774" t="str">
            <v>美洲区</v>
          </cell>
          <cell r="E774" t="str">
            <v>FL 佛州大区</v>
          </cell>
          <cell r="F774" t="str">
            <v>MIA.H</v>
          </cell>
          <cell r="G774" t="str">
            <v>二程管理组</v>
          </cell>
          <cell r="H774" t="str">
            <v/>
          </cell>
          <cell r="I774" t="str">
            <v/>
          </cell>
          <cell r="J774" t="str">
            <v/>
          </cell>
          <cell r="K774" t="str">
            <v>PR二程管理组</v>
          </cell>
          <cell r="L774" t="str">
            <v>Second-leg air freight Specialist 二程发货员</v>
          </cell>
          <cell r="M774" t="str">
            <v>P1-1</v>
          </cell>
          <cell r="N774" t="str">
            <v/>
          </cell>
          <cell r="O774" t="str">
            <v>2025/08/11</v>
          </cell>
        </row>
        <row r="775">
          <cell r="C775" t="str">
            <v>GL500036</v>
          </cell>
          <cell r="D775" t="str">
            <v>欧洲区</v>
          </cell>
          <cell r="E775" t="str">
            <v>EU人力资源部</v>
          </cell>
          <cell r="F775" t="str">
            <v>欧洲HRBP组</v>
          </cell>
          <cell r="G775" t="str">
            <v>意大利HRBP组</v>
          </cell>
          <cell r="H775" t="str">
            <v/>
          </cell>
          <cell r="I775" t="str">
            <v/>
          </cell>
          <cell r="J775" t="str">
            <v/>
          </cell>
          <cell r="K775" t="str">
            <v>意大利组</v>
          </cell>
          <cell r="L775" t="str">
            <v>Senior HRBP Specialist 高级HRBP专员</v>
          </cell>
          <cell r="M775" t="str">
            <v>P2-1</v>
          </cell>
          <cell r="N775" t="str">
            <v/>
          </cell>
          <cell r="O775" t="str">
            <v>2025/05/20</v>
          </cell>
        </row>
        <row r="776">
          <cell r="C776" t="str">
            <v>GL500578</v>
          </cell>
          <cell r="D776" t="str">
            <v>美洲区</v>
          </cell>
          <cell r="E776" t="str">
            <v>Ground项目部</v>
          </cell>
          <cell r="F776" t="str">
            <v>OG 美南区</v>
          </cell>
          <cell r="G776" t="str">
            <v>AT303</v>
          </cell>
          <cell r="H776" t="str">
            <v/>
          </cell>
          <cell r="I776" t="str">
            <v/>
          </cell>
          <cell r="J776" t="str">
            <v/>
          </cell>
          <cell r="K776" t="str">
            <v>AT303</v>
          </cell>
          <cell r="L776" t="str">
            <v>Delivery Driver 司机</v>
          </cell>
          <cell r="M776" t="str">
            <v>P1-1</v>
          </cell>
          <cell r="N776" t="str">
            <v/>
          </cell>
          <cell r="O776" t="str">
            <v>2025/03/11</v>
          </cell>
        </row>
        <row r="777">
          <cell r="C777" t="str">
            <v>GL501133</v>
          </cell>
          <cell r="D777" t="str">
            <v>美洲区</v>
          </cell>
          <cell r="E777" t="str">
            <v>WE 美西大区</v>
          </cell>
          <cell r="F777" t="str">
            <v>CNO.H</v>
          </cell>
          <cell r="G777" t="str">
            <v>装卸组</v>
          </cell>
          <cell r="H777" t="str">
            <v/>
          </cell>
          <cell r="I777" t="str">
            <v/>
          </cell>
          <cell r="J777" t="str">
            <v/>
          </cell>
          <cell r="K777" t="str">
            <v>装卸组</v>
          </cell>
          <cell r="L777" t="str">
            <v>Warehouse Operator 操作员</v>
          </cell>
          <cell r="M777" t="str">
            <v>P1-1</v>
          </cell>
          <cell r="N777" t="str">
            <v/>
          </cell>
          <cell r="O777" t="str">
            <v>2025/06/30</v>
          </cell>
        </row>
        <row r="778">
          <cell r="C778" t="str">
            <v>GL501196</v>
          </cell>
          <cell r="D778" t="str">
            <v>美洲区</v>
          </cell>
          <cell r="E778" t="str">
            <v>WE 美西大区</v>
          </cell>
          <cell r="F778" t="str">
            <v>CNO.H</v>
          </cell>
          <cell r="G778" t="str">
            <v>异常处理组</v>
          </cell>
          <cell r="H778" t="str">
            <v/>
          </cell>
          <cell r="I778" t="str">
            <v/>
          </cell>
          <cell r="J778" t="str">
            <v/>
          </cell>
          <cell r="K778" t="str">
            <v>退件组</v>
          </cell>
          <cell r="L778" t="str">
            <v>Warehouse Operator 操作员</v>
          </cell>
          <cell r="M778" t="str">
            <v>P1-1</v>
          </cell>
          <cell r="N778" t="str">
            <v/>
          </cell>
          <cell r="O778" t="str">
            <v>2025/08/05</v>
          </cell>
        </row>
        <row r="779">
          <cell r="C779" t="str">
            <v>GL501044</v>
          </cell>
          <cell r="D779" t="str">
            <v>美洲区</v>
          </cell>
          <cell r="E779" t="str">
            <v>FL 佛州大区</v>
          </cell>
          <cell r="F779" t="str">
            <v>MIA.H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>MIA.H</v>
          </cell>
          <cell r="L779" t="str">
            <v>Warehouse Clerk 仓库文员</v>
          </cell>
          <cell r="M779" t="str">
            <v>P1-2</v>
          </cell>
          <cell r="N779" t="str">
            <v/>
          </cell>
          <cell r="O779" t="str">
            <v>2025/07/17</v>
          </cell>
        </row>
        <row r="780">
          <cell r="C780" t="str">
            <v>GL501220</v>
          </cell>
          <cell r="D780" t="str">
            <v>美洲区</v>
          </cell>
          <cell r="E780" t="str">
            <v>FL 佛州大区</v>
          </cell>
          <cell r="F780" t="str">
            <v>SF 南佛片区</v>
          </cell>
          <cell r="G780" t="str">
            <v>MIA01</v>
          </cell>
          <cell r="H780" t="str">
            <v/>
          </cell>
          <cell r="I780" t="str">
            <v/>
          </cell>
          <cell r="J780" t="str">
            <v/>
          </cell>
          <cell r="K780" t="str">
            <v>MIA</v>
          </cell>
          <cell r="L780" t="str">
            <v>Station Operations Specialist 站点运营专员</v>
          </cell>
          <cell r="M780" t="str">
            <v>P1-2</v>
          </cell>
          <cell r="N780" t="str">
            <v/>
          </cell>
          <cell r="O780" t="str">
            <v>2025/08/12</v>
          </cell>
        </row>
        <row r="781">
          <cell r="C781" t="str">
            <v>GL500944</v>
          </cell>
          <cell r="D781" t="str">
            <v>美洲区</v>
          </cell>
          <cell r="E781" t="str">
            <v>WE 美西大区</v>
          </cell>
          <cell r="F781" t="str">
            <v>CNO.H</v>
          </cell>
          <cell r="G781" t="str">
            <v>调度组</v>
          </cell>
          <cell r="H781" t="str">
            <v/>
          </cell>
          <cell r="I781" t="str">
            <v/>
          </cell>
          <cell r="J781" t="str">
            <v/>
          </cell>
          <cell r="K781" t="str">
            <v>调度组</v>
          </cell>
          <cell r="L781" t="str">
            <v>Dispatcher 调度员</v>
          </cell>
          <cell r="M781" t="str">
            <v>P1-2</v>
          </cell>
          <cell r="N781" t="str">
            <v/>
          </cell>
          <cell r="O781" t="str">
            <v>2025/07/11</v>
          </cell>
        </row>
        <row r="782">
          <cell r="C782" t="str">
            <v>GL501032</v>
          </cell>
          <cell r="D782" t="str">
            <v>美洲区</v>
          </cell>
          <cell r="E782" t="str">
            <v>US人力资源部</v>
          </cell>
          <cell r="F782" t="str">
            <v>美洲HRBP组</v>
          </cell>
          <cell r="G782" t="str">
            <v>招聘组</v>
          </cell>
          <cell r="H782" t="str">
            <v/>
          </cell>
          <cell r="I782" t="str">
            <v/>
          </cell>
          <cell r="J782" t="str">
            <v/>
          </cell>
          <cell r="K782" t="str">
            <v>招聘组</v>
          </cell>
          <cell r="L782" t="str">
            <v>Recruitment Specialist 招聘专员</v>
          </cell>
          <cell r="M782" t="str">
            <v>P1-1</v>
          </cell>
          <cell r="N782" t="str">
            <v/>
          </cell>
          <cell r="O782" t="str">
            <v>2025/07/17</v>
          </cell>
        </row>
        <row r="783">
          <cell r="C783" t="str">
            <v>GL500965</v>
          </cell>
          <cell r="D783" t="str">
            <v>美洲区</v>
          </cell>
          <cell r="E783" t="str">
            <v>WE 美西大区</v>
          </cell>
          <cell r="F783" t="str">
            <v>LA揽收部</v>
          </cell>
          <cell r="G783" t="str">
            <v>揽收调度组</v>
          </cell>
          <cell r="H783" t="str">
            <v/>
          </cell>
          <cell r="I783" t="str">
            <v/>
          </cell>
          <cell r="J783" t="str">
            <v/>
          </cell>
          <cell r="K783" t="str">
            <v>揽收调度组</v>
          </cell>
          <cell r="L783" t="str">
            <v>Pickup Dispatcher 揽收调度员</v>
          </cell>
          <cell r="M783" t="str">
            <v>P1-1</v>
          </cell>
          <cell r="N783" t="str">
            <v/>
          </cell>
          <cell r="O783" t="str">
            <v>2025/07/14</v>
          </cell>
        </row>
        <row r="784">
          <cell r="C784" t="str">
            <v>GL500804</v>
          </cell>
          <cell r="D784" t="str">
            <v>美洲区</v>
          </cell>
          <cell r="E784" t="str">
            <v>MS 中南大区</v>
          </cell>
          <cell r="F784" t="str">
            <v>BN 田纳西和北阿拉巴马片区</v>
          </cell>
          <cell r="G784" t="str">
            <v>BNA01</v>
          </cell>
          <cell r="H784" t="str">
            <v/>
          </cell>
          <cell r="I784" t="str">
            <v/>
          </cell>
          <cell r="J784" t="str">
            <v/>
          </cell>
          <cell r="K784" t="str">
            <v>BNA</v>
          </cell>
          <cell r="L784" t="str">
            <v>Station Operations Specialist 站点运营专员</v>
          </cell>
          <cell r="M784" t="str">
            <v>P1-2</v>
          </cell>
          <cell r="N784" t="str">
            <v/>
          </cell>
          <cell r="O784" t="str">
            <v>2025/06/23</v>
          </cell>
        </row>
        <row r="785">
          <cell r="C785" t="str">
            <v>GL501111</v>
          </cell>
          <cell r="D785" t="str">
            <v>美洲区</v>
          </cell>
          <cell r="E785" t="str">
            <v>CS 客户服务部</v>
          </cell>
          <cell r="F785" t="str">
            <v>业务支持组</v>
          </cell>
          <cell r="G785" t="str">
            <v>退件电话核查组</v>
          </cell>
          <cell r="H785" t="str">
            <v/>
          </cell>
          <cell r="I785" t="str">
            <v/>
          </cell>
          <cell r="J785" t="str">
            <v/>
          </cell>
          <cell r="K785" t="str">
            <v>退件电话核查组</v>
          </cell>
          <cell r="L785" t="str">
            <v>Returned Items Phone Verification Specialist 退件电话核查专员</v>
          </cell>
          <cell r="M785" t="str">
            <v>P1-2</v>
          </cell>
          <cell r="N785" t="str">
            <v/>
          </cell>
          <cell r="O785" t="str">
            <v>2025/08/08</v>
          </cell>
        </row>
        <row r="786">
          <cell r="C786" t="str">
            <v>GL500892</v>
          </cell>
          <cell r="D786" t="str">
            <v>欧洲区</v>
          </cell>
          <cell r="E786" t="str">
            <v>IT 意大利区</v>
          </cell>
          <cell r="F786" t="str">
            <v>行政采购部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>行政采购部</v>
          </cell>
          <cell r="L786" t="str">
            <v>Cleaning Specialist保洁专员</v>
          </cell>
          <cell r="M786" t="str">
            <v>P1-1</v>
          </cell>
          <cell r="N786" t="str">
            <v/>
          </cell>
          <cell r="O786" t="str">
            <v>2025/07/07</v>
          </cell>
        </row>
        <row r="787">
          <cell r="C787" t="str">
            <v>GL500627</v>
          </cell>
          <cell r="D787" t="str">
            <v>欧洲区</v>
          </cell>
          <cell r="E787" t="str">
            <v>FR 法国区</v>
          </cell>
          <cell r="F787" t="str">
            <v>巴黎枢纽仓</v>
          </cell>
          <cell r="G787" t="str">
            <v>人工分拣组</v>
          </cell>
          <cell r="H787" t="str">
            <v/>
          </cell>
          <cell r="I787" t="str">
            <v/>
          </cell>
          <cell r="J787" t="str">
            <v/>
          </cell>
          <cell r="K787" t="str">
            <v>人工分拣组</v>
          </cell>
          <cell r="L787" t="str">
            <v>Warehouse Operator操作员</v>
          </cell>
          <cell r="M787" t="str">
            <v>P1-1</v>
          </cell>
          <cell r="N787" t="str">
            <v/>
          </cell>
          <cell r="O787" t="str">
            <v>2025/05/26</v>
          </cell>
        </row>
        <row r="788">
          <cell r="C788" t="str">
            <v>GL500959</v>
          </cell>
          <cell r="D788" t="str">
            <v>美洲区</v>
          </cell>
          <cell r="E788" t="str">
            <v>FL 佛州大区</v>
          </cell>
          <cell r="F788" t="str">
            <v>MIA.H</v>
          </cell>
          <cell r="G788" t="str">
            <v>操作组</v>
          </cell>
          <cell r="H788" t="str">
            <v/>
          </cell>
          <cell r="I788" t="str">
            <v/>
          </cell>
          <cell r="J788" t="str">
            <v/>
          </cell>
          <cell r="K788" t="str">
            <v>操作组</v>
          </cell>
          <cell r="L788" t="str">
            <v>Warehouse Operator 操作员</v>
          </cell>
          <cell r="M788" t="str">
            <v>P1-1</v>
          </cell>
          <cell r="N788" t="str">
            <v/>
          </cell>
          <cell r="O788" t="str">
            <v>2025/06/07</v>
          </cell>
        </row>
        <row r="789">
          <cell r="C789" t="str">
            <v>GL501146</v>
          </cell>
          <cell r="D789" t="str">
            <v>美洲区</v>
          </cell>
          <cell r="E789" t="str">
            <v>FL 佛州大区</v>
          </cell>
          <cell r="F789" t="str">
            <v>MIA.H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>MIA.H</v>
          </cell>
          <cell r="L789" t="str">
            <v>Warehouse Clerk 仓库文员</v>
          </cell>
          <cell r="M789" t="str">
            <v>P1-1</v>
          </cell>
          <cell r="N789" t="str">
            <v/>
          </cell>
          <cell r="O789" t="str">
            <v>2025/07/29</v>
          </cell>
        </row>
        <row r="790">
          <cell r="C790" t="str">
            <v>GL500067</v>
          </cell>
          <cell r="D790" t="str">
            <v>美洲区</v>
          </cell>
          <cell r="E790" t="str">
            <v>FL 佛州大区</v>
          </cell>
          <cell r="F790" t="str">
            <v>NF 北佛片区</v>
          </cell>
          <cell r="G790" t="str">
            <v>JAX01</v>
          </cell>
          <cell r="H790" t="str">
            <v/>
          </cell>
          <cell r="I790" t="str">
            <v/>
          </cell>
          <cell r="J790" t="str">
            <v/>
          </cell>
          <cell r="K790" t="str">
            <v>JAX</v>
          </cell>
          <cell r="L790" t="str">
            <v>Station Operations Specialist 站点运营专员</v>
          </cell>
          <cell r="M790" t="str">
            <v>P1-2</v>
          </cell>
          <cell r="N790" t="str">
            <v/>
          </cell>
          <cell r="O790" t="str">
            <v>2025/04/18</v>
          </cell>
        </row>
        <row r="791">
          <cell r="C791" t="str">
            <v>GL500273</v>
          </cell>
          <cell r="D791" t="str">
            <v>美洲区</v>
          </cell>
          <cell r="E791" t="str">
            <v>US人力资源部</v>
          </cell>
          <cell r="F791" t="str">
            <v>美洲HRBP组</v>
          </cell>
          <cell r="G791" t="str">
            <v>佛州区HR组</v>
          </cell>
          <cell r="H791" t="str">
            <v/>
          </cell>
          <cell r="I791" t="str">
            <v/>
          </cell>
          <cell r="J791" t="str">
            <v/>
          </cell>
          <cell r="K791" t="str">
            <v>佛州区HR组</v>
          </cell>
          <cell r="L791" t="str">
            <v>HRBP Specialist HRBP专员</v>
          </cell>
          <cell r="M791" t="str">
            <v>P1-2</v>
          </cell>
          <cell r="N791" t="str">
            <v/>
          </cell>
          <cell r="O791" t="str">
            <v>2025/01/08</v>
          </cell>
        </row>
        <row r="792">
          <cell r="C792" t="str">
            <v>GL500339</v>
          </cell>
          <cell r="D792" t="str">
            <v>美洲区</v>
          </cell>
          <cell r="E792" t="str">
            <v>FL 佛州大区</v>
          </cell>
          <cell r="F792" t="str">
            <v>MF 中佛片区</v>
          </cell>
          <cell r="G792" t="str">
            <v>MCO01</v>
          </cell>
          <cell r="H792" t="str">
            <v/>
          </cell>
          <cell r="I792" t="str">
            <v/>
          </cell>
          <cell r="J792" t="str">
            <v/>
          </cell>
          <cell r="K792" t="str">
            <v>MCO</v>
          </cell>
          <cell r="L792" t="str">
            <v>Station Head 站长</v>
          </cell>
          <cell r="M792" t="str">
            <v>M2-3</v>
          </cell>
          <cell r="N792" t="str">
            <v/>
          </cell>
          <cell r="O792" t="str">
            <v>2024/12/02</v>
          </cell>
        </row>
        <row r="793">
          <cell r="C793" t="str">
            <v>GL500377</v>
          </cell>
          <cell r="D793" t="str">
            <v>美洲区</v>
          </cell>
          <cell r="E793" t="str">
            <v>FL 佛州大区</v>
          </cell>
          <cell r="F793" t="str">
            <v>SF 南佛片区</v>
          </cell>
          <cell r="G793" t="str">
            <v>MIA01</v>
          </cell>
          <cell r="H793" t="str">
            <v/>
          </cell>
          <cell r="I793" t="str">
            <v/>
          </cell>
          <cell r="J793" t="str">
            <v/>
          </cell>
          <cell r="K793" t="str">
            <v>MIA</v>
          </cell>
          <cell r="L793" t="str">
            <v>Station Operations Specialist 站点运营专员</v>
          </cell>
          <cell r="M793" t="str">
            <v>P2-1</v>
          </cell>
          <cell r="N793" t="str">
            <v/>
          </cell>
          <cell r="O793" t="str">
            <v>2024/08/01</v>
          </cell>
        </row>
        <row r="794">
          <cell r="C794" t="str">
            <v>GL500673</v>
          </cell>
          <cell r="D794" t="str">
            <v>美洲区</v>
          </cell>
          <cell r="E794" t="str">
            <v>FL 佛州大区</v>
          </cell>
          <cell r="F794" t="str">
            <v>SF 南佛片区</v>
          </cell>
          <cell r="G794" t="str">
            <v>MIA01</v>
          </cell>
          <cell r="H794" t="str">
            <v/>
          </cell>
          <cell r="I794" t="str">
            <v/>
          </cell>
          <cell r="J794" t="str">
            <v/>
          </cell>
          <cell r="K794" t="str">
            <v>MIA</v>
          </cell>
          <cell r="L794" t="str">
            <v>Station Operations Specialist 站点运营专员</v>
          </cell>
          <cell r="M794" t="str">
            <v>P2-1</v>
          </cell>
          <cell r="N794" t="str">
            <v/>
          </cell>
          <cell r="O794" t="str">
            <v>2025/06/01</v>
          </cell>
        </row>
        <row r="795">
          <cell r="C795" t="str">
            <v>GL500663</v>
          </cell>
          <cell r="D795" t="str">
            <v>欧洲区</v>
          </cell>
          <cell r="E795" t="str">
            <v>FR 法国区</v>
          </cell>
          <cell r="F795" t="str">
            <v>东部战区</v>
          </cell>
          <cell r="G795" t="str">
            <v>里尔-LIL</v>
          </cell>
          <cell r="H795" t="str">
            <v/>
          </cell>
          <cell r="I795" t="str">
            <v/>
          </cell>
          <cell r="J795" t="str">
            <v/>
          </cell>
          <cell r="K795" t="str">
            <v>里尔-LIL</v>
          </cell>
          <cell r="L795" t="str">
            <v>Warehouse Operator操作员</v>
          </cell>
          <cell r="M795" t="str">
            <v>P1-1</v>
          </cell>
          <cell r="N795" t="str">
            <v/>
          </cell>
          <cell r="O795" t="str">
            <v>2025/06/02</v>
          </cell>
        </row>
        <row r="796">
          <cell r="C796" t="str">
            <v>GL500696</v>
          </cell>
          <cell r="D796" t="str">
            <v>美洲区</v>
          </cell>
          <cell r="E796" t="str">
            <v>CS 客户服务部</v>
          </cell>
          <cell r="F796" t="str">
            <v>运营分析组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>运营分析组</v>
          </cell>
          <cell r="L796" t="str">
            <v>Operations Analysis Specialist 运营分析专员</v>
          </cell>
          <cell r="M796" t="str">
            <v>P1-1</v>
          </cell>
          <cell r="N796" t="str">
            <v/>
          </cell>
          <cell r="O796" t="str">
            <v>2025/06/09</v>
          </cell>
        </row>
        <row r="797">
          <cell r="C797" t="str">
            <v>GL500818</v>
          </cell>
          <cell r="D797" t="str">
            <v>美洲区</v>
          </cell>
          <cell r="E797" t="str">
            <v>Ground项目部</v>
          </cell>
          <cell r="F797" t="str">
            <v>派送管理部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>终端运力组</v>
          </cell>
          <cell r="L797" t="str">
            <v>Senior Terminal Operations Specialist 高级终端运力专员</v>
          </cell>
          <cell r="M797" t="str">
            <v>P2-1</v>
          </cell>
          <cell r="N797" t="str">
            <v/>
          </cell>
          <cell r="O797" t="str">
            <v>2025/06/23</v>
          </cell>
        </row>
        <row r="798">
          <cell r="C798" t="str">
            <v>GL500816</v>
          </cell>
          <cell r="D798" t="str">
            <v>美洲区</v>
          </cell>
          <cell r="E798" t="str">
            <v>WE 美西大区</v>
          </cell>
          <cell r="F798" t="str">
            <v>CNO.H</v>
          </cell>
          <cell r="G798" t="str">
            <v>调度组</v>
          </cell>
          <cell r="H798" t="str">
            <v/>
          </cell>
          <cell r="I798" t="str">
            <v/>
          </cell>
          <cell r="J798" t="str">
            <v/>
          </cell>
          <cell r="K798" t="str">
            <v>调度组</v>
          </cell>
          <cell r="L798" t="str">
            <v>Dispatcher 调度员</v>
          </cell>
          <cell r="M798" t="str">
            <v>P1-1</v>
          </cell>
          <cell r="N798" t="str">
            <v/>
          </cell>
          <cell r="O798" t="str">
            <v>2025/06/16</v>
          </cell>
        </row>
        <row r="799">
          <cell r="C799" t="str">
            <v>GL500098</v>
          </cell>
          <cell r="D799" t="str">
            <v>欧洲区</v>
          </cell>
          <cell r="E799" t="str">
            <v>FR 法国区</v>
          </cell>
          <cell r="F799" t="str">
            <v>西部战区</v>
          </cell>
          <cell r="G799" t="str">
            <v>雷恩-RNS</v>
          </cell>
          <cell r="H799" t="str">
            <v/>
          </cell>
          <cell r="I799" t="str">
            <v/>
          </cell>
          <cell r="J799" t="str">
            <v/>
          </cell>
          <cell r="K799" t="str">
            <v>雷恩-RNS</v>
          </cell>
          <cell r="L799" t="str">
            <v>Terminal Specialist终端专员</v>
          </cell>
          <cell r="M799" t="str">
            <v>P1-1</v>
          </cell>
          <cell r="N799" t="str">
            <v/>
          </cell>
          <cell r="O799" t="str">
            <v>2025/04/09</v>
          </cell>
        </row>
        <row r="800">
          <cell r="C800" t="str">
            <v>GL500086</v>
          </cell>
          <cell r="D800" t="str">
            <v>欧洲区</v>
          </cell>
          <cell r="E800" t="str">
            <v>FR 法国区</v>
          </cell>
          <cell r="F800" t="str">
            <v>西部战区</v>
          </cell>
          <cell r="G800" t="str">
            <v>南特-NTE</v>
          </cell>
          <cell r="H800" t="str">
            <v/>
          </cell>
          <cell r="I800" t="str">
            <v/>
          </cell>
          <cell r="J800" t="str">
            <v/>
          </cell>
          <cell r="K800" t="str">
            <v>南特-NTE</v>
          </cell>
          <cell r="L800" t="str">
            <v>Terminal Specialist终端专员</v>
          </cell>
          <cell r="M800" t="str">
            <v>P1-1</v>
          </cell>
          <cell r="N800" t="str">
            <v/>
          </cell>
          <cell r="O800" t="str">
            <v>2025/04/14</v>
          </cell>
        </row>
        <row r="801">
          <cell r="C801" t="str">
            <v>GL500002</v>
          </cell>
          <cell r="D801" t="str">
            <v>欧洲区</v>
          </cell>
          <cell r="E801" t="str">
            <v>FR 法国区</v>
          </cell>
          <cell r="F801" t="str">
            <v>行政采购部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>行政采购部</v>
          </cell>
          <cell r="L801" t="str">
            <v>Admin Assistant行政助理</v>
          </cell>
          <cell r="M801" t="str">
            <v>P1-1</v>
          </cell>
          <cell r="N801" t="str">
            <v/>
          </cell>
          <cell r="O801" t="str">
            <v>2025/05/12</v>
          </cell>
        </row>
        <row r="802">
          <cell r="C802" t="str">
            <v>GL500261</v>
          </cell>
          <cell r="D802" t="str">
            <v>欧洲区</v>
          </cell>
          <cell r="E802" t="str">
            <v>FR 法国区</v>
          </cell>
          <cell r="F802" t="str">
            <v>西部战区</v>
          </cell>
          <cell r="G802" t="str">
            <v>南特-NTE</v>
          </cell>
          <cell r="H802" t="str">
            <v/>
          </cell>
          <cell r="I802" t="str">
            <v/>
          </cell>
          <cell r="J802" t="str">
            <v/>
          </cell>
          <cell r="K802" t="str">
            <v>南特-NTE</v>
          </cell>
          <cell r="L802" t="str">
            <v>Terminal Specialist终端专员</v>
          </cell>
          <cell r="M802" t="str">
            <v>P1-1</v>
          </cell>
          <cell r="N802" t="str">
            <v/>
          </cell>
          <cell r="O802" t="str">
            <v>2025/01/20</v>
          </cell>
        </row>
        <row r="803">
          <cell r="C803" t="str">
            <v>GL500584</v>
          </cell>
          <cell r="D803" t="str">
            <v>美洲区</v>
          </cell>
          <cell r="E803" t="str">
            <v>Ground项目部</v>
          </cell>
          <cell r="F803" t="str">
            <v>OG 美东区</v>
          </cell>
          <cell r="G803" t="str">
            <v>CB080</v>
          </cell>
          <cell r="H803" t="str">
            <v/>
          </cell>
          <cell r="I803" t="str">
            <v/>
          </cell>
          <cell r="J803" t="str">
            <v/>
          </cell>
          <cell r="K803" t="str">
            <v>CB080</v>
          </cell>
          <cell r="L803" t="str">
            <v>Delivery Driver 司机</v>
          </cell>
          <cell r="M803" t="str">
            <v>P1-1</v>
          </cell>
          <cell r="N803" t="str">
            <v/>
          </cell>
          <cell r="O803" t="str">
            <v>2025/02/24</v>
          </cell>
        </row>
        <row r="804">
          <cell r="C804" t="str">
            <v>GL501179</v>
          </cell>
          <cell r="D804" t="str">
            <v>美洲区</v>
          </cell>
          <cell r="E804" t="str">
            <v>WE 美西大区</v>
          </cell>
          <cell r="F804" t="str">
            <v>CNO.H</v>
          </cell>
          <cell r="G804" t="str">
            <v>操作组</v>
          </cell>
          <cell r="H804" t="str">
            <v/>
          </cell>
          <cell r="I804" t="str">
            <v/>
          </cell>
          <cell r="J804" t="str">
            <v/>
          </cell>
          <cell r="K804" t="str">
            <v>操作组</v>
          </cell>
          <cell r="L804" t="str">
            <v>Warehouse Operator 操作员</v>
          </cell>
          <cell r="M804" t="str">
            <v>P1-1</v>
          </cell>
          <cell r="N804" t="str">
            <v/>
          </cell>
          <cell r="O804" t="str">
            <v>2025/07/21</v>
          </cell>
        </row>
        <row r="805">
          <cell r="C805" t="str">
            <v>GL500749</v>
          </cell>
          <cell r="D805" t="str">
            <v>美洲区</v>
          </cell>
          <cell r="E805" t="str">
            <v>TX 德州大区</v>
          </cell>
          <cell r="F805" t="str">
            <v>DFW.H</v>
          </cell>
          <cell r="G805" t="str">
            <v>调度组</v>
          </cell>
          <cell r="H805" t="str">
            <v/>
          </cell>
          <cell r="I805" t="str">
            <v/>
          </cell>
          <cell r="J805" t="str">
            <v/>
          </cell>
          <cell r="K805" t="str">
            <v>调度组</v>
          </cell>
          <cell r="L805" t="str">
            <v>Dispatcher 调度员</v>
          </cell>
          <cell r="M805" t="str">
            <v>P1-3</v>
          </cell>
          <cell r="N805" t="str">
            <v/>
          </cell>
          <cell r="O805" t="str">
            <v>2025/06/23</v>
          </cell>
        </row>
        <row r="806">
          <cell r="C806" t="str">
            <v>GL501025</v>
          </cell>
          <cell r="D806" t="str">
            <v>美洲区</v>
          </cell>
          <cell r="E806" t="str">
            <v>TX 德州大区</v>
          </cell>
          <cell r="F806" t="str">
            <v>GC 墨湾片区</v>
          </cell>
          <cell r="G806" t="str">
            <v>IAH01</v>
          </cell>
          <cell r="H806" t="str">
            <v/>
          </cell>
          <cell r="I806" t="str">
            <v/>
          </cell>
          <cell r="J806" t="str">
            <v/>
          </cell>
          <cell r="K806" t="str">
            <v>IAH</v>
          </cell>
          <cell r="L806" t="str">
            <v>Station Operations Specialist 站点运营专员</v>
          </cell>
          <cell r="M806" t="str">
            <v>P1-2</v>
          </cell>
          <cell r="N806" t="str">
            <v/>
          </cell>
          <cell r="O806" t="str">
            <v>2025/07/15</v>
          </cell>
        </row>
        <row r="807">
          <cell r="C807" t="str">
            <v>GL500507</v>
          </cell>
          <cell r="D807" t="str">
            <v>美洲区</v>
          </cell>
          <cell r="E807" t="str">
            <v>NE 东北大区</v>
          </cell>
          <cell r="F807" t="str">
            <v>JFK.H</v>
          </cell>
          <cell r="G807" t="str">
            <v>操作组</v>
          </cell>
          <cell r="H807" t="str">
            <v/>
          </cell>
          <cell r="I807" t="str">
            <v/>
          </cell>
          <cell r="J807" t="str">
            <v/>
          </cell>
          <cell r="K807" t="str">
            <v>操作组</v>
          </cell>
          <cell r="L807" t="str">
            <v>Warehouse Operator 操作员</v>
          </cell>
          <cell r="M807" t="str">
            <v>P1-1</v>
          </cell>
          <cell r="N807" t="str">
            <v/>
          </cell>
          <cell r="O807" t="str">
            <v>2021/09/17</v>
          </cell>
        </row>
        <row r="808">
          <cell r="C808" t="str">
            <v>GL501121</v>
          </cell>
          <cell r="D808" t="str">
            <v>美洲区</v>
          </cell>
          <cell r="E808" t="str">
            <v>TX 德州大区</v>
          </cell>
          <cell r="F808" t="str">
            <v>IAH.H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>IAH.H</v>
          </cell>
          <cell r="L808" t="str">
            <v>Warehouse Operator 操作员</v>
          </cell>
          <cell r="M808" t="str">
            <v>P1-2</v>
          </cell>
          <cell r="N808" t="str">
            <v/>
          </cell>
          <cell r="O808" t="str">
            <v>2025/07/28</v>
          </cell>
        </row>
        <row r="809">
          <cell r="C809" t="str">
            <v>GL500373</v>
          </cell>
          <cell r="D809" t="str">
            <v>美洲区</v>
          </cell>
          <cell r="E809" t="str">
            <v>AD 行政部</v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>AD 行政部</v>
          </cell>
          <cell r="L809" t="str">
            <v>Admin Assistant 行政助理</v>
          </cell>
          <cell r="M809" t="str">
            <v>P1-1</v>
          </cell>
          <cell r="N809" t="str">
            <v/>
          </cell>
          <cell r="O809" t="str">
            <v>2024/12/02</v>
          </cell>
        </row>
        <row r="810">
          <cell r="C810" t="str">
            <v>GL500132</v>
          </cell>
          <cell r="D810" t="str">
            <v>欧洲区</v>
          </cell>
          <cell r="E810" t="str">
            <v>FR 法国区</v>
          </cell>
          <cell r="F810" t="str">
            <v>终端管理部</v>
          </cell>
          <cell r="G810" t="str">
            <v>终端寻源组</v>
          </cell>
          <cell r="H810" t="str">
            <v/>
          </cell>
          <cell r="I810" t="str">
            <v/>
          </cell>
          <cell r="J810" t="str">
            <v/>
          </cell>
          <cell r="K810" t="str">
            <v>终端寻源组</v>
          </cell>
          <cell r="L810" t="str">
            <v>Terminal Sourcing Specialist终端寻源专员</v>
          </cell>
          <cell r="M810" t="str">
            <v>P1-1</v>
          </cell>
          <cell r="N810" t="str">
            <v/>
          </cell>
          <cell r="O810" t="str">
            <v>2025/04/01</v>
          </cell>
        </row>
        <row r="811">
          <cell r="C811" t="str">
            <v>GL500256</v>
          </cell>
          <cell r="D811" t="str">
            <v>欧洲区</v>
          </cell>
          <cell r="E811" t="str">
            <v>FR 法国区</v>
          </cell>
          <cell r="F811" t="str">
            <v>东部战区</v>
          </cell>
          <cell r="G811" t="str">
            <v>里昂-LYN</v>
          </cell>
          <cell r="H811" t="str">
            <v/>
          </cell>
          <cell r="I811" t="str">
            <v/>
          </cell>
          <cell r="J811" t="str">
            <v/>
          </cell>
          <cell r="K811" t="str">
            <v>里昂-LYN</v>
          </cell>
          <cell r="L811" t="str">
            <v>Terminal Specialist终端专员</v>
          </cell>
          <cell r="M811" t="str">
            <v>P1-1</v>
          </cell>
          <cell r="N811" t="str">
            <v/>
          </cell>
          <cell r="O811" t="str">
            <v>2025/01/20</v>
          </cell>
        </row>
        <row r="812">
          <cell r="C812" t="str">
            <v>GL500177</v>
          </cell>
          <cell r="D812" t="str">
            <v>欧洲区</v>
          </cell>
          <cell r="E812" t="str">
            <v>FR 法国区</v>
          </cell>
          <cell r="F812" t="str">
            <v>西部战区</v>
          </cell>
          <cell r="G812" t="str">
            <v>雷恩-RNS</v>
          </cell>
          <cell r="H812" t="str">
            <v/>
          </cell>
          <cell r="I812" t="str">
            <v/>
          </cell>
          <cell r="J812" t="str">
            <v/>
          </cell>
          <cell r="K812" t="str">
            <v>雷恩-RNS</v>
          </cell>
          <cell r="L812" t="str">
            <v>Terminal Specialist终端专员</v>
          </cell>
          <cell r="M812" t="str">
            <v>P1-1</v>
          </cell>
          <cell r="N812" t="str">
            <v/>
          </cell>
          <cell r="O812" t="str">
            <v>2025/03/03</v>
          </cell>
        </row>
        <row r="813">
          <cell r="C813" t="str">
            <v>GL500535</v>
          </cell>
          <cell r="D813" t="str">
            <v>欧洲区</v>
          </cell>
          <cell r="E813" t="str">
            <v>FR 法国区</v>
          </cell>
          <cell r="F813" t="str">
            <v>行政采购部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>行政采购部</v>
          </cell>
          <cell r="L813" t="str">
            <v>Junior Admin Specialist初级行政专员</v>
          </cell>
          <cell r="M813" t="str">
            <v>P1-2</v>
          </cell>
          <cell r="N813" t="str">
            <v/>
          </cell>
          <cell r="O813" t="str">
            <v>2025/05/19</v>
          </cell>
        </row>
        <row r="814">
          <cell r="C814" t="str">
            <v>GL500846</v>
          </cell>
          <cell r="D814" t="str">
            <v>美洲区</v>
          </cell>
          <cell r="E814" t="str">
            <v>US人力资源部</v>
          </cell>
          <cell r="F814" t="str">
            <v>美洲HRBP组</v>
          </cell>
          <cell r="G814" t="str">
            <v>招聘组</v>
          </cell>
          <cell r="H814" t="str">
            <v/>
          </cell>
          <cell r="I814" t="str">
            <v/>
          </cell>
          <cell r="J814" t="str">
            <v/>
          </cell>
          <cell r="K814" t="str">
            <v>招聘组</v>
          </cell>
          <cell r="L814" t="str">
            <v>Recruitment Assistant 招聘助理</v>
          </cell>
          <cell r="M814" t="str">
            <v>P1-1</v>
          </cell>
          <cell r="N814" t="str">
            <v/>
          </cell>
          <cell r="O814" t="str">
            <v>2025/06/30</v>
          </cell>
        </row>
        <row r="815">
          <cell r="C815" t="str">
            <v>GL500353</v>
          </cell>
          <cell r="D815" t="str">
            <v>美洲区</v>
          </cell>
          <cell r="E815" t="str">
            <v>FL 佛州大区</v>
          </cell>
          <cell r="F815" t="str">
            <v>MIA.H</v>
          </cell>
          <cell r="G815" t="str">
            <v>分拣组</v>
          </cell>
          <cell r="H815" t="str">
            <v/>
          </cell>
          <cell r="I815" t="str">
            <v/>
          </cell>
          <cell r="J815" t="str">
            <v/>
          </cell>
          <cell r="K815" t="str">
            <v>分拣组</v>
          </cell>
          <cell r="L815" t="str">
            <v>Sorter 分拣员</v>
          </cell>
          <cell r="M815" t="str">
            <v>P1-1</v>
          </cell>
          <cell r="N815" t="str">
            <v/>
          </cell>
          <cell r="O815" t="str">
            <v>2024/11/17</v>
          </cell>
        </row>
        <row r="816">
          <cell r="C816" t="str">
            <v>GL501065</v>
          </cell>
          <cell r="D816" t="str">
            <v>美洲区</v>
          </cell>
          <cell r="E816" t="str">
            <v>Ground项目部</v>
          </cell>
          <cell r="F816" t="str">
            <v>OG 美西区</v>
          </cell>
          <cell r="G816" t="str">
            <v>ST958</v>
          </cell>
          <cell r="H816" t="str">
            <v/>
          </cell>
          <cell r="I816" t="str">
            <v/>
          </cell>
          <cell r="J816" t="str">
            <v/>
          </cell>
          <cell r="K816" t="str">
            <v>ST958</v>
          </cell>
          <cell r="L816" t="str">
            <v>Station Head 站长</v>
          </cell>
          <cell r="M816" t="str">
            <v>M2-1</v>
          </cell>
          <cell r="N816" t="str">
            <v/>
          </cell>
          <cell r="O816" t="str">
            <v>2025/07/21</v>
          </cell>
        </row>
        <row r="817">
          <cell r="C817" t="str">
            <v>GL500666</v>
          </cell>
          <cell r="D817" t="str">
            <v>美洲区</v>
          </cell>
          <cell r="E817" t="str">
            <v>WE 美西大区</v>
          </cell>
          <cell r="F817" t="str">
            <v>SC 南加片区</v>
          </cell>
          <cell r="G817" t="str">
            <v>PHX01</v>
          </cell>
          <cell r="H817" t="str">
            <v/>
          </cell>
          <cell r="I817" t="str">
            <v/>
          </cell>
          <cell r="J817" t="str">
            <v/>
          </cell>
          <cell r="K817" t="str">
            <v>PHX</v>
          </cell>
          <cell r="L817" t="str">
            <v>Station Operations Specialist 站点运营专员</v>
          </cell>
          <cell r="M817" t="str">
            <v>P1-3</v>
          </cell>
          <cell r="N817" t="str">
            <v/>
          </cell>
          <cell r="O817" t="str">
            <v>2025/05/20</v>
          </cell>
        </row>
        <row r="818">
          <cell r="C818" t="str">
            <v>GL500990</v>
          </cell>
          <cell r="D818" t="str">
            <v>美洲区</v>
          </cell>
          <cell r="E818" t="str">
            <v>FL 佛州大区</v>
          </cell>
          <cell r="F818" t="str">
            <v>MIA.H</v>
          </cell>
          <cell r="G818" t="str">
            <v>操作组</v>
          </cell>
          <cell r="H818" t="str">
            <v/>
          </cell>
          <cell r="I818" t="str">
            <v/>
          </cell>
          <cell r="J818" t="str">
            <v/>
          </cell>
          <cell r="K818" t="str">
            <v>操作组</v>
          </cell>
          <cell r="L818" t="str">
            <v>Warehouse Operator 操作员</v>
          </cell>
          <cell r="M818" t="str">
            <v>P1-1</v>
          </cell>
          <cell r="N818" t="str">
            <v/>
          </cell>
          <cell r="O818" t="str">
            <v>2025/06/13</v>
          </cell>
        </row>
        <row r="819">
          <cell r="C819" t="str">
            <v>GL500812</v>
          </cell>
          <cell r="D819" t="str">
            <v>欧洲区</v>
          </cell>
          <cell r="E819" t="str">
            <v>NL 荷兰区</v>
          </cell>
          <cell r="F819" t="str">
            <v>终端管理部</v>
          </cell>
          <cell r="G819" t="str">
            <v>终端寻源组</v>
          </cell>
          <cell r="H819" t="str">
            <v/>
          </cell>
          <cell r="I819" t="str">
            <v/>
          </cell>
          <cell r="J819" t="str">
            <v/>
          </cell>
          <cell r="K819" t="str">
            <v>终端寻源组</v>
          </cell>
          <cell r="L819" t="str">
            <v>Terminal Sourcing Specialist 终端寻源专员</v>
          </cell>
          <cell r="M819" t="str">
            <v>P1-2</v>
          </cell>
          <cell r="N819" t="str">
            <v/>
          </cell>
          <cell r="O819" t="str">
            <v>2025/07/07</v>
          </cell>
        </row>
        <row r="820">
          <cell r="C820" t="str">
            <v>GL500587</v>
          </cell>
          <cell r="D820" t="str">
            <v>美洲区</v>
          </cell>
          <cell r="E820" t="str">
            <v>Ground项目部</v>
          </cell>
          <cell r="F820" t="str">
            <v>OG 美西区</v>
          </cell>
          <cell r="G820" t="str">
            <v>LA917</v>
          </cell>
          <cell r="H820" t="str">
            <v/>
          </cell>
          <cell r="I820" t="str">
            <v/>
          </cell>
          <cell r="J820" t="str">
            <v/>
          </cell>
          <cell r="K820" t="str">
            <v>LA917</v>
          </cell>
          <cell r="L820" t="str">
            <v>Delivery Driver 司机</v>
          </cell>
          <cell r="M820" t="str">
            <v>P1-1</v>
          </cell>
          <cell r="N820" t="str">
            <v/>
          </cell>
          <cell r="O820" t="str">
            <v>2025/02/11</v>
          </cell>
        </row>
        <row r="821">
          <cell r="C821" t="str">
            <v>GL501145</v>
          </cell>
          <cell r="D821" t="str">
            <v>美洲区</v>
          </cell>
          <cell r="E821" t="str">
            <v>WE 美西大区</v>
          </cell>
          <cell r="F821" t="str">
            <v>CNO.H</v>
          </cell>
          <cell r="G821" t="str">
            <v>异常处理组</v>
          </cell>
          <cell r="H821" t="str">
            <v/>
          </cell>
          <cell r="I821" t="str">
            <v/>
          </cell>
          <cell r="J821" t="str">
            <v/>
          </cell>
          <cell r="K821" t="str">
            <v>退件组</v>
          </cell>
          <cell r="L821" t="str">
            <v>Warehouse Operator 操作员</v>
          </cell>
          <cell r="M821" t="str">
            <v>P1-1</v>
          </cell>
          <cell r="N821" t="str">
            <v/>
          </cell>
          <cell r="O821" t="str">
            <v>2025/07/24</v>
          </cell>
        </row>
        <row r="822">
          <cell r="C822" t="str">
            <v>GL500936</v>
          </cell>
          <cell r="D822" t="str">
            <v>欧洲区</v>
          </cell>
          <cell r="E822" t="str">
            <v>FR 法国区</v>
          </cell>
          <cell r="F822" t="str">
            <v>巴黎枢纽仓</v>
          </cell>
          <cell r="G822" t="str">
            <v>人工分拣组</v>
          </cell>
          <cell r="H822" t="str">
            <v/>
          </cell>
          <cell r="I822" t="str">
            <v/>
          </cell>
          <cell r="J822" t="str">
            <v/>
          </cell>
          <cell r="K822" t="str">
            <v>人工分拣组</v>
          </cell>
          <cell r="L822" t="str">
            <v>Warehouse Operator操作员</v>
          </cell>
          <cell r="M822" t="str">
            <v>P1-2</v>
          </cell>
          <cell r="N822" t="str">
            <v/>
          </cell>
          <cell r="O822" t="str">
            <v>2025/07/15</v>
          </cell>
        </row>
        <row r="823">
          <cell r="C823" t="str">
            <v>GL500963</v>
          </cell>
          <cell r="D823" t="str">
            <v>欧洲区</v>
          </cell>
          <cell r="E823" t="str">
            <v>FR 法国区</v>
          </cell>
          <cell r="F823" t="str">
            <v>巴黎枢纽仓</v>
          </cell>
          <cell r="G823" t="str">
            <v>巴黎出库组</v>
          </cell>
          <cell r="H823" t="str">
            <v/>
          </cell>
          <cell r="I823" t="str">
            <v/>
          </cell>
          <cell r="J823" t="str">
            <v/>
          </cell>
          <cell r="K823" t="str">
            <v>巴黎出库组</v>
          </cell>
          <cell r="L823" t="str">
            <v>Warehouse Operator操作员</v>
          </cell>
          <cell r="M823" t="str">
            <v>P1-1</v>
          </cell>
          <cell r="N823" t="str">
            <v/>
          </cell>
          <cell r="O823" t="str">
            <v>2025/07/15</v>
          </cell>
        </row>
        <row r="824">
          <cell r="C824" t="str">
            <v>GL500856</v>
          </cell>
          <cell r="D824" t="str">
            <v>美洲区</v>
          </cell>
          <cell r="E824" t="str">
            <v>WE 美西大区</v>
          </cell>
          <cell r="F824" t="str">
            <v>CNO.H</v>
          </cell>
          <cell r="G824" t="str">
            <v>装卸组</v>
          </cell>
          <cell r="H824" t="str">
            <v/>
          </cell>
          <cell r="I824" t="str">
            <v/>
          </cell>
          <cell r="J824" t="str">
            <v/>
          </cell>
          <cell r="K824" t="str">
            <v>装卸组</v>
          </cell>
          <cell r="L824" t="str">
            <v>Warehouse Operator 操作员</v>
          </cell>
          <cell r="M824" t="str">
            <v>P1-1</v>
          </cell>
          <cell r="N824" t="str">
            <v/>
          </cell>
          <cell r="O824" t="str">
            <v>2025/06/26</v>
          </cell>
        </row>
        <row r="825">
          <cell r="C825" t="str">
            <v>GL500620</v>
          </cell>
          <cell r="D825" t="str">
            <v>美洲区</v>
          </cell>
          <cell r="E825" t="str">
            <v>WE 美西大区</v>
          </cell>
          <cell r="F825" t="str">
            <v>SC 南加片区</v>
          </cell>
          <cell r="G825" t="str">
            <v>LAX01</v>
          </cell>
          <cell r="H825" t="str">
            <v/>
          </cell>
          <cell r="I825" t="str">
            <v/>
          </cell>
          <cell r="J825" t="str">
            <v/>
          </cell>
          <cell r="K825" t="str">
            <v>LAX.SAN</v>
          </cell>
          <cell r="L825" t="str">
            <v>Sorter 分拣员</v>
          </cell>
          <cell r="M825" t="str">
            <v>P1-2</v>
          </cell>
          <cell r="N825" t="str">
            <v/>
          </cell>
          <cell r="O825" t="str">
            <v>2019/03/12</v>
          </cell>
        </row>
        <row r="826">
          <cell r="C826" t="str">
            <v>GL500238</v>
          </cell>
          <cell r="D826" t="str">
            <v>欧洲区</v>
          </cell>
          <cell r="E826" t="str">
            <v>FR 法国区</v>
          </cell>
          <cell r="F826" t="str">
            <v>南部战区</v>
          </cell>
          <cell r="G826" t="str">
            <v>马赛-MSL</v>
          </cell>
          <cell r="H826" t="str">
            <v/>
          </cell>
          <cell r="I826" t="str">
            <v/>
          </cell>
          <cell r="J826" t="str">
            <v/>
          </cell>
          <cell r="K826" t="str">
            <v>马赛-MSL</v>
          </cell>
          <cell r="L826" t="str">
            <v>Terminal Specialist终端专员</v>
          </cell>
          <cell r="M826" t="str">
            <v>P1-1</v>
          </cell>
          <cell r="N826" t="str">
            <v/>
          </cell>
          <cell r="O826" t="str">
            <v>2025/01/27</v>
          </cell>
        </row>
        <row r="827">
          <cell r="C827" t="str">
            <v>GL501080</v>
          </cell>
          <cell r="D827" t="str">
            <v>美洲区</v>
          </cell>
          <cell r="E827" t="str">
            <v>WE 美西大区</v>
          </cell>
          <cell r="F827" t="str">
            <v>LAV.H</v>
          </cell>
          <cell r="G827" t="str">
            <v>操作组</v>
          </cell>
          <cell r="H827" t="str">
            <v/>
          </cell>
          <cell r="I827" t="str">
            <v/>
          </cell>
          <cell r="J827" t="str">
            <v/>
          </cell>
          <cell r="K827" t="str">
            <v>操作组</v>
          </cell>
          <cell r="L827" t="str">
            <v>Warehouse Operator 操作员</v>
          </cell>
          <cell r="M827" t="str">
            <v>P1-2</v>
          </cell>
          <cell r="N827" t="str">
            <v/>
          </cell>
          <cell r="O827" t="str">
            <v>2025/07/21</v>
          </cell>
        </row>
        <row r="828">
          <cell r="C828" t="str">
            <v>GL500921</v>
          </cell>
          <cell r="D828" t="str">
            <v>美洲区</v>
          </cell>
          <cell r="E828" t="str">
            <v>NE 东北大区</v>
          </cell>
          <cell r="F828" t="str">
            <v>BN 布法罗片区</v>
          </cell>
          <cell r="G828" t="str">
            <v>BUF01</v>
          </cell>
          <cell r="H828" t="str">
            <v/>
          </cell>
          <cell r="I828" t="str">
            <v/>
          </cell>
          <cell r="J828" t="str">
            <v/>
          </cell>
          <cell r="K828" t="str">
            <v>BUF</v>
          </cell>
          <cell r="L828" t="str">
            <v>Station Operations Specialist 站点运营专员</v>
          </cell>
          <cell r="M828" t="str">
            <v>P1-2</v>
          </cell>
          <cell r="N828" t="str">
            <v/>
          </cell>
          <cell r="O828" t="str">
            <v>2025/07/07</v>
          </cell>
        </row>
        <row r="829">
          <cell r="C829" t="str">
            <v>GL500691</v>
          </cell>
          <cell r="D829" t="str">
            <v>美洲区</v>
          </cell>
          <cell r="E829" t="str">
            <v>NE 东北大区</v>
          </cell>
          <cell r="F829" t="str">
            <v>NY 纽约片区</v>
          </cell>
          <cell r="G829" t="str">
            <v>BDL01</v>
          </cell>
          <cell r="H829" t="str">
            <v/>
          </cell>
          <cell r="I829" t="str">
            <v/>
          </cell>
          <cell r="J829" t="str">
            <v/>
          </cell>
          <cell r="K829" t="str">
            <v>BDL</v>
          </cell>
          <cell r="L829" t="str">
            <v>Station Operations Specialist 站点运营专员</v>
          </cell>
          <cell r="M829" t="str">
            <v>P1-2</v>
          </cell>
          <cell r="N829" t="str">
            <v/>
          </cell>
          <cell r="O829" t="str">
            <v>2025/06/09</v>
          </cell>
        </row>
        <row r="830">
          <cell r="C830" t="str">
            <v>GL500970</v>
          </cell>
          <cell r="D830" t="str">
            <v>美洲区</v>
          </cell>
          <cell r="E830" t="str">
            <v>WE 美西大区</v>
          </cell>
          <cell r="F830" t="str">
            <v>SC 南加片区</v>
          </cell>
          <cell r="G830" t="str">
            <v>PHX01</v>
          </cell>
          <cell r="H830" t="str">
            <v/>
          </cell>
          <cell r="I830" t="str">
            <v/>
          </cell>
          <cell r="J830" t="str">
            <v/>
          </cell>
          <cell r="K830" t="str">
            <v>PHX</v>
          </cell>
          <cell r="L830" t="str">
            <v>Station Operations Specialist 站点运营专员</v>
          </cell>
          <cell r="M830" t="str">
            <v>P1-1</v>
          </cell>
          <cell r="N830" t="str">
            <v/>
          </cell>
          <cell r="O830" t="str">
            <v>2025/07/09</v>
          </cell>
        </row>
        <row r="831">
          <cell r="C831" t="str">
            <v>GL500053</v>
          </cell>
          <cell r="D831" t="str">
            <v>美洲区</v>
          </cell>
          <cell r="E831" t="str">
            <v>MS 中南大区</v>
          </cell>
          <cell r="F831" t="str">
            <v>ATL.H</v>
          </cell>
          <cell r="G831" t="str">
            <v>分拣组</v>
          </cell>
          <cell r="H831" t="str">
            <v/>
          </cell>
          <cell r="I831" t="str">
            <v/>
          </cell>
          <cell r="J831" t="str">
            <v/>
          </cell>
          <cell r="K831" t="str">
            <v>分拣组</v>
          </cell>
          <cell r="L831" t="str">
            <v>Sorting Lead 分拣组长</v>
          </cell>
          <cell r="M831" t="str">
            <v>P2-1</v>
          </cell>
          <cell r="N831" t="str">
            <v/>
          </cell>
          <cell r="O831" t="str">
            <v>2025/04/18</v>
          </cell>
        </row>
        <row r="832">
          <cell r="C832" t="str">
            <v>GL500736</v>
          </cell>
          <cell r="D832" t="str">
            <v>美洲区</v>
          </cell>
          <cell r="E832" t="str">
            <v>WE 美西大区</v>
          </cell>
          <cell r="F832" t="str">
            <v>LAV.H</v>
          </cell>
          <cell r="G832" t="str">
            <v>操作组</v>
          </cell>
          <cell r="H832" t="str">
            <v/>
          </cell>
          <cell r="I832" t="str">
            <v/>
          </cell>
          <cell r="J832" t="str">
            <v/>
          </cell>
          <cell r="K832" t="str">
            <v>操作组</v>
          </cell>
          <cell r="L832" t="str">
            <v>Warehouse Operator 操作员</v>
          </cell>
          <cell r="M832" t="str">
            <v>P1-1</v>
          </cell>
          <cell r="N832" t="str">
            <v/>
          </cell>
          <cell r="O832" t="str">
            <v>2025/06/16</v>
          </cell>
        </row>
        <row r="833">
          <cell r="C833" t="str">
            <v>GL500995</v>
          </cell>
          <cell r="D833" t="str">
            <v>美洲区</v>
          </cell>
          <cell r="E833" t="str">
            <v>FL 佛州大区</v>
          </cell>
          <cell r="F833" t="str">
            <v>MIA.H</v>
          </cell>
          <cell r="G833" t="str">
            <v>操作组</v>
          </cell>
          <cell r="H833" t="str">
            <v/>
          </cell>
          <cell r="I833" t="str">
            <v/>
          </cell>
          <cell r="J833" t="str">
            <v/>
          </cell>
          <cell r="K833" t="str">
            <v>操作组</v>
          </cell>
          <cell r="L833" t="str">
            <v>Warehouse Operator 操作员</v>
          </cell>
          <cell r="M833" t="str">
            <v>P1-1</v>
          </cell>
          <cell r="N833" t="str">
            <v/>
          </cell>
          <cell r="O833" t="str">
            <v>2025/06/16</v>
          </cell>
        </row>
        <row r="834">
          <cell r="C834" t="str">
            <v>GL500988</v>
          </cell>
          <cell r="D834" t="str">
            <v>美洲区</v>
          </cell>
          <cell r="E834" t="str">
            <v>FL 佛州大区</v>
          </cell>
          <cell r="F834" t="str">
            <v>MIA.H</v>
          </cell>
          <cell r="G834" t="str">
            <v>操作组</v>
          </cell>
          <cell r="H834" t="str">
            <v/>
          </cell>
          <cell r="I834" t="str">
            <v/>
          </cell>
          <cell r="J834" t="str">
            <v/>
          </cell>
          <cell r="K834" t="str">
            <v>操作组</v>
          </cell>
          <cell r="L834" t="str">
            <v>Warehouse Operator 操作员</v>
          </cell>
          <cell r="M834" t="str">
            <v>P1-1</v>
          </cell>
          <cell r="N834" t="str">
            <v/>
          </cell>
          <cell r="O834" t="str">
            <v>2025/06/14</v>
          </cell>
        </row>
        <row r="835">
          <cell r="C835" t="str">
            <v>GL500550</v>
          </cell>
          <cell r="D835" t="str">
            <v>美洲区</v>
          </cell>
          <cell r="E835" t="str">
            <v>WE 美西大区</v>
          </cell>
          <cell r="F835" t="str">
            <v>LAV.H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>LAV.H</v>
          </cell>
          <cell r="L835" t="str">
            <v>Deputy Hub Head 副仓长</v>
          </cell>
          <cell r="M835" t="str">
            <v>M2-2</v>
          </cell>
          <cell r="N835" t="str">
            <v/>
          </cell>
          <cell r="O835" t="str">
            <v>2025/05/19</v>
          </cell>
        </row>
        <row r="836">
          <cell r="C836" t="str">
            <v>GL500895</v>
          </cell>
          <cell r="D836" t="str">
            <v>美洲区</v>
          </cell>
          <cell r="E836" t="str">
            <v>WE 美西大区</v>
          </cell>
          <cell r="F836" t="str">
            <v>LAV.H</v>
          </cell>
          <cell r="G836" t="str">
            <v>操作组</v>
          </cell>
          <cell r="H836" t="str">
            <v/>
          </cell>
          <cell r="I836" t="str">
            <v/>
          </cell>
          <cell r="J836" t="str">
            <v/>
          </cell>
          <cell r="K836" t="str">
            <v>操作组</v>
          </cell>
          <cell r="L836" t="str">
            <v>Warehouse Operator 操作员</v>
          </cell>
          <cell r="M836" t="str">
            <v>P1-1</v>
          </cell>
          <cell r="N836" t="str">
            <v/>
          </cell>
          <cell r="O836" t="str">
            <v>2025/06/30</v>
          </cell>
        </row>
        <row r="837">
          <cell r="C837" t="str">
            <v>GL500989</v>
          </cell>
          <cell r="D837" t="str">
            <v>美洲区</v>
          </cell>
          <cell r="E837" t="str">
            <v>FL 佛州大区</v>
          </cell>
          <cell r="F837" t="str">
            <v>MIA.H</v>
          </cell>
          <cell r="G837" t="str">
            <v>操作组</v>
          </cell>
          <cell r="H837" t="str">
            <v/>
          </cell>
          <cell r="I837" t="str">
            <v/>
          </cell>
          <cell r="J837" t="str">
            <v/>
          </cell>
          <cell r="K837" t="str">
            <v>操作组</v>
          </cell>
          <cell r="L837" t="str">
            <v>Warehouse Operator 操作员</v>
          </cell>
          <cell r="M837" t="str">
            <v>P1-1</v>
          </cell>
          <cell r="N837" t="str">
            <v/>
          </cell>
          <cell r="O837" t="str">
            <v>2025/06/07</v>
          </cell>
        </row>
        <row r="838">
          <cell r="C838" t="str">
            <v>GL500089</v>
          </cell>
          <cell r="D838" t="str">
            <v>美洲区</v>
          </cell>
          <cell r="E838" t="str">
            <v>FL 佛州大区</v>
          </cell>
          <cell r="F838" t="str">
            <v>MIA.H</v>
          </cell>
          <cell r="G838" t="str">
            <v>操作组</v>
          </cell>
          <cell r="H838" t="str">
            <v/>
          </cell>
          <cell r="I838" t="str">
            <v/>
          </cell>
          <cell r="J838" t="str">
            <v/>
          </cell>
          <cell r="K838" t="str">
            <v>操作组</v>
          </cell>
          <cell r="L838" t="str">
            <v>Warehouse Operator 操作员</v>
          </cell>
          <cell r="M838" t="str">
            <v>P1-2</v>
          </cell>
          <cell r="N838" t="str">
            <v/>
          </cell>
          <cell r="O838" t="str">
            <v>2025/04/04</v>
          </cell>
        </row>
        <row r="839">
          <cell r="C839" t="str">
            <v>GL500165</v>
          </cell>
          <cell r="D839" t="str">
            <v>美洲区</v>
          </cell>
          <cell r="E839" t="str">
            <v>FL 佛州大区</v>
          </cell>
          <cell r="F839" t="str">
            <v>MIA.H</v>
          </cell>
          <cell r="G839" t="str">
            <v>操作组</v>
          </cell>
          <cell r="H839" t="str">
            <v/>
          </cell>
          <cell r="I839" t="str">
            <v/>
          </cell>
          <cell r="J839" t="str">
            <v/>
          </cell>
          <cell r="K839" t="str">
            <v>操作组</v>
          </cell>
          <cell r="L839" t="str">
            <v>Sorter 分拣员</v>
          </cell>
          <cell r="M839" t="str">
            <v>P1-1</v>
          </cell>
          <cell r="N839" t="str">
            <v/>
          </cell>
          <cell r="O839" t="str">
            <v>2024/07/04</v>
          </cell>
        </row>
        <row r="840">
          <cell r="C840" t="str">
            <v>GL501001</v>
          </cell>
          <cell r="D840" t="str">
            <v>美洲区</v>
          </cell>
          <cell r="E840" t="str">
            <v>FL 佛州大区</v>
          </cell>
          <cell r="F840" t="str">
            <v>MCO.H</v>
          </cell>
          <cell r="G840" t="str">
            <v>分拣组</v>
          </cell>
          <cell r="H840" t="str">
            <v/>
          </cell>
          <cell r="I840" t="str">
            <v/>
          </cell>
          <cell r="J840" t="str">
            <v/>
          </cell>
          <cell r="K840" t="str">
            <v>分拣组</v>
          </cell>
          <cell r="L840" t="str">
            <v>Sorter 分拣员</v>
          </cell>
          <cell r="M840" t="str">
            <v>P1-1</v>
          </cell>
          <cell r="N840" t="str">
            <v/>
          </cell>
          <cell r="O840" t="str">
            <v>2025/06/24</v>
          </cell>
        </row>
        <row r="841">
          <cell r="C841" t="str">
            <v>GL500983</v>
          </cell>
          <cell r="D841" t="str">
            <v>美洲区</v>
          </cell>
          <cell r="E841" t="str">
            <v>FL 佛州大区</v>
          </cell>
          <cell r="F841" t="str">
            <v>MIA.H</v>
          </cell>
          <cell r="G841" t="str">
            <v>操作组</v>
          </cell>
          <cell r="H841" t="str">
            <v/>
          </cell>
          <cell r="I841" t="str">
            <v/>
          </cell>
          <cell r="J841" t="str">
            <v/>
          </cell>
          <cell r="K841" t="str">
            <v>操作组</v>
          </cell>
          <cell r="L841" t="str">
            <v>Warehouse Operator 操作员</v>
          </cell>
          <cell r="M841" t="str">
            <v>P1-1</v>
          </cell>
          <cell r="N841" t="str">
            <v/>
          </cell>
          <cell r="O841" t="str">
            <v>2025/06/16</v>
          </cell>
        </row>
        <row r="842">
          <cell r="C842" t="str">
            <v>GL500173</v>
          </cell>
          <cell r="D842" t="str">
            <v>欧洲区</v>
          </cell>
          <cell r="E842" t="str">
            <v>NL 荷兰区</v>
          </cell>
          <cell r="F842" t="str">
            <v>阿姆枢纽仓</v>
          </cell>
          <cell r="G842" t="str">
            <v>发运组</v>
          </cell>
          <cell r="H842" t="str">
            <v/>
          </cell>
          <cell r="I842" t="str">
            <v/>
          </cell>
          <cell r="J842" t="str">
            <v/>
          </cell>
          <cell r="K842" t="str">
            <v>发运组</v>
          </cell>
          <cell r="L842" t="str">
            <v>Warehouse Operator操作员</v>
          </cell>
          <cell r="M842" t="str">
            <v>P1-1</v>
          </cell>
          <cell r="N842" t="str">
            <v/>
          </cell>
          <cell r="O842" t="str">
            <v>2025/03/03</v>
          </cell>
        </row>
        <row r="843">
          <cell r="C843" t="str">
            <v>GL500987</v>
          </cell>
          <cell r="D843" t="str">
            <v>美洲区</v>
          </cell>
          <cell r="E843" t="str">
            <v>FL 佛州大区</v>
          </cell>
          <cell r="F843" t="str">
            <v>MIA.H</v>
          </cell>
          <cell r="G843" t="str">
            <v>分拣组</v>
          </cell>
          <cell r="H843" t="str">
            <v/>
          </cell>
          <cell r="I843" t="str">
            <v/>
          </cell>
          <cell r="J843" t="str">
            <v/>
          </cell>
          <cell r="K843" t="str">
            <v>分拣组</v>
          </cell>
          <cell r="L843" t="str">
            <v>Sorter 分拣员</v>
          </cell>
          <cell r="M843" t="str">
            <v>P1-1</v>
          </cell>
          <cell r="N843" t="str">
            <v/>
          </cell>
          <cell r="O843" t="str">
            <v>2025/06/14</v>
          </cell>
        </row>
        <row r="844">
          <cell r="C844" t="str">
            <v>GL500977</v>
          </cell>
          <cell r="D844" t="str">
            <v>美洲区</v>
          </cell>
          <cell r="E844" t="str">
            <v>FL 佛州大区</v>
          </cell>
          <cell r="F844" t="str">
            <v>MCO.H</v>
          </cell>
          <cell r="G844" t="str">
            <v>分拣组</v>
          </cell>
          <cell r="H844" t="str">
            <v/>
          </cell>
          <cell r="I844" t="str">
            <v/>
          </cell>
          <cell r="J844" t="str">
            <v/>
          </cell>
          <cell r="K844" t="str">
            <v>分拣组</v>
          </cell>
          <cell r="L844" t="str">
            <v>Sorter 分拣员</v>
          </cell>
          <cell r="M844" t="str">
            <v>P1-1</v>
          </cell>
          <cell r="N844" t="str">
            <v/>
          </cell>
          <cell r="O844" t="str">
            <v>2025/06/27</v>
          </cell>
        </row>
        <row r="845">
          <cell r="C845" t="str">
            <v>GL500976</v>
          </cell>
          <cell r="D845" t="str">
            <v>美洲区</v>
          </cell>
          <cell r="E845" t="str">
            <v>FL 佛州大区</v>
          </cell>
          <cell r="F845" t="str">
            <v>MCO.H</v>
          </cell>
          <cell r="G845" t="str">
            <v>分拣组</v>
          </cell>
          <cell r="H845" t="str">
            <v/>
          </cell>
          <cell r="I845" t="str">
            <v/>
          </cell>
          <cell r="J845" t="str">
            <v/>
          </cell>
          <cell r="K845" t="str">
            <v>分拣组</v>
          </cell>
          <cell r="L845" t="str">
            <v>Sorter 分拣员</v>
          </cell>
          <cell r="M845" t="str">
            <v>P1-1</v>
          </cell>
          <cell r="N845" t="str">
            <v/>
          </cell>
          <cell r="O845" t="str">
            <v>2025/06/27</v>
          </cell>
        </row>
        <row r="846">
          <cell r="C846" t="str">
            <v>GL500978</v>
          </cell>
          <cell r="D846" t="str">
            <v>美洲区</v>
          </cell>
          <cell r="E846" t="str">
            <v>FL 佛州大区</v>
          </cell>
          <cell r="F846" t="str">
            <v>MCO.H</v>
          </cell>
          <cell r="G846" t="str">
            <v>分拣组</v>
          </cell>
          <cell r="H846" t="str">
            <v/>
          </cell>
          <cell r="I846" t="str">
            <v/>
          </cell>
          <cell r="J846" t="str">
            <v/>
          </cell>
          <cell r="K846" t="str">
            <v>分拣组</v>
          </cell>
          <cell r="L846" t="str">
            <v>Sorter 分拣员</v>
          </cell>
          <cell r="M846" t="str">
            <v>P1-1</v>
          </cell>
          <cell r="N846" t="str">
            <v/>
          </cell>
          <cell r="O846" t="str">
            <v>2025/06/25</v>
          </cell>
        </row>
        <row r="847">
          <cell r="C847" t="str">
            <v>GL500975</v>
          </cell>
          <cell r="D847" t="str">
            <v>美洲区</v>
          </cell>
          <cell r="E847" t="str">
            <v>FL 佛州大区</v>
          </cell>
          <cell r="F847" t="str">
            <v>MCO.H</v>
          </cell>
          <cell r="G847" t="str">
            <v>分拣组</v>
          </cell>
          <cell r="H847" t="str">
            <v/>
          </cell>
          <cell r="I847" t="str">
            <v/>
          </cell>
          <cell r="J847" t="str">
            <v/>
          </cell>
          <cell r="K847" t="str">
            <v>分拣组</v>
          </cell>
          <cell r="L847" t="str">
            <v>Sorter 分拣员</v>
          </cell>
          <cell r="M847" t="str">
            <v>P1-1</v>
          </cell>
          <cell r="N847" t="str">
            <v/>
          </cell>
          <cell r="O847" t="str">
            <v>2025/06/25</v>
          </cell>
        </row>
        <row r="848">
          <cell r="C848" t="str">
            <v>GL501003</v>
          </cell>
          <cell r="D848" t="str">
            <v>美洲区</v>
          </cell>
          <cell r="E848" t="str">
            <v>FL 佛州大区</v>
          </cell>
          <cell r="F848" t="str">
            <v>MCO.H</v>
          </cell>
          <cell r="G848" t="str">
            <v>分拣组</v>
          </cell>
          <cell r="H848" t="str">
            <v/>
          </cell>
          <cell r="I848" t="str">
            <v/>
          </cell>
          <cell r="J848" t="str">
            <v/>
          </cell>
          <cell r="K848" t="str">
            <v>分拣组</v>
          </cell>
          <cell r="L848" t="str">
            <v>Sorter 分拣员</v>
          </cell>
          <cell r="M848" t="str">
            <v>P1-1</v>
          </cell>
          <cell r="N848" t="str">
            <v/>
          </cell>
          <cell r="O848" t="str">
            <v>2025/06/27</v>
          </cell>
        </row>
        <row r="849">
          <cell r="C849" t="str">
            <v>GL500773</v>
          </cell>
          <cell r="D849" t="str">
            <v>美洲区</v>
          </cell>
          <cell r="E849" t="str">
            <v>FL 佛州大区</v>
          </cell>
          <cell r="F849" t="str">
            <v>MCO.H</v>
          </cell>
          <cell r="G849" t="str">
            <v>分拣组</v>
          </cell>
          <cell r="H849" t="str">
            <v/>
          </cell>
          <cell r="I849" t="str">
            <v/>
          </cell>
          <cell r="J849" t="str">
            <v/>
          </cell>
          <cell r="K849" t="str">
            <v>分拣组</v>
          </cell>
          <cell r="L849" t="str">
            <v>Sorter 分拣员</v>
          </cell>
          <cell r="M849" t="str">
            <v>P1-2</v>
          </cell>
          <cell r="N849" t="str">
            <v/>
          </cell>
          <cell r="O849" t="str">
            <v>2025/06/25</v>
          </cell>
        </row>
        <row r="850">
          <cell r="C850" t="str">
            <v>GL500984</v>
          </cell>
          <cell r="D850" t="str">
            <v>美洲区</v>
          </cell>
          <cell r="E850" t="str">
            <v>FL 佛州大区</v>
          </cell>
          <cell r="F850" t="str">
            <v>MIA.H</v>
          </cell>
          <cell r="G850" t="str">
            <v>调度组</v>
          </cell>
          <cell r="H850" t="str">
            <v/>
          </cell>
          <cell r="I850" t="str">
            <v/>
          </cell>
          <cell r="J850" t="str">
            <v/>
          </cell>
          <cell r="K850" t="str">
            <v>调度组</v>
          </cell>
          <cell r="L850" t="str">
            <v>Dispatcher 调度员</v>
          </cell>
          <cell r="M850" t="str">
            <v>P1-2</v>
          </cell>
          <cell r="N850" t="str">
            <v/>
          </cell>
          <cell r="O850" t="str">
            <v>2025/07/10</v>
          </cell>
        </row>
        <row r="851">
          <cell r="C851" t="str">
            <v>GL500111</v>
          </cell>
          <cell r="D851" t="str">
            <v>欧洲区</v>
          </cell>
          <cell r="E851" t="str">
            <v>NL 荷兰区</v>
          </cell>
          <cell r="F851" t="str">
            <v>阿姆枢纽仓</v>
          </cell>
          <cell r="G851" t="str">
            <v>分拣组</v>
          </cell>
          <cell r="H851" t="str">
            <v/>
          </cell>
          <cell r="I851" t="str">
            <v/>
          </cell>
          <cell r="J851" t="str">
            <v/>
          </cell>
          <cell r="K851" t="str">
            <v>分拣组</v>
          </cell>
          <cell r="L851" t="str">
            <v>Warehouse Operator操作员</v>
          </cell>
          <cell r="M851" t="str">
            <v>P1-1</v>
          </cell>
          <cell r="N851" t="str">
            <v/>
          </cell>
          <cell r="O851" t="str">
            <v>2025/04/07</v>
          </cell>
        </row>
        <row r="852">
          <cell r="C852" t="str">
            <v>GL500730</v>
          </cell>
          <cell r="D852" t="str">
            <v>美洲区</v>
          </cell>
          <cell r="E852" t="str">
            <v>Ground项目部</v>
          </cell>
          <cell r="F852" t="str">
            <v>OG 美西区</v>
          </cell>
          <cell r="G852" t="str">
            <v>LA900</v>
          </cell>
          <cell r="H852" t="str">
            <v/>
          </cell>
          <cell r="I852" t="str">
            <v/>
          </cell>
          <cell r="J852" t="str">
            <v/>
          </cell>
          <cell r="K852" t="str">
            <v>LA900</v>
          </cell>
          <cell r="L852" t="str">
            <v>Station Head 站长</v>
          </cell>
          <cell r="M852" t="str">
            <v>M2-2</v>
          </cell>
          <cell r="N852" t="str">
            <v/>
          </cell>
          <cell r="O852" t="str">
            <v>2025/06/18</v>
          </cell>
        </row>
        <row r="853">
          <cell r="C853" t="str">
            <v>GL500246</v>
          </cell>
          <cell r="D853" t="str">
            <v>欧洲区</v>
          </cell>
          <cell r="E853" t="str">
            <v>FR 法国区</v>
          </cell>
          <cell r="F853" t="str">
            <v>南部战区</v>
          </cell>
          <cell r="G853" t="str">
            <v>蒙彼利埃-MTP</v>
          </cell>
          <cell r="H853" t="str">
            <v/>
          </cell>
          <cell r="I853" t="str">
            <v/>
          </cell>
          <cell r="J853" t="str">
            <v/>
          </cell>
          <cell r="K853" t="str">
            <v>蒙彼利埃转运中心</v>
          </cell>
          <cell r="L853" t="str">
            <v>Terminal Specialist终端专员</v>
          </cell>
          <cell r="M853" t="str">
            <v>P1-1</v>
          </cell>
          <cell r="N853" t="str">
            <v/>
          </cell>
          <cell r="O853" t="str">
            <v>2025/01/23</v>
          </cell>
        </row>
        <row r="854">
          <cell r="C854" t="str">
            <v>GL500713</v>
          </cell>
          <cell r="D854" t="str">
            <v>欧洲区</v>
          </cell>
          <cell r="E854" t="str">
            <v>FR 法国区</v>
          </cell>
          <cell r="F854" t="str">
            <v>东部战区</v>
          </cell>
          <cell r="G854" t="str">
            <v>梅斯-MTZ</v>
          </cell>
          <cell r="H854" t="str">
            <v/>
          </cell>
          <cell r="I854" t="str">
            <v/>
          </cell>
          <cell r="J854" t="str">
            <v/>
          </cell>
          <cell r="K854" t="str">
            <v>梅斯转运中心</v>
          </cell>
          <cell r="L854" t="str">
            <v>Terminal Specialist终端专员</v>
          </cell>
          <cell r="M854" t="str">
            <v>P1-1</v>
          </cell>
          <cell r="N854" t="str">
            <v/>
          </cell>
          <cell r="O854" t="str">
            <v>2025/06/10</v>
          </cell>
        </row>
        <row r="855">
          <cell r="C855" t="str">
            <v>GL500178</v>
          </cell>
          <cell r="D855" t="str">
            <v>欧洲区</v>
          </cell>
          <cell r="E855" t="str">
            <v>FR 法国区</v>
          </cell>
          <cell r="F855" t="str">
            <v>终端管理部</v>
          </cell>
          <cell r="G855" t="str">
            <v>终端运营一组</v>
          </cell>
          <cell r="H855" t="str">
            <v/>
          </cell>
          <cell r="I855" t="str">
            <v/>
          </cell>
          <cell r="J855" t="str">
            <v/>
          </cell>
          <cell r="K855" t="str">
            <v>终端运营一组</v>
          </cell>
          <cell r="L855" t="str">
            <v>Terminal Specialist终端专员</v>
          </cell>
          <cell r="M855" t="str">
            <v>P1-2</v>
          </cell>
          <cell r="N855" t="str">
            <v/>
          </cell>
          <cell r="O855" t="str">
            <v>2025/03/03</v>
          </cell>
        </row>
        <row r="856">
          <cell r="C856" t="str">
            <v>GL500823</v>
          </cell>
          <cell r="D856" t="str">
            <v>美洲区</v>
          </cell>
          <cell r="E856" t="str">
            <v>AD 行政部</v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>AD 行政部</v>
          </cell>
          <cell r="L856" t="str">
            <v>Admin Assistant 行政助理</v>
          </cell>
          <cell r="M856" t="str">
            <v>P1-1</v>
          </cell>
          <cell r="N856" t="str">
            <v/>
          </cell>
          <cell r="O856" t="str">
            <v>2025/06/23</v>
          </cell>
        </row>
        <row r="857">
          <cell r="C857" t="str">
            <v>GL500644</v>
          </cell>
          <cell r="D857" t="str">
            <v>欧洲区</v>
          </cell>
          <cell r="E857" t="str">
            <v>NL 荷兰区</v>
          </cell>
          <cell r="F857" t="str">
            <v>终端管理部</v>
          </cell>
          <cell r="G857" t="str">
            <v>终端运营一组</v>
          </cell>
          <cell r="H857" t="str">
            <v/>
          </cell>
          <cell r="I857" t="str">
            <v/>
          </cell>
          <cell r="J857" t="str">
            <v/>
          </cell>
          <cell r="K857" t="str">
            <v>终端运营一组</v>
          </cell>
          <cell r="L857" t="str">
            <v>Terminal  Specialist终端专员</v>
          </cell>
          <cell r="M857" t="str">
            <v>P1-3</v>
          </cell>
          <cell r="N857" t="str">
            <v/>
          </cell>
          <cell r="O857" t="str">
            <v>2025/06/03</v>
          </cell>
        </row>
        <row r="858">
          <cell r="C858" t="str">
            <v>GL500126</v>
          </cell>
          <cell r="D858" t="str">
            <v>欧洲区</v>
          </cell>
          <cell r="E858" t="str">
            <v>NL 荷兰区</v>
          </cell>
          <cell r="F858" t="str">
            <v>阿姆枢纽仓</v>
          </cell>
          <cell r="G858" t="str">
            <v>分拣组</v>
          </cell>
          <cell r="H858" t="str">
            <v/>
          </cell>
          <cell r="I858" t="str">
            <v/>
          </cell>
          <cell r="J858" t="str">
            <v/>
          </cell>
          <cell r="K858" t="str">
            <v>分拣组</v>
          </cell>
          <cell r="L858" t="str">
            <v>Warehouse Operator操作员</v>
          </cell>
          <cell r="M858" t="str">
            <v>P1-1</v>
          </cell>
          <cell r="N858" t="str">
            <v/>
          </cell>
          <cell r="O858" t="str">
            <v>2025/04/01</v>
          </cell>
        </row>
        <row r="859">
          <cell r="C859" t="str">
            <v>GL500980</v>
          </cell>
          <cell r="D859" t="str">
            <v>美洲区</v>
          </cell>
          <cell r="E859" t="str">
            <v>AD 行政部</v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>AD 行政部</v>
          </cell>
          <cell r="L859" t="str">
            <v>Admin Specialist 行政专员</v>
          </cell>
          <cell r="M859" t="str">
            <v>P1-1</v>
          </cell>
          <cell r="N859" t="str">
            <v/>
          </cell>
          <cell r="O859" t="str">
            <v>2025/07/07</v>
          </cell>
        </row>
        <row r="860">
          <cell r="C860" t="str">
            <v>GL500201</v>
          </cell>
          <cell r="D860" t="str">
            <v>美洲区</v>
          </cell>
          <cell r="E860" t="str">
            <v>TX 德州大区</v>
          </cell>
          <cell r="F860" t="str">
            <v>运营支持部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>运营支持组</v>
          </cell>
          <cell r="L860" t="str">
            <v>Operation Support Specialist 运营支持专员</v>
          </cell>
          <cell r="M860" t="str">
            <v>P2-1</v>
          </cell>
          <cell r="N860" t="str">
            <v/>
          </cell>
          <cell r="O860" t="str">
            <v>2025/02/19</v>
          </cell>
        </row>
        <row r="861">
          <cell r="C861" t="str">
            <v>GL500811</v>
          </cell>
          <cell r="D861" t="str">
            <v>欧洲区</v>
          </cell>
          <cell r="E861" t="str">
            <v>FR 法国区</v>
          </cell>
          <cell r="F861" t="str">
            <v>东部战区</v>
          </cell>
          <cell r="G861" t="str">
            <v>里昂-LYN</v>
          </cell>
          <cell r="H861" t="str">
            <v/>
          </cell>
          <cell r="I861" t="str">
            <v/>
          </cell>
          <cell r="J861" t="str">
            <v/>
          </cell>
          <cell r="K861" t="str">
            <v>里昂转运中心</v>
          </cell>
          <cell r="L861" t="str">
            <v>Terminal  Specialist
终端专员</v>
          </cell>
          <cell r="M861" t="str">
            <v>P1-2</v>
          </cell>
          <cell r="N861" t="str">
            <v/>
          </cell>
          <cell r="O861" t="str">
            <v>2025/06/25</v>
          </cell>
        </row>
        <row r="862">
          <cell r="C862" t="str">
            <v>GL500322</v>
          </cell>
          <cell r="D862" t="str">
            <v>美洲区</v>
          </cell>
          <cell r="E862" t="str">
            <v>CS 客户服务部</v>
          </cell>
          <cell r="F862" t="str">
            <v>业务支持组</v>
          </cell>
          <cell r="G862" t="str">
            <v>退件电话核查组</v>
          </cell>
          <cell r="H862" t="str">
            <v/>
          </cell>
          <cell r="I862" t="str">
            <v/>
          </cell>
          <cell r="J862" t="str">
            <v/>
          </cell>
          <cell r="K862" t="str">
            <v>退件电话核查组</v>
          </cell>
          <cell r="L862" t="str">
            <v>Returned Items Phone Verification Specialist 退件电话核查专员</v>
          </cell>
          <cell r="M862" t="str">
            <v>P1-1</v>
          </cell>
          <cell r="N862" t="str">
            <v/>
          </cell>
          <cell r="O862" t="str">
            <v>2024/12/16</v>
          </cell>
        </row>
        <row r="863">
          <cell r="C863" t="str">
            <v>GL500268</v>
          </cell>
          <cell r="D863" t="str">
            <v>欧洲区</v>
          </cell>
          <cell r="E863" t="str">
            <v>FR 法国区</v>
          </cell>
          <cell r="F863" t="str">
            <v>西部战区</v>
          </cell>
          <cell r="G863" t="str">
            <v>南特-NTE</v>
          </cell>
          <cell r="H863" t="str">
            <v/>
          </cell>
          <cell r="I863" t="str">
            <v/>
          </cell>
          <cell r="J863" t="str">
            <v/>
          </cell>
          <cell r="K863" t="str">
            <v>南特转运中心</v>
          </cell>
          <cell r="L863" t="str">
            <v>Terminal  Specialist
终端专员</v>
          </cell>
          <cell r="M863" t="str">
            <v>P1-2</v>
          </cell>
          <cell r="N863" t="str">
            <v/>
          </cell>
          <cell r="O863" t="str">
            <v>2025/01/13</v>
          </cell>
        </row>
        <row r="864">
          <cell r="C864" t="str">
            <v>GL500881</v>
          </cell>
          <cell r="D864" t="str">
            <v>欧洲区</v>
          </cell>
          <cell r="E864" t="str">
            <v>FR 法国区</v>
          </cell>
          <cell r="F864" t="str">
            <v>巴黎枢纽仓</v>
          </cell>
          <cell r="G864" t="str">
            <v>设备分拣组</v>
          </cell>
          <cell r="H864" t="str">
            <v/>
          </cell>
          <cell r="I864" t="str">
            <v/>
          </cell>
          <cell r="J864" t="str">
            <v/>
          </cell>
          <cell r="K864" t="str">
            <v>设备分拣组</v>
          </cell>
          <cell r="L864" t="str">
            <v>Warehouse Operator操作员</v>
          </cell>
          <cell r="M864" t="str">
            <v>P1-2</v>
          </cell>
          <cell r="N864" t="str">
            <v/>
          </cell>
          <cell r="O864" t="str">
            <v>2025/07/01</v>
          </cell>
        </row>
        <row r="865">
          <cell r="C865" t="str">
            <v>GL500471</v>
          </cell>
          <cell r="D865" t="str">
            <v>欧洲区</v>
          </cell>
          <cell r="E865" t="str">
            <v>FR 法国区</v>
          </cell>
          <cell r="F865" t="str">
            <v>巴黎枢纽仓</v>
          </cell>
          <cell r="G865" t="str">
            <v>干线出库组</v>
          </cell>
          <cell r="H865" t="str">
            <v/>
          </cell>
          <cell r="I865" t="str">
            <v/>
          </cell>
          <cell r="J865" t="str">
            <v/>
          </cell>
          <cell r="K865" t="str">
            <v>干线出库组</v>
          </cell>
          <cell r="L865" t="str">
            <v>Warehouse Operator操作员</v>
          </cell>
          <cell r="M865" t="str">
            <v>P1-2</v>
          </cell>
          <cell r="N865" t="str">
            <v/>
          </cell>
          <cell r="O865" t="str">
            <v>2023/12/07</v>
          </cell>
        </row>
        <row r="866">
          <cell r="C866" t="str">
            <v>GL500967</v>
          </cell>
          <cell r="D866" t="str">
            <v>美洲区</v>
          </cell>
          <cell r="E866" t="str">
            <v>Ground项目部</v>
          </cell>
          <cell r="F866" t="str">
            <v>OG 美南区</v>
          </cell>
          <cell r="G866" t="str">
            <v>AT303</v>
          </cell>
          <cell r="H866" t="str">
            <v/>
          </cell>
          <cell r="I866" t="str">
            <v/>
          </cell>
          <cell r="J866" t="str">
            <v/>
          </cell>
          <cell r="K866" t="str">
            <v>AT303</v>
          </cell>
          <cell r="L866" t="str">
            <v>Station Head 站长</v>
          </cell>
          <cell r="M866" t="str">
            <v>M2-2</v>
          </cell>
          <cell r="N866" t="str">
            <v/>
          </cell>
          <cell r="O866" t="str">
            <v>2025/07/07</v>
          </cell>
        </row>
        <row r="867">
          <cell r="C867" t="str">
            <v>GL500299</v>
          </cell>
          <cell r="D867" t="str">
            <v>FES财经条线</v>
          </cell>
          <cell r="E867" t="str">
            <v>Gofo财务部</v>
          </cell>
          <cell r="F867" t="str">
            <v>欧区财务组</v>
          </cell>
          <cell r="G867" t="str">
            <v>合规及本地支持组</v>
          </cell>
          <cell r="H867" t="str">
            <v>荷兰财务组</v>
          </cell>
          <cell r="I867" t="str">
            <v/>
          </cell>
          <cell r="J867" t="str">
            <v/>
          </cell>
          <cell r="K867" t="str">
            <v>荷兰财务组</v>
          </cell>
          <cell r="L867" t="str">
            <v>高级海外会计</v>
          </cell>
          <cell r="M867" t="str">
            <v>P2-1</v>
          </cell>
          <cell r="N867" t="str">
            <v/>
          </cell>
          <cell r="O867" t="str">
            <v>2024/12/16</v>
          </cell>
        </row>
        <row r="868">
          <cell r="C868" t="str">
            <v>GL500258</v>
          </cell>
          <cell r="D868" t="str">
            <v>欧洲区</v>
          </cell>
          <cell r="E868" t="str">
            <v>FR 法国区</v>
          </cell>
          <cell r="F868" t="str">
            <v>终端管理部</v>
          </cell>
          <cell r="G868" t="str">
            <v>终端寻源组</v>
          </cell>
          <cell r="H868" t="str">
            <v/>
          </cell>
          <cell r="I868" t="str">
            <v/>
          </cell>
          <cell r="J868" t="str">
            <v/>
          </cell>
          <cell r="K868" t="str">
            <v>终端寻源组</v>
          </cell>
          <cell r="L868" t="str">
            <v>Terminal Sourcing Supervisor
终端寻源主管</v>
          </cell>
          <cell r="M868" t="str">
            <v>P2-2</v>
          </cell>
          <cell r="N868" t="str">
            <v/>
          </cell>
          <cell r="O868" t="str">
            <v>2025/01/20</v>
          </cell>
        </row>
        <row r="869">
          <cell r="C869" t="str">
            <v>GL500208</v>
          </cell>
          <cell r="D869" t="str">
            <v>欧洲区</v>
          </cell>
          <cell r="E869" t="str">
            <v>FR 法国区</v>
          </cell>
          <cell r="F869" t="str">
            <v>东部战区</v>
          </cell>
          <cell r="G869" t="str">
            <v>里尔-LIL</v>
          </cell>
          <cell r="H869" t="str">
            <v/>
          </cell>
          <cell r="I869" t="str">
            <v/>
          </cell>
          <cell r="J869" t="str">
            <v/>
          </cell>
          <cell r="K869" t="str">
            <v>里尔转运中心</v>
          </cell>
          <cell r="L869" t="str">
            <v>Terminal Specialist终端专员</v>
          </cell>
          <cell r="M869" t="str">
            <v>P1-1</v>
          </cell>
          <cell r="N869" t="str">
            <v/>
          </cell>
          <cell r="O869" t="str">
            <v>2025/02/17</v>
          </cell>
        </row>
        <row r="870">
          <cell r="C870" t="str">
            <v>GL500913</v>
          </cell>
          <cell r="D870" t="str">
            <v>美洲区</v>
          </cell>
          <cell r="E870" t="str">
            <v>WE 美西大区</v>
          </cell>
          <cell r="F870" t="str">
            <v>CNO.H</v>
          </cell>
          <cell r="G870" t="str">
            <v>调度组</v>
          </cell>
          <cell r="H870" t="str">
            <v/>
          </cell>
          <cell r="I870" t="str">
            <v/>
          </cell>
          <cell r="J870" t="str">
            <v/>
          </cell>
          <cell r="K870" t="str">
            <v>调度组</v>
          </cell>
          <cell r="L870" t="str">
            <v>Dispatcher 调度员</v>
          </cell>
          <cell r="M870" t="str">
            <v>P1-2</v>
          </cell>
          <cell r="N870" t="str">
            <v/>
          </cell>
          <cell r="O870" t="str">
            <v>2025/07/09</v>
          </cell>
        </row>
        <row r="871">
          <cell r="C871" t="str">
            <v>GL500815</v>
          </cell>
          <cell r="D871" t="str">
            <v>美洲区</v>
          </cell>
          <cell r="E871" t="str">
            <v>WE 美西大区</v>
          </cell>
          <cell r="F871" t="str">
            <v>LAV.H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>LAV.H</v>
          </cell>
          <cell r="L871" t="str">
            <v>Management Trainee 管培生</v>
          </cell>
          <cell r="M871" t="str">
            <v>P1-2</v>
          </cell>
          <cell r="N871" t="str">
            <v/>
          </cell>
          <cell r="O871" t="str">
            <v>2025/06/16</v>
          </cell>
        </row>
        <row r="872">
          <cell r="C872" t="str">
            <v>GL500607</v>
          </cell>
          <cell r="D872" t="str">
            <v>美洲区</v>
          </cell>
          <cell r="E872" t="str">
            <v>GL 大湖大区</v>
          </cell>
          <cell r="F872" t="str">
            <v>ORD.H</v>
          </cell>
          <cell r="G872" t="str">
            <v>调度组</v>
          </cell>
          <cell r="H872" t="str">
            <v/>
          </cell>
          <cell r="I872" t="str">
            <v/>
          </cell>
          <cell r="J872" t="str">
            <v/>
          </cell>
          <cell r="K872" t="str">
            <v>调度组</v>
          </cell>
          <cell r="L872" t="str">
            <v>Dispatch Lead 调度组长</v>
          </cell>
          <cell r="M872" t="str">
            <v>P1-3</v>
          </cell>
          <cell r="N872" t="str">
            <v/>
          </cell>
          <cell r="O872" t="str">
            <v>2023/08/21</v>
          </cell>
        </row>
        <row r="873">
          <cell r="C873" t="str">
            <v>GL500171</v>
          </cell>
          <cell r="D873" t="str">
            <v>美洲区</v>
          </cell>
          <cell r="E873" t="str">
            <v>TX 德州大区</v>
          </cell>
          <cell r="F873" t="str">
            <v>CT 中德州片区</v>
          </cell>
          <cell r="G873" t="str">
            <v>AUS01</v>
          </cell>
          <cell r="H873" t="str">
            <v/>
          </cell>
          <cell r="I873" t="str">
            <v/>
          </cell>
          <cell r="J873" t="str">
            <v/>
          </cell>
          <cell r="K873" t="str">
            <v>AUS</v>
          </cell>
          <cell r="L873" t="str">
            <v>Station Operations Specialist 站点运营专员</v>
          </cell>
          <cell r="M873" t="str">
            <v>P1-2</v>
          </cell>
          <cell r="N873" t="str">
            <v/>
          </cell>
          <cell r="O873" t="str">
            <v>2025/02/28</v>
          </cell>
        </row>
        <row r="874">
          <cell r="C874" t="str">
            <v>GL500765</v>
          </cell>
          <cell r="D874" t="str">
            <v>美洲区</v>
          </cell>
          <cell r="E874" t="str">
            <v>WE 美西大区</v>
          </cell>
          <cell r="F874" t="str">
            <v>LAV.H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>LAV.H</v>
          </cell>
          <cell r="L874" t="str">
            <v>Management Trainee 管培生</v>
          </cell>
          <cell r="M874" t="str">
            <v>P1-2</v>
          </cell>
          <cell r="N874" t="str">
            <v/>
          </cell>
          <cell r="O874" t="str">
            <v>2025/06/17</v>
          </cell>
        </row>
        <row r="875">
          <cell r="C875" t="str">
            <v>GL500048</v>
          </cell>
          <cell r="D875" t="str">
            <v>美洲区</v>
          </cell>
          <cell r="E875" t="str">
            <v>WE 美西大区</v>
          </cell>
          <cell r="F875" t="str">
            <v>LA揽收部</v>
          </cell>
          <cell r="G875" t="str">
            <v>揽收调度组</v>
          </cell>
          <cell r="H875" t="str">
            <v/>
          </cell>
          <cell r="I875" t="str">
            <v/>
          </cell>
          <cell r="J875" t="str">
            <v/>
          </cell>
          <cell r="K875" t="str">
            <v>揽收调度组</v>
          </cell>
          <cell r="L875" t="str">
            <v>Pickup Dispatcher 揽收调度员</v>
          </cell>
          <cell r="M875" t="str">
            <v>P1-1</v>
          </cell>
          <cell r="N875" t="str">
            <v/>
          </cell>
          <cell r="O875" t="str">
            <v>2025/04/23</v>
          </cell>
        </row>
        <row r="876">
          <cell r="C876" t="str">
            <v>GL500801</v>
          </cell>
          <cell r="D876" t="str">
            <v>美洲区</v>
          </cell>
          <cell r="E876" t="str">
            <v>NE 东北大区</v>
          </cell>
          <cell r="F876" t="str">
            <v>NY 纽约片区</v>
          </cell>
          <cell r="G876" t="str">
            <v>JFK01</v>
          </cell>
          <cell r="H876" t="str">
            <v/>
          </cell>
          <cell r="I876" t="str">
            <v/>
          </cell>
          <cell r="J876" t="str">
            <v/>
          </cell>
          <cell r="K876" t="str">
            <v>JFK</v>
          </cell>
          <cell r="L876" t="str">
            <v>Station Operations Specialist 站点运营专员</v>
          </cell>
          <cell r="M876" t="str">
            <v>P1-1</v>
          </cell>
          <cell r="N876" t="str">
            <v/>
          </cell>
          <cell r="O876" t="str">
            <v>2025/06/23</v>
          </cell>
        </row>
        <row r="877">
          <cell r="C877" t="str">
            <v>GL500209</v>
          </cell>
          <cell r="D877" t="str">
            <v>美洲区</v>
          </cell>
          <cell r="E877" t="str">
            <v>GL 大湖大区</v>
          </cell>
          <cell r="F877" t="str">
            <v>WG 西大湖片区</v>
          </cell>
          <cell r="G877" t="str">
            <v>ORD01</v>
          </cell>
          <cell r="H877" t="str">
            <v/>
          </cell>
          <cell r="I877" t="str">
            <v/>
          </cell>
          <cell r="J877" t="str">
            <v/>
          </cell>
          <cell r="K877" t="str">
            <v>ORD</v>
          </cell>
          <cell r="L877" t="str">
            <v>Station Operations Specialist 站点运营专员</v>
          </cell>
          <cell r="M877" t="str">
            <v>P1-3</v>
          </cell>
          <cell r="N877" t="str">
            <v/>
          </cell>
          <cell r="O877" t="str">
            <v>2025/02/14</v>
          </cell>
        </row>
        <row r="878">
          <cell r="C878" t="str">
            <v>GL500228</v>
          </cell>
          <cell r="D878" t="str">
            <v>美洲区</v>
          </cell>
          <cell r="E878" t="str">
            <v>WE 美西大区</v>
          </cell>
          <cell r="F878" t="str">
            <v>NC 北加片区</v>
          </cell>
          <cell r="G878" t="str">
            <v>SFO01</v>
          </cell>
          <cell r="H878" t="str">
            <v/>
          </cell>
          <cell r="I878" t="str">
            <v/>
          </cell>
          <cell r="J878" t="str">
            <v/>
          </cell>
          <cell r="K878" t="str">
            <v>SFO.SMF.RNO.FAT</v>
          </cell>
          <cell r="L878" t="str">
            <v>Station Head 站长</v>
          </cell>
          <cell r="M878" t="str">
            <v>M2-2</v>
          </cell>
          <cell r="N878" t="str">
            <v/>
          </cell>
          <cell r="O878" t="str">
            <v>2025/02/03</v>
          </cell>
        </row>
        <row r="879">
          <cell r="C879" t="str">
            <v>GL500197</v>
          </cell>
          <cell r="D879" t="str">
            <v>美洲区</v>
          </cell>
          <cell r="E879" t="str">
            <v>WE 美西大区</v>
          </cell>
          <cell r="F879" t="str">
            <v>LAV.H</v>
          </cell>
          <cell r="G879" t="str">
            <v>分拣组</v>
          </cell>
          <cell r="H879" t="str">
            <v/>
          </cell>
          <cell r="I879" t="str">
            <v/>
          </cell>
          <cell r="J879" t="str">
            <v/>
          </cell>
          <cell r="K879" t="str">
            <v>分拣组</v>
          </cell>
          <cell r="L879" t="str">
            <v>Sorter 分拣员</v>
          </cell>
          <cell r="M879" t="str">
            <v>P1-1</v>
          </cell>
          <cell r="N879" t="str">
            <v/>
          </cell>
          <cell r="O879" t="str">
            <v>2025/02/18</v>
          </cell>
        </row>
        <row r="880">
          <cell r="C880" t="str">
            <v>GL500198</v>
          </cell>
          <cell r="D880" t="str">
            <v>美洲区</v>
          </cell>
          <cell r="E880" t="str">
            <v>TX 德州大区</v>
          </cell>
          <cell r="F880" t="str">
            <v>NT 北德州片区</v>
          </cell>
          <cell r="G880" t="str">
            <v>DFW01</v>
          </cell>
          <cell r="H880" t="str">
            <v/>
          </cell>
          <cell r="I880" t="str">
            <v/>
          </cell>
          <cell r="J880" t="str">
            <v/>
          </cell>
          <cell r="K880" t="str">
            <v>DFW</v>
          </cell>
          <cell r="L880" t="str">
            <v>Station Head （Probation）站长（见习）</v>
          </cell>
          <cell r="M880" t="str">
            <v>P1-3</v>
          </cell>
          <cell r="N880" t="str">
            <v/>
          </cell>
          <cell r="O880" t="str">
            <v>2025/02/20</v>
          </cell>
        </row>
        <row r="881">
          <cell r="C881" t="str">
            <v>GL500631</v>
          </cell>
          <cell r="D881" t="str">
            <v>美洲区</v>
          </cell>
          <cell r="E881" t="str">
            <v>AD 行政部</v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>AD 行政部</v>
          </cell>
          <cell r="L881" t="str">
            <v>Admin Assistant 行政助理</v>
          </cell>
          <cell r="M881" t="str">
            <v>P1-1</v>
          </cell>
          <cell r="N881" t="str">
            <v/>
          </cell>
          <cell r="O881" t="str">
            <v>2025/05/29</v>
          </cell>
        </row>
        <row r="882">
          <cell r="C882" t="str">
            <v>GL500442</v>
          </cell>
          <cell r="D882" t="str">
            <v>欧洲区</v>
          </cell>
          <cell r="E882" t="str">
            <v>FR 法国区</v>
          </cell>
          <cell r="F882" t="str">
            <v>西部战区</v>
          </cell>
          <cell r="G882" t="str">
            <v>雷恩-RNS</v>
          </cell>
          <cell r="H882" t="str">
            <v/>
          </cell>
          <cell r="I882" t="str">
            <v/>
          </cell>
          <cell r="J882" t="str">
            <v/>
          </cell>
          <cell r="K882" t="str">
            <v>雷恩转运中心</v>
          </cell>
          <cell r="L882" t="str">
            <v>Station Head 站长</v>
          </cell>
          <cell r="M882" t="str">
            <v>P1-1</v>
          </cell>
          <cell r="N882" t="str">
            <v/>
          </cell>
          <cell r="O882" t="str">
            <v>2024/07/10</v>
          </cell>
        </row>
        <row r="883">
          <cell r="C883" t="str">
            <v>GL500443</v>
          </cell>
          <cell r="D883" t="str">
            <v>欧洲区</v>
          </cell>
          <cell r="E883" t="str">
            <v>FR 法国区</v>
          </cell>
          <cell r="F883" t="str">
            <v>行政采购部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>行政部</v>
          </cell>
          <cell r="L883" t="str">
            <v>Admin Assistant行政助理</v>
          </cell>
          <cell r="M883" t="str">
            <v>P1-1</v>
          </cell>
          <cell r="N883" t="str">
            <v/>
          </cell>
          <cell r="O883" t="str">
            <v>2024/07/08</v>
          </cell>
        </row>
        <row r="884">
          <cell r="C884" t="str">
            <v>GL500087</v>
          </cell>
          <cell r="D884" t="str">
            <v>欧洲区</v>
          </cell>
          <cell r="E884" t="str">
            <v>FR 法国区</v>
          </cell>
          <cell r="F884" t="str">
            <v>技术支持部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>法国技术支持组</v>
          </cell>
          <cell r="L884" t="str">
            <v>产品助理</v>
          </cell>
          <cell r="M884" t="str">
            <v>P1-1</v>
          </cell>
          <cell r="N884" t="str">
            <v/>
          </cell>
          <cell r="O884" t="str">
            <v>2025/04/14</v>
          </cell>
        </row>
        <row r="885">
          <cell r="C885" t="str">
            <v>GL500598</v>
          </cell>
          <cell r="D885" t="str">
            <v>美洲区</v>
          </cell>
          <cell r="E885" t="str">
            <v>Ground项目部</v>
          </cell>
          <cell r="F885" t="str">
            <v>OG 美西区</v>
          </cell>
          <cell r="G885" t="str">
            <v>LA917</v>
          </cell>
          <cell r="H885" t="str">
            <v/>
          </cell>
          <cell r="I885" t="str">
            <v/>
          </cell>
          <cell r="J885" t="str">
            <v/>
          </cell>
          <cell r="K885" t="str">
            <v>CA917</v>
          </cell>
          <cell r="L885" t="str">
            <v>Station Head （Probation）站长（见习）</v>
          </cell>
          <cell r="M885" t="str">
            <v>P1-1</v>
          </cell>
          <cell r="N885" t="str">
            <v/>
          </cell>
          <cell r="O885" t="str">
            <v>2024/12/09</v>
          </cell>
        </row>
        <row r="886">
          <cell r="C886" t="str">
            <v>GL500035</v>
          </cell>
          <cell r="D886" t="str">
            <v>美洲区</v>
          </cell>
          <cell r="E886" t="str">
            <v>NE 东北大区</v>
          </cell>
          <cell r="F886" t="str">
            <v>揽收部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>揽收组</v>
          </cell>
          <cell r="L886" t="str">
            <v>Pickup Support Specialist 揽收支持专员</v>
          </cell>
          <cell r="M886" t="str">
            <v>P1-1</v>
          </cell>
          <cell r="N886" t="str">
            <v/>
          </cell>
          <cell r="O886" t="str">
            <v>2025/04/28</v>
          </cell>
        </row>
        <row r="887">
          <cell r="C887" t="str">
            <v>GL500531</v>
          </cell>
          <cell r="D887" t="str">
            <v>美洲区</v>
          </cell>
          <cell r="E887" t="str">
            <v>NE 东北大区</v>
          </cell>
          <cell r="F887" t="str">
            <v>揽收部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>揽收组</v>
          </cell>
          <cell r="L887" t="str">
            <v>Pickup Support Specialist 揽收支持专员</v>
          </cell>
          <cell r="M887" t="str">
            <v>P1-1</v>
          </cell>
          <cell r="N887" t="str">
            <v/>
          </cell>
          <cell r="O887" t="str">
            <v>2025/05/20</v>
          </cell>
        </row>
        <row r="888">
          <cell r="C888" t="str">
            <v>GL500725</v>
          </cell>
          <cell r="D888" t="str">
            <v>欧洲区</v>
          </cell>
          <cell r="E888" t="str">
            <v>IT 意大利区</v>
          </cell>
          <cell r="F888" t="str">
            <v>米兰站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>米兰站</v>
          </cell>
          <cell r="L888" t="str">
            <v>Terminal Specialist终端专员</v>
          </cell>
          <cell r="M888" t="str">
            <v>P1-2</v>
          </cell>
          <cell r="N888" t="str">
            <v/>
          </cell>
          <cell r="O888" t="str">
            <v>2025/06/13</v>
          </cell>
        </row>
        <row r="889">
          <cell r="C889" t="str">
            <v>GL500809</v>
          </cell>
          <cell r="D889" t="str">
            <v>美洲区</v>
          </cell>
          <cell r="E889" t="str">
            <v>WE 美西大区</v>
          </cell>
          <cell r="F889" t="str">
            <v>CNO.H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>CNO.H</v>
          </cell>
          <cell r="L889" t="str">
            <v>Deputy Hub Head 副仓长</v>
          </cell>
          <cell r="M889" t="str">
            <v>M2-3</v>
          </cell>
          <cell r="N889" t="str">
            <v/>
          </cell>
          <cell r="O889" t="str">
            <v>2025/06/18</v>
          </cell>
        </row>
        <row r="890">
          <cell r="C890" t="str">
            <v>GL500868</v>
          </cell>
          <cell r="D890" t="str">
            <v>美洲区</v>
          </cell>
          <cell r="E890" t="str">
            <v>WE 美西大区</v>
          </cell>
          <cell r="F890" t="str">
            <v>CNO.H</v>
          </cell>
          <cell r="G890" t="str">
            <v>装卸组</v>
          </cell>
          <cell r="H890" t="str">
            <v/>
          </cell>
          <cell r="I890" t="str">
            <v/>
          </cell>
          <cell r="J890" t="str">
            <v/>
          </cell>
          <cell r="K890" t="str">
            <v>装卸组</v>
          </cell>
          <cell r="L890" t="str">
            <v>Warehouse Operator 操作员</v>
          </cell>
          <cell r="M890" t="str">
            <v>P1-2</v>
          </cell>
          <cell r="N890" t="str">
            <v/>
          </cell>
          <cell r="O890" t="str">
            <v>2025/06/25</v>
          </cell>
        </row>
        <row r="891">
          <cell r="C891" t="str">
            <v>GL500754</v>
          </cell>
          <cell r="D891" t="str">
            <v>美洲区</v>
          </cell>
          <cell r="E891" t="str">
            <v>FL 佛州大区</v>
          </cell>
          <cell r="F891" t="str">
            <v>MIA.H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>MIA.H</v>
          </cell>
          <cell r="L891" t="str">
            <v>Deputy Hub Head 副仓长</v>
          </cell>
          <cell r="M891" t="str">
            <v>P2-2</v>
          </cell>
          <cell r="N891" t="str">
            <v/>
          </cell>
          <cell r="O891" t="str">
            <v>2025/06/30</v>
          </cell>
        </row>
        <row r="892">
          <cell r="C892" t="str">
            <v>GL500385</v>
          </cell>
          <cell r="D892" t="str">
            <v>美洲区</v>
          </cell>
          <cell r="E892" t="str">
            <v>PR 波多黎各区</v>
          </cell>
          <cell r="F892" t="str">
            <v>SJU.H</v>
          </cell>
          <cell r="G892" t="str">
            <v>分拣组</v>
          </cell>
          <cell r="H892" t="str">
            <v/>
          </cell>
          <cell r="I892" t="str">
            <v/>
          </cell>
          <cell r="J892" t="str">
            <v/>
          </cell>
          <cell r="K892" t="str">
            <v>分拣组</v>
          </cell>
          <cell r="L892" t="str">
            <v>Sorter 分拣员</v>
          </cell>
          <cell r="M892" t="str">
            <v>P1-1</v>
          </cell>
          <cell r="N892" t="str">
            <v/>
          </cell>
          <cell r="O892" t="str">
            <v>2024/10/01</v>
          </cell>
        </row>
        <row r="893">
          <cell r="C893" t="str">
            <v>GL500356</v>
          </cell>
          <cell r="D893" t="str">
            <v>美洲区</v>
          </cell>
          <cell r="E893" t="str">
            <v>PR 波多黎各区</v>
          </cell>
          <cell r="F893" t="str">
            <v>SJU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>SJU</v>
          </cell>
          <cell r="L893" t="str">
            <v>Station Operations Specialist 站点运营专员</v>
          </cell>
          <cell r="M893" t="str">
            <v>P1-1</v>
          </cell>
          <cell r="N893" t="str">
            <v/>
          </cell>
          <cell r="O893" t="str">
            <v>2024/11/19</v>
          </cell>
        </row>
        <row r="894">
          <cell r="C894" t="str">
            <v>GL500335</v>
          </cell>
          <cell r="D894" t="str">
            <v>美洲区</v>
          </cell>
          <cell r="E894" t="str">
            <v>CS 客户服务部</v>
          </cell>
          <cell r="F894" t="str">
            <v>业务支持组</v>
          </cell>
          <cell r="G894" t="str">
            <v>退件电话核查组</v>
          </cell>
          <cell r="H894" t="str">
            <v/>
          </cell>
          <cell r="I894" t="str">
            <v/>
          </cell>
          <cell r="J894" t="str">
            <v/>
          </cell>
          <cell r="K894" t="str">
            <v>退件电话核查组</v>
          </cell>
          <cell r="L894" t="str">
            <v>Returned Items Phone Verification Specialist 退件电话核查专员</v>
          </cell>
          <cell r="M894" t="str">
            <v>P1-1</v>
          </cell>
          <cell r="N894" t="str">
            <v/>
          </cell>
          <cell r="O894" t="str">
            <v>2024/12/02</v>
          </cell>
        </row>
        <row r="895">
          <cell r="C895" t="str">
            <v>GL500381</v>
          </cell>
          <cell r="D895" t="str">
            <v>美洲区</v>
          </cell>
          <cell r="E895" t="str">
            <v>CS 客户服务部</v>
          </cell>
          <cell r="F895" t="str">
            <v>消费者客服组</v>
          </cell>
          <cell r="G895" t="str">
            <v>热线组</v>
          </cell>
          <cell r="H895" t="str">
            <v/>
          </cell>
          <cell r="I895" t="str">
            <v/>
          </cell>
          <cell r="J895" t="str">
            <v/>
          </cell>
          <cell r="K895" t="str">
            <v>热线组</v>
          </cell>
          <cell r="L895" t="str">
            <v>Customer Service Specialist客服专员</v>
          </cell>
          <cell r="M895" t="str">
            <v>P1-2</v>
          </cell>
          <cell r="N895" t="str">
            <v/>
          </cell>
          <cell r="O895" t="str">
            <v>2024/07/22</v>
          </cell>
        </row>
        <row r="896">
          <cell r="C896" t="str">
            <v>GL500820</v>
          </cell>
          <cell r="D896" t="str">
            <v>美洲区</v>
          </cell>
          <cell r="E896" t="str">
            <v>WE 美西大区</v>
          </cell>
          <cell r="F896" t="str">
            <v>LA揽收部</v>
          </cell>
          <cell r="G896" t="str">
            <v>揽收调度组</v>
          </cell>
          <cell r="H896" t="str">
            <v/>
          </cell>
          <cell r="I896" t="str">
            <v/>
          </cell>
          <cell r="J896" t="str">
            <v/>
          </cell>
          <cell r="K896" t="str">
            <v>揽收调度组</v>
          </cell>
          <cell r="L896" t="str">
            <v>Pickup Dispatch Lead 揽收调度组长</v>
          </cell>
          <cell r="M896" t="str">
            <v>P2-1</v>
          </cell>
          <cell r="N896" t="str">
            <v/>
          </cell>
          <cell r="O896" t="str">
            <v>2025/06/16</v>
          </cell>
        </row>
        <row r="897">
          <cell r="C897" t="str">
            <v>GL500533</v>
          </cell>
          <cell r="D897" t="str">
            <v>美洲区</v>
          </cell>
          <cell r="E897" t="str">
            <v>FL 佛州大区</v>
          </cell>
          <cell r="F897" t="str">
            <v>MIA.H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>MIA.H</v>
          </cell>
          <cell r="L897" t="str">
            <v>Deputy Hub Head 副仓长</v>
          </cell>
          <cell r="M897" t="str">
            <v>M2-2</v>
          </cell>
          <cell r="N897" t="str">
            <v/>
          </cell>
          <cell r="O897" t="str">
            <v>2025/05/20</v>
          </cell>
        </row>
        <row r="898">
          <cell r="C898" t="str">
            <v>GL500893</v>
          </cell>
          <cell r="D898" t="str">
            <v>美洲区</v>
          </cell>
          <cell r="E898" t="str">
            <v>Ground项目部</v>
          </cell>
          <cell r="F898" t="str">
            <v>OG 美南区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>南区配送组</v>
          </cell>
          <cell r="L898" t="str">
            <v>Dispatcher 调度员</v>
          </cell>
          <cell r="M898" t="str">
            <v>P1-2</v>
          </cell>
          <cell r="N898" t="str">
            <v/>
          </cell>
          <cell r="O898" t="str">
            <v>2025/06/26</v>
          </cell>
        </row>
        <row r="899">
          <cell r="C899" t="str">
            <v>GL500862</v>
          </cell>
          <cell r="D899" t="str">
            <v>美洲区</v>
          </cell>
          <cell r="E899" t="str">
            <v>WE 美西大区</v>
          </cell>
          <cell r="F899" t="str">
            <v>CNO.H</v>
          </cell>
          <cell r="G899" t="str">
            <v>分拣组</v>
          </cell>
          <cell r="H899" t="str">
            <v/>
          </cell>
          <cell r="I899" t="str">
            <v/>
          </cell>
          <cell r="J899" t="str">
            <v/>
          </cell>
          <cell r="K899" t="str">
            <v>分拣组</v>
          </cell>
          <cell r="L899" t="str">
            <v>Warehouse Operator 操作员</v>
          </cell>
          <cell r="M899" t="str">
            <v>P1-1</v>
          </cell>
          <cell r="N899" t="str">
            <v/>
          </cell>
          <cell r="O899" t="str">
            <v>2025/06/23</v>
          </cell>
        </row>
        <row r="900">
          <cell r="C900" t="str">
            <v>GL500797</v>
          </cell>
          <cell r="D900" t="str">
            <v>美洲区</v>
          </cell>
          <cell r="E900" t="str">
            <v>NE 东北大区</v>
          </cell>
          <cell r="F900" t="str">
            <v>EWR.H</v>
          </cell>
          <cell r="G900" t="str">
            <v>调度组</v>
          </cell>
          <cell r="H900" t="str">
            <v/>
          </cell>
          <cell r="I900" t="str">
            <v/>
          </cell>
          <cell r="J900" t="str">
            <v/>
          </cell>
          <cell r="K900" t="str">
            <v>调度组</v>
          </cell>
          <cell r="L900" t="str">
            <v>Warehouse Operator 操作员</v>
          </cell>
          <cell r="M900" t="str">
            <v>P1-2</v>
          </cell>
          <cell r="N900" t="str">
            <v/>
          </cell>
          <cell r="O900" t="str">
            <v>2025/06/16</v>
          </cell>
        </row>
        <row r="901">
          <cell r="C901" t="str">
            <v>GL500120</v>
          </cell>
          <cell r="D901" t="str">
            <v>欧洲区</v>
          </cell>
          <cell r="E901" t="str">
            <v>FR 法国区</v>
          </cell>
          <cell r="F901" t="str">
            <v>巴黎枢纽仓</v>
          </cell>
          <cell r="G901" t="str">
            <v>巴黎出库组</v>
          </cell>
          <cell r="H901" t="str">
            <v/>
          </cell>
          <cell r="I901" t="str">
            <v/>
          </cell>
          <cell r="J901" t="str">
            <v/>
          </cell>
          <cell r="K901" t="str">
            <v>巴黎出库组</v>
          </cell>
          <cell r="L901" t="str">
            <v>Warehouse Operator操作员</v>
          </cell>
          <cell r="M901" t="str">
            <v>P1-1</v>
          </cell>
          <cell r="N901" t="str">
            <v/>
          </cell>
          <cell r="O901" t="str">
            <v>2025/04/02</v>
          </cell>
        </row>
        <row r="902">
          <cell r="C902" t="str">
            <v>GL500658</v>
          </cell>
          <cell r="D902" t="str">
            <v>欧洲区</v>
          </cell>
          <cell r="E902" t="str">
            <v>FR 法国区</v>
          </cell>
          <cell r="F902" t="str">
            <v>西部战区</v>
          </cell>
          <cell r="G902" t="str">
            <v>波尔多-BDX</v>
          </cell>
          <cell r="H902" t="str">
            <v/>
          </cell>
          <cell r="I902" t="str">
            <v/>
          </cell>
          <cell r="J902" t="str">
            <v/>
          </cell>
          <cell r="K902" t="str">
            <v>波尔多转运中心</v>
          </cell>
          <cell r="L902" t="str">
            <v>Terminal  Specialist终端专员</v>
          </cell>
          <cell r="M902" t="str">
            <v>P1-2</v>
          </cell>
          <cell r="N902" t="str">
            <v/>
          </cell>
          <cell r="O902" t="str">
            <v>2025/06/02</v>
          </cell>
        </row>
        <row r="903">
          <cell r="C903" t="str">
            <v>GL500015</v>
          </cell>
          <cell r="D903" t="str">
            <v>欧洲区</v>
          </cell>
          <cell r="E903" t="str">
            <v>FR 法国区</v>
          </cell>
          <cell r="F903" t="str">
            <v>巴黎枢纽仓</v>
          </cell>
          <cell r="G903" t="str">
            <v>异常退件组</v>
          </cell>
          <cell r="H903" t="str">
            <v/>
          </cell>
          <cell r="I903" t="str">
            <v/>
          </cell>
          <cell r="J903" t="str">
            <v/>
          </cell>
          <cell r="K903" t="str">
            <v>异常退件组</v>
          </cell>
          <cell r="L903" t="str">
            <v>Warehouse Operator操作员</v>
          </cell>
          <cell r="M903" t="str">
            <v>P1-1</v>
          </cell>
          <cell r="N903" t="str">
            <v/>
          </cell>
          <cell r="O903" t="str">
            <v>2025/05/05</v>
          </cell>
        </row>
        <row r="904">
          <cell r="C904" t="str">
            <v>GL500176</v>
          </cell>
          <cell r="D904" t="str">
            <v>欧洲区</v>
          </cell>
          <cell r="E904" t="str">
            <v>FR 法国区</v>
          </cell>
          <cell r="F904" t="str">
            <v>南部战区</v>
          </cell>
          <cell r="G904" t="str">
            <v>蒙彼利埃-MTP</v>
          </cell>
          <cell r="H904" t="str">
            <v/>
          </cell>
          <cell r="I904" t="str">
            <v/>
          </cell>
          <cell r="J904" t="str">
            <v/>
          </cell>
          <cell r="K904" t="str">
            <v>蒙彼利埃转运中心</v>
          </cell>
          <cell r="L904" t="str">
            <v>Terminal Specialist终端专员</v>
          </cell>
          <cell r="M904" t="str">
            <v>P1-1</v>
          </cell>
          <cell r="N904" t="str">
            <v/>
          </cell>
          <cell r="O904" t="str">
            <v>2025/03/03</v>
          </cell>
        </row>
        <row r="905">
          <cell r="C905" t="str">
            <v>GL500277</v>
          </cell>
          <cell r="D905" t="str">
            <v>欧洲区</v>
          </cell>
          <cell r="E905" t="str">
            <v>FR 法国区</v>
          </cell>
          <cell r="F905" t="str">
            <v>南部战区</v>
          </cell>
          <cell r="G905" t="str">
            <v>马赛-MSL</v>
          </cell>
          <cell r="H905" t="str">
            <v/>
          </cell>
          <cell r="I905" t="str">
            <v/>
          </cell>
          <cell r="J905" t="str">
            <v/>
          </cell>
          <cell r="K905" t="str">
            <v>马赛转运中心</v>
          </cell>
          <cell r="L905" t="str">
            <v>Terminal Specialist终端专员</v>
          </cell>
          <cell r="M905" t="str">
            <v>P1-1</v>
          </cell>
          <cell r="N905" t="str">
            <v/>
          </cell>
          <cell r="O905" t="str">
            <v>2025/01/06</v>
          </cell>
        </row>
        <row r="906">
          <cell r="C906" t="str">
            <v>GL500645</v>
          </cell>
          <cell r="D906" t="str">
            <v>美洲区</v>
          </cell>
          <cell r="E906" t="str">
            <v>US人力资源部</v>
          </cell>
          <cell r="F906" t="str">
            <v>美洲HRBP组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>美洲区HRBP</v>
          </cell>
          <cell r="L906" t="str">
            <v>招聘助理</v>
          </cell>
          <cell r="M906" t="str">
            <v>P1-1</v>
          </cell>
          <cell r="N906" t="str">
            <v/>
          </cell>
          <cell r="O906" t="str">
            <v>2025/05/21</v>
          </cell>
        </row>
        <row r="907">
          <cell r="C907" t="str">
            <v>GL500752</v>
          </cell>
          <cell r="D907" t="str">
            <v>美洲区</v>
          </cell>
          <cell r="E907" t="str">
            <v>US人力资源部</v>
          </cell>
          <cell r="F907" t="str">
            <v>美洲HRBP组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>美洲区HRBP</v>
          </cell>
          <cell r="L907" t="str">
            <v>HRBP助理</v>
          </cell>
          <cell r="M907" t="str">
            <v>P1-1</v>
          </cell>
          <cell r="N907" t="str">
            <v/>
          </cell>
          <cell r="O907" t="str">
            <v>2025/06/16</v>
          </cell>
        </row>
        <row r="908">
          <cell r="C908" t="str">
            <v>GL500822</v>
          </cell>
          <cell r="D908" t="str">
            <v>欧洲区</v>
          </cell>
          <cell r="E908" t="str">
            <v>FR 法国区</v>
          </cell>
          <cell r="F908" t="str">
            <v>西部战区</v>
          </cell>
          <cell r="G908" t="str">
            <v>南特-NTE</v>
          </cell>
          <cell r="H908" t="str">
            <v/>
          </cell>
          <cell r="I908" t="str">
            <v/>
          </cell>
          <cell r="J908" t="str">
            <v/>
          </cell>
          <cell r="K908" t="str">
            <v>南特转运中心</v>
          </cell>
          <cell r="L908" t="str">
            <v>Warehouse Operator操作员</v>
          </cell>
          <cell r="M908" t="str">
            <v>P1-1</v>
          </cell>
          <cell r="N908" t="str">
            <v/>
          </cell>
          <cell r="O908" t="str">
            <v>2025/06/21</v>
          </cell>
        </row>
        <row r="909">
          <cell r="C909" t="str">
            <v>GL500724</v>
          </cell>
          <cell r="D909" t="str">
            <v>欧洲区</v>
          </cell>
          <cell r="E909" t="str">
            <v>CS 客户服务部</v>
          </cell>
          <cell r="F909" t="str">
            <v>法国客户服务组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>法国在线呼叫客服组</v>
          </cell>
          <cell r="L909" t="str">
            <v>Junior CS Specialist 初级客服专员</v>
          </cell>
          <cell r="M909" t="str">
            <v>P1-2</v>
          </cell>
          <cell r="N909" t="str">
            <v/>
          </cell>
          <cell r="O909" t="str">
            <v>2025/06/11</v>
          </cell>
        </row>
        <row r="910">
          <cell r="C910" t="str">
            <v>GL500705</v>
          </cell>
          <cell r="D910" t="str">
            <v>欧洲区</v>
          </cell>
          <cell r="E910" t="str">
            <v>FR 法国区</v>
          </cell>
          <cell r="F910" t="str">
            <v>巴黎枢纽仓</v>
          </cell>
          <cell r="G910" t="str">
            <v>设备分拣组</v>
          </cell>
          <cell r="H910" t="str">
            <v/>
          </cell>
          <cell r="I910" t="str">
            <v/>
          </cell>
          <cell r="J910" t="str">
            <v/>
          </cell>
          <cell r="K910" t="str">
            <v>设备分拣组</v>
          </cell>
          <cell r="L910" t="str">
            <v>Warehouse Operator操作员</v>
          </cell>
          <cell r="M910" t="str">
            <v>P1-1</v>
          </cell>
          <cell r="N910" t="str">
            <v/>
          </cell>
          <cell r="O910" t="str">
            <v>2025/06/10</v>
          </cell>
        </row>
        <row r="911">
          <cell r="C911" t="str">
            <v>GL500437</v>
          </cell>
          <cell r="D911" t="str">
            <v>欧洲区</v>
          </cell>
          <cell r="E911" t="str">
            <v>FR 法国区</v>
          </cell>
          <cell r="F911" t="str">
            <v>终端管理部</v>
          </cell>
          <cell r="G911" t="str">
            <v>终端运营一组</v>
          </cell>
          <cell r="H911" t="str">
            <v/>
          </cell>
          <cell r="I911" t="str">
            <v/>
          </cell>
          <cell r="J911" t="str">
            <v/>
          </cell>
          <cell r="K911" t="str">
            <v>终端运营一组</v>
          </cell>
          <cell r="L911" t="str">
            <v>Terminal  Specialist终端专员</v>
          </cell>
          <cell r="M911" t="str">
            <v>P1-2</v>
          </cell>
          <cell r="N911" t="str">
            <v/>
          </cell>
          <cell r="O911" t="str">
            <v>2024/08/01</v>
          </cell>
        </row>
        <row r="912">
          <cell r="C912" t="str">
            <v>GL500510</v>
          </cell>
          <cell r="D912" t="str">
            <v>欧洲区</v>
          </cell>
          <cell r="E912" t="str">
            <v>FR 法国区</v>
          </cell>
          <cell r="F912" t="str">
            <v>终端管理部</v>
          </cell>
          <cell r="G912" t="str">
            <v>终端运营一组</v>
          </cell>
          <cell r="H912" t="str">
            <v/>
          </cell>
          <cell r="I912" t="str">
            <v/>
          </cell>
          <cell r="J912" t="str">
            <v/>
          </cell>
          <cell r="K912" t="str">
            <v>终端运营一组</v>
          </cell>
          <cell r="L912" t="str">
            <v>Terminal  Specialist终端专员</v>
          </cell>
          <cell r="M912" t="str">
            <v>P1-2</v>
          </cell>
          <cell r="N912" t="str">
            <v/>
          </cell>
          <cell r="O912" t="str">
            <v>2022/09/26</v>
          </cell>
        </row>
        <row r="913">
          <cell r="C913" t="str">
            <v>GL500431</v>
          </cell>
          <cell r="D913" t="str">
            <v>欧洲区</v>
          </cell>
          <cell r="E913" t="str">
            <v>NL 荷兰区</v>
          </cell>
          <cell r="F913" t="str">
            <v>技术支持部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>荷兰技术支持组</v>
          </cell>
          <cell r="L913" t="str">
            <v>IT support 技术支持工程师</v>
          </cell>
          <cell r="M913" t="str">
            <v>P1-2</v>
          </cell>
          <cell r="N913" t="str">
            <v/>
          </cell>
          <cell r="O913" t="str">
            <v>2024/08/19</v>
          </cell>
        </row>
        <row r="914">
          <cell r="C914" t="str">
            <v>GL500185</v>
          </cell>
          <cell r="D914" t="str">
            <v>美洲区</v>
          </cell>
          <cell r="E914" t="str">
            <v>GL 大湖大区</v>
          </cell>
          <cell r="F914" t="str">
            <v>WG 西大湖片区</v>
          </cell>
          <cell r="G914" t="str">
            <v>IND01</v>
          </cell>
          <cell r="H914" t="str">
            <v/>
          </cell>
          <cell r="I914" t="str">
            <v/>
          </cell>
          <cell r="J914" t="str">
            <v/>
          </cell>
          <cell r="K914" t="str">
            <v>IND</v>
          </cell>
          <cell r="L914" t="str">
            <v>Station Head （Probation）站长（见习）</v>
          </cell>
          <cell r="M914" t="str">
            <v>P2-1</v>
          </cell>
          <cell r="N914" t="str">
            <v/>
          </cell>
          <cell r="O914" t="str">
            <v>2025/02/27</v>
          </cell>
        </row>
        <row r="915">
          <cell r="C915" t="str">
            <v>GL500835</v>
          </cell>
          <cell r="D915" t="str">
            <v>美洲区</v>
          </cell>
          <cell r="E915" t="str">
            <v>WE 美西大区</v>
          </cell>
          <cell r="F915" t="str">
            <v>CNO.H</v>
          </cell>
          <cell r="G915" t="str">
            <v>装卸组</v>
          </cell>
          <cell r="H915" t="str">
            <v/>
          </cell>
          <cell r="I915" t="str">
            <v/>
          </cell>
          <cell r="J915" t="str">
            <v/>
          </cell>
          <cell r="K915" t="str">
            <v>装卸组</v>
          </cell>
          <cell r="L915" t="str">
            <v>Warehouse Operator 操作员</v>
          </cell>
          <cell r="M915" t="str">
            <v>P1-1</v>
          </cell>
          <cell r="N915" t="str">
            <v/>
          </cell>
          <cell r="O915" t="str">
            <v>2025/06/25</v>
          </cell>
        </row>
        <row r="916">
          <cell r="C916" t="str">
            <v>GL500651</v>
          </cell>
          <cell r="D916" t="str">
            <v>欧洲区</v>
          </cell>
          <cell r="E916" t="str">
            <v>FR 法国区</v>
          </cell>
          <cell r="F916" t="str">
            <v>巴黎枢纽仓</v>
          </cell>
          <cell r="G916" t="str">
            <v>巴黎出库组</v>
          </cell>
          <cell r="H916" t="str">
            <v/>
          </cell>
          <cell r="I916" t="str">
            <v/>
          </cell>
          <cell r="J916" t="str">
            <v/>
          </cell>
          <cell r="K916" t="str">
            <v>巴黎出库组</v>
          </cell>
          <cell r="L916" t="str">
            <v>Warehouse Operator操作员</v>
          </cell>
          <cell r="M916" t="str">
            <v>P1-1</v>
          </cell>
          <cell r="N916" t="str">
            <v/>
          </cell>
          <cell r="O916" t="str">
            <v>2025/06/02</v>
          </cell>
        </row>
        <row r="917">
          <cell r="C917" t="str">
            <v>GL500300</v>
          </cell>
          <cell r="D917" t="str">
            <v>欧洲区</v>
          </cell>
          <cell r="E917" t="str">
            <v>NL 荷兰区</v>
          </cell>
          <cell r="F917" t="str">
            <v>阿姆枢纽仓</v>
          </cell>
          <cell r="G917" t="str">
            <v>异常组</v>
          </cell>
          <cell r="H917" t="str">
            <v/>
          </cell>
          <cell r="I917" t="str">
            <v/>
          </cell>
          <cell r="J917" t="str">
            <v/>
          </cell>
          <cell r="K917" t="str">
            <v>异常组</v>
          </cell>
          <cell r="L917" t="str">
            <v>Warehouse Operator操作员</v>
          </cell>
          <cell r="M917" t="str">
            <v>P1-1</v>
          </cell>
          <cell r="N917" t="str">
            <v/>
          </cell>
          <cell r="O917" t="str">
            <v>2024/12/05</v>
          </cell>
        </row>
        <row r="918">
          <cell r="C918" t="str">
            <v>GL500290</v>
          </cell>
          <cell r="D918" t="str">
            <v>欧洲区</v>
          </cell>
          <cell r="E918" t="str">
            <v>CS 客户服务部</v>
          </cell>
          <cell r="F918" t="str">
            <v>荷兰客户服务组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>荷兰客户服务组</v>
          </cell>
          <cell r="L918" t="str">
            <v>Junior CS Specialist 初级客服专员</v>
          </cell>
          <cell r="M918" t="str">
            <v>P1-2</v>
          </cell>
          <cell r="N918" t="str">
            <v/>
          </cell>
          <cell r="O918" t="str">
            <v>2024/10/07</v>
          </cell>
        </row>
        <row r="919">
          <cell r="C919" t="str">
            <v>GL500685</v>
          </cell>
          <cell r="D919" t="str">
            <v>美洲区</v>
          </cell>
          <cell r="E919" t="str">
            <v>TX 德州大区</v>
          </cell>
          <cell r="F919" t="str">
            <v>GC 墨湾片区</v>
          </cell>
          <cell r="G919" t="str">
            <v>IAH01</v>
          </cell>
          <cell r="H919" t="str">
            <v/>
          </cell>
          <cell r="I919" t="str">
            <v/>
          </cell>
          <cell r="J919" t="str">
            <v/>
          </cell>
          <cell r="K919" t="str">
            <v>IAH</v>
          </cell>
          <cell r="L919" t="str">
            <v>Station Operations Specialist 站点运营专员</v>
          </cell>
          <cell r="M919" t="str">
            <v>P1-2</v>
          </cell>
          <cell r="N919" t="str">
            <v/>
          </cell>
          <cell r="O919" t="str">
            <v>2025/06/04</v>
          </cell>
        </row>
        <row r="920">
          <cell r="C920" t="str">
            <v>GL500581</v>
          </cell>
          <cell r="D920" t="str">
            <v>美洲区</v>
          </cell>
          <cell r="E920" t="str">
            <v>Ground项目部</v>
          </cell>
          <cell r="F920" t="str">
            <v>OG 美东区</v>
          </cell>
          <cell r="G920" t="str">
            <v>CB080</v>
          </cell>
          <cell r="H920" t="str">
            <v/>
          </cell>
          <cell r="I920" t="str">
            <v/>
          </cell>
          <cell r="J920" t="str">
            <v/>
          </cell>
          <cell r="K920" t="str">
            <v>NJ080</v>
          </cell>
          <cell r="L920" t="str">
            <v>Delivery Driver 司机</v>
          </cell>
          <cell r="M920" t="str">
            <v>P1-1</v>
          </cell>
          <cell r="N920" t="str">
            <v/>
          </cell>
          <cell r="O920" t="str">
            <v>2025/03/03</v>
          </cell>
        </row>
        <row r="921">
          <cell r="C921" t="str">
            <v>GL500793</v>
          </cell>
          <cell r="D921" t="str">
            <v>美洲区</v>
          </cell>
          <cell r="E921" t="str">
            <v>TX 德州大区</v>
          </cell>
          <cell r="F921" t="str">
            <v>IAH.H</v>
          </cell>
          <cell r="G921" t="str">
            <v>调度组</v>
          </cell>
          <cell r="H921" t="str">
            <v/>
          </cell>
          <cell r="I921" t="str">
            <v/>
          </cell>
          <cell r="J921" t="str">
            <v/>
          </cell>
          <cell r="K921" t="str">
            <v>调度组</v>
          </cell>
          <cell r="L921" t="str">
            <v>Dispatcher 调度员</v>
          </cell>
          <cell r="M921" t="str">
            <v>P1-1</v>
          </cell>
          <cell r="N921" t="str">
            <v/>
          </cell>
          <cell r="O921" t="str">
            <v>2025/06/02</v>
          </cell>
        </row>
        <row r="922">
          <cell r="C922" t="str">
            <v>GL500301</v>
          </cell>
          <cell r="D922" t="str">
            <v>欧洲区</v>
          </cell>
          <cell r="E922" t="str">
            <v>NL 荷兰区</v>
          </cell>
          <cell r="F922" t="str">
            <v>阿姆枢纽仓</v>
          </cell>
          <cell r="G922" t="str">
            <v>异常组</v>
          </cell>
          <cell r="H922" t="str">
            <v/>
          </cell>
          <cell r="I922" t="str">
            <v/>
          </cell>
          <cell r="J922" t="str">
            <v/>
          </cell>
          <cell r="K922" t="str">
            <v>异常组</v>
          </cell>
          <cell r="L922" t="str">
            <v>Warehouse Operator操作员</v>
          </cell>
          <cell r="M922" t="str">
            <v>P1-2</v>
          </cell>
          <cell r="N922" t="str">
            <v/>
          </cell>
          <cell r="O922" t="str">
            <v>2024/11/27</v>
          </cell>
        </row>
        <row r="923">
          <cell r="C923" t="str">
            <v>GL500318</v>
          </cell>
          <cell r="D923" t="str">
            <v>欧洲区</v>
          </cell>
          <cell r="E923" t="str">
            <v>FR 法国区</v>
          </cell>
          <cell r="F923" t="str">
            <v>东部战区</v>
          </cell>
          <cell r="G923" t="str">
            <v>里昂-LYN</v>
          </cell>
          <cell r="H923" t="str">
            <v/>
          </cell>
          <cell r="I923" t="str">
            <v/>
          </cell>
          <cell r="J923" t="str">
            <v/>
          </cell>
          <cell r="K923" t="str">
            <v>里昂转运中心</v>
          </cell>
          <cell r="L923" t="str">
            <v>Terminal Specialist终端专员</v>
          </cell>
          <cell r="M923" t="str">
            <v>P1-1</v>
          </cell>
          <cell r="N923" t="str">
            <v/>
          </cell>
          <cell r="O923" t="str">
            <v>2024/12/23</v>
          </cell>
        </row>
        <row r="924">
          <cell r="C924" t="str">
            <v>GL500320</v>
          </cell>
          <cell r="D924" t="str">
            <v>欧洲区</v>
          </cell>
          <cell r="E924" t="str">
            <v>FR 法国区</v>
          </cell>
          <cell r="F924" t="str">
            <v>终端管理部</v>
          </cell>
          <cell r="G924" t="str">
            <v>终端运营一组</v>
          </cell>
          <cell r="H924" t="str">
            <v/>
          </cell>
          <cell r="I924" t="str">
            <v/>
          </cell>
          <cell r="J924" t="str">
            <v/>
          </cell>
          <cell r="K924" t="str">
            <v>终端运营一组</v>
          </cell>
          <cell r="L924" t="str">
            <v>Terminal Specialist终端专员</v>
          </cell>
          <cell r="M924" t="str">
            <v>P1-1</v>
          </cell>
          <cell r="N924" t="str">
            <v/>
          </cell>
          <cell r="O924" t="str">
            <v>2024/12/23</v>
          </cell>
        </row>
        <row r="925">
          <cell r="C925" t="str">
            <v>GL500435</v>
          </cell>
          <cell r="D925" t="str">
            <v>欧洲区</v>
          </cell>
          <cell r="E925" t="str">
            <v>FR 法国区</v>
          </cell>
          <cell r="F925" t="str">
            <v>南部战区</v>
          </cell>
          <cell r="G925" t="str">
            <v>马赛-MSL</v>
          </cell>
          <cell r="H925" t="str">
            <v/>
          </cell>
          <cell r="I925" t="str">
            <v/>
          </cell>
          <cell r="J925" t="str">
            <v/>
          </cell>
          <cell r="K925" t="str">
            <v>马赛转运中心</v>
          </cell>
          <cell r="L925" t="str">
            <v>Terminal  Specialist终端专员</v>
          </cell>
          <cell r="M925" t="str">
            <v>P1-2</v>
          </cell>
          <cell r="N925" t="str">
            <v/>
          </cell>
          <cell r="O925" t="str">
            <v>2024/08/06</v>
          </cell>
        </row>
        <row r="926">
          <cell r="C926" t="str">
            <v>GL500358</v>
          </cell>
          <cell r="D926" t="str">
            <v>欧洲区</v>
          </cell>
          <cell r="E926" t="str">
            <v>FR 法国区</v>
          </cell>
          <cell r="F926" t="str">
            <v>行政采购部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>行政部</v>
          </cell>
          <cell r="L926" t="str">
            <v>Cleaning Specialist保洁专员</v>
          </cell>
          <cell r="M926" t="str">
            <v>P1-1</v>
          </cell>
          <cell r="N926" t="str">
            <v/>
          </cell>
          <cell r="O926" t="str">
            <v>2024/11/18</v>
          </cell>
        </row>
        <row r="927">
          <cell r="C927" t="str">
            <v>GL500237</v>
          </cell>
          <cell r="D927" t="str">
            <v>美洲区</v>
          </cell>
          <cell r="E927" t="str">
            <v>TX 德州大区</v>
          </cell>
          <cell r="F927" t="str">
            <v>GC 墨湾片区</v>
          </cell>
          <cell r="G927" t="str">
            <v>IAH01</v>
          </cell>
          <cell r="H927" t="str">
            <v/>
          </cell>
          <cell r="I927" t="str">
            <v/>
          </cell>
          <cell r="J927" t="str">
            <v/>
          </cell>
          <cell r="K927" t="str">
            <v>IAH</v>
          </cell>
          <cell r="L927" t="str">
            <v>Station Operations Specialist 站点运营专员</v>
          </cell>
          <cell r="M927" t="str">
            <v>P1-1</v>
          </cell>
          <cell r="N927" t="str">
            <v/>
          </cell>
          <cell r="O927" t="str">
            <v>2025/01/27</v>
          </cell>
        </row>
        <row r="928">
          <cell r="C928" t="str">
            <v>GL500186</v>
          </cell>
          <cell r="D928" t="str">
            <v>美洲区</v>
          </cell>
          <cell r="E928" t="str">
            <v>WE 美西大区</v>
          </cell>
          <cell r="F928" t="str">
            <v>NC 北加片区</v>
          </cell>
          <cell r="G928" t="str">
            <v>SFO01</v>
          </cell>
          <cell r="H928" t="str">
            <v/>
          </cell>
          <cell r="I928" t="str">
            <v/>
          </cell>
          <cell r="J928" t="str">
            <v/>
          </cell>
          <cell r="K928" t="str">
            <v>SFO.SMF.RNO.FAT</v>
          </cell>
          <cell r="L928" t="str">
            <v>Sorter 分拣员</v>
          </cell>
          <cell r="M928" t="str">
            <v>P1-1</v>
          </cell>
          <cell r="N928" t="str">
            <v/>
          </cell>
          <cell r="O928" t="str">
            <v>2025/02/25</v>
          </cell>
        </row>
        <row r="929">
          <cell r="C929" t="str">
            <v>GL500259</v>
          </cell>
          <cell r="D929" t="str">
            <v>欧洲区</v>
          </cell>
          <cell r="E929" t="str">
            <v>IT 意大利区</v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>意大利区</v>
          </cell>
          <cell r="L929" t="str">
            <v>IT GM 意大利区总经理</v>
          </cell>
          <cell r="M929" t="str">
            <v>M2-3</v>
          </cell>
          <cell r="N929" t="str">
            <v/>
          </cell>
          <cell r="O929" t="str">
            <v>2025/01/13</v>
          </cell>
        </row>
        <row r="930">
          <cell r="C930" t="str">
            <v>GL500330</v>
          </cell>
          <cell r="D930" t="str">
            <v>美洲区</v>
          </cell>
          <cell r="E930" t="str">
            <v>FL 佛州大区</v>
          </cell>
          <cell r="F930" t="str">
            <v>MIA.H</v>
          </cell>
          <cell r="G930" t="str">
            <v>操作组</v>
          </cell>
          <cell r="H930" t="str">
            <v/>
          </cell>
          <cell r="I930" t="str">
            <v/>
          </cell>
          <cell r="J930" t="str">
            <v/>
          </cell>
          <cell r="K930" t="str">
            <v>操作组</v>
          </cell>
          <cell r="L930" t="str">
            <v>Warehouse Operator 操作员</v>
          </cell>
          <cell r="M930" t="str">
            <v>P1-1</v>
          </cell>
          <cell r="N930" t="str">
            <v/>
          </cell>
          <cell r="O930" t="str">
            <v>2024/12/05</v>
          </cell>
        </row>
        <row r="931">
          <cell r="C931" t="str">
            <v>GL500636</v>
          </cell>
          <cell r="D931" t="str">
            <v>美洲区</v>
          </cell>
          <cell r="E931" t="str">
            <v>TX 德州大区</v>
          </cell>
          <cell r="F931" t="str">
            <v>GC 墨湾片区</v>
          </cell>
          <cell r="G931" t="str">
            <v>IAH01</v>
          </cell>
          <cell r="H931" t="str">
            <v/>
          </cell>
          <cell r="I931" t="str">
            <v/>
          </cell>
          <cell r="J931" t="str">
            <v/>
          </cell>
          <cell r="K931" t="str">
            <v>IAH</v>
          </cell>
          <cell r="L931" t="str">
            <v>Station Operations Specialist 站点运营专员</v>
          </cell>
          <cell r="M931" t="str">
            <v>P1-2</v>
          </cell>
          <cell r="N931" t="str">
            <v/>
          </cell>
          <cell r="O931" t="str">
            <v>2025/05/27</v>
          </cell>
        </row>
        <row r="932">
          <cell r="C932" t="str">
            <v>GL500214</v>
          </cell>
          <cell r="D932" t="str">
            <v>美洲区</v>
          </cell>
          <cell r="E932" t="str">
            <v>NE 东北大区</v>
          </cell>
          <cell r="F932" t="str">
            <v>DC 华盛顿片区</v>
          </cell>
          <cell r="G932" t="str">
            <v>PHL01</v>
          </cell>
          <cell r="H932" t="str">
            <v/>
          </cell>
          <cell r="I932" t="str">
            <v/>
          </cell>
          <cell r="J932" t="str">
            <v/>
          </cell>
          <cell r="K932" t="str">
            <v>PHL</v>
          </cell>
          <cell r="L932" t="str">
            <v>Station Operations Specialist 站点运营专员</v>
          </cell>
          <cell r="M932" t="str">
            <v>P1-2</v>
          </cell>
          <cell r="N932" t="str">
            <v/>
          </cell>
          <cell r="O932" t="str">
            <v>2025/02/10</v>
          </cell>
        </row>
        <row r="933">
          <cell r="C933" t="str">
            <v>GL500218</v>
          </cell>
          <cell r="D933" t="str">
            <v>欧洲区</v>
          </cell>
          <cell r="E933" t="str">
            <v>FR 法国区</v>
          </cell>
          <cell r="F933" t="str">
            <v>南部战区</v>
          </cell>
          <cell r="G933" t="str">
            <v>图卢兹-TLS</v>
          </cell>
          <cell r="H933" t="str">
            <v/>
          </cell>
          <cell r="I933" t="str">
            <v/>
          </cell>
          <cell r="J933" t="str">
            <v/>
          </cell>
          <cell r="K933" t="str">
            <v>图卢兹转运中心</v>
          </cell>
          <cell r="L933" t="str">
            <v>Junior Terminal  Specialist初级终端专员</v>
          </cell>
          <cell r="M933" t="str">
            <v>P1-1</v>
          </cell>
          <cell r="N933" t="str">
            <v/>
          </cell>
          <cell r="O933" t="str">
            <v>2025/02/06</v>
          </cell>
        </row>
        <row r="934">
          <cell r="C934" t="str">
            <v>GL500019</v>
          </cell>
          <cell r="D934" t="str">
            <v>美洲区</v>
          </cell>
          <cell r="E934" t="str">
            <v>NM 网络管理部</v>
          </cell>
          <cell r="F934" t="str">
            <v>管培组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>管培组</v>
          </cell>
          <cell r="L934" t="str">
            <v>管培生</v>
          </cell>
          <cell r="M934" t="str">
            <v>P1-2</v>
          </cell>
          <cell r="N934" t="str">
            <v/>
          </cell>
          <cell r="O934" t="str">
            <v>2025/05/05</v>
          </cell>
        </row>
        <row r="935">
          <cell r="C935" t="str">
            <v>GL500610</v>
          </cell>
          <cell r="D935" t="str">
            <v>美洲区</v>
          </cell>
          <cell r="E935" t="str">
            <v>NE 东北大区</v>
          </cell>
          <cell r="F935" t="str">
            <v>JFK.H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>JFK.H</v>
          </cell>
          <cell r="L935" t="str">
            <v>Operation Support Specialist 操作支持专员</v>
          </cell>
          <cell r="M935" t="str">
            <v>P1-2</v>
          </cell>
          <cell r="N935" t="str">
            <v/>
          </cell>
          <cell r="O935" t="str">
            <v>2022/09/18</v>
          </cell>
        </row>
        <row r="936">
          <cell r="C936" t="str">
            <v>GL500426</v>
          </cell>
          <cell r="D936" t="str">
            <v>欧洲区</v>
          </cell>
          <cell r="E936" t="str">
            <v>FR 法国区</v>
          </cell>
          <cell r="F936" t="str">
            <v>终端管理部</v>
          </cell>
          <cell r="G936" t="str">
            <v>终端运营二组</v>
          </cell>
          <cell r="H936" t="str">
            <v/>
          </cell>
          <cell r="I936" t="str">
            <v/>
          </cell>
          <cell r="J936" t="str">
            <v/>
          </cell>
          <cell r="K936" t="str">
            <v>终端运营二组</v>
          </cell>
          <cell r="L936" t="str">
            <v>Junior Terminal Specialist初级终端专员</v>
          </cell>
          <cell r="M936" t="str">
            <v>P1-1</v>
          </cell>
          <cell r="N936" t="str">
            <v/>
          </cell>
          <cell r="O936" t="str">
            <v>2024/09/02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日超8H"/>
      <sheetName val="是否排班"/>
      <sheetName val="排班正确"/>
      <sheetName val="缺卡"/>
      <sheetName val="汇总1"/>
      <sheetName val="每日打卡工时推送模版"/>
      <sheetName val="区域汇总"/>
      <sheetName val="汇总"/>
      <sheetName val="多维表"/>
      <sheetName val="离职1"/>
      <sheetName val="Sheet10"/>
      <sheetName val="离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区域</v>
          </cell>
          <cell r="D1" t="str">
            <v>0511美区正式工未排班及缺卡人员明细</v>
          </cell>
        </row>
        <row r="2">
          <cell r="D2" t="str">
            <v>总人数</v>
          </cell>
          <cell r="E2" t="str">
            <v>日超8h人数</v>
          </cell>
          <cell r="F2" t="str">
            <v>未排班数</v>
          </cell>
          <cell r="G2" t="str">
            <v>排班率</v>
          </cell>
          <cell r="H2" t="str">
            <v>HUB排班正确率</v>
          </cell>
          <cell r="I2" t="str">
            <v>缺卡数</v>
          </cell>
          <cell r="J2" t="str">
            <v>缺卡率</v>
          </cell>
        </row>
        <row r="3">
          <cell r="C3" t="str">
            <v>FL 佛州大区运营支持部</v>
          </cell>
          <cell r="D3">
            <v>4</v>
          </cell>
          <cell r="E3">
            <v>0</v>
          </cell>
          <cell r="F3">
            <v>3</v>
          </cell>
          <cell r="G3">
            <v>0.25</v>
          </cell>
          <cell r="H3" t="str">
            <v>/</v>
          </cell>
          <cell r="I3">
            <v>15</v>
          </cell>
          <cell r="J3">
            <v>0.9375</v>
          </cell>
        </row>
        <row r="4">
          <cell r="C4" t="str">
            <v>FL 佛州大区MF 中佛片区</v>
          </cell>
          <cell r="D4">
            <v>8</v>
          </cell>
          <cell r="E4">
            <v>5</v>
          </cell>
          <cell r="F4">
            <v>1</v>
          </cell>
          <cell r="G4">
            <v>0.875</v>
          </cell>
          <cell r="H4" t="str">
            <v>/</v>
          </cell>
          <cell r="I4">
            <v>16</v>
          </cell>
          <cell r="J4">
            <v>0.571428571428571</v>
          </cell>
        </row>
        <row r="5">
          <cell r="C5" t="str">
            <v>FL 佛州大区SF 南佛片区</v>
          </cell>
          <cell r="D5">
            <v>10</v>
          </cell>
          <cell r="E5">
            <v>5</v>
          </cell>
          <cell r="F5">
            <v>1</v>
          </cell>
          <cell r="G5">
            <v>0.9</v>
          </cell>
          <cell r="H5" t="str">
            <v>/</v>
          </cell>
          <cell r="I5">
            <v>16</v>
          </cell>
          <cell r="J5">
            <v>0.4</v>
          </cell>
        </row>
        <row r="6">
          <cell r="C6" t="str">
            <v>FL 佛州大区MIA.H</v>
          </cell>
          <cell r="D6">
            <v>35</v>
          </cell>
          <cell r="E6">
            <v>3</v>
          </cell>
          <cell r="F6">
            <v>1</v>
          </cell>
          <cell r="G6">
            <v>0.971428571428571</v>
          </cell>
          <cell r="H6">
            <v>0.628571428571429</v>
          </cell>
          <cell r="I6">
            <v>57</v>
          </cell>
          <cell r="J6">
            <v>0.59375</v>
          </cell>
        </row>
        <row r="7">
          <cell r="C7" t="str">
            <v>FL 佛州大区</v>
          </cell>
          <cell r="D7">
            <v>1</v>
          </cell>
          <cell r="E7">
            <v>0</v>
          </cell>
          <cell r="F7">
            <v>0</v>
          </cell>
          <cell r="G7">
            <v>1</v>
          </cell>
          <cell r="H7" t="str">
            <v>/</v>
          </cell>
          <cell r="I7">
            <v>2</v>
          </cell>
          <cell r="J7">
            <v>0.5</v>
          </cell>
        </row>
        <row r="8">
          <cell r="C8" t="str">
            <v>FL 佛州大区FTM01</v>
          </cell>
          <cell r="D8">
            <v>3</v>
          </cell>
          <cell r="E8">
            <v>0</v>
          </cell>
          <cell r="F8">
            <v>0</v>
          </cell>
          <cell r="G8">
            <v>1</v>
          </cell>
          <cell r="H8" t="str">
            <v>/</v>
          </cell>
          <cell r="I8">
            <v>8</v>
          </cell>
          <cell r="J8">
            <v>0.666666666666667</v>
          </cell>
        </row>
        <row r="9">
          <cell r="C9" t="str">
            <v>FL 佛州大区MCO.H</v>
          </cell>
          <cell r="D9">
            <v>28</v>
          </cell>
          <cell r="E9">
            <v>4</v>
          </cell>
          <cell r="F9">
            <v>0</v>
          </cell>
          <cell r="G9">
            <v>1</v>
          </cell>
          <cell r="H9">
            <v>0.857142857142857</v>
          </cell>
          <cell r="I9">
            <v>23</v>
          </cell>
          <cell r="J9">
            <v>0.359375</v>
          </cell>
        </row>
        <row r="10">
          <cell r="C10" t="str">
            <v>FL 佛州大区MCO01</v>
          </cell>
          <cell r="D10">
            <v>2</v>
          </cell>
          <cell r="E10">
            <v>1</v>
          </cell>
          <cell r="F10">
            <v>0</v>
          </cell>
          <cell r="G10">
            <v>1</v>
          </cell>
          <cell r="H10" t="str">
            <v>/</v>
          </cell>
          <cell r="I10">
            <v>0</v>
          </cell>
          <cell r="J10">
            <v>0</v>
          </cell>
        </row>
        <row r="11">
          <cell r="C11" t="str">
            <v>FL 佛州大区MIA01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 t="str">
            <v>/</v>
          </cell>
          <cell r="I11">
            <v>0</v>
          </cell>
          <cell r="J11">
            <v>0</v>
          </cell>
        </row>
        <row r="12">
          <cell r="C12" t="str">
            <v>FL 佛州大区NF 北佛片区</v>
          </cell>
          <cell r="D12">
            <v>7</v>
          </cell>
          <cell r="E12">
            <v>1</v>
          </cell>
          <cell r="F12">
            <v>0</v>
          </cell>
          <cell r="G12">
            <v>1</v>
          </cell>
          <cell r="H12" t="str">
            <v>/</v>
          </cell>
          <cell r="I12">
            <v>12</v>
          </cell>
          <cell r="J12">
            <v>0.5</v>
          </cell>
        </row>
        <row r="13">
          <cell r="C13" t="str">
            <v>FL 佛州大区OCF01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 t="str">
            <v>/</v>
          </cell>
          <cell r="I13">
            <v>2</v>
          </cell>
          <cell r="J13">
            <v>0.5</v>
          </cell>
        </row>
        <row r="14">
          <cell r="C14" t="str">
            <v>FL 佛州大区SRQ01</v>
          </cell>
          <cell r="D14">
            <v>1</v>
          </cell>
          <cell r="E14">
            <v>1</v>
          </cell>
          <cell r="F14">
            <v>0</v>
          </cell>
          <cell r="G14">
            <v>1</v>
          </cell>
          <cell r="H14" t="str">
            <v>/</v>
          </cell>
          <cell r="I14">
            <v>0</v>
          </cell>
          <cell r="J14">
            <v>0</v>
          </cell>
        </row>
        <row r="15">
          <cell r="C15" t="str">
            <v>FL 佛州大区TPA01</v>
          </cell>
          <cell r="D15">
            <v>2</v>
          </cell>
          <cell r="E15">
            <v>0</v>
          </cell>
          <cell r="F15">
            <v>0</v>
          </cell>
          <cell r="G15">
            <v>1</v>
          </cell>
          <cell r="H15" t="str">
            <v>/</v>
          </cell>
          <cell r="I15">
            <v>8</v>
          </cell>
          <cell r="J15">
            <v>1</v>
          </cell>
        </row>
        <row r="16">
          <cell r="C16" t="str">
            <v>FL 佛州大区WF 西佛片区</v>
          </cell>
          <cell r="D16">
            <v>6</v>
          </cell>
          <cell r="E16">
            <v>1</v>
          </cell>
          <cell r="F16">
            <v>0</v>
          </cell>
          <cell r="G16">
            <v>1</v>
          </cell>
          <cell r="H16" t="str">
            <v>/</v>
          </cell>
          <cell r="I16">
            <v>12</v>
          </cell>
          <cell r="J16">
            <v>0.6</v>
          </cell>
        </row>
        <row r="17">
          <cell r="C17" t="str">
            <v>FL 佛州大区WPB01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 t="str">
            <v>/</v>
          </cell>
          <cell r="I17">
            <v>0</v>
          </cell>
          <cell r="J17" t="str">
            <v>/</v>
          </cell>
        </row>
        <row r="18">
          <cell r="C18" t="str">
            <v>FL 佛州大区 汇总</v>
          </cell>
          <cell r="D18">
            <v>112</v>
          </cell>
          <cell r="E18">
            <v>23</v>
          </cell>
          <cell r="F18">
            <v>6</v>
          </cell>
          <cell r="G18">
            <v>0.946428571428571</v>
          </cell>
          <cell r="H18">
            <v>0.73015873015873</v>
          </cell>
          <cell r="I18">
            <v>171</v>
          </cell>
          <cell r="J18">
            <v>0.521341463414634</v>
          </cell>
        </row>
        <row r="19">
          <cell r="C19" t="str">
            <v>GL 大湖大区车辆管理部</v>
          </cell>
          <cell r="D19">
            <v>1</v>
          </cell>
          <cell r="E19">
            <v>0</v>
          </cell>
          <cell r="F19">
            <v>1</v>
          </cell>
          <cell r="G19">
            <v>0</v>
          </cell>
          <cell r="H19" t="str">
            <v>/</v>
          </cell>
          <cell r="I19">
            <v>4</v>
          </cell>
          <cell r="J19">
            <v>1</v>
          </cell>
        </row>
        <row r="20">
          <cell r="C20" t="str">
            <v>GL 大湖大区ORD.H</v>
          </cell>
          <cell r="D20">
            <v>29</v>
          </cell>
          <cell r="E20">
            <v>0</v>
          </cell>
          <cell r="F20">
            <v>3</v>
          </cell>
          <cell r="G20">
            <v>0.896551724137931</v>
          </cell>
          <cell r="H20">
            <v>0.586206896551724</v>
          </cell>
          <cell r="I20">
            <v>58</v>
          </cell>
          <cell r="J20">
            <v>0.69047619047619</v>
          </cell>
        </row>
        <row r="21">
          <cell r="C21" t="str">
            <v>GL 大湖大区运营支持部</v>
          </cell>
          <cell r="D21">
            <v>7</v>
          </cell>
          <cell r="E21">
            <v>0</v>
          </cell>
          <cell r="F21">
            <v>0</v>
          </cell>
          <cell r="G21">
            <v>1</v>
          </cell>
          <cell r="H21" t="str">
            <v>/</v>
          </cell>
          <cell r="I21">
            <v>14</v>
          </cell>
          <cell r="J21">
            <v>0.7</v>
          </cell>
        </row>
        <row r="22">
          <cell r="C22" t="str">
            <v>GL 大湖大区</v>
          </cell>
          <cell r="D22">
            <v>2</v>
          </cell>
          <cell r="E22">
            <v>0</v>
          </cell>
          <cell r="F22">
            <v>0</v>
          </cell>
          <cell r="G22">
            <v>1</v>
          </cell>
          <cell r="H22" t="str">
            <v>/</v>
          </cell>
          <cell r="I22">
            <v>3</v>
          </cell>
          <cell r="J22">
            <v>0.75</v>
          </cell>
        </row>
        <row r="23">
          <cell r="C23" t="str">
            <v>GL 大湖大区CLE01</v>
          </cell>
          <cell r="D23">
            <v>1</v>
          </cell>
          <cell r="E23">
            <v>0</v>
          </cell>
          <cell r="F23">
            <v>0</v>
          </cell>
          <cell r="G23">
            <v>1</v>
          </cell>
          <cell r="H23" t="str">
            <v>/</v>
          </cell>
          <cell r="I23">
            <v>0</v>
          </cell>
          <cell r="J23" t="str">
            <v>/</v>
          </cell>
        </row>
        <row r="24">
          <cell r="C24" t="str">
            <v>GL 大湖大区CM 中西部中心片区</v>
          </cell>
          <cell r="D24">
            <v>6</v>
          </cell>
          <cell r="E24">
            <v>1</v>
          </cell>
          <cell r="F24">
            <v>0</v>
          </cell>
          <cell r="G24">
            <v>1</v>
          </cell>
          <cell r="H24" t="str">
            <v>/</v>
          </cell>
          <cell r="I24">
            <v>7</v>
          </cell>
          <cell r="J24">
            <v>0.35</v>
          </cell>
        </row>
        <row r="25">
          <cell r="C25" t="str">
            <v>GL 大湖大区CMH01</v>
          </cell>
          <cell r="D25">
            <v>1</v>
          </cell>
          <cell r="E25">
            <v>0</v>
          </cell>
          <cell r="F25">
            <v>0</v>
          </cell>
          <cell r="G25">
            <v>1</v>
          </cell>
          <cell r="H25" t="str">
            <v>/</v>
          </cell>
          <cell r="I25">
            <v>0</v>
          </cell>
          <cell r="J25" t="str">
            <v>/</v>
          </cell>
        </row>
        <row r="26">
          <cell r="C26" t="str">
            <v>GL 大湖大区CVG.H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0.5</v>
          </cell>
          <cell r="I26">
            <v>5</v>
          </cell>
          <cell r="J26">
            <v>0.625</v>
          </cell>
        </row>
        <row r="27">
          <cell r="C27" t="str">
            <v>GL 大湖大区EG 东大湖片区</v>
          </cell>
          <cell r="D27">
            <v>4</v>
          </cell>
          <cell r="E27">
            <v>2</v>
          </cell>
          <cell r="F27">
            <v>0</v>
          </cell>
          <cell r="G27">
            <v>1</v>
          </cell>
          <cell r="H27" t="str">
            <v>/</v>
          </cell>
          <cell r="I27">
            <v>0</v>
          </cell>
          <cell r="J27">
            <v>0</v>
          </cell>
        </row>
        <row r="28">
          <cell r="C28" t="str">
            <v>GL 大湖大区IND01</v>
          </cell>
          <cell r="D28">
            <v>3</v>
          </cell>
          <cell r="E28">
            <v>1</v>
          </cell>
          <cell r="F28">
            <v>0</v>
          </cell>
          <cell r="G28">
            <v>1</v>
          </cell>
          <cell r="H28" t="str">
            <v>/</v>
          </cell>
          <cell r="I28">
            <v>0</v>
          </cell>
          <cell r="J28">
            <v>0</v>
          </cell>
        </row>
        <row r="29">
          <cell r="C29" t="str">
            <v>GL 大湖大区MCI01</v>
          </cell>
          <cell r="D29">
            <v>2</v>
          </cell>
          <cell r="E29">
            <v>0</v>
          </cell>
          <cell r="F29">
            <v>0</v>
          </cell>
          <cell r="G29">
            <v>1</v>
          </cell>
          <cell r="H29" t="str">
            <v>/</v>
          </cell>
          <cell r="I29">
            <v>1</v>
          </cell>
          <cell r="J29">
            <v>0.25</v>
          </cell>
        </row>
        <row r="30">
          <cell r="C30" t="str">
            <v>GL 大湖大区MKE01</v>
          </cell>
          <cell r="D30">
            <v>2</v>
          </cell>
          <cell r="E30">
            <v>0</v>
          </cell>
          <cell r="F30">
            <v>0</v>
          </cell>
          <cell r="G30">
            <v>1</v>
          </cell>
          <cell r="H30" t="str">
            <v>/</v>
          </cell>
          <cell r="I30">
            <v>4</v>
          </cell>
          <cell r="J30">
            <v>1</v>
          </cell>
        </row>
        <row r="31">
          <cell r="C31" t="str">
            <v>GL 大湖大区NM 中西部北片区</v>
          </cell>
          <cell r="D31">
            <v>5</v>
          </cell>
          <cell r="E31">
            <v>1</v>
          </cell>
          <cell r="F31">
            <v>0</v>
          </cell>
          <cell r="G31">
            <v>1</v>
          </cell>
          <cell r="H31" t="str">
            <v>/</v>
          </cell>
          <cell r="I31">
            <v>9</v>
          </cell>
          <cell r="J31">
            <v>0.5625</v>
          </cell>
        </row>
        <row r="32">
          <cell r="C32" t="str">
            <v>GL 大湖大区ORD01</v>
          </cell>
          <cell r="D32">
            <v>2</v>
          </cell>
          <cell r="E32">
            <v>0</v>
          </cell>
          <cell r="F32">
            <v>0</v>
          </cell>
          <cell r="G32">
            <v>1</v>
          </cell>
          <cell r="H32" t="str">
            <v>/</v>
          </cell>
          <cell r="I32">
            <v>4</v>
          </cell>
          <cell r="J32">
            <v>1</v>
          </cell>
        </row>
        <row r="33">
          <cell r="C33" t="str">
            <v>GL 大湖大区WG 西大湖片区</v>
          </cell>
          <cell r="D33">
            <v>11</v>
          </cell>
          <cell r="E33">
            <v>2</v>
          </cell>
          <cell r="F33">
            <v>0</v>
          </cell>
          <cell r="G33">
            <v>1</v>
          </cell>
          <cell r="H33" t="str">
            <v>/</v>
          </cell>
          <cell r="I33">
            <v>21</v>
          </cell>
          <cell r="J33">
            <v>0.583333333333333</v>
          </cell>
        </row>
        <row r="34">
          <cell r="C34" t="str">
            <v>GL 大湖大区揽收部</v>
          </cell>
          <cell r="D34">
            <v>5</v>
          </cell>
          <cell r="E34">
            <v>0</v>
          </cell>
          <cell r="F34">
            <v>0</v>
          </cell>
          <cell r="G34">
            <v>1</v>
          </cell>
          <cell r="H34" t="str">
            <v>/</v>
          </cell>
          <cell r="I34">
            <v>11</v>
          </cell>
          <cell r="J34">
            <v>0.55</v>
          </cell>
        </row>
        <row r="35">
          <cell r="C35" t="str">
            <v>GL 大湖大区 汇总</v>
          </cell>
          <cell r="D35">
            <v>83</v>
          </cell>
          <cell r="E35">
            <v>7</v>
          </cell>
          <cell r="F35">
            <v>4</v>
          </cell>
          <cell r="G35">
            <v>0.951807228915663</v>
          </cell>
          <cell r="H35">
            <v>0.580645161290323</v>
          </cell>
          <cell r="I35">
            <v>141</v>
          </cell>
          <cell r="J35">
            <v>0.5875</v>
          </cell>
        </row>
        <row r="36">
          <cell r="C36" t="str">
            <v>Ground项目部OG 美南区</v>
          </cell>
          <cell r="D36">
            <v>10</v>
          </cell>
          <cell r="E36">
            <v>0</v>
          </cell>
          <cell r="F36">
            <v>10</v>
          </cell>
          <cell r="G36">
            <v>0</v>
          </cell>
          <cell r="H36" t="str">
            <v>/</v>
          </cell>
          <cell r="I36">
            <v>40</v>
          </cell>
          <cell r="J36">
            <v>1</v>
          </cell>
        </row>
        <row r="37">
          <cell r="C37" t="str">
            <v>Ground项目部运营管理部</v>
          </cell>
          <cell r="D37">
            <v>3</v>
          </cell>
          <cell r="E37">
            <v>0</v>
          </cell>
          <cell r="F37">
            <v>1</v>
          </cell>
          <cell r="G37">
            <v>0.666666666666667</v>
          </cell>
          <cell r="H37" t="str">
            <v>/</v>
          </cell>
          <cell r="I37">
            <v>4</v>
          </cell>
          <cell r="J37">
            <v>1</v>
          </cell>
        </row>
        <row r="38">
          <cell r="C38" t="str">
            <v>Ground项目部派送管理部</v>
          </cell>
          <cell r="D38">
            <v>8</v>
          </cell>
          <cell r="E38">
            <v>0</v>
          </cell>
          <cell r="F38">
            <v>1</v>
          </cell>
          <cell r="G38">
            <v>0.875</v>
          </cell>
          <cell r="H38" t="str">
            <v>/</v>
          </cell>
          <cell r="I38">
            <v>13</v>
          </cell>
          <cell r="J38">
            <v>0.65</v>
          </cell>
        </row>
        <row r="39">
          <cell r="C39" t="str">
            <v>Ground项目部OG 美西区</v>
          </cell>
          <cell r="D39">
            <v>42</v>
          </cell>
          <cell r="E39">
            <v>1</v>
          </cell>
          <cell r="F39">
            <v>2</v>
          </cell>
          <cell r="G39">
            <v>0.952380952380952</v>
          </cell>
          <cell r="H39">
            <v>0.476190476190476</v>
          </cell>
          <cell r="I39">
            <v>82</v>
          </cell>
          <cell r="J39">
            <v>0.621212121212121</v>
          </cell>
        </row>
        <row r="40">
          <cell r="C40" t="str">
            <v>Ground项目部OG 美东区</v>
          </cell>
          <cell r="D40">
            <v>18</v>
          </cell>
          <cell r="E40">
            <v>6</v>
          </cell>
          <cell r="F40">
            <v>0</v>
          </cell>
          <cell r="G40">
            <v>1</v>
          </cell>
          <cell r="H40">
            <v>0.944444444444444</v>
          </cell>
          <cell r="I40">
            <v>12</v>
          </cell>
          <cell r="J40">
            <v>0.230769230769231</v>
          </cell>
        </row>
        <row r="41">
          <cell r="C41" t="str">
            <v>Ground项目部OG 美中区</v>
          </cell>
          <cell r="D41">
            <v>7</v>
          </cell>
          <cell r="E41">
            <v>1</v>
          </cell>
          <cell r="F41">
            <v>0</v>
          </cell>
          <cell r="G41">
            <v>1</v>
          </cell>
          <cell r="H41" t="str">
            <v>/</v>
          </cell>
          <cell r="I41">
            <v>18</v>
          </cell>
          <cell r="J41">
            <v>0.642857142857143</v>
          </cell>
        </row>
        <row r="42">
          <cell r="C42" t="str">
            <v>Ground项目部 汇总</v>
          </cell>
          <cell r="D42">
            <v>88</v>
          </cell>
          <cell r="E42">
            <v>8</v>
          </cell>
          <cell r="F42">
            <v>14</v>
          </cell>
          <cell r="G42">
            <v>0.840909090909091</v>
          </cell>
          <cell r="H42">
            <v>0.616666666666667</v>
          </cell>
          <cell r="I42">
            <v>169</v>
          </cell>
          <cell r="J42">
            <v>0.61231884057971</v>
          </cell>
        </row>
        <row r="43">
          <cell r="C43" t="str">
            <v>MS 中南大区RE 北卡和东南海岸片区</v>
          </cell>
          <cell r="D43">
            <v>9</v>
          </cell>
          <cell r="E43">
            <v>0</v>
          </cell>
          <cell r="F43">
            <v>3</v>
          </cell>
          <cell r="G43">
            <v>0.666666666666667</v>
          </cell>
          <cell r="H43" t="str">
            <v>/</v>
          </cell>
          <cell r="I43">
            <v>19</v>
          </cell>
          <cell r="J43">
            <v>0.59375</v>
          </cell>
        </row>
        <row r="44">
          <cell r="C44" t="str">
            <v>MS 中南大区CS 夏洛特及周边片区</v>
          </cell>
          <cell r="D44">
            <v>12</v>
          </cell>
          <cell r="E44">
            <v>2</v>
          </cell>
          <cell r="F44">
            <v>3</v>
          </cell>
          <cell r="G44">
            <v>0.75</v>
          </cell>
          <cell r="H44" t="str">
            <v>/</v>
          </cell>
          <cell r="I44">
            <v>27</v>
          </cell>
          <cell r="J44">
            <v>0.613636363636364</v>
          </cell>
        </row>
        <row r="45">
          <cell r="C45" t="str">
            <v>MS 中南大区AS 亚特兰大和南阿拉巴马片区</v>
          </cell>
          <cell r="D45">
            <v>13</v>
          </cell>
          <cell r="E45">
            <v>4</v>
          </cell>
          <cell r="F45">
            <v>1</v>
          </cell>
          <cell r="G45">
            <v>0.923076923076923</v>
          </cell>
          <cell r="H45" t="str">
            <v>/</v>
          </cell>
          <cell r="I45">
            <v>18</v>
          </cell>
          <cell r="J45">
            <v>0.409090909090909</v>
          </cell>
        </row>
        <row r="46">
          <cell r="C46" t="str">
            <v>MS 中南大区AS 奥萨查沿海片区</v>
          </cell>
          <cell r="D46">
            <v>3</v>
          </cell>
          <cell r="E46">
            <v>1</v>
          </cell>
          <cell r="F46">
            <v>0</v>
          </cell>
          <cell r="G46">
            <v>1</v>
          </cell>
          <cell r="H46" t="str">
            <v>/</v>
          </cell>
          <cell r="I46">
            <v>1</v>
          </cell>
          <cell r="J46">
            <v>0.0833333333333333</v>
          </cell>
        </row>
        <row r="47">
          <cell r="C47" t="str">
            <v>MS 中南大区ATL.H</v>
          </cell>
          <cell r="D47">
            <v>20</v>
          </cell>
          <cell r="E47">
            <v>1</v>
          </cell>
          <cell r="F47">
            <v>0</v>
          </cell>
          <cell r="G47">
            <v>1</v>
          </cell>
          <cell r="H47">
            <v>0.5</v>
          </cell>
          <cell r="I47">
            <v>47</v>
          </cell>
          <cell r="J47">
            <v>0.652777777777778</v>
          </cell>
        </row>
        <row r="48">
          <cell r="C48" t="str">
            <v>MS 中南大区BN 田纳西和北阿拉巴马片区</v>
          </cell>
          <cell r="D48">
            <v>6</v>
          </cell>
          <cell r="E48">
            <v>1</v>
          </cell>
          <cell r="F48">
            <v>0</v>
          </cell>
          <cell r="G48">
            <v>1</v>
          </cell>
          <cell r="H48" t="str">
            <v>/</v>
          </cell>
          <cell r="I48">
            <v>0</v>
          </cell>
          <cell r="J48">
            <v>0</v>
          </cell>
        </row>
        <row r="49">
          <cell r="C49" t="str">
            <v>MS 中南大区CLT.H</v>
          </cell>
          <cell r="D49">
            <v>11</v>
          </cell>
          <cell r="E49">
            <v>2</v>
          </cell>
          <cell r="F49">
            <v>0</v>
          </cell>
          <cell r="G49">
            <v>1</v>
          </cell>
          <cell r="H49">
            <v>0.727272727272727</v>
          </cell>
          <cell r="I49">
            <v>13</v>
          </cell>
          <cell r="J49">
            <v>0.361111111111111</v>
          </cell>
        </row>
        <row r="50">
          <cell r="C50" t="str">
            <v>MS 中南大区车辆管理部</v>
          </cell>
          <cell r="D50">
            <v>2</v>
          </cell>
          <cell r="E50">
            <v>0</v>
          </cell>
          <cell r="F50">
            <v>0</v>
          </cell>
          <cell r="G50">
            <v>1</v>
          </cell>
          <cell r="H50" t="str">
            <v>/</v>
          </cell>
          <cell r="I50">
            <v>3</v>
          </cell>
          <cell r="J50">
            <v>0.375</v>
          </cell>
        </row>
        <row r="51">
          <cell r="C51" t="str">
            <v>MS 中南大区揽收部</v>
          </cell>
          <cell r="D51">
            <v>3</v>
          </cell>
          <cell r="E51">
            <v>0</v>
          </cell>
          <cell r="F51">
            <v>0</v>
          </cell>
          <cell r="G51">
            <v>1</v>
          </cell>
          <cell r="H51" t="str">
            <v>/</v>
          </cell>
          <cell r="I51">
            <v>5</v>
          </cell>
          <cell r="J51">
            <v>0.416666666666667</v>
          </cell>
        </row>
        <row r="52">
          <cell r="C52" t="str">
            <v>MS 中南大区运营支持部</v>
          </cell>
          <cell r="D52">
            <v>2</v>
          </cell>
          <cell r="E52">
            <v>0</v>
          </cell>
          <cell r="F52">
            <v>0</v>
          </cell>
          <cell r="G52">
            <v>1</v>
          </cell>
          <cell r="H52" t="str">
            <v>/</v>
          </cell>
          <cell r="I52">
            <v>0</v>
          </cell>
          <cell r="J52" t="str">
            <v>/</v>
          </cell>
        </row>
        <row r="53">
          <cell r="C53" t="str">
            <v>MS 中南大区</v>
          </cell>
          <cell r="D53" t="e">
            <v>#N/A</v>
          </cell>
          <cell r="E53" t="e">
            <v>#N/A</v>
          </cell>
          <cell r="F53" t="e">
            <v>#N/A</v>
          </cell>
          <cell r="G53" t="e">
            <v>#N/A</v>
          </cell>
          <cell r="H53" t="str">
            <v>/</v>
          </cell>
          <cell r="I53" t="e">
            <v>#N/A</v>
          </cell>
          <cell r="J53" t="e">
            <v>#N/A</v>
          </cell>
        </row>
        <row r="54">
          <cell r="C54" t="str">
            <v>MS 中南大区 汇总</v>
          </cell>
          <cell r="D54">
            <v>81</v>
          </cell>
          <cell r="E54">
            <v>11</v>
          </cell>
          <cell r="F54">
            <v>7</v>
          </cell>
          <cell r="G54">
            <v>0.91358024691358</v>
          </cell>
          <cell r="H54">
            <v>0.580645161290323</v>
          </cell>
          <cell r="I54">
            <v>133</v>
          </cell>
          <cell r="J54">
            <v>0.481884057971014</v>
          </cell>
        </row>
        <row r="55">
          <cell r="C55" t="str">
            <v>NE 东北大区车辆管理部</v>
          </cell>
          <cell r="D55">
            <v>6</v>
          </cell>
          <cell r="E55">
            <v>0</v>
          </cell>
          <cell r="F55">
            <v>5</v>
          </cell>
          <cell r="G55">
            <v>0.166666666666667</v>
          </cell>
          <cell r="H55" t="str">
            <v>/</v>
          </cell>
          <cell r="I55">
            <v>20</v>
          </cell>
          <cell r="J55">
            <v>1</v>
          </cell>
        </row>
        <row r="56">
          <cell r="C56" t="str">
            <v>NE 东北大区BWI.H</v>
          </cell>
          <cell r="D56">
            <v>7</v>
          </cell>
          <cell r="E56">
            <v>0</v>
          </cell>
          <cell r="F56">
            <v>1</v>
          </cell>
          <cell r="G56">
            <v>0.857142857142857</v>
          </cell>
          <cell r="H56">
            <v>0.571428571428571</v>
          </cell>
          <cell r="I56">
            <v>16</v>
          </cell>
          <cell r="J56">
            <v>0.8</v>
          </cell>
        </row>
        <row r="57">
          <cell r="C57" t="str">
            <v>NE 东北大区NY 纽约片区</v>
          </cell>
          <cell r="D57">
            <v>16</v>
          </cell>
          <cell r="E57">
            <v>5</v>
          </cell>
          <cell r="F57">
            <v>1</v>
          </cell>
          <cell r="G57">
            <v>0.9375</v>
          </cell>
          <cell r="H57" t="str">
            <v>/</v>
          </cell>
          <cell r="I57">
            <v>10</v>
          </cell>
          <cell r="J57">
            <v>0.3125</v>
          </cell>
        </row>
        <row r="58">
          <cell r="C58" t="str">
            <v>NE 东北大区DC 华盛顿片区</v>
          </cell>
          <cell r="D58">
            <v>21</v>
          </cell>
          <cell r="E58">
            <v>8</v>
          </cell>
          <cell r="F58">
            <v>1</v>
          </cell>
          <cell r="G58">
            <v>0.952380952380952</v>
          </cell>
          <cell r="H58" t="str">
            <v>/</v>
          </cell>
          <cell r="I58">
            <v>25</v>
          </cell>
          <cell r="J58">
            <v>0.446428571428571</v>
          </cell>
        </row>
        <row r="59">
          <cell r="C59" t="str">
            <v>NE 东北大区</v>
          </cell>
          <cell r="D59">
            <v>1</v>
          </cell>
          <cell r="E59">
            <v>0</v>
          </cell>
          <cell r="F59">
            <v>0</v>
          </cell>
          <cell r="G59">
            <v>1</v>
          </cell>
          <cell r="H59" t="str">
            <v>/</v>
          </cell>
          <cell r="I59">
            <v>2</v>
          </cell>
          <cell r="J59">
            <v>0.5</v>
          </cell>
        </row>
        <row r="60">
          <cell r="C60" t="str">
            <v>NE 东北大区BDL01</v>
          </cell>
          <cell r="D60">
            <v>3</v>
          </cell>
          <cell r="E60">
            <v>0</v>
          </cell>
          <cell r="F60">
            <v>0</v>
          </cell>
          <cell r="G60">
            <v>1</v>
          </cell>
          <cell r="H60" t="str">
            <v>/</v>
          </cell>
          <cell r="I60">
            <v>0</v>
          </cell>
          <cell r="J60">
            <v>0</v>
          </cell>
        </row>
        <row r="61">
          <cell r="C61" t="str">
            <v>NE 东北大区BN 布法罗片区</v>
          </cell>
          <cell r="D61">
            <v>6</v>
          </cell>
          <cell r="E61">
            <v>3</v>
          </cell>
          <cell r="F61">
            <v>0</v>
          </cell>
          <cell r="G61">
            <v>1</v>
          </cell>
          <cell r="H61" t="str">
            <v>/</v>
          </cell>
          <cell r="I61">
            <v>9</v>
          </cell>
          <cell r="J61">
            <v>0.375</v>
          </cell>
        </row>
        <row r="62">
          <cell r="C62" t="str">
            <v>NE 东北大区BOS01</v>
          </cell>
          <cell r="D62">
            <v>2</v>
          </cell>
          <cell r="E62">
            <v>1</v>
          </cell>
          <cell r="F62">
            <v>0</v>
          </cell>
          <cell r="G62">
            <v>1</v>
          </cell>
          <cell r="H62" t="str">
            <v>/</v>
          </cell>
          <cell r="I62">
            <v>1</v>
          </cell>
          <cell r="J62">
            <v>0.125</v>
          </cell>
        </row>
        <row r="63">
          <cell r="C63" t="str">
            <v>NE 东北大区BUF01</v>
          </cell>
          <cell r="D63">
            <v>2</v>
          </cell>
          <cell r="E63">
            <v>0</v>
          </cell>
          <cell r="F63">
            <v>0</v>
          </cell>
          <cell r="G63">
            <v>1</v>
          </cell>
          <cell r="H63" t="str">
            <v>/</v>
          </cell>
          <cell r="I63">
            <v>7</v>
          </cell>
          <cell r="J63">
            <v>0.875</v>
          </cell>
        </row>
        <row r="64">
          <cell r="C64" t="str">
            <v>NE 东北大区BWI01</v>
          </cell>
          <cell r="D64">
            <v>2</v>
          </cell>
          <cell r="E64">
            <v>0</v>
          </cell>
          <cell r="F64">
            <v>0</v>
          </cell>
          <cell r="G64">
            <v>1</v>
          </cell>
          <cell r="H64" t="str">
            <v>/</v>
          </cell>
          <cell r="I64">
            <v>6</v>
          </cell>
          <cell r="J64">
            <v>0.75</v>
          </cell>
        </row>
        <row r="65">
          <cell r="C65" t="str">
            <v>NE 东北大区EWR.H</v>
          </cell>
          <cell r="D65">
            <v>37</v>
          </cell>
          <cell r="E65">
            <v>4</v>
          </cell>
          <cell r="F65">
            <v>0</v>
          </cell>
          <cell r="G65">
            <v>1</v>
          </cell>
          <cell r="H65">
            <v>0.648648648648649</v>
          </cell>
          <cell r="I65">
            <v>67</v>
          </cell>
          <cell r="J65">
            <v>0.598214285714286</v>
          </cell>
        </row>
        <row r="66">
          <cell r="C66" t="str">
            <v>NE 东北大区EWR01</v>
          </cell>
          <cell r="D66">
            <v>1</v>
          </cell>
          <cell r="E66">
            <v>0</v>
          </cell>
          <cell r="F66">
            <v>0</v>
          </cell>
          <cell r="G66">
            <v>1</v>
          </cell>
          <cell r="H66" t="str">
            <v>/</v>
          </cell>
          <cell r="I66">
            <v>0</v>
          </cell>
          <cell r="J66" t="str">
            <v>/</v>
          </cell>
        </row>
        <row r="67">
          <cell r="C67" t="str">
            <v>NE 东北大区JFK.H</v>
          </cell>
          <cell r="D67">
            <v>15</v>
          </cell>
          <cell r="E67">
            <v>0</v>
          </cell>
          <cell r="F67">
            <v>0</v>
          </cell>
          <cell r="G67">
            <v>1</v>
          </cell>
          <cell r="H67">
            <v>1</v>
          </cell>
          <cell r="I67">
            <v>8</v>
          </cell>
          <cell r="J67">
            <v>0.285714285714286</v>
          </cell>
        </row>
        <row r="68">
          <cell r="C68" t="str">
            <v>NE 东北大区JFK01</v>
          </cell>
          <cell r="D68">
            <v>1</v>
          </cell>
          <cell r="E68">
            <v>0</v>
          </cell>
          <cell r="F68">
            <v>0</v>
          </cell>
          <cell r="G68">
            <v>1</v>
          </cell>
          <cell r="H68" t="str">
            <v>/</v>
          </cell>
          <cell r="I68">
            <v>0</v>
          </cell>
          <cell r="J68" t="str">
            <v>/</v>
          </cell>
        </row>
        <row r="69">
          <cell r="C69" t="str">
            <v>NE 东北大区MA 新英格兰片区</v>
          </cell>
          <cell r="D69">
            <v>8</v>
          </cell>
          <cell r="E69">
            <v>5</v>
          </cell>
          <cell r="F69">
            <v>0</v>
          </cell>
          <cell r="G69">
            <v>1</v>
          </cell>
          <cell r="H69" t="str">
            <v>/</v>
          </cell>
          <cell r="I69">
            <v>6</v>
          </cell>
          <cell r="J69">
            <v>0.3</v>
          </cell>
        </row>
        <row r="70">
          <cell r="C70" t="str">
            <v>NE 东北大区PA 宾州片区</v>
          </cell>
          <cell r="D70">
            <v>9</v>
          </cell>
          <cell r="E70">
            <v>5</v>
          </cell>
          <cell r="F70">
            <v>0</v>
          </cell>
          <cell r="G70">
            <v>1</v>
          </cell>
          <cell r="H70" t="str">
            <v>/</v>
          </cell>
          <cell r="I70">
            <v>20</v>
          </cell>
          <cell r="J70">
            <v>0.625</v>
          </cell>
        </row>
        <row r="71">
          <cell r="C71" t="str">
            <v>NE 东北大区PHL01</v>
          </cell>
          <cell r="D71">
            <v>1</v>
          </cell>
          <cell r="E71">
            <v>0</v>
          </cell>
          <cell r="F71">
            <v>0</v>
          </cell>
          <cell r="G71">
            <v>1</v>
          </cell>
          <cell r="H71" t="str">
            <v>/</v>
          </cell>
          <cell r="I71">
            <v>0</v>
          </cell>
          <cell r="J71" t="str">
            <v>/</v>
          </cell>
        </row>
        <row r="72">
          <cell r="C72" t="str">
            <v>NE 东北大区PIT01</v>
          </cell>
          <cell r="D72">
            <v>1</v>
          </cell>
          <cell r="E72">
            <v>1</v>
          </cell>
          <cell r="F72">
            <v>0</v>
          </cell>
          <cell r="G72">
            <v>1</v>
          </cell>
          <cell r="H72" t="str">
            <v>/</v>
          </cell>
          <cell r="I72">
            <v>2</v>
          </cell>
          <cell r="J72">
            <v>0.5</v>
          </cell>
        </row>
        <row r="73">
          <cell r="C73" t="str">
            <v>NE 东北大区RIC01</v>
          </cell>
          <cell r="D73">
            <v>1</v>
          </cell>
          <cell r="E73">
            <v>0</v>
          </cell>
          <cell r="F73">
            <v>0</v>
          </cell>
          <cell r="G73">
            <v>1</v>
          </cell>
          <cell r="H73" t="str">
            <v>/</v>
          </cell>
          <cell r="I73">
            <v>0</v>
          </cell>
          <cell r="J73">
            <v>0</v>
          </cell>
        </row>
        <row r="74">
          <cell r="C74" t="str">
            <v>NE 东北大区揽收部</v>
          </cell>
          <cell r="D74">
            <v>13</v>
          </cell>
          <cell r="E74">
            <v>1</v>
          </cell>
          <cell r="F74">
            <v>0</v>
          </cell>
          <cell r="G74">
            <v>1</v>
          </cell>
          <cell r="H74" t="str">
            <v>/</v>
          </cell>
          <cell r="I74">
            <v>31</v>
          </cell>
          <cell r="J74">
            <v>0.704545454545455</v>
          </cell>
        </row>
        <row r="75">
          <cell r="C75" t="str">
            <v>NE 东北大区运营支持部</v>
          </cell>
          <cell r="D75">
            <v>14</v>
          </cell>
          <cell r="E75">
            <v>0</v>
          </cell>
          <cell r="F75">
            <v>0</v>
          </cell>
          <cell r="G75">
            <v>1</v>
          </cell>
          <cell r="H75" t="str">
            <v>/</v>
          </cell>
          <cell r="I75">
            <v>30</v>
          </cell>
          <cell r="J75">
            <v>0.75</v>
          </cell>
        </row>
        <row r="76">
          <cell r="C76" t="str">
            <v>NE 东北大区 汇总</v>
          </cell>
          <cell r="D76">
            <v>167</v>
          </cell>
          <cell r="E76">
            <v>33</v>
          </cell>
          <cell r="F76">
            <v>8</v>
          </cell>
          <cell r="G76">
            <v>0.952095808383233</v>
          </cell>
          <cell r="H76">
            <v>0.728813559322034</v>
          </cell>
          <cell r="I76">
            <v>260</v>
          </cell>
          <cell r="J76">
            <v>0.550847457627119</v>
          </cell>
        </row>
        <row r="77">
          <cell r="C77" t="str">
            <v>TX 德州大区运营支持部</v>
          </cell>
          <cell r="D77">
            <v>7</v>
          </cell>
          <cell r="E77">
            <v>0</v>
          </cell>
          <cell r="F77">
            <v>1</v>
          </cell>
          <cell r="G77">
            <v>0.857142857142857</v>
          </cell>
          <cell r="H77" t="str">
            <v>/</v>
          </cell>
          <cell r="I77">
            <v>19</v>
          </cell>
          <cell r="J77">
            <v>0.791666666666667</v>
          </cell>
        </row>
        <row r="78">
          <cell r="C78" t="str">
            <v>TX 德州大区NT 北德州片区</v>
          </cell>
          <cell r="D78">
            <v>15</v>
          </cell>
          <cell r="E78">
            <v>1</v>
          </cell>
          <cell r="F78">
            <v>1</v>
          </cell>
          <cell r="G78">
            <v>0.933333333333333</v>
          </cell>
          <cell r="H78" t="str">
            <v>/</v>
          </cell>
          <cell r="I78">
            <v>22</v>
          </cell>
          <cell r="J78">
            <v>0.55</v>
          </cell>
        </row>
        <row r="79">
          <cell r="C79" t="str">
            <v>TX 德州大区</v>
          </cell>
          <cell r="D79">
            <v>1</v>
          </cell>
          <cell r="E79">
            <v>0</v>
          </cell>
          <cell r="F79">
            <v>0</v>
          </cell>
          <cell r="G79">
            <v>1</v>
          </cell>
          <cell r="H79" t="str">
            <v>/</v>
          </cell>
          <cell r="I79">
            <v>4</v>
          </cell>
          <cell r="J79">
            <v>1</v>
          </cell>
        </row>
        <row r="80">
          <cell r="C80" t="str">
            <v>TX 德州大区CT 中德州片区</v>
          </cell>
          <cell r="D80">
            <v>10</v>
          </cell>
          <cell r="E80">
            <v>1</v>
          </cell>
          <cell r="F80">
            <v>0</v>
          </cell>
          <cell r="G80">
            <v>1</v>
          </cell>
          <cell r="H80" t="str">
            <v>/</v>
          </cell>
          <cell r="I80">
            <v>17</v>
          </cell>
          <cell r="J80">
            <v>0.472222222222222</v>
          </cell>
        </row>
        <row r="81">
          <cell r="C81" t="str">
            <v>TX 德州大区DFW.H</v>
          </cell>
          <cell r="D81">
            <v>25</v>
          </cell>
          <cell r="E81">
            <v>1</v>
          </cell>
          <cell r="F81">
            <v>0</v>
          </cell>
          <cell r="G81">
            <v>1</v>
          </cell>
          <cell r="H81">
            <v>0.88</v>
          </cell>
          <cell r="I81">
            <v>50</v>
          </cell>
          <cell r="J81">
            <v>0.657894736842105</v>
          </cell>
        </row>
        <row r="82">
          <cell r="C82" t="str">
            <v>TX 德州大区GC 墨湾片区</v>
          </cell>
          <cell r="D82">
            <v>15</v>
          </cell>
          <cell r="E82">
            <v>1</v>
          </cell>
          <cell r="F82">
            <v>0</v>
          </cell>
          <cell r="G82">
            <v>1</v>
          </cell>
          <cell r="H82" t="str">
            <v>/</v>
          </cell>
          <cell r="I82">
            <v>37</v>
          </cell>
          <cell r="J82">
            <v>0.685185185185185</v>
          </cell>
        </row>
        <row r="83">
          <cell r="C83" t="str">
            <v>TX 德州大区IAH.H</v>
          </cell>
          <cell r="D83">
            <v>18</v>
          </cell>
          <cell r="E83">
            <v>1</v>
          </cell>
          <cell r="F83">
            <v>0</v>
          </cell>
          <cell r="G83">
            <v>1</v>
          </cell>
          <cell r="H83">
            <v>0.888888888888889</v>
          </cell>
          <cell r="I83">
            <v>26</v>
          </cell>
          <cell r="J83">
            <v>0.433333333333333</v>
          </cell>
        </row>
        <row r="84">
          <cell r="C84" t="str">
            <v>TX 德州大区揽收部</v>
          </cell>
          <cell r="D84">
            <v>9</v>
          </cell>
          <cell r="E84">
            <v>0</v>
          </cell>
          <cell r="F84">
            <v>0</v>
          </cell>
          <cell r="G84">
            <v>1</v>
          </cell>
          <cell r="H84" t="str">
            <v>/</v>
          </cell>
          <cell r="I84">
            <v>26</v>
          </cell>
          <cell r="J84">
            <v>0.722222222222222</v>
          </cell>
        </row>
        <row r="85">
          <cell r="C85" t="str">
            <v>TX 德州大区 汇总</v>
          </cell>
          <cell r="D85">
            <v>100</v>
          </cell>
          <cell r="E85">
            <v>5</v>
          </cell>
          <cell r="F85">
            <v>2</v>
          </cell>
          <cell r="G85">
            <v>0.98</v>
          </cell>
          <cell r="H85">
            <v>0.883720930232558</v>
          </cell>
          <cell r="I85">
            <v>201</v>
          </cell>
          <cell r="J85">
            <v>0.609090909090909</v>
          </cell>
        </row>
        <row r="86">
          <cell r="C86" t="str">
            <v>WE 美西大区DS 丹佛·盐湖城片区</v>
          </cell>
          <cell r="D86">
            <v>12</v>
          </cell>
          <cell r="E86">
            <v>1</v>
          </cell>
          <cell r="F86">
            <v>6</v>
          </cell>
          <cell r="G86">
            <v>0.5</v>
          </cell>
          <cell r="H86" t="str">
            <v>/</v>
          </cell>
          <cell r="I86">
            <v>37</v>
          </cell>
          <cell r="J86">
            <v>0.770833333333333</v>
          </cell>
        </row>
        <row r="87">
          <cell r="C87" t="str">
            <v>WE 美西大区NC 北加片区</v>
          </cell>
          <cell r="D87">
            <v>27</v>
          </cell>
          <cell r="E87">
            <v>4</v>
          </cell>
          <cell r="F87">
            <v>1</v>
          </cell>
          <cell r="G87">
            <v>0.962962962962963</v>
          </cell>
          <cell r="H87">
            <v>0.62962962962963</v>
          </cell>
          <cell r="I87">
            <v>48</v>
          </cell>
          <cell r="J87">
            <v>0.545454545454545</v>
          </cell>
        </row>
        <row r="88">
          <cell r="C88" t="str">
            <v>WE 美西大区CNO.H</v>
          </cell>
          <cell r="D88">
            <v>48</v>
          </cell>
          <cell r="E88">
            <v>0</v>
          </cell>
          <cell r="F88">
            <v>0</v>
          </cell>
          <cell r="G88">
            <v>1</v>
          </cell>
          <cell r="H88">
            <v>0.5625</v>
          </cell>
          <cell r="I88">
            <v>91</v>
          </cell>
          <cell r="J88">
            <v>0.614864864864865</v>
          </cell>
        </row>
        <row r="89">
          <cell r="C89" t="str">
            <v>WE 美西大区LAV.H</v>
          </cell>
          <cell r="D89">
            <v>41</v>
          </cell>
          <cell r="E89">
            <v>1</v>
          </cell>
          <cell r="F89">
            <v>0</v>
          </cell>
          <cell r="G89">
            <v>1</v>
          </cell>
          <cell r="H89">
            <v>0.609756097560976</v>
          </cell>
          <cell r="I89">
            <v>68</v>
          </cell>
          <cell r="J89">
            <v>0.653846153846154</v>
          </cell>
        </row>
        <row r="90">
          <cell r="C90" t="str">
            <v>WE 美西大区LA揽收部</v>
          </cell>
          <cell r="D90">
            <v>7</v>
          </cell>
          <cell r="E90">
            <v>0</v>
          </cell>
          <cell r="F90">
            <v>0</v>
          </cell>
          <cell r="G90">
            <v>1</v>
          </cell>
          <cell r="H90" t="str">
            <v>/</v>
          </cell>
          <cell r="I90">
            <v>14</v>
          </cell>
          <cell r="J90">
            <v>0.7</v>
          </cell>
        </row>
        <row r="91">
          <cell r="C91" t="str">
            <v>WE 美西大区SC 南加片区</v>
          </cell>
          <cell r="D91">
            <v>26</v>
          </cell>
          <cell r="E91">
            <v>6</v>
          </cell>
          <cell r="F91">
            <v>0</v>
          </cell>
          <cell r="G91">
            <v>1</v>
          </cell>
          <cell r="H91" t="str">
            <v>/</v>
          </cell>
          <cell r="I91">
            <v>43</v>
          </cell>
          <cell r="J91">
            <v>0.467391304347826</v>
          </cell>
        </row>
        <row r="92">
          <cell r="C92" t="str">
            <v>WE 美西大区SP 西雅图·波特兰片区</v>
          </cell>
          <cell r="D92">
            <v>11</v>
          </cell>
          <cell r="E92">
            <v>1</v>
          </cell>
          <cell r="F92">
            <v>0</v>
          </cell>
          <cell r="G92">
            <v>1</v>
          </cell>
          <cell r="H92" t="str">
            <v>/</v>
          </cell>
          <cell r="I92">
            <v>19</v>
          </cell>
          <cell r="J92">
            <v>0.475</v>
          </cell>
        </row>
        <row r="93">
          <cell r="C93" t="str">
            <v>WE 美西大区车辆管理部</v>
          </cell>
          <cell r="D93">
            <v>5</v>
          </cell>
          <cell r="E93">
            <v>0</v>
          </cell>
          <cell r="F93">
            <v>0</v>
          </cell>
          <cell r="G93">
            <v>1</v>
          </cell>
          <cell r="H93" t="str">
            <v>/</v>
          </cell>
          <cell r="I93">
            <v>15</v>
          </cell>
          <cell r="J93">
            <v>0.75</v>
          </cell>
        </row>
        <row r="94">
          <cell r="C94" t="str">
            <v>WE 美西大区运营支持部</v>
          </cell>
          <cell r="D94">
            <v>13</v>
          </cell>
          <cell r="E94">
            <v>1</v>
          </cell>
          <cell r="F94">
            <v>0</v>
          </cell>
          <cell r="G94">
            <v>1</v>
          </cell>
          <cell r="H94" t="str">
            <v>/</v>
          </cell>
          <cell r="I94">
            <v>8</v>
          </cell>
          <cell r="J94">
            <v>0.25</v>
          </cell>
        </row>
        <row r="95">
          <cell r="C95" t="str">
            <v>WE 美西大区 汇总</v>
          </cell>
          <cell r="D95">
            <v>190</v>
          </cell>
          <cell r="E95">
            <v>14</v>
          </cell>
          <cell r="F95">
            <v>7</v>
          </cell>
          <cell r="G95">
            <v>0.963157894736842</v>
          </cell>
          <cell r="H95">
            <v>0.594827586206897</v>
          </cell>
          <cell r="I95">
            <v>343</v>
          </cell>
          <cell r="J95">
            <v>0.579391891891892</v>
          </cell>
        </row>
        <row r="96">
          <cell r="C96" t="str">
            <v>AD 行政部</v>
          </cell>
          <cell r="D96">
            <v>18</v>
          </cell>
          <cell r="E96">
            <v>1</v>
          </cell>
          <cell r="F96">
            <v>0</v>
          </cell>
          <cell r="G96">
            <v>1</v>
          </cell>
          <cell r="H96" t="str">
            <v>/</v>
          </cell>
          <cell r="I96">
            <v>27</v>
          </cell>
          <cell r="J96">
            <v>0.482142857142857</v>
          </cell>
        </row>
        <row r="97">
          <cell r="C97" t="str">
            <v>AS 审计监察部</v>
          </cell>
          <cell r="D97">
            <v>2</v>
          </cell>
          <cell r="E97">
            <v>0</v>
          </cell>
          <cell r="F97">
            <v>0</v>
          </cell>
          <cell r="G97">
            <v>1</v>
          </cell>
          <cell r="H97" t="str">
            <v>/</v>
          </cell>
          <cell r="I97">
            <v>3</v>
          </cell>
          <cell r="J97">
            <v>0.75</v>
          </cell>
        </row>
        <row r="98">
          <cell r="C98" t="str">
            <v>BD 本地客户部</v>
          </cell>
          <cell r="D98">
            <v>17</v>
          </cell>
          <cell r="E98">
            <v>0</v>
          </cell>
          <cell r="F98">
            <v>0</v>
          </cell>
          <cell r="G98">
            <v>1</v>
          </cell>
          <cell r="H98" t="str">
            <v>/</v>
          </cell>
          <cell r="I98">
            <v>64</v>
          </cell>
          <cell r="J98">
            <v>1</v>
          </cell>
        </row>
        <row r="99">
          <cell r="C99" t="str">
            <v>BM 品牌市场部</v>
          </cell>
          <cell r="D99">
            <v>6</v>
          </cell>
          <cell r="E99">
            <v>0</v>
          </cell>
          <cell r="F99">
            <v>0</v>
          </cell>
          <cell r="G99">
            <v>1</v>
          </cell>
          <cell r="H99" t="str">
            <v>/</v>
          </cell>
          <cell r="I99">
            <v>9</v>
          </cell>
          <cell r="J99">
            <v>0.75</v>
          </cell>
        </row>
        <row r="100">
          <cell r="C100" t="str">
            <v>CM 运力管理部</v>
          </cell>
          <cell r="D100">
            <v>12</v>
          </cell>
          <cell r="E100">
            <v>0</v>
          </cell>
          <cell r="F100">
            <v>1</v>
          </cell>
          <cell r="G100">
            <v>0.916666666666667</v>
          </cell>
          <cell r="H100" t="str">
            <v>/</v>
          </cell>
          <cell r="I100">
            <v>35</v>
          </cell>
          <cell r="J100">
            <v>0.795454545454545</v>
          </cell>
        </row>
        <row r="101">
          <cell r="C101" t="str">
            <v>CS 客户服务部</v>
          </cell>
          <cell r="D101">
            <v>7</v>
          </cell>
          <cell r="E101">
            <v>0</v>
          </cell>
          <cell r="F101">
            <v>0</v>
          </cell>
          <cell r="G101">
            <v>1</v>
          </cell>
          <cell r="H101" t="str">
            <v>/</v>
          </cell>
          <cell r="I101">
            <v>10</v>
          </cell>
          <cell r="J101">
            <v>0.357142857142857</v>
          </cell>
        </row>
        <row r="102">
          <cell r="C102" t="str">
            <v>DO 数字运营部</v>
          </cell>
          <cell r="D102">
            <v>15</v>
          </cell>
          <cell r="E102">
            <v>0</v>
          </cell>
          <cell r="F102">
            <v>0</v>
          </cell>
          <cell r="G102">
            <v>1</v>
          </cell>
          <cell r="H102" t="str">
            <v>/</v>
          </cell>
          <cell r="I102">
            <v>28</v>
          </cell>
          <cell r="J102">
            <v>0.875</v>
          </cell>
        </row>
        <row r="103">
          <cell r="C103" t="str">
            <v>Gofo财务部</v>
          </cell>
          <cell r="D103">
            <v>3</v>
          </cell>
          <cell r="E103">
            <v>0</v>
          </cell>
          <cell r="F103">
            <v>0</v>
          </cell>
          <cell r="G103">
            <v>1</v>
          </cell>
          <cell r="H103" t="str">
            <v>/</v>
          </cell>
          <cell r="I103">
            <v>9</v>
          </cell>
          <cell r="J103">
            <v>0.75</v>
          </cell>
        </row>
        <row r="104">
          <cell r="C104" t="str">
            <v>NP 网络规划部</v>
          </cell>
          <cell r="D104">
            <v>1</v>
          </cell>
          <cell r="E104">
            <v>0</v>
          </cell>
          <cell r="F104">
            <v>0</v>
          </cell>
          <cell r="G104">
            <v>1</v>
          </cell>
          <cell r="H104" t="str">
            <v>/</v>
          </cell>
          <cell r="I104">
            <v>0</v>
          </cell>
          <cell r="J104" t="str">
            <v>/</v>
          </cell>
        </row>
        <row r="105">
          <cell r="C105" t="str">
            <v>OM 操作管理部</v>
          </cell>
          <cell r="D105">
            <v>15</v>
          </cell>
          <cell r="E105">
            <v>0</v>
          </cell>
          <cell r="F105">
            <v>0</v>
          </cell>
          <cell r="G105">
            <v>1</v>
          </cell>
          <cell r="H105" t="str">
            <v>/</v>
          </cell>
          <cell r="I105">
            <v>26</v>
          </cell>
          <cell r="J105">
            <v>0.590909090909091</v>
          </cell>
        </row>
        <row r="106">
          <cell r="C106" t="str">
            <v>QC 质量控制部</v>
          </cell>
          <cell r="D106">
            <v>6</v>
          </cell>
          <cell r="E106">
            <v>1</v>
          </cell>
          <cell r="F106">
            <v>0</v>
          </cell>
          <cell r="G106">
            <v>1</v>
          </cell>
          <cell r="H106" t="str">
            <v>/</v>
          </cell>
          <cell r="I106">
            <v>11</v>
          </cell>
          <cell r="J106">
            <v>0.458333333333333</v>
          </cell>
        </row>
        <row r="107">
          <cell r="C107" t="str">
            <v>SM 站点管理部</v>
          </cell>
          <cell r="D107">
            <v>8</v>
          </cell>
          <cell r="E107">
            <v>1</v>
          </cell>
          <cell r="F107">
            <v>0</v>
          </cell>
          <cell r="G107">
            <v>1</v>
          </cell>
          <cell r="H107" t="str">
            <v>/</v>
          </cell>
          <cell r="I107">
            <v>5</v>
          </cell>
          <cell r="J107">
            <v>0.625</v>
          </cell>
        </row>
        <row r="108">
          <cell r="C108" t="str">
            <v>US人力资源部</v>
          </cell>
          <cell r="D108">
            <v>50</v>
          </cell>
          <cell r="E108">
            <v>1</v>
          </cell>
          <cell r="F108">
            <v>2</v>
          </cell>
          <cell r="G108">
            <v>0.96</v>
          </cell>
          <cell r="H108" t="str">
            <v>/</v>
          </cell>
          <cell r="I108">
            <v>129</v>
          </cell>
          <cell r="J108">
            <v>0.72</v>
          </cell>
        </row>
        <row r="109">
          <cell r="C109" t="str">
            <v>IC 跨境客户部</v>
          </cell>
          <cell r="D109">
            <v>6</v>
          </cell>
          <cell r="E109">
            <v>0</v>
          </cell>
          <cell r="F109">
            <v>0</v>
          </cell>
          <cell r="G109">
            <v>1</v>
          </cell>
          <cell r="H109" t="str">
            <v>/</v>
          </cell>
          <cell r="I109">
            <v>12</v>
          </cell>
          <cell r="J109">
            <v>0.75</v>
          </cell>
        </row>
        <row r="110">
          <cell r="C110" t="str">
            <v>LD 法务部</v>
          </cell>
          <cell r="D110">
            <v>2</v>
          </cell>
          <cell r="E110">
            <v>0</v>
          </cell>
          <cell r="F110">
            <v>0</v>
          </cell>
          <cell r="G110">
            <v>1</v>
          </cell>
          <cell r="H110" t="str">
            <v>/</v>
          </cell>
          <cell r="I110">
            <v>2</v>
          </cell>
          <cell r="J110">
            <v>0.25</v>
          </cell>
        </row>
        <row r="111">
          <cell r="C111" t="str">
            <v>总计</v>
          </cell>
          <cell r="D111">
            <v>990</v>
          </cell>
          <cell r="E111">
            <v>105</v>
          </cell>
          <cell r="F111">
            <v>51</v>
          </cell>
          <cell r="G111">
            <v>0.948484848484848</v>
          </cell>
          <cell r="H111">
            <v>0.667493796526055</v>
          </cell>
          <cell r="I111">
            <v>1792</v>
          </cell>
          <cell r="J111">
            <v>0.587540983606557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509人员排班情况 副本"/>
    </sheetNames>
    <sheetDataSet>
      <sheetData sheetId="0">
        <row r="1">
          <cell r="G1" t="str">
            <v>辅助</v>
          </cell>
          <cell r="H1" t="str">
            <v>岗位名称</v>
          </cell>
          <cell r="I1" t="str">
            <v>班次</v>
          </cell>
          <cell r="J1" t="str">
            <v>首打卡</v>
          </cell>
          <cell r="K1" t="str">
            <v>末打卡</v>
          </cell>
          <cell r="L1" t="str">
            <v>排班是否正确</v>
          </cell>
          <cell r="M1" t="str">
            <v>居家办公工时</v>
          </cell>
          <cell r="N1" t="str">
            <v>每日总工时</v>
          </cell>
          <cell r="O1" t="str">
            <v>日超8h工时</v>
          </cell>
          <cell r="P1" t="str">
            <v>累计总工时</v>
          </cell>
          <cell r="Q1" t="str">
            <v>本周加班工时</v>
          </cell>
          <cell r="R1" t="str">
            <v>区域BP</v>
          </cell>
          <cell r="S1" t="str">
            <v>区长</v>
          </cell>
          <cell r="T1" t="str">
            <v>负责人</v>
          </cell>
          <cell r="U1" t="str">
            <v>仓长</v>
          </cell>
        </row>
        <row r="2">
          <cell r="G2" t="str">
            <v>MS 中南大区RE 北卡和东南海岸片区ILM01</v>
          </cell>
          <cell r="H2" t="str">
            <v>Warehouse Operator 操作员(兼)</v>
          </cell>
        </row>
        <row r="2">
          <cell r="L2" t="str">
            <v>/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 t="str">
            <v>欧阳迎春Flower（Yingchun Ouyang）</v>
          </cell>
          <cell r="S2" t="str">
            <v>杨云飞</v>
          </cell>
        </row>
        <row r="3">
          <cell r="G3" t="str">
            <v>MS 中南大区AS 亚特兰大和南阿拉巴马片区MOB01</v>
          </cell>
          <cell r="H3" t="str">
            <v>Warehouse Operator 操作员</v>
          </cell>
        </row>
        <row r="3">
          <cell r="L3" t="str">
            <v>/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str">
            <v>欧阳迎春Flower（Yingchun Ouyang）</v>
          </cell>
          <cell r="S3" t="str">
            <v>杨云飞</v>
          </cell>
          <cell r="T3" t="str">
            <v>曾令桓（Linghuan Zeng）</v>
          </cell>
        </row>
        <row r="4">
          <cell r="G4" t="str">
            <v>MS 中南大区RE 北卡和东南海岸片区MYR01</v>
          </cell>
          <cell r="H4" t="str">
            <v>Warehouse Operator 操作员(兼)</v>
          </cell>
        </row>
        <row r="4">
          <cell r="L4" t="str">
            <v>/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欧阳迎春Flower（Yingchun Ouyang）</v>
          </cell>
          <cell r="S4" t="str">
            <v>杨云飞</v>
          </cell>
        </row>
        <row r="5">
          <cell r="G5" t="str">
            <v>FL 佛州大区运营支持部区域支持组</v>
          </cell>
          <cell r="H5" t="str">
            <v>Regional Support Specialist 区域支持专员</v>
          </cell>
        </row>
        <row r="5">
          <cell r="L5" t="str">
            <v>/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str">
            <v>Natalia (Natalia Padilla),孙婕 Jasmine（Sunjie）</v>
          </cell>
          <cell r="S5" t="str">
            <v>贺子强Jeff (Ziqiang He)</v>
          </cell>
        </row>
        <row r="6">
          <cell r="G6" t="str">
            <v>NE 东北大区NY 纽约片区BDR01</v>
          </cell>
          <cell r="H6" t="str">
            <v>Station Operations Specialist 站点运营专员</v>
          </cell>
        </row>
        <row r="6">
          <cell r="L6" t="str">
            <v>/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孙可君Monica（Kejun Sun）</v>
          </cell>
          <cell r="S6" t="str">
            <v>马聪Cong (Cong Ma)</v>
          </cell>
          <cell r="T6" t="str">
            <v>朱晗宇 Peter (Hanyu Zhu)</v>
          </cell>
        </row>
        <row r="7">
          <cell r="G7" t="str">
            <v>GL 大湖大区运营支持部</v>
          </cell>
          <cell r="H7" t="str">
            <v>Senior Operations Support Supervisor 高级运营支持主管</v>
          </cell>
        </row>
        <row r="7">
          <cell r="L7" t="str">
            <v>/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str">
            <v>王晓丹 Jasmine（Xiaodan Wang）,周延舒Isabel（Yanshu Zhou）</v>
          </cell>
          <cell r="S7" t="str">
            <v>张骥Ji Zhang (Ji Zhang)</v>
          </cell>
        </row>
        <row r="8">
          <cell r="G8" t="str">
            <v>FL 佛州大区MF 中佛片区OCF01</v>
          </cell>
          <cell r="H8" t="str">
            <v>Station Operations Specialist 站点运营专员</v>
          </cell>
        </row>
        <row r="8">
          <cell r="L8" t="str">
            <v>/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str">
            <v>Natalia (Natalia Padilla),孙婕 Jasmine（Sunjie）</v>
          </cell>
          <cell r="S8" t="str">
            <v>贺子强Jeff (Ziqiang He)</v>
          </cell>
          <cell r="T8" t="str">
            <v>朱家仡Andrew (Jiayi Zhu)</v>
          </cell>
        </row>
        <row r="9">
          <cell r="G9" t="str">
            <v>TX 德州大区NT 北德州片区SPR01</v>
          </cell>
          <cell r="H9" t="str">
            <v>Station Operations Specialist 站点运营专员</v>
          </cell>
        </row>
        <row r="9">
          <cell r="L9" t="str">
            <v>/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str">
            <v>肖芦莉Lily (Luli Xiao)</v>
          </cell>
          <cell r="S9" t="str">
            <v>张骥Ji Zhang (Ji Zhang)</v>
          </cell>
          <cell r="T9" t="str">
            <v>何琼joan(Qiong He)</v>
          </cell>
        </row>
        <row r="10">
          <cell r="G10" t="str">
            <v>MS 中南大区RE 北卡和东南海岸片区RDU01</v>
          </cell>
          <cell r="H10" t="str">
            <v>Station Operations Specialist 站点运营专员</v>
          </cell>
        </row>
        <row r="10">
          <cell r="L10" t="str">
            <v>/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欧阳迎春Flower（Yingchun Ouyang）</v>
          </cell>
          <cell r="S10" t="str">
            <v>杨云飞</v>
          </cell>
          <cell r="T10" t="str">
            <v>张森 (Sen Zhang)</v>
          </cell>
        </row>
        <row r="11">
          <cell r="G11" t="str">
            <v>FL 佛州大区TPA01</v>
          </cell>
          <cell r="H11" t="str">
            <v>Station Operations Specialist 站点运营专员</v>
          </cell>
          <cell r="I11" t="str">
            <v>TY_04:00</v>
          </cell>
        </row>
        <row r="11">
          <cell r="L11" t="str">
            <v>/</v>
          </cell>
          <cell r="M11">
            <v>0</v>
          </cell>
          <cell r="N11">
            <v>0</v>
          </cell>
          <cell r="O11">
            <v>0</v>
          </cell>
          <cell r="P11">
            <v>23.91</v>
          </cell>
          <cell r="Q11">
            <v>0</v>
          </cell>
          <cell r="R11" t="str">
            <v>Natalia (Natalia Padilla),孙婕 Jasmine（Sunjie）</v>
          </cell>
          <cell r="S11" t="str">
            <v>贺子强Jeff (Ziqiang He)</v>
          </cell>
        </row>
        <row r="12">
          <cell r="G12" t="str">
            <v>FL 佛州大区MIA.H操作组</v>
          </cell>
          <cell r="H12" t="str">
            <v>Warehouse Operator 操作员</v>
          </cell>
          <cell r="I12" t="str">
            <v>TY_休息日</v>
          </cell>
          <cell r="J12" t="str">
            <v>12:59</v>
          </cell>
          <cell r="K12" t="str">
            <v>16:37</v>
          </cell>
          <cell r="L12" t="str">
            <v>不正确</v>
          </cell>
          <cell r="M12">
            <v>0</v>
          </cell>
          <cell r="N12">
            <v>3.13</v>
          </cell>
          <cell r="O12">
            <v>0</v>
          </cell>
          <cell r="P12">
            <v>0</v>
          </cell>
          <cell r="Q12">
            <v>0</v>
          </cell>
          <cell r="R12" t="str">
            <v>Natalia (Natalia Padilla),孙婕 Jasmine（Sunjie）</v>
          </cell>
          <cell r="S12" t="str">
            <v>贺子强Jeff (Ziqiang He)</v>
          </cell>
          <cell r="T12" t="str">
            <v>Minqing (Minqing Xu),罗煜雄 Mike (Yuxiong Luo)</v>
          </cell>
        </row>
        <row r="13">
          <cell r="G13" t="str">
            <v>TX 德州大区GC 墨湾片区MFE01</v>
          </cell>
          <cell r="H13" t="str">
            <v>Station Operations Specialist 站点运营专员</v>
          </cell>
          <cell r="I13" t="str">
            <v>TY_06:30</v>
          </cell>
        </row>
        <row r="13">
          <cell r="L13" t="str">
            <v>/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肖芦莉Lily (Luli Xiao)</v>
          </cell>
          <cell r="S13" t="str">
            <v>张骥Ji Zhang (Ji Zhang)</v>
          </cell>
          <cell r="T13" t="str">
            <v>金磊Brian（LEI JIN）</v>
          </cell>
        </row>
        <row r="14">
          <cell r="G14" t="str">
            <v>WE 美西大区LAV.H操作组</v>
          </cell>
          <cell r="H14" t="str">
            <v>Warehouse Operator 操作员</v>
          </cell>
          <cell r="I14" t="str">
            <v>TY_05:00</v>
          </cell>
        </row>
        <row r="14">
          <cell r="L14" t="str">
            <v>/</v>
          </cell>
          <cell r="M14">
            <v>0</v>
          </cell>
          <cell r="N14">
            <v>0</v>
          </cell>
          <cell r="O14">
            <v>0</v>
          </cell>
          <cell r="P14">
            <v>46.11</v>
          </cell>
          <cell r="Q14">
            <v>6.11</v>
          </cell>
          <cell r="R14" t="str">
            <v>王骞Ariel（Qian Wang）,叶秀芳Freya (Xiufang Ye)</v>
          </cell>
          <cell r="S14" t="str">
            <v>常哲</v>
          </cell>
          <cell r="T14" t="str">
            <v>Minqing (Minqing Xu),罗煜雄 Mike (Yuxiong Luo)</v>
          </cell>
        </row>
        <row r="15">
          <cell r="G15" t="str">
            <v>FL 佛州大区MIA.H操作组</v>
          </cell>
          <cell r="H15" t="str">
            <v>Warehouse Operator 操作员</v>
          </cell>
          <cell r="I15" t="str">
            <v>TY_06:00</v>
          </cell>
          <cell r="J15" t="str">
            <v>06:02</v>
          </cell>
          <cell r="K15" t="str">
            <v>17:17</v>
          </cell>
          <cell r="L15" t="str">
            <v>正确</v>
          </cell>
          <cell r="M15">
            <v>0</v>
          </cell>
          <cell r="N15">
            <v>10.75</v>
          </cell>
          <cell r="O15">
            <v>2.75</v>
          </cell>
          <cell r="P15">
            <v>0</v>
          </cell>
          <cell r="Q15">
            <v>0</v>
          </cell>
          <cell r="R15" t="str">
            <v>Natalia (Natalia Padilla),孙婕 Jasmine（Sunjie）</v>
          </cell>
          <cell r="S15" t="str">
            <v>贺子强Jeff (Ziqiang He)</v>
          </cell>
          <cell r="T15" t="str">
            <v>Minqing (Minqing Xu),罗煜雄 Mike (Yuxiong Luo)</v>
          </cell>
        </row>
        <row r="16">
          <cell r="G16" t="str">
            <v>MS 中南大区AS 亚特兰大和南阿拉巴马片区ATL01</v>
          </cell>
          <cell r="H16" t="str">
            <v>Warehouse Operator 操作员</v>
          </cell>
          <cell r="I16" t="str">
            <v>TY_休息日</v>
          </cell>
        </row>
        <row r="16">
          <cell r="L16" t="str">
            <v>正确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str">
            <v>欧阳迎春Flower（Yingchun Ouyang）</v>
          </cell>
          <cell r="S16" t="str">
            <v>杨云飞</v>
          </cell>
          <cell r="T16" t="str">
            <v>李明峰Lucas(Mingfeng Li)</v>
          </cell>
        </row>
        <row r="17">
          <cell r="G17" t="str">
            <v>BD 本地客户部客服组</v>
          </cell>
          <cell r="H17" t="str">
            <v>Customer Service Specialist 客服专员</v>
          </cell>
          <cell r="I17" t="str">
            <v>TY_休息日</v>
          </cell>
        </row>
        <row r="17">
          <cell r="L17" t="str">
            <v>正确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str">
            <v>袁博闻(Bowen Yuan)</v>
          </cell>
        </row>
        <row r="18">
          <cell r="G18" t="str">
            <v>AS 审计监察部</v>
          </cell>
          <cell r="H18" t="str">
            <v>Senior Overseas Audit Manager 高级海外审计经理</v>
          </cell>
          <cell r="I18" t="str">
            <v>TY_休息日</v>
          </cell>
        </row>
        <row r="18">
          <cell r="L18" t="str">
            <v>正确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str">
            <v>袁博闻(Bowen Yuan)</v>
          </cell>
        </row>
        <row r="19">
          <cell r="G19" t="str">
            <v>FL 佛州大区MIA.H调度组</v>
          </cell>
          <cell r="H19" t="str">
            <v>Dispatch Lead 调度组长</v>
          </cell>
          <cell r="I19" t="str">
            <v>TY_18:00</v>
          </cell>
          <cell r="J19" t="str">
            <v>15:49</v>
          </cell>
          <cell r="K19" t="str">
            <v>03:01</v>
          </cell>
          <cell r="L19" t="str">
            <v>不正确</v>
          </cell>
          <cell r="M19">
            <v>0</v>
          </cell>
          <cell r="N19">
            <v>10.7</v>
          </cell>
          <cell r="O19">
            <v>2.7</v>
          </cell>
          <cell r="P19">
            <v>0</v>
          </cell>
          <cell r="Q19">
            <v>0</v>
          </cell>
          <cell r="R19" t="str">
            <v>Natalia (Natalia Padilla),孙婕 Jasmine（Sunjie）</v>
          </cell>
          <cell r="S19" t="str">
            <v>贺子强Jeff (Ziqiang He)</v>
          </cell>
          <cell r="T19" t="str">
            <v>Minqing (Minqing Xu),罗煜雄 Mike (Yuxiong Luo)</v>
          </cell>
        </row>
        <row r="20">
          <cell r="G20" t="str">
            <v>FL 佛州大区MIA.H调度组</v>
          </cell>
          <cell r="H20" t="str">
            <v>Dispatch Lead 调度组长</v>
          </cell>
          <cell r="I20" t="str">
            <v>TY_休息日</v>
          </cell>
        </row>
        <row r="20">
          <cell r="L20" t="str">
            <v>正确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str">
            <v>Natalia (Natalia Padilla),孙婕 Jasmine（Sunjie）</v>
          </cell>
          <cell r="S20" t="str">
            <v>贺子强Jeff (Ziqiang He)</v>
          </cell>
          <cell r="T20" t="str">
            <v>Minqing (Minqing Xu),罗煜雄 Mike (Yuxiong Luo)</v>
          </cell>
        </row>
        <row r="21">
          <cell r="G21" t="str">
            <v>MS 中南大区CLT.H操作组</v>
          </cell>
          <cell r="H21" t="str">
            <v>Warehouse Operator 操作员</v>
          </cell>
          <cell r="I21" t="str">
            <v>TY_08:00</v>
          </cell>
          <cell r="J21" t="str">
            <v>08:49</v>
          </cell>
          <cell r="K21" t="str">
            <v>16:42</v>
          </cell>
          <cell r="L21" t="str">
            <v>正确</v>
          </cell>
          <cell r="M21">
            <v>0</v>
          </cell>
          <cell r="N21">
            <v>7.38</v>
          </cell>
          <cell r="O21">
            <v>0</v>
          </cell>
          <cell r="P21">
            <v>0</v>
          </cell>
          <cell r="Q21">
            <v>0</v>
          </cell>
          <cell r="R21" t="str">
            <v>欧阳迎春Flower（Yingchun Ouyang）</v>
          </cell>
          <cell r="S21" t="str">
            <v>杨云飞</v>
          </cell>
          <cell r="T21" t="str">
            <v>Minqing (Minqing Xu),罗煜雄 Mike (Yuxiong Luo)</v>
          </cell>
        </row>
        <row r="22">
          <cell r="G22" t="str">
            <v>WE 美西大区SC 南加片区FAT01</v>
          </cell>
          <cell r="H22" t="str">
            <v>Station Operations Specialist 站点运营专员</v>
          </cell>
          <cell r="I22" t="str">
            <v>TY_休息日</v>
          </cell>
        </row>
        <row r="22">
          <cell r="L22" t="str">
            <v>正确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王骞Ariel（Qian Wang）,叶秀芳Freya (Xiufang Ye)</v>
          </cell>
          <cell r="S22" t="str">
            <v>常哲</v>
          </cell>
          <cell r="T22" t="str">
            <v>尤梦楠Yuko（Mengnan You）</v>
          </cell>
        </row>
        <row r="23">
          <cell r="G23" t="str">
            <v>TX 德州大区NT 北德州片区DFW01</v>
          </cell>
          <cell r="H23" t="str">
            <v>Station Operations Specialist 站点运营专员</v>
          </cell>
          <cell r="I23" t="str">
            <v>TY_休息日</v>
          </cell>
        </row>
        <row r="23">
          <cell r="L23" t="str">
            <v>正确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str">
            <v>肖芦莉Lily (Luli Xiao)</v>
          </cell>
          <cell r="S23" t="str">
            <v>张骥Ji Zhang (Ji Zhang)</v>
          </cell>
          <cell r="T23" t="str">
            <v>何琼joan(Qiong He)</v>
          </cell>
        </row>
        <row r="24">
          <cell r="G24" t="str">
            <v>BD 本地客户部北美销售组</v>
          </cell>
          <cell r="H24" t="str">
            <v>Sales Supervisor 销售主管</v>
          </cell>
          <cell r="I24" t="str">
            <v>TY_休息日</v>
          </cell>
        </row>
        <row r="24">
          <cell r="L24" t="str">
            <v>正确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str">
            <v>袁博闻(Bowen Yuan)</v>
          </cell>
        </row>
        <row r="25">
          <cell r="G25" t="str">
            <v>BD 本地客户部北美销售组</v>
          </cell>
          <cell r="H25" t="str">
            <v>Sales Supervisor 销售主管</v>
          </cell>
          <cell r="I25" t="str">
            <v>TY_休息日</v>
          </cell>
        </row>
        <row r="25">
          <cell r="L25" t="str">
            <v>正确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str">
            <v>袁博闻(Bowen Yuan)</v>
          </cell>
        </row>
        <row r="26">
          <cell r="G26" t="str">
            <v>BD 本地客户部加拿大运营组</v>
          </cell>
          <cell r="H26" t="str">
            <v>Junior Operations Support Specialist 初级运营支持专员</v>
          </cell>
          <cell r="I26" t="str">
            <v>TY_休息日</v>
          </cell>
        </row>
        <row r="26">
          <cell r="L26" t="str">
            <v>正确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袁博闻(Bowen Yuan)</v>
          </cell>
        </row>
        <row r="27">
          <cell r="G27" t="str">
            <v>FL 佛州大区MCO.H分拣组</v>
          </cell>
          <cell r="H27" t="str">
            <v>Sorting Lead 分拣组长</v>
          </cell>
          <cell r="I27" t="str">
            <v>TY_休息日</v>
          </cell>
        </row>
        <row r="27">
          <cell r="L27" t="str">
            <v>正确</v>
          </cell>
          <cell r="M27">
            <v>0</v>
          </cell>
          <cell r="N27">
            <v>0</v>
          </cell>
          <cell r="O27">
            <v>0</v>
          </cell>
          <cell r="P27">
            <v>59.22</v>
          </cell>
          <cell r="Q27">
            <v>19.22</v>
          </cell>
          <cell r="R27" t="str">
            <v>Natalia (Natalia Padilla),孙婕 Jasmine（Sunjie）</v>
          </cell>
          <cell r="S27" t="str">
            <v>贺子强Jeff (Ziqiang He)</v>
          </cell>
          <cell r="T27" t="str">
            <v>张双甫(Shuangfu Zhang)</v>
          </cell>
        </row>
        <row r="28">
          <cell r="G28" t="str">
            <v>FL 佛州大区SRQ01</v>
          </cell>
          <cell r="H28" t="str">
            <v>Station Operations Specialist 站点运营专员</v>
          </cell>
          <cell r="I28" t="str">
            <v>TY_04:00</v>
          </cell>
        </row>
        <row r="28">
          <cell r="L28" t="str">
            <v>/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Natalia (Natalia Padilla),孙婕 Jasmine（Sunjie）</v>
          </cell>
          <cell r="S28" t="str">
            <v>贺子强Jeff (Ziqiang He)</v>
          </cell>
        </row>
        <row r="29">
          <cell r="G29" t="str">
            <v>BD 本地客户部北美销售组</v>
          </cell>
          <cell r="H29" t="str">
            <v>Sales Supervisor 销售主管</v>
          </cell>
          <cell r="I29" t="str">
            <v>TY_休息日</v>
          </cell>
        </row>
        <row r="29">
          <cell r="L29" t="str">
            <v>正确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袁博闻(Bowen Yuan)</v>
          </cell>
        </row>
        <row r="30">
          <cell r="G30" t="str">
            <v>WE 美西大区LAV.H操作组</v>
          </cell>
          <cell r="H30" t="str">
            <v>Warehouse Lead 操作组长</v>
          </cell>
          <cell r="I30" t="str">
            <v>TY_美国节假日（9点-18点）</v>
          </cell>
        </row>
        <row r="30">
          <cell r="L30" t="str">
            <v>正确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王骞Ariel（Qian Wang）,叶秀芳Freya (Xiufang Ye)</v>
          </cell>
          <cell r="S30" t="str">
            <v>常哲</v>
          </cell>
          <cell r="T30" t="str">
            <v>Minqing (Minqing Xu),罗煜雄 Mike (Yuxiong Luo)</v>
          </cell>
        </row>
        <row r="31">
          <cell r="G31" t="str">
            <v>WE 美西大区DS 丹佛·盐湖城片区ABQ01</v>
          </cell>
          <cell r="H31" t="str">
            <v>Station Operations Specialist 站点运营专员</v>
          </cell>
          <cell r="I31" t="str">
            <v>TY_05:00</v>
          </cell>
          <cell r="J31" t="str">
            <v>03:49</v>
          </cell>
          <cell r="K31" t="str">
            <v>20:58</v>
          </cell>
          <cell r="L31" t="str">
            <v>不正确</v>
          </cell>
          <cell r="M31">
            <v>0</v>
          </cell>
          <cell r="N31">
            <v>16.65</v>
          </cell>
          <cell r="O31">
            <v>8.65</v>
          </cell>
          <cell r="P31">
            <v>0</v>
          </cell>
          <cell r="Q31">
            <v>0</v>
          </cell>
          <cell r="R31" t="str">
            <v>王骞Ariel（Qian Wang）,叶秀芳Freya (Xiufang Ye)</v>
          </cell>
          <cell r="S31" t="str">
            <v>常哲</v>
          </cell>
          <cell r="T31" t="str">
            <v>兰鹏Peng（Peng Lan）</v>
          </cell>
        </row>
        <row r="32">
          <cell r="G32" t="str">
            <v>WE 美西大区SC 南加片区SFV01</v>
          </cell>
          <cell r="H32" t="str">
            <v>Warehouse Operator 操作员</v>
          </cell>
          <cell r="I32" t="str">
            <v>TY_休息日</v>
          </cell>
        </row>
        <row r="32">
          <cell r="L32" t="str">
            <v>正确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str">
            <v>王骞Ariel（Qian Wang）,叶秀芳Freya (Xiufang Ye)</v>
          </cell>
          <cell r="S32" t="str">
            <v>常哲</v>
          </cell>
          <cell r="T32" t="str">
            <v>尤梦楠Yuko（Mengnan You）</v>
          </cell>
        </row>
        <row r="33">
          <cell r="G33" t="str">
            <v>FL 佛州大区MCO.H操作组</v>
          </cell>
          <cell r="H33" t="str">
            <v>Warehouse Operator 操作员</v>
          </cell>
          <cell r="I33" t="str">
            <v>TY_休息日</v>
          </cell>
        </row>
        <row r="33">
          <cell r="L33" t="str">
            <v>正确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str">
            <v>Natalia (Natalia Padilla),孙婕 Jasmine（Sunjie）</v>
          </cell>
          <cell r="S33" t="str">
            <v>贺子强Jeff (Ziqiang He)</v>
          </cell>
          <cell r="T33" t="str">
            <v>Minqing (Minqing Xu),罗煜雄 Mike (Yuxiong Luo)</v>
          </cell>
        </row>
        <row r="34">
          <cell r="G34" t="str">
            <v>MS 中南大区CLT.H操作组</v>
          </cell>
          <cell r="H34" t="str">
            <v>Warehouse Lead 操作组长</v>
          </cell>
          <cell r="I34" t="str">
            <v>TY_08:00</v>
          </cell>
          <cell r="J34" t="str">
            <v>07:57</v>
          </cell>
          <cell r="K34" t="str">
            <v>16:42</v>
          </cell>
          <cell r="L34" t="str">
            <v>正确</v>
          </cell>
          <cell r="M34">
            <v>0</v>
          </cell>
          <cell r="N34">
            <v>8.25</v>
          </cell>
          <cell r="O34">
            <v>0.25</v>
          </cell>
          <cell r="P34">
            <v>0</v>
          </cell>
          <cell r="Q34">
            <v>0</v>
          </cell>
          <cell r="R34" t="str">
            <v>欧阳迎春Flower（Yingchun Ouyang）</v>
          </cell>
          <cell r="S34" t="str">
            <v>杨云飞</v>
          </cell>
          <cell r="T34" t="str">
            <v>Minqing (Minqing Xu),罗煜雄 Mike (Yuxiong Luo)</v>
          </cell>
        </row>
        <row r="35">
          <cell r="G35" t="str">
            <v>TX 德州大区IAH.H分拣组</v>
          </cell>
          <cell r="H35" t="str">
            <v>Sorter 分拣员</v>
          </cell>
          <cell r="I35" t="str">
            <v>TY_14:00</v>
          </cell>
          <cell r="J35" t="str">
            <v>13:50</v>
          </cell>
          <cell r="K35" t="str">
            <v>02:10</v>
          </cell>
          <cell r="L35" t="str">
            <v>正确</v>
          </cell>
          <cell r="M35">
            <v>0</v>
          </cell>
          <cell r="N35">
            <v>11.83</v>
          </cell>
          <cell r="O35">
            <v>3.83</v>
          </cell>
          <cell r="P35">
            <v>0</v>
          </cell>
          <cell r="Q35">
            <v>0</v>
          </cell>
          <cell r="R35" t="str">
            <v>肖芦莉Lily (Luli Xiao)</v>
          </cell>
          <cell r="S35" t="str">
            <v>张骥Ji Zhang (Ji Zhang)</v>
          </cell>
          <cell r="T35" t="str">
            <v>张双甫(Shuangfu Zhang)</v>
          </cell>
        </row>
        <row r="36">
          <cell r="G36" t="str">
            <v>FL 佛州大区MCO01</v>
          </cell>
          <cell r="H36" t="str">
            <v>Station Operations Specialist 站点运营专员</v>
          </cell>
          <cell r="I36" t="str">
            <v>TY_04:30</v>
          </cell>
          <cell r="J36" t="str">
            <v>03:26</v>
          </cell>
          <cell r="K36" t="str">
            <v>11:09</v>
          </cell>
          <cell r="L36" t="str">
            <v>不正确</v>
          </cell>
          <cell r="M36">
            <v>0</v>
          </cell>
          <cell r="N36">
            <v>7.22</v>
          </cell>
          <cell r="O36">
            <v>0</v>
          </cell>
          <cell r="P36">
            <v>40.83</v>
          </cell>
          <cell r="Q36">
            <v>0.83</v>
          </cell>
          <cell r="R36" t="str">
            <v>Natalia (Natalia Padilla),孙婕 Jasmine（Sunjie）</v>
          </cell>
          <cell r="S36" t="str">
            <v>贺子强Jeff (Ziqiang He)</v>
          </cell>
        </row>
        <row r="37">
          <cell r="G37" t="str">
            <v>FL 佛州大区MIA.H异常处理组</v>
          </cell>
          <cell r="H37" t="str">
            <v>Returns Specialist 退件员</v>
          </cell>
          <cell r="I37" t="str">
            <v>TY_休息日</v>
          </cell>
        </row>
        <row r="37">
          <cell r="L37" t="str">
            <v>正确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str">
            <v>Natalia (Natalia Padilla),孙婕 Jasmine（Sunjie）</v>
          </cell>
          <cell r="S37" t="str">
            <v>贺子强Jeff (Ziqiang He)</v>
          </cell>
          <cell r="T37" t="str">
            <v>Minqing (Minqing Xu),罗煜雄 Mike (Yuxiong Luo)</v>
          </cell>
        </row>
        <row r="38">
          <cell r="G38" t="str">
            <v>FL 佛州大区MIA.H操作组</v>
          </cell>
          <cell r="H38" t="str">
            <v>Warehouse Operator 操作员</v>
          </cell>
          <cell r="I38" t="str">
            <v>TY_11:00</v>
          </cell>
          <cell r="J38" t="str">
            <v>10:31</v>
          </cell>
          <cell r="K38" t="str">
            <v>20:24</v>
          </cell>
          <cell r="L38" t="str">
            <v>正确</v>
          </cell>
          <cell r="M38">
            <v>0</v>
          </cell>
          <cell r="N38">
            <v>9.38</v>
          </cell>
          <cell r="O38">
            <v>1.38</v>
          </cell>
          <cell r="P38">
            <v>0</v>
          </cell>
          <cell r="Q38">
            <v>0</v>
          </cell>
          <cell r="R38" t="str">
            <v>Natalia (Natalia Padilla),孙婕 Jasmine（Sunjie）</v>
          </cell>
          <cell r="S38" t="str">
            <v>贺子强Jeff (Ziqiang He)</v>
          </cell>
          <cell r="T38" t="str">
            <v>Minqing (Minqing Xu),罗煜雄 Mike (Yuxiong Luo)</v>
          </cell>
        </row>
        <row r="39">
          <cell r="G39" t="str">
            <v>BD 本地客户部北美销售组</v>
          </cell>
          <cell r="H39" t="str">
            <v>Sales Supervisor 销售主管</v>
          </cell>
          <cell r="I39" t="str">
            <v>TY_休息日</v>
          </cell>
        </row>
        <row r="39">
          <cell r="L39" t="str">
            <v>正确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str">
            <v>袁博闻(Bowen Yuan)</v>
          </cell>
        </row>
        <row r="40">
          <cell r="G40" t="str">
            <v>MS 中南大区AS 亚特兰大和南阿拉巴马片区ATL01</v>
          </cell>
          <cell r="H40" t="str">
            <v>Warehouse Operator 操作员</v>
          </cell>
          <cell r="I40" t="str">
            <v>TY_06:00</v>
          </cell>
          <cell r="J40" t="str">
            <v>05:49</v>
          </cell>
          <cell r="K40" t="str">
            <v>16:19</v>
          </cell>
          <cell r="L40" t="str">
            <v>正确</v>
          </cell>
          <cell r="M40">
            <v>0</v>
          </cell>
          <cell r="N40">
            <v>10</v>
          </cell>
          <cell r="O40">
            <v>2</v>
          </cell>
          <cell r="P40">
            <v>0</v>
          </cell>
          <cell r="Q40">
            <v>0</v>
          </cell>
          <cell r="R40" t="str">
            <v>欧阳迎春Flower（Yingchun Ouyang）</v>
          </cell>
          <cell r="S40" t="str">
            <v>杨云飞</v>
          </cell>
          <cell r="T40" t="str">
            <v>李明峰Lucas(Mingfeng Li)</v>
          </cell>
        </row>
        <row r="41">
          <cell r="G41" t="str">
            <v>FL 佛州大区MCO.H分拣组</v>
          </cell>
          <cell r="H41" t="str">
            <v>Sorter 分拣员</v>
          </cell>
          <cell r="I41" t="str">
            <v>TY_休息日</v>
          </cell>
        </row>
        <row r="41">
          <cell r="L41" t="str">
            <v>正确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str">
            <v>Natalia (Natalia Padilla),孙婕 Jasmine（Sunjie）</v>
          </cell>
          <cell r="S41" t="str">
            <v>贺子强Jeff (Ziqiang He)</v>
          </cell>
          <cell r="T41" t="str">
            <v>张双甫(Shuangfu Zhang)</v>
          </cell>
        </row>
        <row r="42">
          <cell r="G42" t="str">
            <v>BD 本地客户部加拿大运营组</v>
          </cell>
          <cell r="H42" t="str">
            <v>Operations Support Specialist 运营支持专员</v>
          </cell>
          <cell r="I42" t="str">
            <v>TY_休息日</v>
          </cell>
        </row>
        <row r="42">
          <cell r="L42" t="str">
            <v>正确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str">
            <v>袁博闻(Bowen Yuan)</v>
          </cell>
        </row>
        <row r="43">
          <cell r="G43" t="str">
            <v>Ground项目部OG 美中区ORD.G</v>
          </cell>
          <cell r="H43" t="str">
            <v>Warehouse Operator 操作员</v>
          </cell>
          <cell r="I43" t="str">
            <v>TY_15:00</v>
          </cell>
          <cell r="J43" t="str">
            <v>14:58</v>
          </cell>
        </row>
        <row r="43">
          <cell r="L43" t="str">
            <v>正确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str">
            <v>王安琪 (Anqi Wang),张朱同 Thomson（Zhutong Zhang）</v>
          </cell>
          <cell r="S43" t="str">
            <v>陈锦昭</v>
          </cell>
        </row>
        <row r="44">
          <cell r="G44" t="str">
            <v>BD 本地客户部定价分析组</v>
          </cell>
          <cell r="H44" t="str">
            <v>Senior Product Specialist 高级产品专员</v>
          </cell>
          <cell r="I44" t="str">
            <v>TY_休息日</v>
          </cell>
        </row>
        <row r="44">
          <cell r="L44" t="str">
            <v>正确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str">
            <v>袁博闻(Bowen Yuan)</v>
          </cell>
        </row>
        <row r="45">
          <cell r="G45" t="str">
            <v>BD 本地客户部北美销售组</v>
          </cell>
          <cell r="H45" t="str">
            <v>Senior Sales Specialist 高级销售专员</v>
          </cell>
          <cell r="I45" t="str">
            <v>TY_休息日</v>
          </cell>
        </row>
        <row r="45">
          <cell r="L45" t="str">
            <v>正确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str">
            <v>袁博闻(Bowen Yuan)</v>
          </cell>
        </row>
        <row r="46">
          <cell r="G46" t="str">
            <v>MS 中南大区CS 夏洛特及周边片区GSP01</v>
          </cell>
          <cell r="H46" t="str">
            <v>Station Operations Specialist 站点运营专员</v>
          </cell>
          <cell r="I46" t="str">
            <v>TY_休息日</v>
          </cell>
        </row>
        <row r="46">
          <cell r="L46" t="str">
            <v>正确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str">
            <v>欧阳迎春Flower（Yingchun Ouyang）</v>
          </cell>
          <cell r="S46" t="str">
            <v>杨云飞</v>
          </cell>
          <cell r="T46" t="str">
            <v>唐浩Thomas(Hao Tang)</v>
          </cell>
        </row>
        <row r="47">
          <cell r="G47" t="str">
            <v>FL 佛州大区MCO.H分拣组</v>
          </cell>
          <cell r="H47" t="str">
            <v>Sorter 分拣员</v>
          </cell>
          <cell r="I47" t="str">
            <v>TY_休息日</v>
          </cell>
        </row>
        <row r="47">
          <cell r="K47" t="str">
            <v>19:56</v>
          </cell>
          <cell r="L47" t="str">
            <v>/</v>
          </cell>
          <cell r="M47">
            <v>0</v>
          </cell>
          <cell r="N47">
            <v>0</v>
          </cell>
          <cell r="O47">
            <v>0</v>
          </cell>
          <cell r="P47">
            <v>61.09</v>
          </cell>
          <cell r="Q47">
            <v>21.09</v>
          </cell>
          <cell r="R47" t="str">
            <v>Natalia (Natalia Padilla),孙婕 Jasmine（Sunjie）</v>
          </cell>
          <cell r="S47" t="str">
            <v>贺子强Jeff (Ziqiang He)</v>
          </cell>
          <cell r="T47" t="str">
            <v>张双甫(Shuangfu Zhang)</v>
          </cell>
        </row>
        <row r="48">
          <cell r="G48" t="str">
            <v>TX 德州大区DFW.H操作组</v>
          </cell>
          <cell r="H48" t="str">
            <v>Warehouse Operator 操作员</v>
          </cell>
          <cell r="I48" t="str">
            <v>TY_07:00</v>
          </cell>
          <cell r="J48" t="str">
            <v>07:11</v>
          </cell>
          <cell r="K48" t="str">
            <v>17:07</v>
          </cell>
          <cell r="L48" t="str">
            <v>正确</v>
          </cell>
          <cell r="M48">
            <v>0</v>
          </cell>
          <cell r="N48">
            <v>9.43</v>
          </cell>
          <cell r="O48">
            <v>1.43</v>
          </cell>
          <cell r="P48">
            <v>0</v>
          </cell>
          <cell r="Q48">
            <v>0</v>
          </cell>
          <cell r="R48" t="str">
            <v>肖芦莉Lily (Luli Xiao)</v>
          </cell>
          <cell r="S48" t="str">
            <v>张骥Ji Zhang (Ji Zhang)</v>
          </cell>
          <cell r="T48" t="str">
            <v>Minqing (Minqing Xu),罗煜雄 Mike (Yuxiong Luo)</v>
          </cell>
        </row>
        <row r="49">
          <cell r="G49" t="str">
            <v>FL 佛州大区MIA.H二程管理组</v>
          </cell>
          <cell r="H49" t="str">
            <v>Second-leg air freight Specialist 二程发货员</v>
          </cell>
          <cell r="I49" t="str">
            <v>TY_08:00</v>
          </cell>
          <cell r="J49" t="str">
            <v>06:55</v>
          </cell>
          <cell r="K49" t="str">
            <v>16:41</v>
          </cell>
          <cell r="L49" t="str">
            <v>不正确</v>
          </cell>
          <cell r="M49">
            <v>0</v>
          </cell>
          <cell r="N49">
            <v>9.27</v>
          </cell>
          <cell r="O49">
            <v>1.27</v>
          </cell>
          <cell r="P49">
            <v>0</v>
          </cell>
          <cell r="Q49">
            <v>0</v>
          </cell>
          <cell r="R49" t="str">
            <v>Natalia (Natalia Padilla),孙婕 Jasmine（Sunjie）</v>
          </cell>
          <cell r="S49" t="str">
            <v>贺子强Jeff (Ziqiang He)</v>
          </cell>
          <cell r="T49" t="str">
            <v>Minqing (Minqing Xu),罗煜雄 Mike (Yuxiong Luo)</v>
          </cell>
        </row>
        <row r="50">
          <cell r="G50" t="str">
            <v>WE 美西大区DS 丹佛·盐湖城片区DEN.H</v>
          </cell>
          <cell r="H50" t="str">
            <v>Sorter 分拣员</v>
          </cell>
          <cell r="I50" t="str">
            <v>TY_10:00</v>
          </cell>
          <cell r="J50" t="str">
            <v>10:29</v>
          </cell>
          <cell r="K50" t="str">
            <v>20:51</v>
          </cell>
          <cell r="L50" t="str">
            <v>正确</v>
          </cell>
          <cell r="M50">
            <v>0</v>
          </cell>
          <cell r="N50">
            <v>9.87</v>
          </cell>
          <cell r="O50">
            <v>1.87</v>
          </cell>
          <cell r="P50">
            <v>0</v>
          </cell>
          <cell r="Q50">
            <v>0</v>
          </cell>
          <cell r="R50" t="str">
            <v>王骞Ariel（Qian Wang）,叶秀芳Freya (Xiufang Ye)</v>
          </cell>
          <cell r="S50" t="str">
            <v>常哲</v>
          </cell>
          <cell r="T50" t="str">
            <v>兰鹏Peng（Peng Lan）</v>
          </cell>
        </row>
        <row r="51">
          <cell r="G51" t="str">
            <v>BD 本地客户部定价分析组</v>
          </cell>
          <cell r="H51" t="str">
            <v>Product Supervisor 产品主管</v>
          </cell>
          <cell r="I51" t="str">
            <v>TY_休息日</v>
          </cell>
        </row>
        <row r="51">
          <cell r="L51" t="str">
            <v>正确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str">
            <v>袁博闻(Bowen Yuan)</v>
          </cell>
        </row>
        <row r="52">
          <cell r="G52" t="str">
            <v>FL 佛州大区MIA.H操作组</v>
          </cell>
          <cell r="H52" t="str">
            <v>Warehouse Operator 操作员</v>
          </cell>
          <cell r="I52" t="str">
            <v>TY_休息日</v>
          </cell>
        </row>
        <row r="52">
          <cell r="L52" t="str">
            <v>正确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str">
            <v>Natalia (Natalia Padilla),孙婕 Jasmine（Sunjie）</v>
          </cell>
          <cell r="S52" t="str">
            <v>贺子强Jeff (Ziqiang He)</v>
          </cell>
          <cell r="T52" t="str">
            <v>Minqing (Minqing Xu),罗煜雄 Mike (Yuxiong Luo)</v>
          </cell>
        </row>
        <row r="53">
          <cell r="G53" t="str">
            <v>FL 佛州大区NF 北佛片区TAL01</v>
          </cell>
          <cell r="H53" t="str">
            <v>Station Operations Specialist 站点运营专员</v>
          </cell>
          <cell r="I53" t="str">
            <v>TY_05:00</v>
          </cell>
        </row>
        <row r="53">
          <cell r="L53" t="str">
            <v>/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str">
            <v>Natalia (Natalia Padilla),孙婕 Jasmine（Sunjie）</v>
          </cell>
          <cell r="S53" t="str">
            <v>贺子强Jeff (Ziqiang He)</v>
          </cell>
          <cell r="T53" t="str">
            <v>黄燕娜 Nana (Yanna Huang)</v>
          </cell>
        </row>
        <row r="54">
          <cell r="G54" t="str">
            <v>WE 美西大区CNO.H操作组</v>
          </cell>
          <cell r="H54" t="str">
            <v>Warehouse Operator 操作员</v>
          </cell>
          <cell r="I54" t="str">
            <v>TY_休息日</v>
          </cell>
        </row>
        <row r="54">
          <cell r="L54" t="str">
            <v>正确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str">
            <v>王骞Ariel（Qian Wang）,叶秀芳Freya (Xiufang Ye)</v>
          </cell>
          <cell r="S54" t="str">
            <v>常哲</v>
          </cell>
          <cell r="T54" t="str">
            <v>Minqing (Minqing Xu),罗煜雄 Mike (Yuxiong Luo)</v>
          </cell>
        </row>
        <row r="55">
          <cell r="G55" t="str">
            <v>Ground项目部OG 美南区ATL.G</v>
          </cell>
          <cell r="H55" t="str">
            <v>Warehouse Lead 操作组长</v>
          </cell>
          <cell r="I55" t="str">
            <v>TY_05:00</v>
          </cell>
          <cell r="J55" t="str">
            <v>05:33</v>
          </cell>
          <cell r="K55" t="str">
            <v>13:54</v>
          </cell>
          <cell r="L55" t="str">
            <v>正确</v>
          </cell>
          <cell r="M55">
            <v>0</v>
          </cell>
          <cell r="N55">
            <v>7.85</v>
          </cell>
          <cell r="O55">
            <v>0</v>
          </cell>
          <cell r="P55">
            <v>0</v>
          </cell>
          <cell r="Q55">
            <v>0</v>
          </cell>
          <cell r="R55" t="str">
            <v>王安琪 (Anqi Wang),张朱同 Thomson（Zhutong Zhang）</v>
          </cell>
          <cell r="S55" t="str">
            <v>陈锦昭</v>
          </cell>
          <cell r="T55" t="str">
            <v>金筱燕Sharon（Xiaoyan Jin）</v>
          </cell>
        </row>
        <row r="56">
          <cell r="G56" t="str">
            <v>MS 中南大区ATL.H分拣组</v>
          </cell>
          <cell r="H56" t="str">
            <v>Sorting Lead 分拣组长</v>
          </cell>
          <cell r="I56" t="str">
            <v>TY_09:00</v>
          </cell>
          <cell r="J56" t="str">
            <v>07:58</v>
          </cell>
          <cell r="K56" t="str">
            <v>18:00</v>
          </cell>
          <cell r="L56" t="str">
            <v>不正确</v>
          </cell>
          <cell r="M56">
            <v>0</v>
          </cell>
          <cell r="N56">
            <v>9.53</v>
          </cell>
          <cell r="O56">
            <v>1.53</v>
          </cell>
          <cell r="P56">
            <v>0</v>
          </cell>
          <cell r="Q56">
            <v>0</v>
          </cell>
          <cell r="R56" t="str">
            <v>欧阳迎春Flower（Yingchun Ouyang）</v>
          </cell>
          <cell r="S56" t="str">
            <v>杨云飞</v>
          </cell>
          <cell r="T56" t="str">
            <v>张双甫(Shuangfu Zhang),明杰麟Jennie (Jielin Ming)</v>
          </cell>
          <cell r="U56" t="str">
            <v>文艳平</v>
          </cell>
        </row>
        <row r="57">
          <cell r="G57" t="str">
            <v>WE 美西大区LAV.H操作组</v>
          </cell>
          <cell r="H57" t="str">
            <v>Warehouse Lead 操作组长</v>
          </cell>
          <cell r="I57" t="str">
            <v>TY_16:30</v>
          </cell>
          <cell r="J57" t="str">
            <v>16:31</v>
          </cell>
          <cell r="K57" t="str">
            <v>03:01</v>
          </cell>
          <cell r="L57" t="str">
            <v>正确</v>
          </cell>
          <cell r="M57">
            <v>0</v>
          </cell>
          <cell r="N57">
            <v>10</v>
          </cell>
          <cell r="O57">
            <v>2</v>
          </cell>
          <cell r="P57">
            <v>0</v>
          </cell>
          <cell r="Q57">
            <v>0</v>
          </cell>
          <cell r="R57" t="str">
            <v>王骞Ariel（Qian Wang）,叶秀芳Freya (Xiufang Ye)</v>
          </cell>
          <cell r="S57" t="str">
            <v>常哲</v>
          </cell>
          <cell r="T57" t="str">
            <v>Minqing (Minqing Xu),罗煜雄 Mike (Yuxiong Luo)</v>
          </cell>
        </row>
        <row r="58">
          <cell r="G58" t="str">
            <v>WE 美西大区LAV.H操作组</v>
          </cell>
          <cell r="H58" t="str">
            <v>Warehouse Operator 操作员</v>
          </cell>
          <cell r="I58" t="str">
            <v>TY_美国节假日（9点-18点）</v>
          </cell>
        </row>
        <row r="58">
          <cell r="K58" t="str">
            <v>19:46</v>
          </cell>
          <cell r="L58" t="str">
            <v>/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str">
            <v>王骞Ariel（Qian Wang）,叶秀芳Freya (Xiufang Ye)</v>
          </cell>
          <cell r="S58" t="str">
            <v>常哲</v>
          </cell>
          <cell r="T58" t="str">
            <v>Minqing (Minqing Xu),罗煜雄 Mike (Yuxiong Luo)</v>
          </cell>
        </row>
        <row r="59">
          <cell r="G59" t="str">
            <v>MS 中南大区ATL.H分拣组</v>
          </cell>
          <cell r="H59" t="str">
            <v>Sorting Lead 分拣组长</v>
          </cell>
          <cell r="I59" t="str">
            <v>TY_休息日</v>
          </cell>
        </row>
        <row r="59">
          <cell r="L59" t="str">
            <v>正确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str">
            <v>欧阳迎春Flower（Yingchun Ouyang）</v>
          </cell>
          <cell r="S59" t="str">
            <v>杨云飞</v>
          </cell>
          <cell r="T59" t="str">
            <v>张双甫(Shuangfu Zhang),明杰麟Jennie (Jielin Ming)</v>
          </cell>
          <cell r="U59" t="str">
            <v>文艳平</v>
          </cell>
        </row>
        <row r="60">
          <cell r="G60" t="str">
            <v>FL 佛州大区OCF01</v>
          </cell>
          <cell r="H60" t="str">
            <v>Station Operations Specialist 站点运营专员</v>
          </cell>
          <cell r="I60" t="str">
            <v>TY_05:00</v>
          </cell>
          <cell r="J60" t="str">
            <v>04:46</v>
          </cell>
          <cell r="K60" t="str">
            <v>14:00</v>
          </cell>
          <cell r="L60" t="str">
            <v>正确</v>
          </cell>
          <cell r="M60">
            <v>0</v>
          </cell>
          <cell r="N60">
            <v>8.73</v>
          </cell>
          <cell r="O60">
            <v>0.73</v>
          </cell>
          <cell r="P60">
            <v>0</v>
          </cell>
          <cell r="Q60">
            <v>0</v>
          </cell>
          <cell r="R60" t="str">
            <v>Natalia (Natalia Padilla),孙婕 Jasmine（Sunjie）</v>
          </cell>
          <cell r="S60" t="str">
            <v>贺子强Jeff (Ziqiang He)</v>
          </cell>
        </row>
        <row r="61">
          <cell r="G61" t="str">
            <v>FL 佛州大区MCO.H分拣组</v>
          </cell>
          <cell r="H61" t="str">
            <v>Sorter 分拣员</v>
          </cell>
          <cell r="I61" t="str">
            <v>TY_09:00</v>
          </cell>
          <cell r="J61" t="str">
            <v>08:55</v>
          </cell>
          <cell r="K61" t="str">
            <v>22:24</v>
          </cell>
          <cell r="L61" t="str">
            <v>正确</v>
          </cell>
          <cell r="M61">
            <v>0</v>
          </cell>
          <cell r="N61">
            <v>12.98</v>
          </cell>
          <cell r="O61">
            <v>4.98</v>
          </cell>
          <cell r="P61">
            <v>0</v>
          </cell>
          <cell r="Q61">
            <v>0</v>
          </cell>
          <cell r="R61" t="str">
            <v>Natalia (Natalia Padilla),孙婕 Jasmine（Sunjie）</v>
          </cell>
          <cell r="S61" t="str">
            <v>贺子强Jeff (Ziqiang He)</v>
          </cell>
          <cell r="T61" t="str">
            <v>张双甫(Shuangfu Zhang)</v>
          </cell>
        </row>
        <row r="62">
          <cell r="G62" t="str">
            <v>TX 德州大区GC 墨湾片区MSY01</v>
          </cell>
          <cell r="H62" t="str">
            <v>Station Operations Specialist 站点运营专员</v>
          </cell>
          <cell r="I62" t="str">
            <v>TY_05:00</v>
          </cell>
        </row>
        <row r="62">
          <cell r="L62" t="str">
            <v>/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str">
            <v>肖芦莉Lily (Luli Xiao)</v>
          </cell>
          <cell r="S62" t="str">
            <v>张骥Ji Zhang (Ji Zhang)</v>
          </cell>
          <cell r="T62" t="str">
            <v>金磊Brian（LEI JIN）</v>
          </cell>
        </row>
        <row r="63">
          <cell r="G63" t="str">
            <v>NE 东北大区JFK.H操作组</v>
          </cell>
          <cell r="H63" t="str">
            <v>Warehouse Operator 操作员</v>
          </cell>
          <cell r="I63" t="str">
            <v>TY_休息日</v>
          </cell>
        </row>
        <row r="63">
          <cell r="L63" t="str">
            <v>正确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str">
            <v>孙可君Monica（Kejun Sun）</v>
          </cell>
          <cell r="S63" t="str">
            <v>马聪Cong (Cong Ma)</v>
          </cell>
          <cell r="T63" t="str">
            <v>Minqing (Minqing Xu),罗煜雄 Mike (Yuxiong Luo)</v>
          </cell>
        </row>
        <row r="64">
          <cell r="G64" t="str">
            <v>Ground项目部OG 美中区CH600</v>
          </cell>
          <cell r="H64" t="str">
            <v>Station Head （Probation）站长（见习）</v>
          </cell>
          <cell r="I64" t="str">
            <v>TY_08:30</v>
          </cell>
        </row>
        <row r="64">
          <cell r="L64" t="str">
            <v>/</v>
          </cell>
          <cell r="M64">
            <v>0</v>
          </cell>
          <cell r="N64">
            <v>0</v>
          </cell>
          <cell r="O64">
            <v>0</v>
          </cell>
          <cell r="P64">
            <v>28.73</v>
          </cell>
          <cell r="Q64">
            <v>0</v>
          </cell>
          <cell r="R64" t="str">
            <v>王安琪 (Anqi Wang),张朱同 Thomson（Zhutong Zhang）</v>
          </cell>
          <cell r="S64" t="str">
            <v>陈锦昭</v>
          </cell>
          <cell r="T64" t="str">
            <v>王佳昊 Jason (Jiahao Wang)</v>
          </cell>
        </row>
        <row r="65">
          <cell r="G65" t="str">
            <v>TX 德州大区GC 墨湾片区MSY01</v>
          </cell>
          <cell r="H65" t="str">
            <v>Station Operations Specialist 站点运营专员</v>
          </cell>
          <cell r="I65" t="str">
            <v>TY_休息日</v>
          </cell>
        </row>
        <row r="65">
          <cell r="L65" t="str">
            <v>正确</v>
          </cell>
          <cell r="M65">
            <v>0</v>
          </cell>
          <cell r="N65">
            <v>0</v>
          </cell>
          <cell r="O65">
            <v>0</v>
          </cell>
          <cell r="P65">
            <v>8</v>
          </cell>
          <cell r="Q65">
            <v>0</v>
          </cell>
          <cell r="R65" t="str">
            <v>肖芦莉Lily (Luli Xiao)</v>
          </cell>
          <cell r="S65" t="str">
            <v>张骥Ji Zhang (Ji Zhang)</v>
          </cell>
          <cell r="T65" t="str">
            <v>金磊Brian（LEI JIN）</v>
          </cell>
        </row>
        <row r="66">
          <cell r="G66" t="str">
            <v>FL 佛州大区MIA.H分拣组</v>
          </cell>
          <cell r="H66" t="str">
            <v>Sorting Lead 分拣组长</v>
          </cell>
          <cell r="I66" t="str">
            <v>TY_休息日</v>
          </cell>
        </row>
        <row r="66">
          <cell r="L66" t="str">
            <v>正确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str">
            <v>Natalia (Natalia Padilla),孙婕 Jasmine（Sunjie）</v>
          </cell>
          <cell r="S66" t="str">
            <v>贺子强Jeff (Ziqiang He)</v>
          </cell>
          <cell r="T66" t="str">
            <v>张双甫(Shuangfu Zhang)</v>
          </cell>
        </row>
        <row r="67">
          <cell r="G67" t="str">
            <v>FL 佛州大区MIA.H操作组</v>
          </cell>
          <cell r="H67" t="str">
            <v>Warehouse Operator 操作员</v>
          </cell>
          <cell r="I67" t="str">
            <v>TY_休息日</v>
          </cell>
        </row>
        <row r="67">
          <cell r="L67" t="str">
            <v>正确</v>
          </cell>
          <cell r="M67">
            <v>0</v>
          </cell>
          <cell r="N67">
            <v>0</v>
          </cell>
          <cell r="O67">
            <v>0</v>
          </cell>
          <cell r="P67">
            <v>24.35</v>
          </cell>
          <cell r="Q67">
            <v>0</v>
          </cell>
          <cell r="R67" t="str">
            <v>Natalia (Natalia Padilla),孙婕 Jasmine（Sunjie）</v>
          </cell>
          <cell r="S67" t="str">
            <v>贺子强Jeff (Ziqiang He)</v>
          </cell>
          <cell r="T67" t="str">
            <v>Minqing (Minqing Xu),罗煜雄 Mike (Yuxiong Luo)</v>
          </cell>
        </row>
        <row r="68">
          <cell r="G68" t="str">
            <v>FL 佛州大区MCO.H分拣组</v>
          </cell>
          <cell r="H68" t="str">
            <v>Sorter 分拣员</v>
          </cell>
          <cell r="I68" t="str">
            <v>TY_13:00</v>
          </cell>
        </row>
        <row r="68">
          <cell r="L68" t="str">
            <v>/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str">
            <v>Natalia (Natalia Padilla),孙婕 Jasmine（Sunjie）</v>
          </cell>
          <cell r="S68" t="str">
            <v>贺子强Jeff (Ziqiang He)</v>
          </cell>
          <cell r="T68" t="str">
            <v>张双甫(Shuangfu Zhang)</v>
          </cell>
        </row>
        <row r="69">
          <cell r="G69" t="str">
            <v>WE 美西大区CNO.H分拣组</v>
          </cell>
          <cell r="H69" t="str">
            <v>Sorter 分拣员</v>
          </cell>
          <cell r="I69" t="str">
            <v>TY_休息日</v>
          </cell>
        </row>
        <row r="69">
          <cell r="L69" t="str">
            <v>正确</v>
          </cell>
          <cell r="M69">
            <v>0</v>
          </cell>
          <cell r="N69">
            <v>0</v>
          </cell>
          <cell r="O69">
            <v>0</v>
          </cell>
          <cell r="P69">
            <v>20.51</v>
          </cell>
          <cell r="Q69">
            <v>0</v>
          </cell>
          <cell r="R69" t="str">
            <v>王骞Ariel（Qian Wang）,叶秀芳Freya (Xiufang Ye)</v>
          </cell>
          <cell r="S69" t="str">
            <v>常哲</v>
          </cell>
          <cell r="T69" t="str">
            <v>张双甫(Shuangfu Zhang)</v>
          </cell>
        </row>
        <row r="70">
          <cell r="G70" t="str">
            <v>WE 美西大区LAV.H操作组</v>
          </cell>
          <cell r="H70" t="str">
            <v>Warehouse Operator 操作员</v>
          </cell>
          <cell r="I70" t="str">
            <v>TY_05:00</v>
          </cell>
          <cell r="J70" t="str">
            <v>04:50</v>
          </cell>
          <cell r="K70" t="str">
            <v>16:23</v>
          </cell>
          <cell r="L70" t="str">
            <v>正确</v>
          </cell>
          <cell r="M70">
            <v>0</v>
          </cell>
          <cell r="N70">
            <v>11.05</v>
          </cell>
          <cell r="O70">
            <v>3.05</v>
          </cell>
          <cell r="P70">
            <v>0</v>
          </cell>
          <cell r="Q70">
            <v>0</v>
          </cell>
          <cell r="R70" t="str">
            <v>王骞Ariel（Qian Wang）,叶秀芳Freya (Xiufang Ye)</v>
          </cell>
          <cell r="S70" t="str">
            <v>常哲</v>
          </cell>
          <cell r="T70" t="str">
            <v>Minqing (Minqing Xu),罗煜雄 Mike (Yuxiong Luo)</v>
          </cell>
        </row>
        <row r="71">
          <cell r="G71" t="str">
            <v>FL 佛州大区MCO.H分拣组</v>
          </cell>
          <cell r="H71" t="str">
            <v>Sorter 分拣员</v>
          </cell>
          <cell r="I71" t="str">
            <v>TY_09:00</v>
          </cell>
          <cell r="J71" t="str">
            <v>09:04</v>
          </cell>
          <cell r="K71" t="str">
            <v>17:34</v>
          </cell>
          <cell r="L71" t="str">
            <v>正确</v>
          </cell>
          <cell r="M71">
            <v>0</v>
          </cell>
          <cell r="N71">
            <v>8</v>
          </cell>
          <cell r="O71">
            <v>0</v>
          </cell>
          <cell r="P71">
            <v>0</v>
          </cell>
          <cell r="Q71">
            <v>0</v>
          </cell>
          <cell r="R71" t="str">
            <v>Natalia (Natalia Padilla),孙婕 Jasmine（Sunjie）</v>
          </cell>
          <cell r="S71" t="str">
            <v>贺子强Jeff (Ziqiang He)</v>
          </cell>
          <cell r="T71" t="str">
            <v>张双甫(Shuangfu Zhang)</v>
          </cell>
        </row>
        <row r="72">
          <cell r="G72" t="str">
            <v>WE 美西大区运营支持部区域支持组</v>
          </cell>
          <cell r="H72" t="str">
            <v>Regional Support Specialist 区域支持专员</v>
          </cell>
          <cell r="I72" t="str">
            <v>TY_休息日</v>
          </cell>
        </row>
        <row r="72">
          <cell r="L72" t="str">
            <v>正确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str">
            <v>王骞Ariel（Qian Wang）,叶秀芳Freya (Xiufang Ye)</v>
          </cell>
          <cell r="S72" t="str">
            <v>常哲</v>
          </cell>
        </row>
        <row r="73">
          <cell r="G73" t="str">
            <v>Ground项目部OG 美南区ATL.G</v>
          </cell>
          <cell r="H73" t="str">
            <v>Sorter 分拣员</v>
          </cell>
          <cell r="I73" t="str">
            <v>TY_14:00</v>
          </cell>
          <cell r="J73" t="str">
            <v>14:00</v>
          </cell>
          <cell r="K73" t="str">
            <v>22:30</v>
          </cell>
          <cell r="L73" t="str">
            <v>正确</v>
          </cell>
          <cell r="M73">
            <v>0</v>
          </cell>
          <cell r="N73">
            <v>8</v>
          </cell>
          <cell r="O73">
            <v>0</v>
          </cell>
          <cell r="P73">
            <v>39.98</v>
          </cell>
          <cell r="Q73">
            <v>0</v>
          </cell>
          <cell r="R73" t="str">
            <v>王安琪 (Anqi Wang),张朱同 Thomson（Zhutong Zhang）</v>
          </cell>
          <cell r="S73" t="str">
            <v>陈锦昭</v>
          </cell>
          <cell r="T73" t="str">
            <v>金筱燕Sharon（Xiaoyan Jin）</v>
          </cell>
        </row>
        <row r="74">
          <cell r="G74" t="str">
            <v>NE 东北大区EWR.H分拣组</v>
          </cell>
          <cell r="H74" t="str">
            <v>Sorter 分拣员</v>
          </cell>
          <cell r="I74" t="str">
            <v>TY_休息日</v>
          </cell>
        </row>
        <row r="74">
          <cell r="L74" t="str">
            <v>正确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str">
            <v>孙可君Monica（Kejun Sun）</v>
          </cell>
          <cell r="S74" t="str">
            <v>马聪Cong (Cong Ma)</v>
          </cell>
          <cell r="T74" t="str">
            <v>张双甫(Shuangfu Zhang)</v>
          </cell>
        </row>
        <row r="75">
          <cell r="G75" t="str">
            <v>GL 大湖大区CM 中西部中心片区CMH01</v>
          </cell>
          <cell r="H75" t="str">
            <v>Station Operations Specialist 站点运营专员</v>
          </cell>
          <cell r="I75" t="str">
            <v>TY_休息日</v>
          </cell>
        </row>
        <row r="75">
          <cell r="L75" t="str">
            <v>正确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str">
            <v>王晓丹 Jasmine（Xiaodan Wang）,周延舒Isabel（Yanshu Zhou）</v>
          </cell>
          <cell r="S75" t="str">
            <v>张骥Ji Zhang (Ji Zhang)</v>
          </cell>
          <cell r="T75" t="str">
            <v>欧阳溢巍 Nathan (Yiwei Ouyang),尚青蓓 Suki （Qingbei Shang）</v>
          </cell>
        </row>
        <row r="76">
          <cell r="G76" t="str">
            <v>MS 中南大区ATL.H操作组</v>
          </cell>
          <cell r="H76" t="str">
            <v>Warehouse Lead 操作组长</v>
          </cell>
          <cell r="I76" t="str">
            <v>TY_休息日</v>
          </cell>
        </row>
        <row r="76">
          <cell r="L76" t="str">
            <v>正确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str">
            <v>欧阳迎春Flower（Yingchun Ouyang）</v>
          </cell>
          <cell r="S76" t="str">
            <v>杨云飞</v>
          </cell>
          <cell r="T76" t="str">
            <v>Minqing (Minqing Xu),罗煜雄 Mike (Yuxiong Luo),明杰麟Jennie (Jielin Ming)</v>
          </cell>
          <cell r="U76" t="str">
            <v>文艳平</v>
          </cell>
        </row>
        <row r="77">
          <cell r="G77" t="str">
            <v>FL 佛州大区MCO.H分拣组</v>
          </cell>
          <cell r="H77" t="str">
            <v>Sorter 分拣员</v>
          </cell>
          <cell r="I77" t="str">
            <v>TY_09:00</v>
          </cell>
          <cell r="J77" t="str">
            <v>09:00</v>
          </cell>
          <cell r="K77" t="str">
            <v>18:08</v>
          </cell>
          <cell r="L77" t="str">
            <v>正确</v>
          </cell>
          <cell r="M77">
            <v>0</v>
          </cell>
          <cell r="N77">
            <v>8.63</v>
          </cell>
          <cell r="O77">
            <v>0.63</v>
          </cell>
          <cell r="P77">
            <v>0</v>
          </cell>
          <cell r="Q77">
            <v>0</v>
          </cell>
          <cell r="R77" t="str">
            <v>Natalia (Natalia Padilla),孙婕 Jasmine（Sunjie）</v>
          </cell>
          <cell r="S77" t="str">
            <v>贺子强Jeff (Ziqiang He)</v>
          </cell>
          <cell r="T77" t="str">
            <v>张双甫(Shuangfu Zhang)</v>
          </cell>
        </row>
        <row r="78">
          <cell r="G78" t="str">
            <v>WE 美西大区CNO.H操作组</v>
          </cell>
          <cell r="H78" t="str">
            <v>Warehouse Operator 操作员</v>
          </cell>
          <cell r="I78" t="str">
            <v>TY_休息日</v>
          </cell>
        </row>
        <row r="78">
          <cell r="L78" t="str">
            <v>正确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str">
            <v>王骞Ariel（Qian Wang）,叶秀芳Freya (Xiufang Ye)</v>
          </cell>
          <cell r="S78" t="str">
            <v>常哲</v>
          </cell>
          <cell r="T78" t="str">
            <v>Minqing (Minqing Xu),罗煜雄 Mike (Yuxiong Luo)</v>
          </cell>
        </row>
        <row r="79">
          <cell r="G79" t="str">
            <v>FL 佛州大区MIA.H操作组</v>
          </cell>
          <cell r="H79" t="str">
            <v>Warehouse Operator 操作员</v>
          </cell>
          <cell r="I79" t="str">
            <v>TY_07:00</v>
          </cell>
          <cell r="J79" t="str">
            <v>07:03</v>
          </cell>
          <cell r="K79" t="str">
            <v>16:02</v>
          </cell>
          <cell r="L79" t="str">
            <v>正确</v>
          </cell>
          <cell r="M79">
            <v>0</v>
          </cell>
          <cell r="N79">
            <v>8.48</v>
          </cell>
          <cell r="O79">
            <v>0.48</v>
          </cell>
          <cell r="P79">
            <v>0</v>
          </cell>
          <cell r="Q79">
            <v>0</v>
          </cell>
          <cell r="R79" t="str">
            <v>Natalia (Natalia Padilla),孙婕 Jasmine（Sunjie）</v>
          </cell>
          <cell r="S79" t="str">
            <v>贺子强Jeff (Ziqiang He)</v>
          </cell>
          <cell r="T79" t="str">
            <v>Minqing (Minqing Xu),罗煜雄 Mike (Yuxiong Luo)</v>
          </cell>
        </row>
        <row r="80">
          <cell r="G80" t="str">
            <v>WE 美西大区CNO.H操作组</v>
          </cell>
          <cell r="H80" t="str">
            <v>Warehouse Operator 操作员</v>
          </cell>
          <cell r="I80" t="str">
            <v>TY_休息日</v>
          </cell>
        </row>
        <row r="80">
          <cell r="L80" t="str">
            <v>正确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str">
            <v>王骞Ariel（Qian Wang）,叶秀芳Freya (Xiufang Ye)</v>
          </cell>
          <cell r="S80" t="str">
            <v>常哲</v>
          </cell>
          <cell r="T80" t="str">
            <v>Minqing (Minqing Xu),罗煜雄 Mike (Yuxiong Luo)</v>
          </cell>
        </row>
        <row r="81">
          <cell r="G81" t="str">
            <v>FL 佛州大区MIA.H操作组</v>
          </cell>
          <cell r="H81" t="str">
            <v>Warehouse Operator 操作员</v>
          </cell>
          <cell r="I81" t="str">
            <v>TY_20:00</v>
          </cell>
        </row>
        <row r="81">
          <cell r="L81" t="str">
            <v>/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str">
            <v>Natalia (Natalia Padilla),孙婕 Jasmine（Sunjie）</v>
          </cell>
          <cell r="S81" t="str">
            <v>贺子强Jeff (Ziqiang He)</v>
          </cell>
          <cell r="T81" t="str">
            <v>Minqing (Minqing Xu),罗煜雄 Mike (Yuxiong Luo)</v>
          </cell>
        </row>
        <row r="82">
          <cell r="G82" t="str">
            <v>FL 佛州大区MIA.H调度组</v>
          </cell>
          <cell r="H82" t="str">
            <v>Dispatcher 调度员</v>
          </cell>
          <cell r="I82" t="str">
            <v>TY_20:00</v>
          </cell>
          <cell r="J82" t="str">
            <v>19:45</v>
          </cell>
          <cell r="K82" t="str">
            <v>06:00</v>
          </cell>
          <cell r="L82" t="str">
            <v>正确</v>
          </cell>
          <cell r="M82">
            <v>0</v>
          </cell>
          <cell r="N82">
            <v>9.75</v>
          </cell>
          <cell r="O82">
            <v>1.75</v>
          </cell>
          <cell r="P82">
            <v>38.21</v>
          </cell>
          <cell r="Q82">
            <v>0</v>
          </cell>
          <cell r="R82" t="str">
            <v>Natalia (Natalia Padilla),孙婕 Jasmine（Sunjie）</v>
          </cell>
          <cell r="S82" t="str">
            <v>贺子强Jeff (Ziqiang He)</v>
          </cell>
          <cell r="T82" t="str">
            <v>Minqing (Minqing Xu),罗煜雄 Mike (Yuxiong Luo)</v>
          </cell>
        </row>
        <row r="83">
          <cell r="G83" t="str">
            <v>WE 美西大区LAV.H操作组</v>
          </cell>
          <cell r="H83" t="str">
            <v>Warehouse Operator 操作员</v>
          </cell>
          <cell r="I83" t="str">
            <v>TY_美国节假日（9点-18点）</v>
          </cell>
          <cell r="J83" t="str">
            <v>10:56</v>
          </cell>
          <cell r="K83" t="str">
            <v>16:29</v>
          </cell>
          <cell r="L83" t="str">
            <v>不正确</v>
          </cell>
          <cell r="M83">
            <v>0</v>
          </cell>
          <cell r="N83">
            <v>4.55</v>
          </cell>
          <cell r="O83">
            <v>0</v>
          </cell>
          <cell r="P83">
            <v>0</v>
          </cell>
          <cell r="Q83">
            <v>0</v>
          </cell>
          <cell r="R83" t="str">
            <v>王骞Ariel（Qian Wang）,叶秀芳Freya (Xiufang Ye)</v>
          </cell>
          <cell r="S83" t="str">
            <v>常哲</v>
          </cell>
          <cell r="T83" t="str">
            <v>Minqing (Minqing Xu),罗煜雄 Mike (Yuxiong Luo)</v>
          </cell>
        </row>
        <row r="84">
          <cell r="G84" t="str">
            <v>NE 东北大区EWR.H操作组</v>
          </cell>
          <cell r="H84" t="str">
            <v>Warehouse Operator 操作员</v>
          </cell>
          <cell r="I84" t="str">
            <v>TY_休息日</v>
          </cell>
        </row>
        <row r="84">
          <cell r="L84" t="str">
            <v>正确</v>
          </cell>
          <cell r="M84">
            <v>0</v>
          </cell>
          <cell r="N84">
            <v>0</v>
          </cell>
          <cell r="O84">
            <v>0</v>
          </cell>
          <cell r="P84">
            <v>40.95</v>
          </cell>
          <cell r="Q84">
            <v>0.95</v>
          </cell>
          <cell r="R84" t="str">
            <v>孙可君Monica（Kejun Sun）</v>
          </cell>
          <cell r="S84" t="str">
            <v>马聪Cong (Cong Ma)</v>
          </cell>
          <cell r="T84" t="str">
            <v>Minqing (Minqing Xu),罗煜雄 Mike (Yuxiong Luo)</v>
          </cell>
        </row>
        <row r="85">
          <cell r="G85" t="str">
            <v>FL 佛州大区MIA.H调度组</v>
          </cell>
          <cell r="H85" t="str">
            <v>Dispatcher 调度员</v>
          </cell>
          <cell r="I85" t="str">
            <v>TY_20:00</v>
          </cell>
          <cell r="J85" t="str">
            <v>20:34</v>
          </cell>
          <cell r="K85" t="str">
            <v>06:00</v>
          </cell>
          <cell r="L85" t="str">
            <v>正确</v>
          </cell>
          <cell r="M85">
            <v>0</v>
          </cell>
          <cell r="N85">
            <v>8.93</v>
          </cell>
          <cell r="O85">
            <v>0.93</v>
          </cell>
          <cell r="P85">
            <v>0</v>
          </cell>
          <cell r="Q85">
            <v>0</v>
          </cell>
          <cell r="R85" t="str">
            <v>Natalia (Natalia Padilla),孙婕 Jasmine（Sunjie）</v>
          </cell>
          <cell r="S85" t="str">
            <v>贺子强Jeff (Ziqiang He)</v>
          </cell>
          <cell r="T85" t="str">
            <v>Minqing (Minqing Xu),罗煜雄 Mike (Yuxiong Luo)</v>
          </cell>
        </row>
        <row r="86">
          <cell r="G86" t="str">
            <v>Ground项目部OG 美南区ATL.G</v>
          </cell>
          <cell r="H86" t="str">
            <v>Dispatcher 调度员</v>
          </cell>
          <cell r="I86" t="str">
            <v>TY_休息日</v>
          </cell>
        </row>
        <row r="86">
          <cell r="L86" t="str">
            <v>正确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str">
            <v>王安琪 (Anqi Wang),张朱同 Thomson（Zhutong Zhang）</v>
          </cell>
          <cell r="S86" t="str">
            <v>陈锦昭</v>
          </cell>
          <cell r="T86" t="str">
            <v>金筱燕Sharon（Xiaoyan Jin）</v>
          </cell>
        </row>
        <row r="87">
          <cell r="G87" t="str">
            <v>WE 美西大区SC 南加片区SFV01</v>
          </cell>
          <cell r="H87" t="str">
            <v>Warehouse Operator 操作员</v>
          </cell>
          <cell r="I87" t="str">
            <v>TY_休息日</v>
          </cell>
        </row>
        <row r="87">
          <cell r="L87" t="str">
            <v>正确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str">
            <v>王骞Ariel（Qian Wang）,叶秀芳Freya (Xiufang Ye)</v>
          </cell>
          <cell r="S87" t="str">
            <v>常哲</v>
          </cell>
          <cell r="T87" t="str">
            <v>尤梦楠Yuko（Mengnan You）</v>
          </cell>
        </row>
        <row r="88">
          <cell r="G88" t="str">
            <v>FL 佛州大区MIA.H二程管理组</v>
          </cell>
          <cell r="H88" t="str">
            <v>Second-leg air freight Specialist 二程发货员</v>
          </cell>
          <cell r="I88" t="str">
            <v>TY_休息日</v>
          </cell>
        </row>
        <row r="88">
          <cell r="L88" t="str">
            <v>正确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str">
            <v>Natalia (Natalia Padilla),孙婕 Jasmine（Sunjie）</v>
          </cell>
          <cell r="S88" t="str">
            <v>贺子强Jeff (Ziqiang He)</v>
          </cell>
          <cell r="T88" t="str">
            <v>Minqing (Minqing Xu),罗煜雄 Mike (Yuxiong Luo)</v>
          </cell>
        </row>
        <row r="89">
          <cell r="G89" t="str">
            <v>TX 德州大区CT 中德州片区ACT01</v>
          </cell>
          <cell r="H89" t="str">
            <v>Station Operations Specialist 站点运营专员</v>
          </cell>
          <cell r="I89" t="str">
            <v>TY_休息日</v>
          </cell>
        </row>
        <row r="89">
          <cell r="L89" t="str">
            <v>正确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str">
            <v>肖芦莉Lily (Luli Xiao)</v>
          </cell>
          <cell r="S89" t="str">
            <v>张骥Ji Zhang (Ji Zhang)</v>
          </cell>
          <cell r="T89" t="str">
            <v>马铭 Ming (Ming Ma)</v>
          </cell>
        </row>
        <row r="90">
          <cell r="G90" t="str">
            <v>FL 佛州大区WF 西佛片区FTM01</v>
          </cell>
          <cell r="H90" t="str">
            <v>Station Operations Specialist 站点运营专员</v>
          </cell>
          <cell r="I90" t="str">
            <v>TY_04:00</v>
          </cell>
          <cell r="J90" t="str">
            <v>04:15</v>
          </cell>
          <cell r="K90" t="str">
            <v>11:00</v>
          </cell>
          <cell r="L90" t="str">
            <v>正确</v>
          </cell>
          <cell r="M90">
            <v>0</v>
          </cell>
          <cell r="N90">
            <v>6.25</v>
          </cell>
          <cell r="O90">
            <v>0</v>
          </cell>
          <cell r="P90">
            <v>0</v>
          </cell>
          <cell r="Q90">
            <v>0</v>
          </cell>
          <cell r="R90" t="str">
            <v>Natalia (Natalia Padilla),孙婕 Jasmine（Sunjie）</v>
          </cell>
          <cell r="S90" t="str">
            <v>贺子强Jeff (Ziqiang He)</v>
          </cell>
          <cell r="T90" t="str">
            <v>吴欣玥 Destinee (Xinyue Wu)</v>
          </cell>
        </row>
        <row r="91">
          <cell r="G91" t="str">
            <v>NE 东北大区JFK.H操作组</v>
          </cell>
          <cell r="H91" t="str">
            <v>Warehouse Operator 操作员</v>
          </cell>
          <cell r="I91" t="str">
            <v>TY_12:00</v>
          </cell>
          <cell r="J91" t="str">
            <v>11:54</v>
          </cell>
          <cell r="K91" t="str">
            <v>22:03</v>
          </cell>
          <cell r="L91" t="str">
            <v>正确</v>
          </cell>
          <cell r="M91">
            <v>0</v>
          </cell>
          <cell r="N91">
            <v>9.65</v>
          </cell>
          <cell r="O91">
            <v>1.65</v>
          </cell>
          <cell r="P91">
            <v>0</v>
          </cell>
          <cell r="Q91">
            <v>0</v>
          </cell>
          <cell r="R91" t="str">
            <v>孙可君Monica（Kejun Sun）</v>
          </cell>
          <cell r="S91" t="str">
            <v>马聪Cong (Cong Ma)</v>
          </cell>
          <cell r="T91" t="str">
            <v>Minqing (Minqing Xu),罗煜雄 Mike (Yuxiong Luo)</v>
          </cell>
        </row>
        <row r="92">
          <cell r="G92" t="str">
            <v>FL 佛州大区TPA01</v>
          </cell>
          <cell r="H92" t="str">
            <v>Station Operations Specialist 站点运营专员</v>
          </cell>
          <cell r="I92" t="str">
            <v>TY_23:30</v>
          </cell>
        </row>
        <row r="92">
          <cell r="L92" t="str">
            <v>/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str">
            <v>Natalia (Natalia Padilla),孙婕 Jasmine（Sunjie）</v>
          </cell>
          <cell r="S92" t="str">
            <v>贺子强Jeff (Ziqiang He)</v>
          </cell>
        </row>
        <row r="93">
          <cell r="G93" t="str">
            <v>GL 大湖大区WG 西大湖片区MSN01</v>
          </cell>
          <cell r="H93" t="str">
            <v>Station Operations Specialist 站点运营专员</v>
          </cell>
          <cell r="I93" t="str">
            <v>TY_05:00</v>
          </cell>
          <cell r="J93" t="str">
            <v>05:00</v>
          </cell>
          <cell r="K93" t="str">
            <v>13:53</v>
          </cell>
          <cell r="L93" t="str">
            <v>正确</v>
          </cell>
          <cell r="M93">
            <v>0</v>
          </cell>
          <cell r="N93">
            <v>8.38</v>
          </cell>
          <cell r="O93">
            <v>0.38</v>
          </cell>
          <cell r="P93">
            <v>0</v>
          </cell>
          <cell r="Q93">
            <v>0</v>
          </cell>
          <cell r="R93" t="str">
            <v>王晓丹 Jasmine（Xiaodan Wang）,周延舒Isabel（Yanshu Zhou）</v>
          </cell>
          <cell r="S93" t="str">
            <v>张骥Ji Zhang (Ji Zhang)</v>
          </cell>
          <cell r="T93" t="str">
            <v>易至聪Zac (Zhicong Yi),尚青蓓 Suki （Qingbei Shang）</v>
          </cell>
        </row>
        <row r="94">
          <cell r="G94" t="str">
            <v>FL 佛州大区MIA.H分拣组</v>
          </cell>
          <cell r="H94" t="str">
            <v>Sorter 分拣员</v>
          </cell>
          <cell r="I94" t="str">
            <v>TY_21:00</v>
          </cell>
          <cell r="J94" t="str">
            <v>20:57</v>
          </cell>
          <cell r="K94" t="str">
            <v>06:00</v>
          </cell>
          <cell r="L94" t="str">
            <v>正确</v>
          </cell>
          <cell r="M94">
            <v>0</v>
          </cell>
          <cell r="N94">
            <v>8.55</v>
          </cell>
          <cell r="O94">
            <v>0.55</v>
          </cell>
          <cell r="P94">
            <v>34.29</v>
          </cell>
          <cell r="Q94">
            <v>0</v>
          </cell>
          <cell r="R94" t="str">
            <v>Natalia (Natalia Padilla),孙婕 Jasmine（Sunjie）</v>
          </cell>
          <cell r="S94" t="str">
            <v>贺子强Jeff (Ziqiang He)</v>
          </cell>
          <cell r="T94" t="str">
            <v>张双甫(Shuangfu Zhang)</v>
          </cell>
        </row>
        <row r="95">
          <cell r="G95" t="str">
            <v>NE 东北大区JFK.H操作组</v>
          </cell>
          <cell r="H95" t="str">
            <v>Warehouse Operator 操作员</v>
          </cell>
          <cell r="I95" t="str">
            <v>TY_12:00</v>
          </cell>
          <cell r="J95" t="str">
            <v>11:50</v>
          </cell>
          <cell r="K95" t="str">
            <v>22:15</v>
          </cell>
          <cell r="L95" t="str">
            <v>正确</v>
          </cell>
          <cell r="M95">
            <v>0</v>
          </cell>
          <cell r="N95">
            <v>9.92</v>
          </cell>
          <cell r="O95">
            <v>1.92</v>
          </cell>
          <cell r="P95">
            <v>0</v>
          </cell>
          <cell r="Q95">
            <v>0</v>
          </cell>
          <cell r="R95" t="str">
            <v>孙可君Monica（Kejun Sun）</v>
          </cell>
          <cell r="S95" t="str">
            <v>马聪Cong (Cong Ma)</v>
          </cell>
          <cell r="T95" t="str">
            <v>Minqing (Minqing Xu),罗煜雄 Mike (Yuxiong Luo)</v>
          </cell>
        </row>
        <row r="96">
          <cell r="G96" t="str">
            <v>BD 本地客户部</v>
          </cell>
          <cell r="H96" t="str">
            <v>Senior Account  Specialist 高级客户专员</v>
          </cell>
          <cell r="I96" t="str">
            <v>TY_休息日</v>
          </cell>
        </row>
        <row r="96">
          <cell r="L96" t="str">
            <v>正确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str">
            <v>袁博闻(Bowen Yuan)</v>
          </cell>
        </row>
        <row r="97">
          <cell r="G97" t="str">
            <v>NE 东北大区JFK.H操作组</v>
          </cell>
          <cell r="H97" t="str">
            <v>Warehouse Operator 操作员</v>
          </cell>
          <cell r="I97" t="str">
            <v>TY_休息日</v>
          </cell>
        </row>
        <row r="97">
          <cell r="L97" t="str">
            <v>正确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str">
            <v>孙可君Monica（Kejun Sun）</v>
          </cell>
          <cell r="S97" t="str">
            <v>马聪Cong (Cong Ma)</v>
          </cell>
          <cell r="T97" t="str">
            <v>Minqing (Minqing Xu),罗煜雄 Mike (Yuxiong Luo)</v>
          </cell>
        </row>
        <row r="98">
          <cell r="G98" t="str">
            <v>NE 东北大区JFK.H操作组</v>
          </cell>
          <cell r="H98" t="str">
            <v>Warehouse Operator 操作员</v>
          </cell>
          <cell r="I98" t="str">
            <v>TY_12:00</v>
          </cell>
          <cell r="J98" t="str">
            <v>11:50</v>
          </cell>
          <cell r="K98" t="str">
            <v>22:26</v>
          </cell>
          <cell r="L98" t="str">
            <v>正确</v>
          </cell>
          <cell r="M98">
            <v>0</v>
          </cell>
          <cell r="N98">
            <v>10.1</v>
          </cell>
          <cell r="O98">
            <v>2.1</v>
          </cell>
          <cell r="P98">
            <v>0</v>
          </cell>
          <cell r="Q98">
            <v>0</v>
          </cell>
          <cell r="R98" t="str">
            <v>孙可君Monica（Kejun Sun）</v>
          </cell>
          <cell r="S98" t="str">
            <v>马聪Cong (Cong Ma)</v>
          </cell>
          <cell r="T98" t="str">
            <v>Minqing (Minqing Xu),罗煜雄 Mike (Yuxiong Luo)</v>
          </cell>
        </row>
        <row r="99">
          <cell r="G99" t="str">
            <v>BD 本地客户部销售支持组</v>
          </cell>
          <cell r="H99" t="str">
            <v>Junior AR Specialist 初级应收专员</v>
          </cell>
          <cell r="I99" t="str">
            <v>TY_休息日</v>
          </cell>
        </row>
        <row r="99">
          <cell r="L99" t="str">
            <v>正确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str">
            <v>袁博闻(Bowen Yuan)</v>
          </cell>
        </row>
        <row r="100">
          <cell r="G100" t="str">
            <v>NE 东北大区NY 纽约片区BDR01</v>
          </cell>
          <cell r="H100" t="str">
            <v>Station Operations Specialist 站点运营专员</v>
          </cell>
          <cell r="I100" t="str">
            <v>TY_05:30</v>
          </cell>
          <cell r="J100" t="str">
            <v>04:31</v>
          </cell>
          <cell r="K100" t="str">
            <v>13:00</v>
          </cell>
          <cell r="L100" t="str">
            <v>正确</v>
          </cell>
          <cell r="M100">
            <v>0</v>
          </cell>
          <cell r="N100">
            <v>7.98</v>
          </cell>
          <cell r="O100">
            <v>0</v>
          </cell>
          <cell r="P100">
            <v>0</v>
          </cell>
          <cell r="Q100">
            <v>0</v>
          </cell>
          <cell r="R100" t="str">
            <v>孙可君Monica（Kejun Sun）</v>
          </cell>
          <cell r="S100" t="str">
            <v>马聪Cong (Cong Ma)</v>
          </cell>
          <cell r="T100" t="str">
            <v>朱晗宇 Peter (Hanyu Zhu)</v>
          </cell>
        </row>
        <row r="101">
          <cell r="G101" t="str">
            <v>WE 美西大区LAV.H调度组</v>
          </cell>
          <cell r="H101" t="str">
            <v>Dispatcher 调度员</v>
          </cell>
          <cell r="I101" t="str">
            <v>TY_12:00</v>
          </cell>
          <cell r="J101" t="str">
            <v>12:38</v>
          </cell>
          <cell r="K101" t="str">
            <v>02:57</v>
          </cell>
          <cell r="L101" t="str">
            <v>正确</v>
          </cell>
          <cell r="M101">
            <v>0</v>
          </cell>
          <cell r="N101">
            <v>13.82</v>
          </cell>
          <cell r="O101">
            <v>5.82</v>
          </cell>
          <cell r="P101">
            <v>0</v>
          </cell>
          <cell r="Q101">
            <v>0</v>
          </cell>
          <cell r="R101" t="str">
            <v>王骞Ariel（Qian Wang）,叶秀芳Freya (Xiufang Ye)</v>
          </cell>
          <cell r="S101" t="str">
            <v>常哲</v>
          </cell>
          <cell r="T101" t="str">
            <v>Minqing (Minqing Xu),罗煜雄 Mike (Yuxiong Luo)</v>
          </cell>
        </row>
        <row r="102">
          <cell r="G102" t="str">
            <v>MS 中南大区BN 田纳西和北阿拉巴马片区CHA01</v>
          </cell>
          <cell r="H102" t="str">
            <v>Warehouse Operator 操作员</v>
          </cell>
          <cell r="I102" t="str">
            <v>TY_04:00</v>
          </cell>
          <cell r="J102" t="str">
            <v>04:03</v>
          </cell>
          <cell r="K102" t="str">
            <v>13:17</v>
          </cell>
          <cell r="L102" t="str">
            <v>正确</v>
          </cell>
          <cell r="M102">
            <v>0</v>
          </cell>
          <cell r="N102">
            <v>8.73</v>
          </cell>
          <cell r="O102">
            <v>0.73</v>
          </cell>
          <cell r="P102">
            <v>0</v>
          </cell>
          <cell r="Q102">
            <v>0</v>
          </cell>
          <cell r="R102" t="str">
            <v>欧阳迎春Flower（Yingchun Ouyang）</v>
          </cell>
          <cell r="S102" t="str">
            <v>杨云飞</v>
          </cell>
          <cell r="T102" t="str">
            <v>杨益洲Young（Yizhou Yang）</v>
          </cell>
        </row>
        <row r="103">
          <cell r="G103" t="str">
            <v>BD 本地客户部北美销售组</v>
          </cell>
          <cell r="H103" t="str">
            <v>Senior Sales Specialist 高级销售专员</v>
          </cell>
          <cell r="I103" t="str">
            <v>TY_休息日</v>
          </cell>
        </row>
        <row r="103">
          <cell r="L103" t="str">
            <v>正确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str">
            <v>袁博闻(Bowen Yuan)</v>
          </cell>
        </row>
        <row r="104">
          <cell r="G104" t="str">
            <v>BD 本地客户部定价分析组</v>
          </cell>
          <cell r="H104" t="str">
            <v>Product Specialist 产品专员</v>
          </cell>
          <cell r="I104" t="str">
            <v>TY_休息日</v>
          </cell>
        </row>
        <row r="104">
          <cell r="L104" t="str">
            <v>正确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str">
            <v>袁博闻(Bowen Yuan)</v>
          </cell>
        </row>
        <row r="105">
          <cell r="G105" t="str">
            <v>BD 本地客户部北美销售组</v>
          </cell>
          <cell r="H105" t="str">
            <v>Senior Sales Specialist 高级销售专员</v>
          </cell>
          <cell r="I105" t="str">
            <v>TY_休息日</v>
          </cell>
        </row>
        <row r="105">
          <cell r="L105" t="str">
            <v>正确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str">
            <v>袁博闻(Bowen Yuan)</v>
          </cell>
        </row>
        <row r="106">
          <cell r="G106" t="str">
            <v>Ground项目部OG 美南区ATL.G</v>
          </cell>
          <cell r="H106" t="str">
            <v>Warehouse Operator 操作员</v>
          </cell>
          <cell r="I106" t="str">
            <v>TY_14:00</v>
          </cell>
          <cell r="J106" t="str">
            <v>16:58</v>
          </cell>
          <cell r="K106" t="str">
            <v>02:01</v>
          </cell>
          <cell r="L106" t="str">
            <v>不正确</v>
          </cell>
          <cell r="M106">
            <v>0</v>
          </cell>
          <cell r="N106">
            <v>8.55</v>
          </cell>
          <cell r="O106">
            <v>0.55</v>
          </cell>
          <cell r="P106">
            <v>0</v>
          </cell>
          <cell r="Q106">
            <v>0</v>
          </cell>
          <cell r="R106" t="str">
            <v>王安琪 (Anqi Wang),张朱同 Thomson（Zhutong Zhang）</v>
          </cell>
          <cell r="S106" t="str">
            <v>陈锦昭</v>
          </cell>
          <cell r="T106" t="str">
            <v>金筱燕Sharon（Xiaoyan Jin）</v>
          </cell>
        </row>
        <row r="107">
          <cell r="G107" t="str">
            <v>Ground项目部OG 美东区EWR.G</v>
          </cell>
          <cell r="H107" t="str">
            <v>Exception Handling Specialist 异常处理专员</v>
          </cell>
          <cell r="I107" t="str">
            <v>TY_08:00</v>
          </cell>
        </row>
        <row r="107">
          <cell r="L107" t="str">
            <v>/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str">
            <v>王安琪 (Anqi Wang),张朱同 Thomson（Zhutong Zhang）</v>
          </cell>
          <cell r="S107" t="str">
            <v>陈锦昭</v>
          </cell>
          <cell r="T107" t="str">
            <v>王兵 Allen (Bing Wang)</v>
          </cell>
        </row>
        <row r="108">
          <cell r="G108" t="str">
            <v>WE 美西大区运营支持部区域支持组</v>
          </cell>
          <cell r="H108" t="str">
            <v>Regional Support Specialist 区域支持专员</v>
          </cell>
          <cell r="I108" t="str">
            <v>TY_休息日</v>
          </cell>
        </row>
        <row r="108">
          <cell r="L108" t="str">
            <v>正确</v>
          </cell>
          <cell r="M108">
            <v>0</v>
          </cell>
          <cell r="N108">
            <v>0</v>
          </cell>
          <cell r="O108">
            <v>0</v>
          </cell>
          <cell r="P108">
            <v>40.25</v>
          </cell>
          <cell r="Q108">
            <v>0.25</v>
          </cell>
          <cell r="R108" t="str">
            <v>王骞Ariel（Qian Wang）,叶秀芳Freya (Xiufang Ye)</v>
          </cell>
          <cell r="S108" t="str">
            <v>常哲</v>
          </cell>
        </row>
        <row r="109">
          <cell r="G109" t="str">
            <v>FL 佛州大区MIA.H综办组</v>
          </cell>
          <cell r="H109" t="str">
            <v>Warehouse Clerk 仓库文员</v>
          </cell>
          <cell r="I109" t="str">
            <v>TY_14:30</v>
          </cell>
          <cell r="J109" t="str">
            <v>14:46</v>
          </cell>
          <cell r="K109" t="str">
            <v>01:32</v>
          </cell>
          <cell r="L109" t="str">
            <v>正确</v>
          </cell>
          <cell r="M109">
            <v>0</v>
          </cell>
          <cell r="N109">
            <v>10.27</v>
          </cell>
          <cell r="O109">
            <v>2.27</v>
          </cell>
          <cell r="P109">
            <v>0</v>
          </cell>
          <cell r="Q109">
            <v>0</v>
          </cell>
          <cell r="R109" t="str">
            <v>Natalia (Natalia Padilla),孙婕 Jasmine（Sunjie）</v>
          </cell>
          <cell r="S109" t="str">
            <v>贺子强Jeff (Ziqiang He)</v>
          </cell>
          <cell r="T109" t="str">
            <v>Minqing (Minqing Xu),罗煜雄 Mike (Yuxiong Luo)</v>
          </cell>
        </row>
        <row r="110">
          <cell r="G110" t="str">
            <v>WE 美西大区DS 丹佛·盐湖城片区DEN.H</v>
          </cell>
          <cell r="H110" t="str">
            <v>Warehouse Operator 操作员</v>
          </cell>
          <cell r="I110" t="str">
            <v>TY_14:00</v>
          </cell>
          <cell r="J110" t="str">
            <v>16:07</v>
          </cell>
          <cell r="K110" t="str">
            <v>23:45</v>
          </cell>
          <cell r="L110" t="str">
            <v>不正确</v>
          </cell>
          <cell r="M110">
            <v>0</v>
          </cell>
          <cell r="N110">
            <v>7.13</v>
          </cell>
          <cell r="O110">
            <v>0</v>
          </cell>
          <cell r="P110">
            <v>0</v>
          </cell>
          <cell r="Q110">
            <v>0</v>
          </cell>
          <cell r="R110" t="str">
            <v>王骞Ariel（Qian Wang）,叶秀芳Freya (Xiufang Ye)</v>
          </cell>
          <cell r="S110" t="str">
            <v>常哲</v>
          </cell>
          <cell r="T110" t="str">
            <v>兰鹏Peng（Peng Lan）</v>
          </cell>
        </row>
        <row r="111">
          <cell r="G111" t="str">
            <v>MS 中南大区ATL.H调度组</v>
          </cell>
          <cell r="H111" t="str">
            <v>Dispatcher 调度员</v>
          </cell>
          <cell r="I111" t="str">
            <v>TY_18:00</v>
          </cell>
        </row>
        <row r="111">
          <cell r="L111" t="str">
            <v>/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str">
            <v>欧阳迎春Flower（Yingchun Ouyang）</v>
          </cell>
          <cell r="S111" t="str">
            <v>杨云飞</v>
          </cell>
          <cell r="T111" t="str">
            <v>Minqing (Minqing Xu),罗煜雄 Mike (Yuxiong Luo),明杰麟Jennie (Jielin Ming)</v>
          </cell>
          <cell r="U111" t="str">
            <v>文艳平</v>
          </cell>
        </row>
        <row r="112">
          <cell r="G112" t="str">
            <v>MS 中南大区CLT.H分拣组</v>
          </cell>
          <cell r="H112" t="str">
            <v>Sorting Lead 分拣组长</v>
          </cell>
          <cell r="I112" t="str">
            <v>TY_休息日</v>
          </cell>
        </row>
        <row r="112">
          <cell r="L112" t="str">
            <v>正确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str">
            <v>欧阳迎春Flower（Yingchun Ouyang）</v>
          </cell>
          <cell r="S112" t="str">
            <v>杨云飞</v>
          </cell>
          <cell r="T112" t="str">
            <v>张双甫(Shuangfu Zhang)</v>
          </cell>
        </row>
        <row r="113">
          <cell r="G113" t="str">
            <v>NE 东北大区MA 新英格兰片区MHT01</v>
          </cell>
          <cell r="H113" t="str">
            <v>Station Operations Specialist 站点运营专员</v>
          </cell>
          <cell r="I113" t="str">
            <v>TY_休息日</v>
          </cell>
        </row>
        <row r="113">
          <cell r="L113" t="str">
            <v>正确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str">
            <v>孙可君Monica（Kejun Sun）</v>
          </cell>
          <cell r="S113" t="str">
            <v>马聪Cong (Cong Ma)</v>
          </cell>
          <cell r="T113" t="str">
            <v>朱晗宇 Peter (Hanyu Zhu)</v>
          </cell>
        </row>
        <row r="114">
          <cell r="G114" t="str">
            <v>TX 德州大区GC 墨湾片区MFE01</v>
          </cell>
          <cell r="H114" t="str">
            <v>Station Operations Specialist 站点运营专员</v>
          </cell>
          <cell r="I114" t="str">
            <v>TY_05:30</v>
          </cell>
          <cell r="J114" t="str">
            <v>05:38</v>
          </cell>
          <cell r="K114" t="str">
            <v>13:25</v>
          </cell>
          <cell r="L114" t="str">
            <v>正确</v>
          </cell>
          <cell r="M114">
            <v>0</v>
          </cell>
          <cell r="N114">
            <v>7.28</v>
          </cell>
          <cell r="O114">
            <v>0</v>
          </cell>
          <cell r="P114">
            <v>0</v>
          </cell>
          <cell r="Q114">
            <v>0</v>
          </cell>
          <cell r="R114" t="str">
            <v>肖芦莉Lily (Luli Xiao)</v>
          </cell>
          <cell r="S114" t="str">
            <v>张骥Ji Zhang (Ji Zhang)</v>
          </cell>
          <cell r="T114" t="str">
            <v>金磊Brian（LEI JIN）</v>
          </cell>
        </row>
        <row r="115">
          <cell r="G115" t="str">
            <v>WE 美西大区CNO.H操作组</v>
          </cell>
          <cell r="H115" t="str">
            <v>Warehouse Operator 操作员</v>
          </cell>
          <cell r="I115" t="str">
            <v>TY_16:00</v>
          </cell>
          <cell r="J115" t="str">
            <v>16:21</v>
          </cell>
          <cell r="K115" t="str">
            <v>01:55</v>
          </cell>
          <cell r="L115" t="str">
            <v>正确</v>
          </cell>
          <cell r="M115">
            <v>0</v>
          </cell>
          <cell r="N115">
            <v>9.07</v>
          </cell>
          <cell r="O115">
            <v>1.07</v>
          </cell>
          <cell r="P115">
            <v>0</v>
          </cell>
          <cell r="Q115">
            <v>0</v>
          </cell>
          <cell r="R115" t="str">
            <v>王骞Ariel（Qian Wang）,叶秀芳Freya (Xiufang Ye)</v>
          </cell>
          <cell r="S115" t="str">
            <v>常哲</v>
          </cell>
          <cell r="T115" t="str">
            <v>Minqing (Minqing Xu),罗煜雄 Mike (Yuxiong Luo)</v>
          </cell>
        </row>
        <row r="116">
          <cell r="G116" t="str">
            <v>MS 中南大区BN 田纳西和北阿拉巴马片区BHM01</v>
          </cell>
          <cell r="H116" t="str">
            <v>Warehouse Operator 操作员</v>
          </cell>
          <cell r="I116" t="str">
            <v>TY_05:30</v>
          </cell>
          <cell r="J116" t="str">
            <v>05:15</v>
          </cell>
          <cell r="K116" t="str">
            <v>11:57</v>
          </cell>
          <cell r="L116" t="str">
            <v>正确</v>
          </cell>
          <cell r="M116">
            <v>0</v>
          </cell>
          <cell r="N116">
            <v>6.2</v>
          </cell>
          <cell r="O116">
            <v>0</v>
          </cell>
          <cell r="P116">
            <v>0</v>
          </cell>
          <cell r="Q116">
            <v>0</v>
          </cell>
          <cell r="R116" t="str">
            <v>欧阳迎春Flower（Yingchun Ouyang）</v>
          </cell>
          <cell r="S116" t="str">
            <v>杨云飞</v>
          </cell>
          <cell r="T116" t="str">
            <v>鄧亦翔Sean (Yi-Hsiang Teng)</v>
          </cell>
        </row>
        <row r="117">
          <cell r="G117" t="str">
            <v>GL 大湖大区ORD.H分拣组</v>
          </cell>
          <cell r="H117" t="str">
            <v>Sorting Lead 分拣组长</v>
          </cell>
          <cell r="I117" t="str">
            <v>TY_08:00</v>
          </cell>
          <cell r="J117" t="str">
            <v>07:58</v>
          </cell>
          <cell r="K117" t="str">
            <v>14:13</v>
          </cell>
          <cell r="L117" t="str">
            <v>正确</v>
          </cell>
          <cell r="M117">
            <v>0</v>
          </cell>
          <cell r="N117">
            <v>5.75</v>
          </cell>
          <cell r="O117">
            <v>0</v>
          </cell>
          <cell r="P117">
            <v>0</v>
          </cell>
          <cell r="Q117">
            <v>0</v>
          </cell>
          <cell r="R117" t="str">
            <v>王晓丹 Jasmine（Xiaodan Wang）,周延舒Isabel（Yanshu Zhou）</v>
          </cell>
          <cell r="S117" t="str">
            <v>张骥Ji Zhang (Ji Zhang)</v>
          </cell>
          <cell r="T117" t="str">
            <v>张双甫(Shuangfu Zhang)</v>
          </cell>
        </row>
        <row r="118">
          <cell r="G118" t="str">
            <v>Ground项目部OG 美西区CNO.G</v>
          </cell>
          <cell r="H118" t="str">
            <v>Warehouse Operator 操作员</v>
          </cell>
          <cell r="I118" t="str">
            <v>TY_14:00</v>
          </cell>
          <cell r="J118" t="str">
            <v>14:01</v>
          </cell>
          <cell r="K118" t="str">
            <v>23:08</v>
          </cell>
          <cell r="L118" t="str">
            <v>正确</v>
          </cell>
          <cell r="M118">
            <v>0</v>
          </cell>
          <cell r="N118">
            <v>8.62</v>
          </cell>
          <cell r="O118">
            <v>0.62</v>
          </cell>
          <cell r="P118">
            <v>0</v>
          </cell>
          <cell r="Q118">
            <v>0</v>
          </cell>
          <cell r="R118" t="str">
            <v>王安琪 (Anqi Wang),张朱同 Thomson（Zhutong Zhang）</v>
          </cell>
          <cell r="S118" t="str">
            <v>陈锦昭</v>
          </cell>
          <cell r="T118" t="str">
            <v>张弘毅 Hongyi （Hongyi Zhang）</v>
          </cell>
        </row>
        <row r="119">
          <cell r="G119" t="str">
            <v>Ground项目部OG 美西区CNO.G</v>
          </cell>
          <cell r="H119" t="str">
            <v>Warehouse Operator 操作员</v>
          </cell>
          <cell r="I119" t="str">
            <v>TY_休息日</v>
          </cell>
        </row>
        <row r="119">
          <cell r="L119" t="str">
            <v>正确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str">
            <v>王安琪 (Anqi Wang),张朱同 Thomson（Zhutong Zhang）</v>
          </cell>
          <cell r="S119" t="str">
            <v>陈锦昭</v>
          </cell>
          <cell r="T119" t="str">
            <v>张弘毅 Hongyi （Hongyi Zhang）</v>
          </cell>
        </row>
        <row r="120">
          <cell r="G120" t="str">
            <v>TX 德州大区DFW.H操作组</v>
          </cell>
          <cell r="H120" t="str">
            <v>Warehouse Operator 操作员</v>
          </cell>
          <cell r="I120" t="str">
            <v>TY_休息日</v>
          </cell>
        </row>
        <row r="120">
          <cell r="L120" t="str">
            <v>正确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str">
            <v>肖芦莉Lily (Luli Xiao)</v>
          </cell>
          <cell r="S120" t="str">
            <v>张骥Ji Zhang (Ji Zhang)</v>
          </cell>
          <cell r="T120" t="str">
            <v>Minqing (Minqing Xu),罗煜雄 Mike (Yuxiong Luo)</v>
          </cell>
        </row>
        <row r="121">
          <cell r="G121" t="str">
            <v>GL 大湖大区WG 西大湖片区ORD01</v>
          </cell>
          <cell r="H121" t="str">
            <v>Station Operations Specialist 站点运营专员</v>
          </cell>
          <cell r="I121" t="str">
            <v>TY_休息日</v>
          </cell>
        </row>
        <row r="121">
          <cell r="L121" t="str">
            <v>正确</v>
          </cell>
          <cell r="M121">
            <v>0</v>
          </cell>
          <cell r="N121">
            <v>0</v>
          </cell>
          <cell r="O121">
            <v>0</v>
          </cell>
          <cell r="P121">
            <v>42.2</v>
          </cell>
          <cell r="Q121">
            <v>2.2</v>
          </cell>
          <cell r="R121" t="str">
            <v>王晓丹 Jasmine（Xiaodan Wang）,周延舒Isabel（Yanshu Zhou）</v>
          </cell>
          <cell r="S121" t="str">
            <v>张骥Ji Zhang (Ji Zhang)</v>
          </cell>
          <cell r="T121" t="str">
            <v>易至聪Zac (Zhicong Yi),尚青蓓 Suki （Qingbei Shang）</v>
          </cell>
        </row>
        <row r="122">
          <cell r="G122" t="str">
            <v>WE 美西大区LAV.H合流合包组</v>
          </cell>
          <cell r="H122" t="str">
            <v>Warehouse Lead 操作组长</v>
          </cell>
          <cell r="I122" t="str">
            <v>TY_美国节假日（9点-18点）</v>
          </cell>
        </row>
        <row r="122">
          <cell r="L122" t="str">
            <v>正确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str">
            <v>王骞Ariel（Qian Wang）,叶秀芳Freya (Xiufang Ye)</v>
          </cell>
          <cell r="S122" t="str">
            <v>常哲</v>
          </cell>
          <cell r="T122" t="str">
            <v>覃超群Jessica（Chaoqun Qin）</v>
          </cell>
        </row>
        <row r="123">
          <cell r="G123" t="str">
            <v>MS 中南大区BN 田纳西和北阿拉巴马片区HSV01</v>
          </cell>
          <cell r="H123" t="str">
            <v>Station Operations Specialist 站点运营专员</v>
          </cell>
          <cell r="I123" t="str">
            <v>TY_休息日</v>
          </cell>
        </row>
        <row r="123">
          <cell r="L123" t="str">
            <v>正确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str">
            <v>欧阳迎春Flower（Yingchun Ouyang）</v>
          </cell>
          <cell r="S123" t="str">
            <v>杨云飞</v>
          </cell>
          <cell r="T123" t="str">
            <v>刘宏果（Hongguo Liu）</v>
          </cell>
        </row>
        <row r="124">
          <cell r="G124" t="str">
            <v>FL 佛州大区MCO.H操作组</v>
          </cell>
          <cell r="H124" t="str">
            <v>Warehouse Operator 操作员</v>
          </cell>
          <cell r="I124" t="str">
            <v>TY_休息日</v>
          </cell>
        </row>
        <row r="124">
          <cell r="L124" t="str">
            <v>正确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str">
            <v>Natalia (Natalia Padilla),孙婕 Jasmine（Sunjie）</v>
          </cell>
          <cell r="S124" t="str">
            <v>贺子强Jeff (Ziqiang He)</v>
          </cell>
          <cell r="T124" t="str">
            <v>Minqing (Minqing Xu),罗煜雄 Mike (Yuxiong Luo)</v>
          </cell>
        </row>
        <row r="125">
          <cell r="G125" t="str">
            <v>FL 佛州大区MCO.H操作组</v>
          </cell>
          <cell r="H125" t="str">
            <v>Warehouse Operator 操作员</v>
          </cell>
          <cell r="I125" t="str">
            <v>TY_09:00</v>
          </cell>
          <cell r="J125" t="str">
            <v>09:04</v>
          </cell>
          <cell r="K125" t="str">
            <v>18:00</v>
          </cell>
          <cell r="L125" t="str">
            <v>正确</v>
          </cell>
          <cell r="M125">
            <v>0</v>
          </cell>
          <cell r="N125">
            <v>8.43</v>
          </cell>
          <cell r="O125">
            <v>0.43</v>
          </cell>
          <cell r="P125">
            <v>42.56</v>
          </cell>
          <cell r="Q125">
            <v>2.56</v>
          </cell>
          <cell r="R125" t="str">
            <v>Natalia (Natalia Padilla),孙婕 Jasmine（Sunjie）</v>
          </cell>
          <cell r="S125" t="str">
            <v>贺子强Jeff (Ziqiang He)</v>
          </cell>
          <cell r="T125" t="str">
            <v>Minqing (Minqing Xu),罗煜雄 Mike (Yuxiong Luo)</v>
          </cell>
        </row>
        <row r="126">
          <cell r="G126" t="str">
            <v>WE 美西大区CNO.H操作组</v>
          </cell>
          <cell r="H126" t="str">
            <v>Warehouse Operator 操作员</v>
          </cell>
          <cell r="I126" t="str">
            <v>TY_06:00</v>
          </cell>
          <cell r="J126" t="str">
            <v>06:11</v>
          </cell>
          <cell r="K126" t="str">
            <v>17:25</v>
          </cell>
          <cell r="L126" t="str">
            <v>正确</v>
          </cell>
          <cell r="M126">
            <v>0</v>
          </cell>
          <cell r="N126">
            <v>10.73</v>
          </cell>
          <cell r="O126">
            <v>2.73</v>
          </cell>
          <cell r="P126">
            <v>0</v>
          </cell>
          <cell r="Q126">
            <v>0</v>
          </cell>
          <cell r="R126" t="str">
            <v>王骞Ariel（Qian Wang）,叶秀芳Freya (Xiufang Ye)</v>
          </cell>
          <cell r="S126" t="str">
            <v>常哲</v>
          </cell>
          <cell r="T126" t="str">
            <v>Minqing (Minqing Xu),罗煜雄 Mike (Yuxiong Luo)</v>
          </cell>
        </row>
        <row r="127">
          <cell r="G127" t="str">
            <v>FL 佛州大区MF 中佛片区WPB02</v>
          </cell>
          <cell r="H127" t="str">
            <v>Station Operations Specialist 站点运营专员</v>
          </cell>
          <cell r="I127" t="str">
            <v>TY_05:00</v>
          </cell>
          <cell r="J127" t="str">
            <v>04:26</v>
          </cell>
          <cell r="K127" t="str">
            <v>13:30</v>
          </cell>
          <cell r="L127" t="str">
            <v>正确</v>
          </cell>
          <cell r="M127">
            <v>0</v>
          </cell>
          <cell r="N127">
            <v>8.57</v>
          </cell>
          <cell r="O127">
            <v>0.57</v>
          </cell>
          <cell r="P127">
            <v>0</v>
          </cell>
          <cell r="Q127">
            <v>0</v>
          </cell>
          <cell r="R127" t="str">
            <v>Natalia (Natalia Padilla),孙婕 Jasmine（Sunjie）</v>
          </cell>
          <cell r="S127" t="str">
            <v>贺子强Jeff (Ziqiang He)</v>
          </cell>
          <cell r="T127" t="str">
            <v>曹杨清清(Encore)</v>
          </cell>
        </row>
        <row r="128">
          <cell r="G128" t="str">
            <v>FL 佛州大区MIA.H分拣组</v>
          </cell>
          <cell r="H128" t="str">
            <v>Sorting Lead 分拣组长</v>
          </cell>
          <cell r="I128" t="str">
            <v>TY_21:00</v>
          </cell>
          <cell r="J128" t="str">
            <v>21:30</v>
          </cell>
          <cell r="K128" t="str">
            <v>06:00</v>
          </cell>
          <cell r="L128" t="str">
            <v>正确</v>
          </cell>
          <cell r="M128">
            <v>0</v>
          </cell>
          <cell r="N128">
            <v>8</v>
          </cell>
          <cell r="O128">
            <v>0</v>
          </cell>
          <cell r="P128">
            <v>0</v>
          </cell>
          <cell r="Q128">
            <v>0</v>
          </cell>
          <cell r="R128" t="str">
            <v>Natalia (Natalia Padilla),孙婕 Jasmine（Sunjie）</v>
          </cell>
          <cell r="S128" t="str">
            <v>贺子强Jeff (Ziqiang He)</v>
          </cell>
          <cell r="T128" t="str">
            <v>张双甫(Shuangfu Zhang)</v>
          </cell>
        </row>
        <row r="129">
          <cell r="G129" t="str">
            <v>Ground项目部OG 美西区CNO.G</v>
          </cell>
          <cell r="H129" t="str">
            <v>Warehouse Operator 操作员</v>
          </cell>
          <cell r="I129" t="str">
            <v>TY_02:00</v>
          </cell>
        </row>
        <row r="129">
          <cell r="L129" t="str">
            <v>/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str">
            <v>王安琪 (Anqi Wang),张朱同 Thomson（Zhutong Zhang）</v>
          </cell>
          <cell r="S129" t="str">
            <v>陈锦昭</v>
          </cell>
          <cell r="T129" t="str">
            <v>张弘毅 Hongyi （Hongyi Zhang）</v>
          </cell>
        </row>
        <row r="130">
          <cell r="G130" t="str">
            <v>TX 德州大区GC 墨湾片区BTR01</v>
          </cell>
          <cell r="H130" t="str">
            <v>Station Operations Specialist 站点运营专员</v>
          </cell>
          <cell r="I130" t="str">
            <v>TY_05:30</v>
          </cell>
        </row>
        <row r="130">
          <cell r="L130" t="str">
            <v>/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str">
            <v>肖芦莉Lily (Luli Xiao)</v>
          </cell>
          <cell r="S130" t="str">
            <v>张骥Ji Zhang (Ji Zhang)</v>
          </cell>
          <cell r="T130" t="str">
            <v>金磊Brian（LEI JIN）</v>
          </cell>
        </row>
        <row r="131">
          <cell r="G131" t="str">
            <v>NE 东北大区运营支持部区域支持组</v>
          </cell>
          <cell r="H131" t="str">
            <v>Regional Support Specialist 区域支持专员</v>
          </cell>
          <cell r="I131" t="str">
            <v>TY_休息日</v>
          </cell>
        </row>
        <row r="131">
          <cell r="L131" t="str">
            <v>正确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str">
            <v>孙可君Monica（Kejun Sun）</v>
          </cell>
          <cell r="S131" t="str">
            <v>马聪Cong (Cong Ma)</v>
          </cell>
        </row>
        <row r="132">
          <cell r="G132" t="str">
            <v>TX 德州大区揽收部</v>
          </cell>
          <cell r="H132" t="str">
            <v>Pickup Dispatcher 揽收调度员</v>
          </cell>
          <cell r="I132" t="str">
            <v>TY_休息日</v>
          </cell>
          <cell r="J132" t="str">
            <v>09:53</v>
          </cell>
        </row>
        <row r="132">
          <cell r="L132" t="str">
            <v>正确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str">
            <v>肖芦莉Lily (Luli Xiao)</v>
          </cell>
          <cell r="S132" t="str">
            <v>张骥Ji Zhang (Ji Zhang)</v>
          </cell>
        </row>
        <row r="133">
          <cell r="G133" t="str">
            <v>WE 美西大区LAV.H操作组</v>
          </cell>
          <cell r="H133" t="str">
            <v>Warehouse Operator 操作员</v>
          </cell>
          <cell r="I133" t="str">
            <v>TY_美国节假日（9点-18点）</v>
          </cell>
        </row>
        <row r="133">
          <cell r="L133" t="str">
            <v>正确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str">
            <v>王骞Ariel（Qian Wang）,叶秀芳Freya (Xiufang Ye)</v>
          </cell>
          <cell r="S133" t="str">
            <v>常哲</v>
          </cell>
          <cell r="T133" t="str">
            <v>Minqing (Minqing Xu),罗煜雄 Mike (Yuxiong Luo)</v>
          </cell>
        </row>
        <row r="134">
          <cell r="G134" t="str">
            <v>CS 客户服务部消费者客服组海外客服组</v>
          </cell>
          <cell r="H134" t="str">
            <v>Senior Hotline CS Specialist 高级热线客服专员</v>
          </cell>
          <cell r="I134" t="str">
            <v>TY_休息日</v>
          </cell>
        </row>
        <row r="134">
          <cell r="L134" t="str">
            <v>正确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str">
            <v>袁博闻(Bowen Yuan)</v>
          </cell>
        </row>
        <row r="135">
          <cell r="G135" t="str">
            <v>FL 佛州大区MCO.H分拣组</v>
          </cell>
          <cell r="H135" t="str">
            <v>Sorter 分拣员</v>
          </cell>
          <cell r="I135" t="str">
            <v>TY_13:00</v>
          </cell>
          <cell r="J135" t="str">
            <v>12:57</v>
          </cell>
          <cell r="K135" t="str">
            <v>22:31</v>
          </cell>
          <cell r="L135" t="str">
            <v>正确</v>
          </cell>
          <cell r="M135">
            <v>0</v>
          </cell>
          <cell r="N135">
            <v>9.07</v>
          </cell>
          <cell r="O135">
            <v>1.07</v>
          </cell>
          <cell r="P135">
            <v>0</v>
          </cell>
          <cell r="Q135">
            <v>0</v>
          </cell>
          <cell r="R135" t="str">
            <v>Natalia (Natalia Padilla),孙婕 Jasmine（Sunjie）</v>
          </cell>
          <cell r="S135" t="str">
            <v>贺子强Jeff (Ziqiang He)</v>
          </cell>
          <cell r="T135" t="str">
            <v>张双甫(Shuangfu Zhang)</v>
          </cell>
        </row>
        <row r="136">
          <cell r="G136" t="str">
            <v>BD 本地客户部加拿大运营组</v>
          </cell>
          <cell r="H136" t="str">
            <v>Junior Operations Support Specialist 初级运营支持专员</v>
          </cell>
          <cell r="I136" t="str">
            <v>TY_休息日</v>
          </cell>
        </row>
        <row r="136">
          <cell r="L136" t="str">
            <v>正确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str">
            <v>袁博闻(Bowen Yuan)</v>
          </cell>
        </row>
        <row r="137">
          <cell r="G137" t="str">
            <v>Ground项目部OG 美西区CNO.G</v>
          </cell>
          <cell r="H137" t="str">
            <v>Warehouse Lead 操作组长</v>
          </cell>
          <cell r="I137" t="str">
            <v>TY_休息日</v>
          </cell>
        </row>
        <row r="137">
          <cell r="L137" t="str">
            <v>正确</v>
          </cell>
          <cell r="M137">
            <v>0</v>
          </cell>
          <cell r="N137">
            <v>0</v>
          </cell>
          <cell r="O137">
            <v>0</v>
          </cell>
          <cell r="P137">
            <v>33.82</v>
          </cell>
          <cell r="Q137">
            <v>0</v>
          </cell>
          <cell r="R137" t="str">
            <v>王安琪 (Anqi Wang),张朱同 Thomson（Zhutong Zhang）</v>
          </cell>
          <cell r="S137" t="str">
            <v>陈锦昭</v>
          </cell>
          <cell r="T137" t="str">
            <v>张弘毅 Hongyi （Hongyi Zhang）</v>
          </cell>
        </row>
        <row r="138">
          <cell r="G138" t="str">
            <v>BD 本地客户部定价分析组</v>
          </cell>
          <cell r="H138" t="str">
            <v>Senior Product Specialist 高级产品专员</v>
          </cell>
          <cell r="I138" t="str">
            <v>TY_休息日</v>
          </cell>
        </row>
        <row r="138">
          <cell r="L138" t="str">
            <v>正确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str">
            <v>袁博闻(Bowen Yuan)</v>
          </cell>
        </row>
        <row r="139">
          <cell r="G139" t="str">
            <v>Ground项目部OG 美南区AT303</v>
          </cell>
          <cell r="H139" t="str">
            <v>Station Operations Specialist 站点运营专员</v>
          </cell>
          <cell r="I139" t="str">
            <v>TY_休息日</v>
          </cell>
        </row>
        <row r="139">
          <cell r="L139" t="str">
            <v>正确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str">
            <v>王安琪 (Anqi Wang),张朱同 Thomson（Zhutong Zhang）</v>
          </cell>
          <cell r="S139" t="str">
            <v>陈锦昭</v>
          </cell>
          <cell r="T139" t="str">
            <v>金筱燕Sharon（Xiaoyan Jin）</v>
          </cell>
        </row>
        <row r="140">
          <cell r="G140" t="str">
            <v>OM 操作管理部实施运营组</v>
          </cell>
          <cell r="H140" t="str">
            <v>Implementation Operations Specialist 实施运营专员</v>
          </cell>
          <cell r="I140" t="str">
            <v>TY_休息日</v>
          </cell>
        </row>
        <row r="140">
          <cell r="L140" t="str">
            <v>正确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str">
            <v>袁博闻(Bowen Yuan)</v>
          </cell>
        </row>
        <row r="141">
          <cell r="G141" t="str">
            <v>MS 中南大区CS 夏洛特及周边片区CAE01</v>
          </cell>
          <cell r="H141" t="str">
            <v>Station Operations Specialist 站点运营专员</v>
          </cell>
          <cell r="I141" t="str">
            <v>TY_06:00</v>
          </cell>
          <cell r="J141" t="str">
            <v>06:09</v>
          </cell>
          <cell r="K141" t="str">
            <v>15:02</v>
          </cell>
          <cell r="L141" t="str">
            <v>正确</v>
          </cell>
          <cell r="M141">
            <v>0</v>
          </cell>
          <cell r="N141">
            <v>8.38</v>
          </cell>
          <cell r="O141">
            <v>0.38</v>
          </cell>
          <cell r="P141">
            <v>0</v>
          </cell>
          <cell r="Q141">
            <v>0</v>
          </cell>
          <cell r="R141" t="str">
            <v>欧阳迎春Flower（Yingchun Ouyang）</v>
          </cell>
          <cell r="S141" t="str">
            <v>杨云飞</v>
          </cell>
          <cell r="T141" t="str">
            <v>叶小菁Summer(Xiaojing Ye)</v>
          </cell>
        </row>
        <row r="142">
          <cell r="G142" t="str">
            <v>FL 佛州大区FTM01</v>
          </cell>
          <cell r="H142" t="str">
            <v>Station Operations Specialist 站点运营专员</v>
          </cell>
          <cell r="I142" t="str">
            <v>TY_04:00</v>
          </cell>
          <cell r="J142" t="str">
            <v>03:59</v>
          </cell>
          <cell r="K142" t="str">
            <v>11:00</v>
          </cell>
          <cell r="L142" t="str">
            <v>正确</v>
          </cell>
          <cell r="M142">
            <v>0</v>
          </cell>
          <cell r="N142">
            <v>6.52</v>
          </cell>
          <cell r="O142">
            <v>0</v>
          </cell>
          <cell r="P142">
            <v>0</v>
          </cell>
          <cell r="Q142">
            <v>0</v>
          </cell>
          <cell r="R142" t="str">
            <v>Natalia (Natalia Padilla),孙婕 Jasmine（Sunjie）</v>
          </cell>
          <cell r="S142" t="str">
            <v>贺子强Jeff (Ziqiang He)</v>
          </cell>
        </row>
        <row r="143">
          <cell r="G143" t="str">
            <v>FL 佛州大区WF 西佛片区FTM01</v>
          </cell>
          <cell r="H143" t="str">
            <v>Station Operations Specialist 站点运营专员</v>
          </cell>
          <cell r="I143" t="str">
            <v>TY_04:00</v>
          </cell>
          <cell r="J143" t="str">
            <v>04:08</v>
          </cell>
          <cell r="K143" t="str">
            <v>11:00</v>
          </cell>
          <cell r="L143" t="str">
            <v>正确</v>
          </cell>
          <cell r="M143">
            <v>0</v>
          </cell>
          <cell r="N143">
            <v>6.37</v>
          </cell>
          <cell r="O143">
            <v>0</v>
          </cell>
          <cell r="P143">
            <v>24.38</v>
          </cell>
          <cell r="Q143">
            <v>0</v>
          </cell>
          <cell r="R143" t="str">
            <v>Natalia (Natalia Padilla),孙婕 Jasmine（Sunjie）</v>
          </cell>
          <cell r="S143" t="str">
            <v>贺子强Jeff (Ziqiang He)</v>
          </cell>
          <cell r="T143" t="str">
            <v>吴欣玥 Destinee (Xinyue Wu)</v>
          </cell>
        </row>
        <row r="144">
          <cell r="G144" t="str">
            <v>DO 数字运营部美国技术支持组</v>
          </cell>
          <cell r="H144" t="str">
            <v>IT support 技术支持工程师</v>
          </cell>
          <cell r="I144" t="str">
            <v>TY_休息日</v>
          </cell>
        </row>
        <row r="144">
          <cell r="L144" t="str">
            <v>正确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str">
            <v>袁博闻(Bowen Yuan)</v>
          </cell>
        </row>
        <row r="145">
          <cell r="G145" t="str">
            <v>WE 美西大区CNO.H操作组</v>
          </cell>
          <cell r="H145" t="str">
            <v>Warehouse Operator 操作员</v>
          </cell>
          <cell r="I145" t="str">
            <v>TY_休息日</v>
          </cell>
        </row>
        <row r="145">
          <cell r="L145" t="str">
            <v>正确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str">
            <v>王骞Ariel（Qian Wang）,叶秀芳Freya (Xiufang Ye)</v>
          </cell>
          <cell r="S145" t="str">
            <v>常哲</v>
          </cell>
          <cell r="T145" t="str">
            <v>Minqing (Minqing Xu),罗煜雄 Mike (Yuxiong Luo)</v>
          </cell>
        </row>
        <row r="146">
          <cell r="G146" t="str">
            <v>MS 中南大区ATL.H操作组</v>
          </cell>
          <cell r="H146" t="str">
            <v>Warehouse Operator 操作员</v>
          </cell>
          <cell r="I146" t="str">
            <v>TY_休息日</v>
          </cell>
          <cell r="J146" t="str">
            <v>09:42</v>
          </cell>
        </row>
        <row r="146">
          <cell r="L146" t="str">
            <v>正确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str">
            <v>欧阳迎春Flower（Yingchun Ouyang）</v>
          </cell>
          <cell r="S146" t="str">
            <v>杨云飞</v>
          </cell>
          <cell r="T146" t="str">
            <v>Minqing (Minqing Xu),罗煜雄 Mike (Yuxiong Luo),明杰麟Jennie (Jielin Ming)</v>
          </cell>
          <cell r="U146" t="str">
            <v>文艳平</v>
          </cell>
        </row>
        <row r="147">
          <cell r="G147" t="str">
            <v>WE 美西大区CNO.H</v>
          </cell>
          <cell r="H147" t="str">
            <v>Deputy Hub Head 副仓长</v>
          </cell>
          <cell r="I147" t="str">
            <v>TY_19:00</v>
          </cell>
          <cell r="J147" t="str">
            <v>19:56</v>
          </cell>
        </row>
        <row r="147">
          <cell r="L147" t="str">
            <v>正确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str">
            <v>王骞Ariel（Qian Wang）,叶秀芳Freya (Xiufang Ye)</v>
          </cell>
          <cell r="S147" t="str">
            <v>常哲</v>
          </cell>
        </row>
        <row r="148">
          <cell r="G148" t="str">
            <v>FL 佛州大区MIA.H调度组</v>
          </cell>
          <cell r="H148" t="str">
            <v>Dispatcher 调度员</v>
          </cell>
          <cell r="I148" t="str">
            <v>TY_16:00</v>
          </cell>
          <cell r="J148" t="str">
            <v>16:00</v>
          </cell>
          <cell r="K148" t="str">
            <v>01:21</v>
          </cell>
          <cell r="L148" t="str">
            <v>正确</v>
          </cell>
          <cell r="M148">
            <v>0</v>
          </cell>
          <cell r="N148">
            <v>8.85</v>
          </cell>
          <cell r="O148">
            <v>0.85</v>
          </cell>
          <cell r="P148">
            <v>0</v>
          </cell>
          <cell r="Q148">
            <v>0</v>
          </cell>
          <cell r="R148" t="str">
            <v>Natalia (Natalia Padilla),孙婕 Jasmine（Sunjie）</v>
          </cell>
          <cell r="S148" t="str">
            <v>贺子强Jeff (Ziqiang He)</v>
          </cell>
          <cell r="T148" t="str">
            <v>Minqing (Minqing Xu),罗煜雄 Mike (Yuxiong Luo)</v>
          </cell>
        </row>
        <row r="149">
          <cell r="G149" t="str">
            <v>NE 东北大区JFK.H操作组</v>
          </cell>
          <cell r="H149" t="str">
            <v>Warehouse Operator 操作员</v>
          </cell>
          <cell r="I149" t="str">
            <v>TY_休息日</v>
          </cell>
        </row>
        <row r="149">
          <cell r="L149" t="str">
            <v>正确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str">
            <v>孙可君Monica（Kejun Sun）</v>
          </cell>
          <cell r="S149" t="str">
            <v>马聪Cong (Cong Ma)</v>
          </cell>
          <cell r="T149" t="str">
            <v>Minqing (Minqing Xu),罗煜雄 Mike (Yuxiong Luo)</v>
          </cell>
        </row>
        <row r="150">
          <cell r="G150" t="str">
            <v>NE 东北大区EWR.H综办组</v>
          </cell>
          <cell r="H150" t="str">
            <v>Warehouse Clerk 仓库文员(兼)</v>
          </cell>
          <cell r="I150" t="str">
            <v>TY_休息日</v>
          </cell>
        </row>
        <row r="150">
          <cell r="L150" t="str">
            <v>正确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str">
            <v>孙可君Monica（Kejun Sun）</v>
          </cell>
          <cell r="S150" t="str">
            <v>马聪Cong (Cong Ma)</v>
          </cell>
          <cell r="T150" t="str">
            <v>Minqing (Minqing Xu),罗煜雄 Mike (Yuxiong Luo)</v>
          </cell>
        </row>
        <row r="151">
          <cell r="G151" t="str">
            <v>FL 佛州大区MIA.H分拣组</v>
          </cell>
          <cell r="H151" t="str">
            <v>Sorting Lead 分拣组长</v>
          </cell>
          <cell r="I151" t="str">
            <v>TY_休息日</v>
          </cell>
        </row>
        <row r="151">
          <cell r="L151" t="str">
            <v>正确</v>
          </cell>
          <cell r="M151">
            <v>0</v>
          </cell>
          <cell r="N151">
            <v>0</v>
          </cell>
          <cell r="O151">
            <v>0</v>
          </cell>
          <cell r="P151">
            <v>45.24</v>
          </cell>
          <cell r="Q151">
            <v>5.24</v>
          </cell>
          <cell r="R151" t="str">
            <v>Natalia (Natalia Padilla),孙婕 Jasmine（Sunjie）</v>
          </cell>
          <cell r="S151" t="str">
            <v>贺子强Jeff (Ziqiang He)</v>
          </cell>
          <cell r="T151" t="str">
            <v>张双甫(Shuangfu Zhang)</v>
          </cell>
        </row>
        <row r="152">
          <cell r="G152" t="str">
            <v>FL 佛州大区MCO.H分拣组</v>
          </cell>
          <cell r="H152" t="str">
            <v>Sorter 分拣员</v>
          </cell>
          <cell r="I152" t="str">
            <v>TY_休息日</v>
          </cell>
        </row>
        <row r="152">
          <cell r="L152" t="str">
            <v>正确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str">
            <v>Natalia (Natalia Padilla),孙婕 Jasmine（Sunjie）</v>
          </cell>
          <cell r="S152" t="str">
            <v>贺子强Jeff (Ziqiang He)</v>
          </cell>
          <cell r="T152" t="str">
            <v>张双甫(Shuangfu Zhang)</v>
          </cell>
        </row>
        <row r="153">
          <cell r="G153" t="str">
            <v>NE 东北大区JFK.H操作组</v>
          </cell>
          <cell r="H153" t="str">
            <v>Warehouse Operator 操作员</v>
          </cell>
          <cell r="I153" t="str">
            <v>TY_09:00</v>
          </cell>
          <cell r="J153" t="str">
            <v>08:57</v>
          </cell>
          <cell r="K153" t="str">
            <v>18:03</v>
          </cell>
          <cell r="L153" t="str">
            <v>正确</v>
          </cell>
          <cell r="M153">
            <v>0</v>
          </cell>
          <cell r="N153">
            <v>8.6</v>
          </cell>
          <cell r="O153">
            <v>0.6</v>
          </cell>
          <cell r="P153">
            <v>0</v>
          </cell>
          <cell r="Q153">
            <v>0</v>
          </cell>
          <cell r="R153" t="str">
            <v>孙可君Monica（Kejun Sun）</v>
          </cell>
          <cell r="S153" t="str">
            <v>马聪Cong (Cong Ma)</v>
          </cell>
          <cell r="T153" t="str">
            <v>Minqing (Minqing Xu),罗煜雄 Mike (Yuxiong Luo)</v>
          </cell>
        </row>
        <row r="154">
          <cell r="G154" t="str">
            <v>NE 东北大区PA 宾州片区PIT01</v>
          </cell>
          <cell r="H154" t="str">
            <v>Station Head （Probation）站长（见习）</v>
          </cell>
          <cell r="I154" t="str">
            <v>TY_06:00</v>
          </cell>
          <cell r="J154" t="str">
            <v>08:09</v>
          </cell>
          <cell r="K154" t="str">
            <v>17:37</v>
          </cell>
          <cell r="L154" t="str">
            <v>不正确</v>
          </cell>
          <cell r="M154">
            <v>0</v>
          </cell>
          <cell r="N154">
            <v>8.97</v>
          </cell>
          <cell r="O154">
            <v>0.97</v>
          </cell>
          <cell r="P154">
            <v>0</v>
          </cell>
          <cell r="Q154">
            <v>0</v>
          </cell>
          <cell r="R154" t="str">
            <v>孙可君Monica（Kejun Sun）</v>
          </cell>
          <cell r="S154" t="str">
            <v>马聪Cong (Cong Ma)</v>
          </cell>
          <cell r="T154" t="str">
            <v>朱晗宇 Peter (Hanyu Zhu)</v>
          </cell>
        </row>
        <row r="155">
          <cell r="G155" t="str">
            <v>US人力资源部美洲HRBP组德州区HR组</v>
          </cell>
          <cell r="H155" t="str">
            <v>Recruitment Specialist 招聘专员</v>
          </cell>
          <cell r="I155" t="str">
            <v>TY_休息日</v>
          </cell>
        </row>
        <row r="155">
          <cell r="L155" t="str">
            <v>正确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str">
            <v>袁博闻(Bowen Yuan)</v>
          </cell>
        </row>
        <row r="156">
          <cell r="G156" t="str">
            <v>WE 美西大区SC 南加片区</v>
          </cell>
          <cell r="H156" t="str">
            <v>District Head（Probation）片区长（见习）</v>
          </cell>
          <cell r="I156" t="str">
            <v>TY_休息日</v>
          </cell>
        </row>
        <row r="156">
          <cell r="L156" t="str">
            <v>正确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str">
            <v>王骞Ariel（Qian Wang）,叶秀芳Freya (Xiufang Ye)</v>
          </cell>
          <cell r="S156" t="str">
            <v>常哲</v>
          </cell>
        </row>
        <row r="157">
          <cell r="G157" t="str">
            <v>Ground项目部OG 美东区BA210</v>
          </cell>
          <cell r="H157" t="str">
            <v>Station Head 站长</v>
          </cell>
          <cell r="I157" t="str">
            <v>TY_休息日</v>
          </cell>
        </row>
        <row r="157">
          <cell r="L157" t="str">
            <v>正确</v>
          </cell>
          <cell r="M157">
            <v>0</v>
          </cell>
          <cell r="N157">
            <v>0</v>
          </cell>
          <cell r="O157">
            <v>0</v>
          </cell>
          <cell r="P157">
            <v>32.92</v>
          </cell>
          <cell r="Q157">
            <v>0</v>
          </cell>
          <cell r="R157" t="str">
            <v>王安琪 (Anqi Wang),张朱同 Thomson（Zhutong Zhang）</v>
          </cell>
          <cell r="S157" t="str">
            <v>陈锦昭</v>
          </cell>
          <cell r="T157" t="str">
            <v>欧和枫 Henry (HeFeng Ou)</v>
          </cell>
        </row>
        <row r="158">
          <cell r="G158" t="str">
            <v>WE 美西大区LAV.H调度组</v>
          </cell>
          <cell r="H158" t="str">
            <v>Dispatcher 调度员</v>
          </cell>
          <cell r="I158" t="str">
            <v>TY_美国节假日（9点-18点）</v>
          </cell>
        </row>
        <row r="158">
          <cell r="L158" t="str">
            <v>正确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str">
            <v>王骞Ariel（Qian Wang）,叶秀芳Freya (Xiufang Ye)</v>
          </cell>
          <cell r="S158" t="str">
            <v>常哲</v>
          </cell>
          <cell r="T158" t="str">
            <v>Minqing (Minqing Xu),罗煜雄 Mike (Yuxiong Luo)</v>
          </cell>
        </row>
        <row r="159">
          <cell r="G159" t="str">
            <v>FL 佛州大区WF 西佛片区</v>
          </cell>
          <cell r="H159" t="str">
            <v>District Head 片区长</v>
          </cell>
          <cell r="I159" t="str">
            <v>TY_04:00</v>
          </cell>
        </row>
        <row r="159">
          <cell r="L159" t="str">
            <v>/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str">
            <v>Natalia (Natalia Padilla),孙婕 Jasmine（Sunjie）</v>
          </cell>
          <cell r="S159" t="str">
            <v>贺子强Jeff (Ziqiang He)</v>
          </cell>
        </row>
        <row r="160">
          <cell r="G160" t="str">
            <v>FL 佛州大区SF 南佛片区MIA01</v>
          </cell>
          <cell r="H160" t="str">
            <v>Station Operations Specialist 站点运营专员</v>
          </cell>
          <cell r="I160" t="str">
            <v>TY_04:00</v>
          </cell>
          <cell r="J160" t="str">
            <v>04:37</v>
          </cell>
          <cell r="K160" t="str">
            <v>12:35</v>
          </cell>
          <cell r="L160" t="str">
            <v>正确</v>
          </cell>
          <cell r="M160">
            <v>0</v>
          </cell>
          <cell r="N160">
            <v>7.47</v>
          </cell>
          <cell r="O160">
            <v>0</v>
          </cell>
          <cell r="P160">
            <v>0</v>
          </cell>
          <cell r="Q160">
            <v>0</v>
          </cell>
          <cell r="R160" t="str">
            <v>Natalia (Natalia Padilla),孙婕 Jasmine（Sunjie）</v>
          </cell>
          <cell r="S160" t="str">
            <v>贺子强Jeff (Ziqiang He)</v>
          </cell>
          <cell r="T160" t="str">
            <v>王航 Hang (Hang Wang)</v>
          </cell>
        </row>
        <row r="161">
          <cell r="G161" t="str">
            <v>WE 美西大区CNO.H</v>
          </cell>
          <cell r="H161" t="str">
            <v>Deputy Hub Head 副仓长</v>
          </cell>
          <cell r="I161" t="str">
            <v>TY_休息日</v>
          </cell>
        </row>
        <row r="161">
          <cell r="L161" t="str">
            <v>正确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str">
            <v>王骞Ariel（Qian Wang）,叶秀芳Freya (Xiufang Ye)</v>
          </cell>
          <cell r="S161" t="str">
            <v>常哲</v>
          </cell>
        </row>
        <row r="162">
          <cell r="G162" t="str">
            <v>NE 东北大区BWI.H综办组</v>
          </cell>
          <cell r="H162" t="str">
            <v>Warehouse Clerk 仓库文员</v>
          </cell>
          <cell r="I162" t="str">
            <v>TY_休息日</v>
          </cell>
        </row>
        <row r="162">
          <cell r="L162" t="str">
            <v>正确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str">
            <v>孙可君Monica（Kejun Sun）</v>
          </cell>
          <cell r="S162" t="str">
            <v>马聪Cong (Cong Ma)</v>
          </cell>
          <cell r="T162" t="str">
            <v>Minqing (Minqing Xu),罗煜雄 Mike (Yuxiong Luo)</v>
          </cell>
        </row>
        <row r="163">
          <cell r="G163" t="str">
            <v>GL 大湖大区LM 中西部南片区STL01</v>
          </cell>
          <cell r="H163" t="str">
            <v>Station Operations Specialist 站点运营专员</v>
          </cell>
          <cell r="I163" t="str">
            <v>TY_休息日</v>
          </cell>
        </row>
        <row r="163">
          <cell r="L163" t="str">
            <v>正确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str">
            <v>王晓丹 Jasmine（Xiaodan Wang）,周延舒Isabel（Yanshu Zhou）</v>
          </cell>
          <cell r="S163" t="str">
            <v>张骥Ji Zhang (Ji Zhang)</v>
          </cell>
          <cell r="T163" t="str">
            <v>武杰 Jay（Jie Wu）,尚青蓓 Suki （Qingbei Shang）</v>
          </cell>
        </row>
        <row r="164">
          <cell r="G164" t="str">
            <v>NE 东北大区EWR.H调度组</v>
          </cell>
          <cell r="H164" t="str">
            <v>Dispatcher 调度员</v>
          </cell>
          <cell r="I164" t="str">
            <v>TY_休息日</v>
          </cell>
        </row>
        <row r="164">
          <cell r="L164" t="str">
            <v>正确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str">
            <v>孙可君Monica（Kejun Sun）</v>
          </cell>
          <cell r="S164" t="str">
            <v>马聪Cong (Cong Ma)</v>
          </cell>
          <cell r="T164" t="str">
            <v>Minqing (Minqing Xu),罗煜雄 Mike (Yuxiong Luo)</v>
          </cell>
        </row>
        <row r="165">
          <cell r="G165" t="str">
            <v>WE 美西大区SP 西雅图·波特兰片区PDX01</v>
          </cell>
          <cell r="H165" t="str">
            <v>Warehouse Operator 操作员</v>
          </cell>
          <cell r="I165" t="str">
            <v>TY_03:00</v>
          </cell>
          <cell r="J165" t="str">
            <v>03:08</v>
          </cell>
          <cell r="K165" t="str">
            <v>13:01</v>
          </cell>
          <cell r="L165" t="str">
            <v>正确</v>
          </cell>
          <cell r="M165">
            <v>0</v>
          </cell>
          <cell r="N165">
            <v>9.38</v>
          </cell>
          <cell r="O165">
            <v>1.38</v>
          </cell>
          <cell r="P165">
            <v>0</v>
          </cell>
          <cell r="Q165">
            <v>0</v>
          </cell>
          <cell r="R165" t="str">
            <v>王骞Ariel（Qian Wang）,叶秀芳Freya (Xiufang Ye)</v>
          </cell>
          <cell r="S165" t="str">
            <v>常哲</v>
          </cell>
          <cell r="T165" t="str">
            <v>尤梦楠Yuko（Mengnan You）</v>
          </cell>
        </row>
        <row r="166">
          <cell r="G166" t="str">
            <v>FL 佛州大区MIA.H综办组</v>
          </cell>
          <cell r="H166" t="str">
            <v>Warehouse Clerk 仓库文员</v>
          </cell>
          <cell r="I166" t="str">
            <v>TY_休息日</v>
          </cell>
        </row>
        <row r="166">
          <cell r="L166" t="str">
            <v>正确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str">
            <v>Natalia (Natalia Padilla),孙婕 Jasmine（Sunjie）</v>
          </cell>
          <cell r="S166" t="str">
            <v>贺子强Jeff (Ziqiang He)</v>
          </cell>
          <cell r="T166" t="str">
            <v>Minqing (Minqing Xu),罗煜雄 Mike (Yuxiong Luo)</v>
          </cell>
        </row>
        <row r="167">
          <cell r="G167" t="str">
            <v>MS 中南大区AS 奥萨查沿海片区AGS01</v>
          </cell>
          <cell r="H167" t="str">
            <v>Station Operations Specialist 站点运营专员</v>
          </cell>
          <cell r="I167" t="str">
            <v>TY_06:30</v>
          </cell>
          <cell r="J167" t="str">
            <v>06:15</v>
          </cell>
          <cell r="K167" t="str">
            <v>17:41</v>
          </cell>
          <cell r="L167" t="str">
            <v>正确</v>
          </cell>
          <cell r="M167">
            <v>0</v>
          </cell>
          <cell r="N167">
            <v>10.93</v>
          </cell>
          <cell r="O167">
            <v>2.93</v>
          </cell>
          <cell r="P167">
            <v>0</v>
          </cell>
          <cell r="Q167">
            <v>0</v>
          </cell>
          <cell r="R167" t="str">
            <v>欧阳迎春Flower（Yingchun Ouyang）</v>
          </cell>
          <cell r="S167" t="str">
            <v>杨云飞</v>
          </cell>
          <cell r="T167" t="str">
            <v>任洁琼Rachel（Jieqiong Ren）</v>
          </cell>
        </row>
        <row r="168">
          <cell r="G168" t="str">
            <v>NE 东北大区DC 华盛顿片区DCA01</v>
          </cell>
          <cell r="H168" t="str">
            <v>Station Operations Specialist 站点运营专员</v>
          </cell>
          <cell r="I168" t="str">
            <v>TY_10:30</v>
          </cell>
          <cell r="J168" t="str">
            <v>10:44</v>
          </cell>
          <cell r="K168" t="str">
            <v>19:02</v>
          </cell>
          <cell r="L168" t="str">
            <v>正确</v>
          </cell>
          <cell r="M168">
            <v>0</v>
          </cell>
          <cell r="N168">
            <v>7.8</v>
          </cell>
          <cell r="O168">
            <v>0</v>
          </cell>
          <cell r="P168">
            <v>0</v>
          </cell>
          <cell r="Q168">
            <v>0</v>
          </cell>
          <cell r="R168" t="str">
            <v>孙可君Monica（Kejun Sun）</v>
          </cell>
          <cell r="S168" t="str">
            <v>马聪Cong (Cong Ma)</v>
          </cell>
          <cell r="T168" t="str">
            <v>朱晗宇 Peter (Hanyu Zhu)</v>
          </cell>
        </row>
        <row r="169">
          <cell r="G169" t="str">
            <v>WE 美西大区SP 西雅图·波特兰片区PDX01</v>
          </cell>
          <cell r="H169" t="str">
            <v>Warehouse Operator 操作员</v>
          </cell>
          <cell r="I169" t="str">
            <v>TY_05:30</v>
          </cell>
          <cell r="J169" t="str">
            <v>05:28</v>
          </cell>
          <cell r="K169" t="str">
            <v>13:01</v>
          </cell>
          <cell r="L169" t="str">
            <v>正确</v>
          </cell>
          <cell r="M169">
            <v>0</v>
          </cell>
          <cell r="N169">
            <v>7.05</v>
          </cell>
          <cell r="O169">
            <v>0</v>
          </cell>
          <cell r="P169">
            <v>54.36</v>
          </cell>
          <cell r="Q169">
            <v>14.36</v>
          </cell>
          <cell r="R169" t="str">
            <v>王骞Ariel（Qian Wang）,叶秀芳Freya (Xiufang Ye)</v>
          </cell>
          <cell r="S169" t="str">
            <v>常哲</v>
          </cell>
          <cell r="T169" t="str">
            <v>尤梦楠Yuko（Mengnan You）</v>
          </cell>
        </row>
        <row r="170">
          <cell r="G170" t="str">
            <v>WE 美西大区DS 丹佛·盐湖城片区DEN01</v>
          </cell>
          <cell r="H170" t="str">
            <v>Station Head （Probation）站长（见习）</v>
          </cell>
          <cell r="I170" t="str">
            <v>TY_06:00</v>
          </cell>
          <cell r="J170" t="str">
            <v>06:19</v>
          </cell>
          <cell r="K170" t="str">
            <v>21:56</v>
          </cell>
          <cell r="L170" t="str">
            <v>正确</v>
          </cell>
          <cell r="M170">
            <v>0</v>
          </cell>
          <cell r="N170">
            <v>15.12</v>
          </cell>
          <cell r="O170">
            <v>7.12</v>
          </cell>
          <cell r="P170">
            <v>0</v>
          </cell>
          <cell r="Q170">
            <v>0</v>
          </cell>
          <cell r="R170" t="str">
            <v>王骞Ariel（Qian Wang）,叶秀芳Freya (Xiufang Ye)</v>
          </cell>
          <cell r="S170" t="str">
            <v>常哲</v>
          </cell>
          <cell r="T170" t="str">
            <v>兰鹏Peng（Peng Lan）</v>
          </cell>
        </row>
        <row r="171">
          <cell r="G171" t="str">
            <v>NE 东北大区JFK.H</v>
          </cell>
          <cell r="H171" t="str">
            <v>Hub Head 仓长</v>
          </cell>
          <cell r="I171" t="str">
            <v>TY_休息日</v>
          </cell>
        </row>
        <row r="171">
          <cell r="L171" t="str">
            <v>正确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str">
            <v>孙可君Monica（Kejun Sun）</v>
          </cell>
          <cell r="S171" t="str">
            <v>马聪Cong (Cong Ma)</v>
          </cell>
        </row>
        <row r="172">
          <cell r="G172" t="str">
            <v>QC 质量控制部质量改善组</v>
          </cell>
          <cell r="H172" t="str">
            <v>Quality Improvement Specialist 质量改善专员</v>
          </cell>
          <cell r="I172" t="str">
            <v>TY_休息日</v>
          </cell>
        </row>
        <row r="172">
          <cell r="L172" t="str">
            <v>正确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str">
            <v>袁博闻(Bowen Yuan)</v>
          </cell>
        </row>
        <row r="173">
          <cell r="G173" t="str">
            <v>NE 东北大区BN 布法罗片区SYR01</v>
          </cell>
          <cell r="H173" t="str">
            <v>Station Operations Specialist 站点运营专员</v>
          </cell>
          <cell r="I173" t="str">
            <v>TY_06:00</v>
          </cell>
          <cell r="J173" t="str">
            <v>06:00</v>
          </cell>
          <cell r="K173" t="str">
            <v>18:52</v>
          </cell>
          <cell r="L173" t="str">
            <v>正确</v>
          </cell>
          <cell r="M173">
            <v>0</v>
          </cell>
          <cell r="N173">
            <v>12.37</v>
          </cell>
          <cell r="O173">
            <v>4.37</v>
          </cell>
          <cell r="P173">
            <v>0</v>
          </cell>
          <cell r="Q173">
            <v>0</v>
          </cell>
          <cell r="R173" t="str">
            <v>孙可君Monica（Kejun Sun）</v>
          </cell>
          <cell r="S173" t="str">
            <v>马聪Cong (Cong Ma)</v>
          </cell>
          <cell r="T173" t="str">
            <v>朱晗宇 Peter (Hanyu Zhu)</v>
          </cell>
        </row>
        <row r="174">
          <cell r="G174" t="str">
            <v>WE 美西大区LA揽收部揽收调度组</v>
          </cell>
          <cell r="H174" t="str">
            <v>Pickup Dispatch Lead 揽收调度组长</v>
          </cell>
          <cell r="I174" t="str">
            <v>TY_休息日</v>
          </cell>
          <cell r="J174" t="str">
            <v>10:29</v>
          </cell>
          <cell r="K174" t="str">
            <v>17:33</v>
          </cell>
          <cell r="L174" t="str">
            <v>正确</v>
          </cell>
          <cell r="M174">
            <v>0</v>
          </cell>
          <cell r="N174">
            <v>6.57</v>
          </cell>
          <cell r="O174">
            <v>0</v>
          </cell>
          <cell r="P174">
            <v>0</v>
          </cell>
          <cell r="Q174">
            <v>0</v>
          </cell>
          <cell r="R174" t="str">
            <v>王骞Ariel（Qian Wang）,叶秀芳Freya (Xiufang Ye)</v>
          </cell>
          <cell r="S174" t="str">
            <v>常哲</v>
          </cell>
        </row>
        <row r="175">
          <cell r="G175" t="str">
            <v>WE 美西大区NC 北加片区SFO.H</v>
          </cell>
          <cell r="H175" t="str">
            <v>Sorter 分拣员</v>
          </cell>
          <cell r="I175" t="str">
            <v>TY_休息日</v>
          </cell>
        </row>
        <row r="175">
          <cell r="L175" t="str">
            <v>正确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str">
            <v>王骞Ariel（Qian Wang）,叶秀芳Freya (Xiufang Ye)</v>
          </cell>
          <cell r="S175" t="str">
            <v>常哲</v>
          </cell>
          <cell r="T175" t="str">
            <v>林美浚（Meijun Lin）</v>
          </cell>
        </row>
        <row r="176">
          <cell r="G176" t="str">
            <v>TX 德州大区NT 北德州片区</v>
          </cell>
          <cell r="H176" t="str">
            <v>District Head 片区长</v>
          </cell>
          <cell r="I176" t="str">
            <v>TY_06:30</v>
          </cell>
        </row>
        <row r="176">
          <cell r="L176" t="str">
            <v>/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str">
            <v>肖芦莉Lily (Luli Xiao)</v>
          </cell>
          <cell r="S176" t="str">
            <v>张骥Ji Zhang (Ji Zhang)</v>
          </cell>
        </row>
        <row r="177">
          <cell r="G177" t="str">
            <v>NE 东北大区BN 布法罗片区BUF01</v>
          </cell>
          <cell r="H177" t="str">
            <v>Station Operations Specialist 站点运营专员</v>
          </cell>
          <cell r="I177" t="str">
            <v>TY_休息日</v>
          </cell>
        </row>
        <row r="177">
          <cell r="L177" t="str">
            <v>正确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str">
            <v>孙可君Monica（Kejun Sun）</v>
          </cell>
          <cell r="S177" t="str">
            <v>马聪Cong (Cong Ma)</v>
          </cell>
          <cell r="T177" t="str">
            <v>朱晗宇 Peter (Hanyu Zhu)</v>
          </cell>
        </row>
        <row r="178">
          <cell r="G178" t="str">
            <v>WE 美西大区NC 北加片区SFO01</v>
          </cell>
          <cell r="H178" t="str">
            <v>Station Operations Specialist 站点运营专员</v>
          </cell>
          <cell r="I178" t="str">
            <v>TY_休息日</v>
          </cell>
        </row>
        <row r="178">
          <cell r="L178" t="str">
            <v>正确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str">
            <v>王骞Ariel（Qian Wang）,叶秀芳Freya (Xiufang Ye)</v>
          </cell>
          <cell r="S178" t="str">
            <v>常哲</v>
          </cell>
          <cell r="T178" t="str">
            <v>林美浚（Meijun Lin）</v>
          </cell>
        </row>
        <row r="179">
          <cell r="G179" t="str">
            <v>WE 美西大区NC 北加片区SMF01</v>
          </cell>
          <cell r="H179" t="str">
            <v>Warehouse Operator 操作员</v>
          </cell>
          <cell r="I179" t="str">
            <v>TY_05:00</v>
          </cell>
          <cell r="J179" t="str">
            <v>04:40</v>
          </cell>
          <cell r="K179" t="str">
            <v>14:03</v>
          </cell>
          <cell r="L179" t="str">
            <v>正确</v>
          </cell>
          <cell r="M179">
            <v>0</v>
          </cell>
          <cell r="N179">
            <v>8.88</v>
          </cell>
          <cell r="O179">
            <v>0.88</v>
          </cell>
          <cell r="P179">
            <v>0</v>
          </cell>
          <cell r="Q179">
            <v>0</v>
          </cell>
          <cell r="R179" t="str">
            <v>王骞Ariel（Qian Wang）,叶秀芳Freya (Xiufang Ye)</v>
          </cell>
          <cell r="S179" t="str">
            <v>常哲</v>
          </cell>
          <cell r="T179" t="str">
            <v>林美浚（Meijun Lin）</v>
          </cell>
        </row>
        <row r="180">
          <cell r="G180" t="str">
            <v>FL 佛州大区MIA.H综办组</v>
          </cell>
          <cell r="H180" t="str">
            <v>Warehouse Clerk 仓库文员</v>
          </cell>
          <cell r="I180" t="str">
            <v>TY_休息日</v>
          </cell>
        </row>
        <row r="180">
          <cell r="L180" t="str">
            <v>正确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str">
            <v>Natalia (Natalia Padilla),孙婕 Jasmine（Sunjie）</v>
          </cell>
          <cell r="S180" t="str">
            <v>贺子强Jeff (Ziqiang He)</v>
          </cell>
          <cell r="T180" t="str">
            <v>Minqing (Minqing Xu),罗煜雄 Mike (Yuxiong Luo)</v>
          </cell>
        </row>
        <row r="181">
          <cell r="G181" t="str">
            <v>MS 中南大区车辆管理部</v>
          </cell>
          <cell r="H181" t="str">
            <v>Vehicle Management Specialist 车辆管理专员</v>
          </cell>
          <cell r="I181" t="str">
            <v>TY_休息日</v>
          </cell>
        </row>
        <row r="181">
          <cell r="L181" t="str">
            <v>正确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str">
            <v>欧阳迎春Flower（Yingchun Ouyang）</v>
          </cell>
          <cell r="S181" t="str">
            <v>杨云飞</v>
          </cell>
        </row>
        <row r="182">
          <cell r="G182" t="str">
            <v>Ground项目部OG 美西区LA917</v>
          </cell>
          <cell r="H182" t="str">
            <v>Station Operations Specialist 站点运营专员</v>
          </cell>
          <cell r="I182" t="str">
            <v>TY_休息日</v>
          </cell>
        </row>
        <row r="182">
          <cell r="L182" t="str">
            <v>正确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str">
            <v>王安琪 (Anqi Wang),张朱同 Thomson（Zhutong Zhang）</v>
          </cell>
          <cell r="S182" t="str">
            <v>陈锦昭</v>
          </cell>
          <cell r="T182" t="str">
            <v>宋佳牧 Dorian (Jiamu Song)</v>
          </cell>
        </row>
        <row r="183">
          <cell r="G183" t="str">
            <v>NE 东北大区EWR.H</v>
          </cell>
          <cell r="H183" t="str">
            <v>Hub Head 仓长</v>
          </cell>
          <cell r="I183" t="str">
            <v>TY_休息日</v>
          </cell>
        </row>
        <row r="183">
          <cell r="L183" t="str">
            <v>正确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str">
            <v>孙可君Monica（Kejun Sun）</v>
          </cell>
          <cell r="S183" t="str">
            <v>马聪Cong (Cong Ma)</v>
          </cell>
        </row>
        <row r="184">
          <cell r="G184" t="str">
            <v>FL 佛州大区MCO.H异常处理组</v>
          </cell>
          <cell r="H184" t="str">
            <v>Returns Lead 退件组长</v>
          </cell>
          <cell r="I184" t="str">
            <v>TY_09:00</v>
          </cell>
          <cell r="J184" t="str">
            <v>08:58</v>
          </cell>
          <cell r="K184" t="str">
            <v>20:49</v>
          </cell>
          <cell r="L184" t="str">
            <v>正确</v>
          </cell>
          <cell r="M184">
            <v>0</v>
          </cell>
          <cell r="N184">
            <v>11.35</v>
          </cell>
          <cell r="O184">
            <v>3.35</v>
          </cell>
          <cell r="P184">
            <v>0</v>
          </cell>
          <cell r="Q184">
            <v>0</v>
          </cell>
          <cell r="R184" t="str">
            <v>Natalia (Natalia Padilla),孙婕 Jasmine（Sunjie）</v>
          </cell>
          <cell r="S184" t="str">
            <v>贺子强Jeff (Ziqiang He)</v>
          </cell>
          <cell r="T184" t="str">
            <v>Minqing (Minqing Xu),罗煜雄 Mike (Yuxiong Luo)</v>
          </cell>
        </row>
        <row r="185">
          <cell r="G185" t="str">
            <v>MS 中南大区揽收部ATL揽收组</v>
          </cell>
          <cell r="H185" t="str">
            <v>Pickup Specialist 揽收专员</v>
          </cell>
          <cell r="I185" t="str">
            <v>TY_10:00</v>
          </cell>
        </row>
        <row r="185">
          <cell r="K185" t="str">
            <v>21:47</v>
          </cell>
          <cell r="L185" t="str">
            <v>/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str">
            <v>欧阳迎春Flower（Yingchun Ouyang）</v>
          </cell>
          <cell r="S185" t="str">
            <v>杨云飞</v>
          </cell>
          <cell r="T185" t="str">
            <v>依丽旦娜·依明江Dana （Yilidanna Yimingjiang）</v>
          </cell>
        </row>
        <row r="186">
          <cell r="G186" t="str">
            <v>WE 美西大区LAV.H异常处理组</v>
          </cell>
          <cell r="H186" t="str">
            <v>Returns Specialist 退件员</v>
          </cell>
          <cell r="I186" t="str">
            <v>TY_美国节假日（9点-18点）</v>
          </cell>
        </row>
        <row r="186">
          <cell r="L186" t="str">
            <v>正确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str">
            <v>王骞Ariel（Qian Wang）,叶秀芳Freya (Xiufang Ye)</v>
          </cell>
          <cell r="S186" t="str">
            <v>常哲</v>
          </cell>
          <cell r="T186" t="str">
            <v>Minqing (Minqing Xu),罗煜雄 Mike (Yuxiong Luo)</v>
          </cell>
        </row>
        <row r="187">
          <cell r="G187" t="str">
            <v>GL 大湖大区ORD.H调度组</v>
          </cell>
          <cell r="H187" t="str">
            <v>Dispatcher 调度员</v>
          </cell>
          <cell r="I187" t="str">
            <v>TY_16:30</v>
          </cell>
          <cell r="J187" t="str">
            <v>16:11</v>
          </cell>
          <cell r="K187" t="str">
            <v>02:25</v>
          </cell>
          <cell r="L187" t="str">
            <v>正确</v>
          </cell>
          <cell r="M187">
            <v>0</v>
          </cell>
          <cell r="N187">
            <v>9.73</v>
          </cell>
          <cell r="O187">
            <v>1.73</v>
          </cell>
          <cell r="P187">
            <v>0</v>
          </cell>
          <cell r="Q187">
            <v>0</v>
          </cell>
          <cell r="R187" t="str">
            <v>王晓丹 Jasmine（Xiaodan Wang）,周延舒Isabel（Yanshu Zhou）</v>
          </cell>
          <cell r="S187" t="str">
            <v>张骥Ji Zhang (Ji Zhang)</v>
          </cell>
          <cell r="T187" t="str">
            <v>Minqing (Minqing Xu),罗煜雄 Mike (Yuxiong Luo)</v>
          </cell>
        </row>
        <row r="188">
          <cell r="G188" t="str">
            <v>WE 美西大区LAV.H分拣组</v>
          </cell>
          <cell r="H188" t="str">
            <v>Sorting Lead 分拣组长</v>
          </cell>
          <cell r="I188" t="str">
            <v>TY_05:00</v>
          </cell>
          <cell r="J188" t="str">
            <v>05:12</v>
          </cell>
          <cell r="K188" t="str">
            <v>16:26</v>
          </cell>
          <cell r="L188" t="str">
            <v>正确</v>
          </cell>
          <cell r="M188">
            <v>0</v>
          </cell>
          <cell r="N188">
            <v>10.73</v>
          </cell>
          <cell r="O188">
            <v>2.73</v>
          </cell>
          <cell r="P188">
            <v>0</v>
          </cell>
          <cell r="Q188">
            <v>0</v>
          </cell>
          <cell r="R188" t="str">
            <v>王骞Ariel（Qian Wang）,叶秀芳Freya (Xiufang Ye)</v>
          </cell>
          <cell r="S188" t="str">
            <v>常哲</v>
          </cell>
          <cell r="T188" t="str">
            <v>张双甫(Shuangfu Zhang)</v>
          </cell>
        </row>
        <row r="189">
          <cell r="G189" t="str">
            <v>NE 东北大区NY 纽约片区JFK01</v>
          </cell>
          <cell r="H189" t="str">
            <v>Station Head （Probation）站长（见习）</v>
          </cell>
          <cell r="I189" t="str">
            <v>TY_休息日</v>
          </cell>
          <cell r="J189" t="str">
            <v>14:10</v>
          </cell>
        </row>
        <row r="189">
          <cell r="L189" t="str">
            <v>不正确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str">
            <v>孙可君Monica（Kejun Sun）</v>
          </cell>
          <cell r="S189" t="str">
            <v>马聪Cong (Cong Ma)</v>
          </cell>
          <cell r="T189" t="str">
            <v>朱晗宇 Peter (Hanyu Zhu)</v>
          </cell>
        </row>
        <row r="190">
          <cell r="G190" t="str">
            <v>WE 美西大区DS 丹佛·盐湖城片区DEN.H</v>
          </cell>
          <cell r="H190" t="str">
            <v>Warehouse Operator 操作员</v>
          </cell>
          <cell r="I190" t="str">
            <v>TY_休息日</v>
          </cell>
        </row>
        <row r="190">
          <cell r="L190" t="str">
            <v>正确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str">
            <v>王骞Ariel（Qian Wang）,叶秀芳Freya (Xiufang Ye)</v>
          </cell>
          <cell r="S190" t="str">
            <v>常哲</v>
          </cell>
          <cell r="T190" t="str">
            <v>兰鹏Peng（Peng Lan）</v>
          </cell>
        </row>
        <row r="191">
          <cell r="G191" t="str">
            <v>TX 德州大区GC 墨湾片区IAH01</v>
          </cell>
          <cell r="H191" t="str">
            <v>Station Operations Specialist 站点运营专员</v>
          </cell>
          <cell r="I191" t="str">
            <v>TY_休息日</v>
          </cell>
          <cell r="J191" t="str">
            <v>13:04</v>
          </cell>
        </row>
        <row r="191">
          <cell r="L191" t="str">
            <v>不正确</v>
          </cell>
          <cell r="M191">
            <v>0</v>
          </cell>
          <cell r="N191">
            <v>0</v>
          </cell>
          <cell r="O191">
            <v>0</v>
          </cell>
          <cell r="P191">
            <v>5.02</v>
          </cell>
          <cell r="Q191">
            <v>0</v>
          </cell>
          <cell r="R191" t="str">
            <v>肖芦莉Lily (Luli Xiao)</v>
          </cell>
          <cell r="S191" t="str">
            <v>张骥Ji Zhang (Ji Zhang)</v>
          </cell>
          <cell r="T191" t="str">
            <v>金磊Brian（LEI JIN）</v>
          </cell>
        </row>
        <row r="192">
          <cell r="G192" t="str">
            <v>Ground项目部OG 美东区BO021</v>
          </cell>
          <cell r="H192" t="str">
            <v>Station Operations Specialist 站点运营专员</v>
          </cell>
          <cell r="I192" t="str">
            <v>TY_08:00</v>
          </cell>
          <cell r="J192" t="str">
            <v>07:57</v>
          </cell>
          <cell r="K192" t="str">
            <v>18:03</v>
          </cell>
          <cell r="L192" t="str">
            <v>正确</v>
          </cell>
          <cell r="M192">
            <v>0</v>
          </cell>
          <cell r="N192">
            <v>9.6</v>
          </cell>
          <cell r="O192">
            <v>1.6</v>
          </cell>
          <cell r="P192">
            <v>0</v>
          </cell>
          <cell r="Q192">
            <v>0</v>
          </cell>
          <cell r="R192" t="str">
            <v>王安琪 (Anqi Wang),张朱同 Thomson（Zhutong Zhang）</v>
          </cell>
          <cell r="S192" t="str">
            <v>陈锦昭</v>
          </cell>
          <cell r="T192" t="str">
            <v>欧和枫 Henry (HeFeng Ou)</v>
          </cell>
        </row>
        <row r="193">
          <cell r="G193" t="str">
            <v>Ground项目部OG 美西区LA900</v>
          </cell>
          <cell r="H193" t="str">
            <v>Station Operations Specialist 站点运营专员</v>
          </cell>
          <cell r="I193" t="str">
            <v>TY_休息日</v>
          </cell>
        </row>
        <row r="193">
          <cell r="L193" t="str">
            <v>正确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str">
            <v>王安琪 (Anqi Wang),张朱同 Thomson（Zhutong Zhang）</v>
          </cell>
          <cell r="S193" t="str">
            <v>陈锦昭</v>
          </cell>
          <cell r="T193" t="str">
            <v>刘俊甜Verity（Juntian Liu）</v>
          </cell>
        </row>
        <row r="194">
          <cell r="G194" t="str">
            <v>MS 中南大区AS 亚特兰大和南阿拉巴马片区</v>
          </cell>
          <cell r="H194" t="str">
            <v>District Head 片区长</v>
          </cell>
          <cell r="I194" t="str">
            <v>TY_09:00</v>
          </cell>
          <cell r="J194" t="str">
            <v>09:00</v>
          </cell>
          <cell r="K194" t="str">
            <v>17:30</v>
          </cell>
          <cell r="L194" t="str">
            <v>正确</v>
          </cell>
          <cell r="M194">
            <v>0</v>
          </cell>
          <cell r="N194">
            <v>8</v>
          </cell>
          <cell r="O194">
            <v>0</v>
          </cell>
          <cell r="P194">
            <v>0</v>
          </cell>
          <cell r="Q194">
            <v>0</v>
          </cell>
          <cell r="R194" t="str">
            <v>欧阳迎春Flower（Yingchun Ouyang）</v>
          </cell>
          <cell r="S194" t="str">
            <v>杨云飞</v>
          </cell>
        </row>
        <row r="195">
          <cell r="G195" t="str">
            <v>FL 佛州大区NF 北佛片区JAX01</v>
          </cell>
          <cell r="H195" t="str">
            <v>Station Operations Specialist 站点运营专员</v>
          </cell>
          <cell r="I195" t="str">
            <v>TY_05:00</v>
          </cell>
        </row>
        <row r="195">
          <cell r="L195" t="str">
            <v>/</v>
          </cell>
          <cell r="M195">
            <v>1</v>
          </cell>
          <cell r="N195">
            <v>1</v>
          </cell>
          <cell r="O195">
            <v>0</v>
          </cell>
          <cell r="P195">
            <v>0</v>
          </cell>
          <cell r="Q195">
            <v>0</v>
          </cell>
          <cell r="R195" t="str">
            <v>Natalia (Natalia Padilla),孙婕 Jasmine（Sunjie）</v>
          </cell>
          <cell r="S195" t="str">
            <v>贺子强Jeff (Ziqiang He)</v>
          </cell>
          <cell r="T195" t="str">
            <v>黄燕娜 Nana (Yanna Huang)</v>
          </cell>
        </row>
        <row r="196">
          <cell r="G196" t="str">
            <v>MS 中南大区ATL.H操作组</v>
          </cell>
          <cell r="H196" t="str">
            <v>Warehouse Lead 操作组长</v>
          </cell>
          <cell r="I196" t="str">
            <v>TY_08:30</v>
          </cell>
          <cell r="J196" t="str">
            <v>08:27</v>
          </cell>
          <cell r="K196" t="str">
            <v>19:18</v>
          </cell>
          <cell r="L196" t="str">
            <v>正确</v>
          </cell>
          <cell r="M196">
            <v>0</v>
          </cell>
          <cell r="N196">
            <v>10.35</v>
          </cell>
          <cell r="O196">
            <v>2.35</v>
          </cell>
          <cell r="P196">
            <v>0</v>
          </cell>
          <cell r="Q196">
            <v>0</v>
          </cell>
          <cell r="R196" t="str">
            <v>欧阳迎春Flower（Yingchun Ouyang）</v>
          </cell>
          <cell r="S196" t="str">
            <v>杨云飞</v>
          </cell>
          <cell r="T196" t="str">
            <v>Minqing (Minqing Xu),罗煜雄 Mike (Yuxiong Luo),明杰麟Jennie (Jielin Ming)</v>
          </cell>
          <cell r="U196" t="str">
            <v>文艳平</v>
          </cell>
        </row>
        <row r="197">
          <cell r="G197" t="str">
            <v>MS 中南大区运营支持部区域支持组</v>
          </cell>
          <cell r="H197" t="str">
            <v>Regional Support Specialist 区域支持专员</v>
          </cell>
          <cell r="I197" t="str">
            <v>TY_09:00</v>
          </cell>
        </row>
        <row r="197">
          <cell r="L197" t="str">
            <v>/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str">
            <v>欧阳迎春Flower（Yingchun Ouyang）</v>
          </cell>
          <cell r="S197" t="str">
            <v>杨云飞</v>
          </cell>
        </row>
        <row r="198">
          <cell r="G198" t="str">
            <v>FL 佛州大区WPB01</v>
          </cell>
          <cell r="H198" t="str">
            <v>Station Operations Specialist 站点运营专员</v>
          </cell>
          <cell r="I198" t="str">
            <v>TY_05:00</v>
          </cell>
          <cell r="J198" t="str">
            <v>05:28</v>
          </cell>
          <cell r="K198" t="str">
            <v>13:49</v>
          </cell>
          <cell r="L198" t="str">
            <v>正确</v>
          </cell>
          <cell r="M198">
            <v>0</v>
          </cell>
          <cell r="N198">
            <v>7.85</v>
          </cell>
          <cell r="O198">
            <v>0</v>
          </cell>
          <cell r="P198">
            <v>0</v>
          </cell>
          <cell r="Q198">
            <v>0</v>
          </cell>
          <cell r="R198" t="str">
            <v>Natalia (Natalia Padilla),孙婕 Jasmine（Sunjie）</v>
          </cell>
          <cell r="S198" t="str">
            <v>贺子强Jeff (Ziqiang He)</v>
          </cell>
        </row>
        <row r="199">
          <cell r="G199" t="str">
            <v>FL 佛州大区MCO.H分拣组</v>
          </cell>
          <cell r="H199" t="str">
            <v>Sorter 分拣员</v>
          </cell>
          <cell r="I199" t="str">
            <v>TY_休息日</v>
          </cell>
        </row>
        <row r="199">
          <cell r="L199" t="str">
            <v>正确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str">
            <v>Natalia (Natalia Padilla),孙婕 Jasmine（Sunjie）</v>
          </cell>
          <cell r="S199" t="str">
            <v>贺子强Jeff (Ziqiang He)</v>
          </cell>
          <cell r="T199" t="str">
            <v>张双甫(Shuangfu Zhang)</v>
          </cell>
        </row>
        <row r="200">
          <cell r="G200" t="str">
            <v>Ground项目部OG 美东区EWR.G</v>
          </cell>
          <cell r="H200" t="str">
            <v>Warehouse Lead 操作组长</v>
          </cell>
          <cell r="I200" t="str">
            <v>TY_休息日</v>
          </cell>
        </row>
        <row r="200">
          <cell r="L200" t="str">
            <v>正确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str">
            <v>王安琪 (Anqi Wang),张朱同 Thomson（Zhutong Zhang）</v>
          </cell>
          <cell r="S200" t="str">
            <v>陈锦昭</v>
          </cell>
          <cell r="T200" t="str">
            <v>王兵 Allen (Bing Wang)</v>
          </cell>
        </row>
        <row r="201">
          <cell r="G201" t="str">
            <v>Ground项目部OG 美西区CNO.G</v>
          </cell>
          <cell r="H201" t="str">
            <v>Sorting Lead 分拣组长</v>
          </cell>
          <cell r="I201" t="str">
            <v>TY_休息日</v>
          </cell>
        </row>
        <row r="201">
          <cell r="L201" t="str">
            <v>正确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str">
            <v>王安琪 (Anqi Wang),张朱同 Thomson（Zhutong Zhang）</v>
          </cell>
          <cell r="S201" t="str">
            <v>陈锦昭</v>
          </cell>
          <cell r="T201" t="str">
            <v>张弘毅 Hongyi （Hongyi Zhang）</v>
          </cell>
        </row>
        <row r="202">
          <cell r="G202" t="str">
            <v>WE 美西大区LAV.H分拣组</v>
          </cell>
          <cell r="H202" t="str">
            <v>Sorting Lead 分拣组长</v>
          </cell>
          <cell r="I202" t="str">
            <v>TY_美国节假日（9点-18点）</v>
          </cell>
        </row>
        <row r="202">
          <cell r="L202" t="str">
            <v>正确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str">
            <v>王骞Ariel（Qian Wang）,叶秀芳Freya (Xiufang Ye)</v>
          </cell>
          <cell r="S202" t="str">
            <v>常哲</v>
          </cell>
          <cell r="T202" t="str">
            <v>张双甫(Shuangfu Zhang)</v>
          </cell>
        </row>
        <row r="203">
          <cell r="G203" t="str">
            <v>FL 佛州大区MCO.H</v>
          </cell>
          <cell r="H203" t="str">
            <v>Deputy Hub Head 副仓长</v>
          </cell>
          <cell r="I203" t="str">
            <v>TY_休息日</v>
          </cell>
        </row>
        <row r="203">
          <cell r="L203" t="str">
            <v>正确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str">
            <v>Natalia (Natalia Padilla),孙婕 Jasmine（Sunjie）</v>
          </cell>
          <cell r="S203" t="str">
            <v>贺子强Jeff (Ziqiang He)</v>
          </cell>
        </row>
        <row r="204">
          <cell r="G204" t="str">
            <v>TX 德州大区NT 北德州片区ELP01</v>
          </cell>
          <cell r="H204" t="str">
            <v>Station Head （Probation）站长（见习）</v>
          </cell>
          <cell r="I204" t="str">
            <v>TY_06:30</v>
          </cell>
        </row>
        <row r="204">
          <cell r="L204" t="str">
            <v>/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str">
            <v>肖芦莉Lily (Luli Xiao)</v>
          </cell>
          <cell r="S204" t="str">
            <v>张骥Ji Zhang (Ji Zhang)</v>
          </cell>
          <cell r="T204" t="str">
            <v>何琼joan(Qiong He)</v>
          </cell>
        </row>
        <row r="205">
          <cell r="G205" t="str">
            <v>GL 大湖大区运营支持部区域支持组</v>
          </cell>
          <cell r="H205" t="str">
            <v>Regional Support Specialist 区域支持专员</v>
          </cell>
          <cell r="I205" t="str">
            <v>TY_休息日</v>
          </cell>
        </row>
        <row r="205">
          <cell r="L205" t="str">
            <v>正确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str">
            <v>王晓丹 Jasmine（Xiaodan Wang）,周延舒Isabel（Yanshu Zhou）</v>
          </cell>
          <cell r="S205" t="str">
            <v>张骥Ji Zhang (Ji Zhang)</v>
          </cell>
        </row>
        <row r="206">
          <cell r="G206" t="str">
            <v>Ground项目部OG 美西区运营支持组</v>
          </cell>
          <cell r="H206" t="str">
            <v>Operations Support Specialist 运营支持专员</v>
          </cell>
          <cell r="I206" t="str">
            <v>TY_休息日</v>
          </cell>
        </row>
        <row r="206">
          <cell r="L206" t="str">
            <v>正确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str">
            <v>王安琪 (Anqi Wang),张朱同 Thomson（Zhutong Zhang）</v>
          </cell>
          <cell r="S206" t="str">
            <v>陈锦昭</v>
          </cell>
        </row>
        <row r="207">
          <cell r="G207" t="str">
            <v>CS 客户服务部消费者客服组海外客服组</v>
          </cell>
          <cell r="H207" t="str">
            <v>Senior Hotline CS Specialist 高级热线客服专员</v>
          </cell>
          <cell r="I207" t="str">
            <v>TY_休息日</v>
          </cell>
        </row>
        <row r="207">
          <cell r="L207" t="str">
            <v>正确</v>
          </cell>
          <cell r="M207">
            <v>0</v>
          </cell>
          <cell r="N207">
            <v>0</v>
          </cell>
          <cell r="O207">
            <v>0</v>
          </cell>
          <cell r="P207">
            <v>45.92</v>
          </cell>
          <cell r="Q207">
            <v>5.92</v>
          </cell>
          <cell r="R207" t="str">
            <v>袁博闻(Bowen Yuan)</v>
          </cell>
        </row>
        <row r="208">
          <cell r="G208" t="str">
            <v>OM 操作管理部仓库租赁组</v>
          </cell>
          <cell r="H208" t="str">
            <v>Warehouse Leasing Supervisor 仓库租赁主管</v>
          </cell>
          <cell r="I208" t="str">
            <v>TY_休息日</v>
          </cell>
        </row>
        <row r="208">
          <cell r="L208" t="str">
            <v>正确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str">
            <v>袁博闻(Bowen Yuan)</v>
          </cell>
        </row>
        <row r="209">
          <cell r="G209" t="str">
            <v>TX 德州大区IAH.H维保组</v>
          </cell>
          <cell r="H209" t="str">
            <v>Maintenance Specialist 维保员</v>
          </cell>
          <cell r="I209" t="str">
            <v>TY_休息日</v>
          </cell>
        </row>
        <row r="209">
          <cell r="L209" t="str">
            <v>正确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str">
            <v>肖芦莉Lily (Luli Xiao)</v>
          </cell>
          <cell r="S209" t="str">
            <v>张骥Ji Zhang (Ji Zhang)</v>
          </cell>
          <cell r="T209" t="str">
            <v>章峻铭 J (Junming Zhang)</v>
          </cell>
        </row>
        <row r="210">
          <cell r="G210" t="str">
            <v>US人力资源部美洲HRBP组</v>
          </cell>
          <cell r="H210" t="str">
            <v>US HRBP Manager 美洲HRBP组经理</v>
          </cell>
          <cell r="I210" t="str">
            <v>TY_休息日</v>
          </cell>
        </row>
        <row r="210">
          <cell r="L210" t="str">
            <v>正确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str">
            <v>袁博闻(Bowen Yuan)</v>
          </cell>
        </row>
        <row r="211">
          <cell r="G211" t="str">
            <v>NE 东北大区NY 纽约片区LGA01</v>
          </cell>
          <cell r="H211" t="str">
            <v>Station Operations Specialist 站点运营专员</v>
          </cell>
          <cell r="I211" t="str">
            <v>TY_05:00</v>
          </cell>
          <cell r="J211" t="str">
            <v>04:26</v>
          </cell>
          <cell r="K211" t="str">
            <v>13:51</v>
          </cell>
          <cell r="L211" t="str">
            <v>正确</v>
          </cell>
          <cell r="M211">
            <v>0</v>
          </cell>
          <cell r="N211">
            <v>8.92</v>
          </cell>
          <cell r="O211">
            <v>0.92</v>
          </cell>
          <cell r="P211">
            <v>0</v>
          </cell>
          <cell r="Q211">
            <v>0</v>
          </cell>
          <cell r="R211" t="str">
            <v>孙可君Monica（Kejun Sun）</v>
          </cell>
          <cell r="S211" t="str">
            <v>马聪Cong (Cong Ma)</v>
          </cell>
          <cell r="T211" t="str">
            <v>朱晗宇 Peter (Hanyu Zhu)</v>
          </cell>
        </row>
        <row r="212">
          <cell r="G212" t="str">
            <v>Ground项目部OG 美东区EWR.G</v>
          </cell>
          <cell r="H212" t="str">
            <v>Station Trainee 站点培训生</v>
          </cell>
          <cell r="I212" t="str">
            <v>TY_休息日</v>
          </cell>
        </row>
        <row r="212">
          <cell r="L212" t="str">
            <v>正确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str">
            <v>王安琪 (Anqi Wang),张朱同 Thomson（Zhutong Zhang）</v>
          </cell>
          <cell r="S212" t="str">
            <v>陈锦昭</v>
          </cell>
          <cell r="T212" t="str">
            <v>王兵 Allen (Bing Wang)</v>
          </cell>
        </row>
        <row r="213">
          <cell r="G213" t="str">
            <v>US人力资源部美洲HRBP组招聘组</v>
          </cell>
          <cell r="H213" t="str">
            <v>Recruitment Assistant 招聘助理</v>
          </cell>
          <cell r="I213" t="str">
            <v>TY_休息日</v>
          </cell>
        </row>
        <row r="213">
          <cell r="L213" t="str">
            <v>正确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str">
            <v>袁博闻(Bowen Yuan)</v>
          </cell>
        </row>
        <row r="214">
          <cell r="G214" t="str">
            <v>WE 美西大区SC 南加片区LA揽收部</v>
          </cell>
          <cell r="H214" t="str">
            <v>Deputy Pickup Supervisor 揽收部副主管</v>
          </cell>
          <cell r="I214" t="str">
            <v>TY_休息日</v>
          </cell>
        </row>
        <row r="214">
          <cell r="L214" t="str">
            <v>正确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str">
            <v>王骞Ariel（Qian Wang）,叶秀芳Freya (Xiufang Ye)</v>
          </cell>
          <cell r="S214" t="str">
            <v>常哲</v>
          </cell>
          <cell r="T214" t="str">
            <v>尤梦楠Yuko（Mengnan You）</v>
          </cell>
        </row>
        <row r="215">
          <cell r="G215" t="str">
            <v>MS 中南大区BN 田纳西和北阿拉巴马片区HSV01</v>
          </cell>
          <cell r="H215" t="str">
            <v>Station Head 站长</v>
          </cell>
          <cell r="I215" t="str">
            <v>TY_05:00</v>
          </cell>
          <cell r="J215" t="str">
            <v>05:01</v>
          </cell>
          <cell r="K215" t="str">
            <v>12:30</v>
          </cell>
          <cell r="L215" t="str">
            <v>正确</v>
          </cell>
          <cell r="M215">
            <v>0</v>
          </cell>
          <cell r="N215">
            <v>6.98</v>
          </cell>
          <cell r="O215">
            <v>0</v>
          </cell>
          <cell r="P215">
            <v>0</v>
          </cell>
          <cell r="Q215">
            <v>0</v>
          </cell>
          <cell r="R215" t="str">
            <v>欧阳迎春Flower（Yingchun Ouyang）</v>
          </cell>
          <cell r="S215" t="str">
            <v>杨云飞</v>
          </cell>
          <cell r="T215" t="str">
            <v>刘宏果（Hongguo Liu）</v>
          </cell>
        </row>
        <row r="216">
          <cell r="G216" t="str">
            <v>TX 德州大区IAH.H调度组</v>
          </cell>
          <cell r="H216" t="str">
            <v>Dispatcher 调度员</v>
          </cell>
          <cell r="I216" t="str">
            <v>TY_15:00</v>
          </cell>
          <cell r="J216" t="str">
            <v>14:32</v>
          </cell>
          <cell r="K216" t="str">
            <v>02:58</v>
          </cell>
          <cell r="L216" t="str">
            <v>正确</v>
          </cell>
          <cell r="M216">
            <v>0</v>
          </cell>
          <cell r="N216">
            <v>11.93</v>
          </cell>
          <cell r="O216">
            <v>3.93</v>
          </cell>
          <cell r="P216">
            <v>0</v>
          </cell>
          <cell r="Q216">
            <v>0</v>
          </cell>
          <cell r="R216" t="str">
            <v>肖芦莉Lily (Luli Xiao)</v>
          </cell>
          <cell r="S216" t="str">
            <v>张骥Ji Zhang (Ji Zhang)</v>
          </cell>
          <cell r="T216" t="str">
            <v>Minqing (Minqing Xu),罗煜雄 Mike (Yuxiong Luo)</v>
          </cell>
        </row>
        <row r="217">
          <cell r="G217" t="str">
            <v>Ground项目部OG 美西区CNO.G</v>
          </cell>
          <cell r="H217" t="str">
            <v>Warehouse Operator 操作员</v>
          </cell>
          <cell r="I217" t="str">
            <v>TY_休息日</v>
          </cell>
        </row>
        <row r="217">
          <cell r="L217" t="str">
            <v>正确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str">
            <v>王安琪 (Anqi Wang),张朱同 Thomson（Zhutong Zhang）</v>
          </cell>
          <cell r="S217" t="str">
            <v>陈锦昭</v>
          </cell>
          <cell r="T217" t="str">
            <v>张弘毅 Hongyi （Hongyi Zhang）</v>
          </cell>
        </row>
        <row r="218">
          <cell r="G218" t="str">
            <v>WE 美西大区SC 南加片区LAX01</v>
          </cell>
          <cell r="H218" t="str">
            <v>Warehouse Operator 操作员</v>
          </cell>
          <cell r="I218" t="str">
            <v>TY_05:00</v>
          </cell>
          <cell r="J218" t="str">
            <v>04:55</v>
          </cell>
        </row>
        <row r="218">
          <cell r="L218" t="str">
            <v>正确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str">
            <v>王骞Ariel（Qian Wang）,叶秀芳Freya (Xiufang Ye)</v>
          </cell>
          <cell r="S218" t="str">
            <v>常哲</v>
          </cell>
          <cell r="T218" t="str">
            <v>尤梦楠Yuko（Mengnan You）</v>
          </cell>
        </row>
        <row r="219">
          <cell r="G219" t="str">
            <v>MS 中南大区CLT.H调度组</v>
          </cell>
          <cell r="H219" t="str">
            <v>Dispatcher 调度员</v>
          </cell>
          <cell r="I219" t="str">
            <v>TY_13:30</v>
          </cell>
          <cell r="J219" t="str">
            <v>13:19</v>
          </cell>
          <cell r="K219" t="str">
            <v>22:41</v>
          </cell>
          <cell r="L219" t="str">
            <v>正确</v>
          </cell>
          <cell r="M219">
            <v>0</v>
          </cell>
          <cell r="N219">
            <v>8.87</v>
          </cell>
          <cell r="O219">
            <v>0.87</v>
          </cell>
          <cell r="P219">
            <v>0</v>
          </cell>
          <cell r="Q219">
            <v>0</v>
          </cell>
          <cell r="R219" t="str">
            <v>欧阳迎春Flower（Yingchun Ouyang）</v>
          </cell>
          <cell r="S219" t="str">
            <v>杨云飞</v>
          </cell>
          <cell r="T219" t="str">
            <v>Minqing (Minqing Xu),罗煜雄 Mike (Yuxiong Luo)</v>
          </cell>
        </row>
        <row r="220">
          <cell r="G220" t="str">
            <v>FL 佛州大区MIA.H综办组</v>
          </cell>
          <cell r="H220" t="str">
            <v>Warehouse Clerk 仓库文员</v>
          </cell>
          <cell r="I220" t="str">
            <v>TY_14:30</v>
          </cell>
          <cell r="J220" t="str">
            <v>14:21</v>
          </cell>
          <cell r="K220" t="str">
            <v>05:56</v>
          </cell>
          <cell r="L220" t="str">
            <v>正确</v>
          </cell>
          <cell r="M220">
            <v>0</v>
          </cell>
          <cell r="N220">
            <v>15.08</v>
          </cell>
          <cell r="O220">
            <v>7.08</v>
          </cell>
          <cell r="P220">
            <v>0</v>
          </cell>
          <cell r="Q220">
            <v>0</v>
          </cell>
          <cell r="R220" t="str">
            <v>Natalia (Natalia Padilla),孙婕 Jasmine（Sunjie）</v>
          </cell>
          <cell r="S220" t="str">
            <v>贺子强Jeff (Ziqiang He)</v>
          </cell>
          <cell r="T220" t="str">
            <v>Minqing (Minqing Xu),罗煜雄 Mike (Yuxiong Luo)</v>
          </cell>
        </row>
        <row r="221">
          <cell r="G221" t="str">
            <v>GL 大湖大区WG 西大湖片区MSN01</v>
          </cell>
          <cell r="H221" t="str">
            <v>Station Head （Probation）站长（见习）</v>
          </cell>
          <cell r="I221" t="str">
            <v>TY_休息日</v>
          </cell>
        </row>
        <row r="221">
          <cell r="L221" t="str">
            <v>正确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str">
            <v>王晓丹 Jasmine（Xiaodan Wang）,周延舒Isabel（Yanshu Zhou）</v>
          </cell>
          <cell r="S221" t="str">
            <v>张骥Ji Zhang (Ji Zhang)</v>
          </cell>
          <cell r="T221" t="str">
            <v>易至聪Zac (Zhicong Yi),尚青蓓 Suki （Qingbei Shang）</v>
          </cell>
        </row>
        <row r="222">
          <cell r="G222" t="str">
            <v>NE 东北大区DC 华盛顿片区ORF01</v>
          </cell>
          <cell r="H222" t="str">
            <v>Station Head （Probation）站长（见习）</v>
          </cell>
          <cell r="I222" t="str">
            <v>TY_06:00</v>
          </cell>
          <cell r="J222" t="str">
            <v>05:19</v>
          </cell>
          <cell r="K222" t="str">
            <v>17:47</v>
          </cell>
          <cell r="L222" t="str">
            <v>正确</v>
          </cell>
          <cell r="M222">
            <v>0</v>
          </cell>
          <cell r="N222">
            <v>11.97</v>
          </cell>
          <cell r="O222">
            <v>3.97</v>
          </cell>
          <cell r="P222">
            <v>0</v>
          </cell>
          <cell r="Q222">
            <v>0</v>
          </cell>
          <cell r="R222" t="str">
            <v>孙可君Monica（Kejun Sun）</v>
          </cell>
          <cell r="S222" t="str">
            <v>马聪Cong (Cong Ma)</v>
          </cell>
          <cell r="T222" t="str">
            <v>朱晗宇 Peter (Hanyu Zhu)</v>
          </cell>
        </row>
        <row r="223">
          <cell r="G223" t="str">
            <v>US人力资源部美洲HRBP组美西区HR组</v>
          </cell>
          <cell r="H223" t="str">
            <v>Recruitment Assistant 招聘助理</v>
          </cell>
          <cell r="I223" t="str">
            <v>TY_休息日</v>
          </cell>
        </row>
        <row r="223">
          <cell r="L223" t="str">
            <v>正确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str">
            <v>袁博闻(Bowen Yuan)</v>
          </cell>
        </row>
        <row r="224">
          <cell r="G224" t="str">
            <v>WE 美西大区CNO.H维保组</v>
          </cell>
          <cell r="H224" t="str">
            <v>Maintenance Specialist 维保员</v>
          </cell>
          <cell r="I224" t="str">
            <v>TY_05:30</v>
          </cell>
          <cell r="J224" t="str">
            <v>05:02</v>
          </cell>
          <cell r="K224" t="str">
            <v>16:02</v>
          </cell>
          <cell r="L224" t="str">
            <v>正确</v>
          </cell>
          <cell r="M224">
            <v>0</v>
          </cell>
          <cell r="N224">
            <v>10.5</v>
          </cell>
          <cell r="O224">
            <v>2.5</v>
          </cell>
          <cell r="P224">
            <v>0</v>
          </cell>
          <cell r="Q224">
            <v>0</v>
          </cell>
          <cell r="R224" t="str">
            <v>王骞Ariel（Qian Wang）,叶秀芳Freya (Xiufang Ye)</v>
          </cell>
          <cell r="S224" t="str">
            <v>常哲</v>
          </cell>
          <cell r="T224" t="str">
            <v>章峻铭 J (Junming Zhang)</v>
          </cell>
        </row>
        <row r="225">
          <cell r="G225" t="str">
            <v>TX 德州大区DFW.H维保组</v>
          </cell>
          <cell r="H225" t="str">
            <v>Maintenance Specialist 维保员</v>
          </cell>
          <cell r="I225" t="str">
            <v>TY_15:00</v>
          </cell>
          <cell r="J225" t="str">
            <v>14:23</v>
          </cell>
          <cell r="K225" t="str">
            <v>02:32</v>
          </cell>
          <cell r="L225" t="str">
            <v>正确</v>
          </cell>
          <cell r="M225">
            <v>0</v>
          </cell>
          <cell r="N225">
            <v>11.65</v>
          </cell>
          <cell r="O225">
            <v>3.65</v>
          </cell>
          <cell r="P225">
            <v>0</v>
          </cell>
          <cell r="Q225">
            <v>0</v>
          </cell>
          <cell r="R225" t="str">
            <v>肖芦莉Lily (Luli Xiao)</v>
          </cell>
          <cell r="S225" t="str">
            <v>张骥Ji Zhang (Ji Zhang)</v>
          </cell>
          <cell r="T225" t="str">
            <v>章峻铭 J (Junming Zhang)</v>
          </cell>
        </row>
        <row r="226">
          <cell r="G226" t="str">
            <v>TX 德州大区DFW.H综办组</v>
          </cell>
          <cell r="H226" t="str">
            <v>Warehouse Clerk 仓库文员</v>
          </cell>
          <cell r="I226" t="str">
            <v>TY_休息日</v>
          </cell>
        </row>
        <row r="226">
          <cell r="L226" t="str">
            <v>正确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str">
            <v>肖芦莉Lily (Luli Xiao)</v>
          </cell>
          <cell r="S226" t="str">
            <v>张骥Ji Zhang (Ji Zhang)</v>
          </cell>
          <cell r="T226" t="str">
            <v>Minqing (Minqing Xu),罗煜雄 Mike (Yuxiong Luo)</v>
          </cell>
        </row>
        <row r="227">
          <cell r="G227" t="str">
            <v>FL 佛州大区WF 西佛片区TPA01</v>
          </cell>
          <cell r="H227" t="str">
            <v>Station Operations Specialist 站点运营专员</v>
          </cell>
          <cell r="I227" t="str">
            <v>TY_04:00</v>
          </cell>
          <cell r="J227" t="str">
            <v>05:10</v>
          </cell>
          <cell r="K227" t="str">
            <v>11:40</v>
          </cell>
          <cell r="L227" t="str">
            <v>不正确</v>
          </cell>
          <cell r="M227">
            <v>0</v>
          </cell>
          <cell r="N227">
            <v>6</v>
          </cell>
          <cell r="O227">
            <v>0</v>
          </cell>
          <cell r="P227">
            <v>0</v>
          </cell>
          <cell r="Q227">
            <v>0</v>
          </cell>
          <cell r="R227" t="str">
            <v>Natalia (Natalia Padilla),孙婕 Jasmine（Sunjie）</v>
          </cell>
          <cell r="S227" t="str">
            <v>贺子强Jeff (Ziqiang He)</v>
          </cell>
          <cell r="T227" t="str">
            <v>于文康 Henry (Wenkang Yu)</v>
          </cell>
        </row>
        <row r="228">
          <cell r="G228" t="str">
            <v>TX 德州大区NT 北德州片区OKC01</v>
          </cell>
          <cell r="H228" t="str">
            <v>Station Operations Specialist 站点运营专员</v>
          </cell>
          <cell r="I228" t="str">
            <v>TY_05:30</v>
          </cell>
          <cell r="J228" t="str">
            <v>05:30</v>
          </cell>
          <cell r="K228" t="str">
            <v>14:00</v>
          </cell>
          <cell r="L228" t="str">
            <v>正确</v>
          </cell>
          <cell r="M228">
            <v>0</v>
          </cell>
          <cell r="N228">
            <v>8</v>
          </cell>
          <cell r="O228">
            <v>0</v>
          </cell>
          <cell r="P228">
            <v>0</v>
          </cell>
          <cell r="Q228">
            <v>0</v>
          </cell>
          <cell r="R228" t="str">
            <v>肖芦莉Lily (Luli Xiao)</v>
          </cell>
          <cell r="S228" t="str">
            <v>张骥Ji Zhang (Ji Zhang)</v>
          </cell>
          <cell r="T228" t="str">
            <v>何琼joan(Qiong He)</v>
          </cell>
        </row>
        <row r="229">
          <cell r="G229" t="str">
            <v>WE 美西大区LAV.H维保组</v>
          </cell>
          <cell r="H229" t="str">
            <v>Maintenance Specialist 维保员</v>
          </cell>
          <cell r="I229" t="str">
            <v>TY_美国节假日（9点-18点）</v>
          </cell>
        </row>
        <row r="229">
          <cell r="L229" t="str">
            <v>正确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str">
            <v>王骞Ariel（Qian Wang）,叶秀芳Freya (Xiufang Ye)</v>
          </cell>
          <cell r="S229" t="str">
            <v>常哲</v>
          </cell>
          <cell r="T229" t="str">
            <v>章峻铭 J (Junming Zhang)</v>
          </cell>
        </row>
        <row r="230">
          <cell r="G230" t="str">
            <v>GL 大湖大区ORD.H</v>
          </cell>
          <cell r="H230" t="str">
            <v>Deputy Hub Head（Probation） 副仓长（见习）</v>
          </cell>
          <cell r="I230" t="str">
            <v>TY_休息日</v>
          </cell>
        </row>
        <row r="230">
          <cell r="L230" t="str">
            <v>正确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str">
            <v>王晓丹 Jasmine（Xiaodan Wang）,周延舒Isabel（Yanshu Zhou）</v>
          </cell>
          <cell r="S230" t="str">
            <v>张骥Ji Zhang (Ji Zhang)</v>
          </cell>
          <cell r="T230" t="str">
            <v>Minqing (Minqing Xu),罗煜雄 Mike (Yuxiong Luo)</v>
          </cell>
        </row>
        <row r="231">
          <cell r="G231" t="str">
            <v>IC 跨境客户部海外客户组</v>
          </cell>
          <cell r="H231" t="str">
            <v>Senior Oversea Client Specialist 高级海外客户专员</v>
          </cell>
          <cell r="I231" t="str">
            <v>TY_休息日</v>
          </cell>
        </row>
        <row r="231">
          <cell r="L231" t="str">
            <v>正确</v>
          </cell>
          <cell r="M231">
            <v>0</v>
          </cell>
          <cell r="N231">
            <v>0</v>
          </cell>
          <cell r="O231">
            <v>0</v>
          </cell>
          <cell r="P231">
            <v>22.2</v>
          </cell>
          <cell r="Q231">
            <v>0</v>
          </cell>
          <cell r="R231" t="str">
            <v>袁博闻(Bowen Yuan)</v>
          </cell>
        </row>
        <row r="232">
          <cell r="G232" t="str">
            <v>FL 佛州大区MCO.H分拣组</v>
          </cell>
          <cell r="H232" t="str">
            <v>Sorting Lead 分拣组长</v>
          </cell>
          <cell r="I232" t="str">
            <v>TY_09:00</v>
          </cell>
          <cell r="J232" t="str">
            <v>08:58</v>
          </cell>
          <cell r="K232" t="str">
            <v>23:53</v>
          </cell>
          <cell r="L232" t="str">
            <v>正确</v>
          </cell>
          <cell r="M232">
            <v>0</v>
          </cell>
          <cell r="N232">
            <v>14.42</v>
          </cell>
          <cell r="O232">
            <v>6.42</v>
          </cell>
          <cell r="P232">
            <v>0</v>
          </cell>
          <cell r="Q232">
            <v>0</v>
          </cell>
          <cell r="R232" t="str">
            <v>Natalia (Natalia Padilla),孙婕 Jasmine（Sunjie）</v>
          </cell>
          <cell r="S232" t="str">
            <v>贺子强Jeff (Ziqiang He)</v>
          </cell>
          <cell r="T232" t="str">
            <v>张双甫(Shuangfu Zhang)</v>
          </cell>
        </row>
        <row r="233">
          <cell r="G233" t="str">
            <v>TX 德州大区DFW.H调度组</v>
          </cell>
          <cell r="H233" t="str">
            <v>Dispatcher 调度员</v>
          </cell>
          <cell r="I233" t="str">
            <v>TY_07:00</v>
          </cell>
          <cell r="J233" t="str">
            <v>07:09</v>
          </cell>
        </row>
        <row r="233">
          <cell r="L233" t="str">
            <v>正确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str">
            <v>肖芦莉Lily (Luli Xiao)</v>
          </cell>
          <cell r="S233" t="str">
            <v>张骥Ji Zhang (Ji Zhang)</v>
          </cell>
          <cell r="T233" t="str">
            <v>Minqing (Minqing Xu),罗煜雄 Mike (Yuxiong Luo)</v>
          </cell>
        </row>
        <row r="234">
          <cell r="G234" t="str">
            <v>TX 德州大区运营支持部</v>
          </cell>
          <cell r="H234" t="str">
            <v>Operation Support Supervisor 运营支持部主管</v>
          </cell>
          <cell r="I234" t="str">
            <v>TY_休息日</v>
          </cell>
        </row>
        <row r="234">
          <cell r="L234" t="str">
            <v>正确</v>
          </cell>
          <cell r="M234">
            <v>0</v>
          </cell>
          <cell r="N234">
            <v>0</v>
          </cell>
          <cell r="O234">
            <v>0</v>
          </cell>
          <cell r="P234">
            <v>24.59</v>
          </cell>
          <cell r="Q234">
            <v>0</v>
          </cell>
          <cell r="R234" t="str">
            <v>肖芦莉Lily (Luli Xiao)</v>
          </cell>
          <cell r="S234" t="str">
            <v>张骥Ji Zhang (Ji Zhang)</v>
          </cell>
        </row>
        <row r="235">
          <cell r="G235" t="str">
            <v>NE 东北大区揽收部揽收支持组</v>
          </cell>
          <cell r="H235" t="str">
            <v>Pickup Support Specialist 揽收支持专员</v>
          </cell>
          <cell r="I235" t="str">
            <v>TY_休息日</v>
          </cell>
        </row>
        <row r="235">
          <cell r="L235" t="str">
            <v>正确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str">
            <v>孙可君Monica（Kejun Sun）</v>
          </cell>
          <cell r="S235" t="str">
            <v>马聪Cong (Cong Ma)</v>
          </cell>
          <cell r="T235" t="str">
            <v>王姝涵Function（Shuhan Wang)</v>
          </cell>
        </row>
        <row r="236">
          <cell r="G236" t="str">
            <v>TX 德州大区IAH.H调度组</v>
          </cell>
          <cell r="H236" t="str">
            <v>Dispatcher 调度员</v>
          </cell>
          <cell r="I236" t="str">
            <v>TY_17:00</v>
          </cell>
          <cell r="J236" t="str">
            <v>16:36</v>
          </cell>
          <cell r="K236" t="str">
            <v>02:59</v>
          </cell>
          <cell r="L236" t="str">
            <v>正确</v>
          </cell>
          <cell r="M236">
            <v>0</v>
          </cell>
          <cell r="N236">
            <v>9.88</v>
          </cell>
          <cell r="O236">
            <v>1.88</v>
          </cell>
          <cell r="P236">
            <v>0</v>
          </cell>
          <cell r="Q236">
            <v>0</v>
          </cell>
          <cell r="R236" t="str">
            <v>肖芦莉Lily (Luli Xiao)</v>
          </cell>
          <cell r="S236" t="str">
            <v>张骥Ji Zhang (Ji Zhang)</v>
          </cell>
          <cell r="T236" t="str">
            <v>Minqing (Minqing Xu),罗煜雄 Mike (Yuxiong Luo)</v>
          </cell>
        </row>
        <row r="237">
          <cell r="G237" t="str">
            <v>GL 大湖大区MCI01</v>
          </cell>
          <cell r="H237" t="str">
            <v>Station Operations Specialist 站点运营专员</v>
          </cell>
          <cell r="I237" t="str">
            <v>TY_05:00</v>
          </cell>
          <cell r="J237" t="str">
            <v>05:02</v>
          </cell>
          <cell r="K237" t="str">
            <v>14:05</v>
          </cell>
          <cell r="L237" t="str">
            <v>正确</v>
          </cell>
          <cell r="M237">
            <v>0</v>
          </cell>
          <cell r="N237">
            <v>8.55</v>
          </cell>
          <cell r="O237">
            <v>0.55</v>
          </cell>
          <cell r="P237">
            <v>0</v>
          </cell>
          <cell r="Q237">
            <v>0</v>
          </cell>
          <cell r="R237" t="str">
            <v>王晓丹 Jasmine（Xiaodan Wang）,周延舒Isabel（Yanshu Zhou）</v>
          </cell>
          <cell r="S237" t="str">
            <v>张骥Ji Zhang (Ji Zhang)</v>
          </cell>
        </row>
        <row r="238">
          <cell r="G238" t="str">
            <v>NE 东北大区运营支持部区域支持组</v>
          </cell>
          <cell r="H238" t="str">
            <v>Regional Support Specialist 区域支持专员</v>
          </cell>
          <cell r="I238" t="str">
            <v>TY_休息日</v>
          </cell>
        </row>
        <row r="238">
          <cell r="L238" t="str">
            <v>正确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str">
            <v>孙可君Monica（Kejun Sun）</v>
          </cell>
          <cell r="S238" t="str">
            <v>马聪Cong (Cong Ma)</v>
          </cell>
        </row>
        <row r="239">
          <cell r="G239" t="str">
            <v>NP 网络规划部</v>
          </cell>
          <cell r="H239" t="str">
            <v>Senior ENP Specialist 高级网络规划专员</v>
          </cell>
          <cell r="I239" t="str">
            <v>TY_休息日</v>
          </cell>
        </row>
        <row r="239">
          <cell r="L239" t="str">
            <v>正确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str">
            <v>袁博闻(Bowen Yuan)</v>
          </cell>
        </row>
        <row r="240">
          <cell r="G240" t="str">
            <v>NE 东北大区NY 纽约片区FRG01</v>
          </cell>
          <cell r="H240" t="str">
            <v>Station Operations Specialist 站点运营专员</v>
          </cell>
          <cell r="I240" t="str">
            <v>TY_15:00</v>
          </cell>
          <cell r="J240" t="str">
            <v>14:31</v>
          </cell>
          <cell r="K240" t="str">
            <v>01:26</v>
          </cell>
          <cell r="L240" t="str">
            <v>正确</v>
          </cell>
          <cell r="M240">
            <v>0</v>
          </cell>
          <cell r="N240">
            <v>10.42</v>
          </cell>
          <cell r="O240">
            <v>2.42</v>
          </cell>
          <cell r="P240">
            <v>0</v>
          </cell>
          <cell r="Q240">
            <v>0</v>
          </cell>
          <cell r="R240" t="str">
            <v>孙可君Monica（Kejun Sun）</v>
          </cell>
          <cell r="S240" t="str">
            <v>马聪Cong (Cong Ma)</v>
          </cell>
          <cell r="T240" t="str">
            <v>朱晗宇 Peter (Hanyu Zhu)</v>
          </cell>
        </row>
        <row r="241">
          <cell r="G241" t="str">
            <v>NE 东北大区运营支持部区域支持组</v>
          </cell>
          <cell r="H241" t="str">
            <v>Station Trainee 站点培训生</v>
          </cell>
          <cell r="I241" t="str">
            <v>TY_休息日</v>
          </cell>
        </row>
        <row r="241">
          <cell r="L241" t="str">
            <v>正确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str">
            <v>孙可君Monica（Kejun Sun）</v>
          </cell>
          <cell r="S241" t="str">
            <v>马聪Cong (Cong Ma)</v>
          </cell>
        </row>
        <row r="242">
          <cell r="G242" t="str">
            <v>OM 操作管理部设备规划组</v>
          </cell>
          <cell r="H242" t="str">
            <v>Senior MRO Specialist 高级设备运营专员</v>
          </cell>
          <cell r="I242" t="str">
            <v>TY_休息日</v>
          </cell>
        </row>
        <row r="242">
          <cell r="L242" t="str">
            <v>正确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str">
            <v>袁博闻(Bowen Yuan)</v>
          </cell>
        </row>
        <row r="243">
          <cell r="G243" t="str">
            <v>GL 大湖大区</v>
          </cell>
          <cell r="H243" t="str">
            <v>Management Trainee 管培生</v>
          </cell>
          <cell r="I243" t="str">
            <v>TY_休息日</v>
          </cell>
        </row>
        <row r="243">
          <cell r="L243" t="str">
            <v>正确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str">
            <v>王晓丹 Jasmine（Xiaodan Wang）,周延舒Isabel（Yanshu Zhou）</v>
          </cell>
          <cell r="S243" t="str">
            <v>张骥Ji Zhang (Ji Zhang)</v>
          </cell>
        </row>
        <row r="244">
          <cell r="G244" t="str">
            <v>WE 美西大区CNO.H操作组</v>
          </cell>
          <cell r="H244" t="str">
            <v>Warehouse Operator 操作员</v>
          </cell>
          <cell r="I244" t="str">
            <v>TY_休息日</v>
          </cell>
        </row>
        <row r="244">
          <cell r="K244" t="str">
            <v>20:33</v>
          </cell>
          <cell r="L244" t="str">
            <v>正确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str">
            <v>王骞Ariel（Qian Wang）,叶秀芳Freya (Xiufang Ye)</v>
          </cell>
          <cell r="S244" t="str">
            <v>常哲</v>
          </cell>
          <cell r="T244" t="str">
            <v>Minqing (Minqing Xu),罗煜雄 Mike (Yuxiong Luo)</v>
          </cell>
        </row>
        <row r="245">
          <cell r="G245" t="str">
            <v>WE 美西大区SP 西雅图·波特兰片区PDX01</v>
          </cell>
          <cell r="H245" t="str">
            <v>Station Head 站长</v>
          </cell>
          <cell r="I245" t="str">
            <v>TY_休息日</v>
          </cell>
        </row>
        <row r="245">
          <cell r="K245" t="str">
            <v>21:00</v>
          </cell>
          <cell r="L245" t="str">
            <v>正确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str">
            <v>王骞Ariel（Qian Wang）,叶秀芳Freya (Xiufang Ye)</v>
          </cell>
          <cell r="S245" t="str">
            <v>常哲</v>
          </cell>
          <cell r="T245" t="str">
            <v>尤梦楠Yuko（Mengnan You）</v>
          </cell>
        </row>
        <row r="246">
          <cell r="G246" t="str">
            <v>WE 美西大区SP 西雅图·波特兰片区</v>
          </cell>
          <cell r="H246" t="str">
            <v>District Head（Probation）片区长（见习）</v>
          </cell>
          <cell r="I246" t="str">
            <v>TY_11:00</v>
          </cell>
          <cell r="J246" t="str">
            <v>10:45</v>
          </cell>
          <cell r="K246" t="str">
            <v>00:26</v>
          </cell>
          <cell r="L246" t="str">
            <v>正确</v>
          </cell>
          <cell r="M246">
            <v>0</v>
          </cell>
          <cell r="N246">
            <v>13.18</v>
          </cell>
          <cell r="O246">
            <v>5.18</v>
          </cell>
          <cell r="P246">
            <v>0</v>
          </cell>
          <cell r="Q246">
            <v>0</v>
          </cell>
          <cell r="R246" t="str">
            <v>王骞Ariel（Qian Wang）,叶秀芳Freya (Xiufang Ye)</v>
          </cell>
          <cell r="S246" t="str">
            <v>常哲</v>
          </cell>
        </row>
        <row r="247">
          <cell r="G247" t="str">
            <v>GL 大湖大区ORD.H</v>
          </cell>
          <cell r="H247" t="str">
            <v>Hub Head（Probation） 仓长（见习）</v>
          </cell>
          <cell r="I247" t="str">
            <v>TY_09:00</v>
          </cell>
        </row>
        <row r="247">
          <cell r="L247" t="str">
            <v>/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str">
            <v>王晓丹 Jasmine（Xiaodan Wang）,周延舒Isabel（Yanshu Zhou）</v>
          </cell>
          <cell r="S247" t="str">
            <v>张骥Ji Zhang (Ji Zhang)</v>
          </cell>
          <cell r="T247" t="str">
            <v>Minqing (Minqing Xu),罗煜雄 Mike (Yuxiong Luo)</v>
          </cell>
        </row>
        <row r="248">
          <cell r="G248" t="str">
            <v>NE 东北大区车辆管理部</v>
          </cell>
          <cell r="H248" t="str">
            <v>Fleet Support Specialist 车队支持专员</v>
          </cell>
          <cell r="I248" t="str">
            <v>TY_09:00</v>
          </cell>
          <cell r="J248" t="str">
            <v>08:56</v>
          </cell>
          <cell r="K248" t="str">
            <v>19:09</v>
          </cell>
          <cell r="L248" t="str">
            <v>正确</v>
          </cell>
          <cell r="M248">
            <v>0</v>
          </cell>
          <cell r="N248">
            <v>9.72</v>
          </cell>
          <cell r="O248">
            <v>1.72</v>
          </cell>
          <cell r="P248">
            <v>0</v>
          </cell>
          <cell r="Q248">
            <v>0</v>
          </cell>
          <cell r="R248" t="str">
            <v>孙可君Monica（Kejun Sun）</v>
          </cell>
          <cell r="S248" t="str">
            <v>马聪Cong (Cong Ma)</v>
          </cell>
        </row>
        <row r="249">
          <cell r="G249" t="str">
            <v>NE 东北大区BN 布法罗片区BUF01</v>
          </cell>
          <cell r="H249" t="str">
            <v>Station Head （Probation）站长（见习）</v>
          </cell>
          <cell r="I249" t="str">
            <v>TY_06:00</v>
          </cell>
          <cell r="J249" t="str">
            <v>06:04</v>
          </cell>
          <cell r="K249" t="str">
            <v>18:59</v>
          </cell>
          <cell r="L249" t="str">
            <v>正确</v>
          </cell>
          <cell r="M249">
            <v>0</v>
          </cell>
          <cell r="N249">
            <v>12.42</v>
          </cell>
          <cell r="O249">
            <v>4.42</v>
          </cell>
          <cell r="P249">
            <v>0</v>
          </cell>
          <cell r="Q249">
            <v>0</v>
          </cell>
          <cell r="R249" t="str">
            <v>孙可君Monica（Kejun Sun）</v>
          </cell>
          <cell r="S249" t="str">
            <v>马聪Cong (Cong Ma)</v>
          </cell>
          <cell r="T249" t="str">
            <v>朱晗宇 Peter (Hanyu Zhu)</v>
          </cell>
        </row>
        <row r="250">
          <cell r="G250" t="str">
            <v>MS 中南大区CS 夏洛特及周边片区CAE01</v>
          </cell>
          <cell r="H250" t="str">
            <v>Station Head 站长</v>
          </cell>
          <cell r="I250" t="str">
            <v>TY_休息日</v>
          </cell>
        </row>
        <row r="250">
          <cell r="L250" t="str">
            <v>正确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str">
            <v>欧阳迎春Flower（Yingchun Ouyang）</v>
          </cell>
          <cell r="S250" t="str">
            <v>杨云飞</v>
          </cell>
          <cell r="T250" t="str">
            <v>叶小菁Summer(Xiaojing Ye)</v>
          </cell>
        </row>
        <row r="251">
          <cell r="G251" t="str">
            <v>NE 东北大区JFK.H综办组</v>
          </cell>
          <cell r="H251" t="str">
            <v>Warehouse Clerk 仓库文员</v>
          </cell>
          <cell r="I251" t="str">
            <v>TY_12:00</v>
          </cell>
          <cell r="J251" t="str">
            <v>11:58</v>
          </cell>
          <cell r="K251" t="str">
            <v>22:26</v>
          </cell>
          <cell r="L251" t="str">
            <v>正确</v>
          </cell>
          <cell r="M251">
            <v>0</v>
          </cell>
          <cell r="N251">
            <v>9.97</v>
          </cell>
          <cell r="O251">
            <v>1.97</v>
          </cell>
          <cell r="P251">
            <v>0</v>
          </cell>
          <cell r="Q251">
            <v>0</v>
          </cell>
          <cell r="R251" t="str">
            <v>孙可君Monica（Kejun Sun）</v>
          </cell>
          <cell r="S251" t="str">
            <v>马聪Cong (Cong Ma)</v>
          </cell>
          <cell r="T251" t="str">
            <v>Minqing (Minqing Xu),罗煜雄 Mike (Yuxiong Luo)</v>
          </cell>
        </row>
        <row r="252">
          <cell r="G252" t="str">
            <v>WE 美西大区LAV.H调度组</v>
          </cell>
          <cell r="H252" t="str">
            <v>Dispatcher 调度员</v>
          </cell>
          <cell r="I252" t="str">
            <v>TY_美国节假日（9点-18点）</v>
          </cell>
        </row>
        <row r="252">
          <cell r="L252" t="str">
            <v>正确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str">
            <v>王骞Ariel（Qian Wang）,叶秀芳Freya (Xiufang Ye)</v>
          </cell>
          <cell r="S252" t="str">
            <v>常哲</v>
          </cell>
          <cell r="T252" t="str">
            <v>Minqing (Minqing Xu),罗煜雄 Mike (Yuxiong Luo)</v>
          </cell>
        </row>
        <row r="253">
          <cell r="G253" t="str">
            <v>MS 中南大区AS 奥萨查沿海片区CHS01</v>
          </cell>
          <cell r="H253" t="str">
            <v>Station Operations Specialist 站点运营专员</v>
          </cell>
          <cell r="I253" t="str">
            <v>TY_06:30</v>
          </cell>
          <cell r="J253" t="str">
            <v>06:13</v>
          </cell>
          <cell r="K253" t="str">
            <v>13:18</v>
          </cell>
          <cell r="L253" t="str">
            <v>正确</v>
          </cell>
          <cell r="M253">
            <v>0</v>
          </cell>
          <cell r="N253">
            <v>6.58</v>
          </cell>
          <cell r="O253">
            <v>0</v>
          </cell>
          <cell r="P253">
            <v>0</v>
          </cell>
          <cell r="Q253">
            <v>0</v>
          </cell>
          <cell r="R253" t="str">
            <v>欧阳迎春Flower（Yingchun Ouyang）</v>
          </cell>
          <cell r="S253" t="str">
            <v>杨云飞</v>
          </cell>
          <cell r="T253" t="str">
            <v>叶理(Li Ye)</v>
          </cell>
        </row>
        <row r="254">
          <cell r="G254" t="str">
            <v>US人力资源部美洲HRBP组美西区HR组</v>
          </cell>
          <cell r="H254" t="str">
            <v>HRBP Assistant HRBP助理</v>
          </cell>
          <cell r="I254" t="str">
            <v>TY_休息日</v>
          </cell>
        </row>
        <row r="254">
          <cell r="L254" t="str">
            <v>正确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str">
            <v>袁博闻(Bowen Yuan)</v>
          </cell>
        </row>
        <row r="255">
          <cell r="G255" t="str">
            <v>SM 站点管理部站点实施组</v>
          </cell>
          <cell r="H255" t="str">
            <v>Station Implementation  Specialist 站点实施专员</v>
          </cell>
          <cell r="I255" t="str">
            <v>TY_09:30</v>
          </cell>
        </row>
        <row r="255">
          <cell r="L255" t="str">
            <v>/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str">
            <v>袁博闻(Bowen Yuan)</v>
          </cell>
        </row>
        <row r="256">
          <cell r="G256" t="str">
            <v>WE 美西大区LAV.H调度组</v>
          </cell>
          <cell r="H256" t="str">
            <v>Dispatch Lead 调度组长</v>
          </cell>
          <cell r="I256" t="str">
            <v>TY_美国节假日（9点-18点）</v>
          </cell>
        </row>
        <row r="256">
          <cell r="L256" t="str">
            <v>正确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str">
            <v>王骞Ariel（Qian Wang）,叶秀芳Freya (Xiufang Ye)</v>
          </cell>
          <cell r="S256" t="str">
            <v>常哲</v>
          </cell>
          <cell r="T256" t="str">
            <v>Minqing (Minqing Xu),罗煜雄 Mike (Yuxiong Luo)</v>
          </cell>
        </row>
        <row r="257">
          <cell r="G257" t="str">
            <v>TX 德州大区DFW.H分拣组</v>
          </cell>
          <cell r="H257" t="str">
            <v>Sorter 分拣员</v>
          </cell>
          <cell r="I257" t="str">
            <v>TY_14:00</v>
          </cell>
          <cell r="J257" t="str">
            <v>13:41</v>
          </cell>
          <cell r="K257" t="str">
            <v>00:07</v>
          </cell>
          <cell r="L257" t="str">
            <v>正确</v>
          </cell>
          <cell r="M257">
            <v>0</v>
          </cell>
          <cell r="N257">
            <v>9.93</v>
          </cell>
          <cell r="O257">
            <v>1.93</v>
          </cell>
          <cell r="P257">
            <v>0</v>
          </cell>
          <cell r="Q257">
            <v>0</v>
          </cell>
          <cell r="R257" t="str">
            <v>肖芦莉Lily (Luli Xiao)</v>
          </cell>
          <cell r="S257" t="str">
            <v>张骥Ji Zhang (Ji Zhang)</v>
          </cell>
          <cell r="T257" t="str">
            <v>张双甫(Shuangfu Zhang)</v>
          </cell>
        </row>
        <row r="258">
          <cell r="G258" t="str">
            <v>MS 中南大区ATL.H异常处理组</v>
          </cell>
          <cell r="H258" t="str">
            <v>Returns Lead 退件组长</v>
          </cell>
          <cell r="I258" t="str">
            <v>TY_休息日</v>
          </cell>
        </row>
        <row r="258">
          <cell r="L258" t="str">
            <v>正确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str">
            <v>欧阳迎春Flower（Yingchun Ouyang）</v>
          </cell>
          <cell r="S258" t="str">
            <v>杨云飞</v>
          </cell>
          <cell r="T258" t="str">
            <v>Minqing (Minqing Xu),罗煜雄 Mike (Yuxiong Luo),明杰麟Jennie (Jielin Ming)</v>
          </cell>
          <cell r="U258" t="str">
            <v>文艳平</v>
          </cell>
        </row>
        <row r="259">
          <cell r="G259" t="str">
            <v>NE 东北大区MA 新英格兰片区PVD01</v>
          </cell>
          <cell r="H259" t="str">
            <v>Station Operations Specialist 站点运营专员</v>
          </cell>
          <cell r="I259" t="str">
            <v>TY_05:30</v>
          </cell>
          <cell r="J259" t="str">
            <v>06:24</v>
          </cell>
          <cell r="K259" t="str">
            <v>15:01</v>
          </cell>
          <cell r="L259" t="str">
            <v>正确</v>
          </cell>
          <cell r="M259">
            <v>0</v>
          </cell>
          <cell r="N259">
            <v>8.12</v>
          </cell>
          <cell r="O259">
            <v>0.12</v>
          </cell>
          <cell r="P259">
            <v>0</v>
          </cell>
          <cell r="Q259">
            <v>0</v>
          </cell>
          <cell r="R259" t="str">
            <v>孙可君Monica（Kejun Sun）</v>
          </cell>
          <cell r="S259" t="str">
            <v>马聪Cong (Cong Ma)</v>
          </cell>
          <cell r="T259" t="str">
            <v>朱晗宇 Peter (Hanyu Zhu)</v>
          </cell>
        </row>
        <row r="260">
          <cell r="G260" t="str">
            <v>WE 美西大区SP 西雅图·波特兰片区SEA.H</v>
          </cell>
          <cell r="H260" t="str">
            <v>Warehouse Operator 操作员</v>
          </cell>
          <cell r="I260" t="str">
            <v>TY_休息日</v>
          </cell>
        </row>
        <row r="260">
          <cell r="L260" t="str">
            <v>正确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str">
            <v>王骞Ariel（Qian Wang）,叶秀芳Freya (Xiufang Ye)</v>
          </cell>
          <cell r="S260" t="str">
            <v>常哲</v>
          </cell>
          <cell r="T260" t="str">
            <v>尤梦楠Yuko（Mengnan You）</v>
          </cell>
        </row>
        <row r="261">
          <cell r="G261" t="str">
            <v>NE 东北大区揽收部揽收支持组</v>
          </cell>
          <cell r="H261" t="str">
            <v>Pickup Support Specialist 揽收支持专员</v>
          </cell>
          <cell r="I261" t="str">
            <v>TY_休息日</v>
          </cell>
        </row>
        <row r="261">
          <cell r="L261" t="str">
            <v>正确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str">
            <v>孙可君Monica（Kejun Sun）</v>
          </cell>
          <cell r="S261" t="str">
            <v>马聪Cong (Cong Ma)</v>
          </cell>
          <cell r="T261" t="str">
            <v>王姝涵Function（Shuhan Wang)</v>
          </cell>
        </row>
        <row r="262">
          <cell r="G262" t="str">
            <v>CM 运力管理部美西运力组</v>
          </cell>
          <cell r="H262" t="str">
            <v>Transportation Supervisor 运力主管</v>
          </cell>
          <cell r="I262" t="str">
            <v>TY_休息日</v>
          </cell>
        </row>
        <row r="262">
          <cell r="L262" t="str">
            <v>正确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str">
            <v>袁博闻(Bowen Yuan)</v>
          </cell>
        </row>
        <row r="263">
          <cell r="G263" t="str">
            <v>Ground项目部OG 美西区LA917</v>
          </cell>
          <cell r="H263" t="str">
            <v>Station Operations Specialist 站点运营专员</v>
          </cell>
          <cell r="I263" t="str">
            <v>TY_05:00</v>
          </cell>
        </row>
        <row r="263">
          <cell r="K263" t="str">
            <v>14:32</v>
          </cell>
          <cell r="L263" t="str">
            <v>/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str">
            <v>王安琪 (Anqi Wang),张朱同 Thomson（Zhutong Zhang）</v>
          </cell>
          <cell r="S263" t="str">
            <v>陈锦昭</v>
          </cell>
          <cell r="T263" t="str">
            <v>宋佳牧 Dorian (Jiamu Song)</v>
          </cell>
        </row>
        <row r="264">
          <cell r="G264" t="str">
            <v>FL 佛州大区FTM01</v>
          </cell>
          <cell r="H264" t="str">
            <v>Station Head （Probation）站长（见习）</v>
          </cell>
          <cell r="I264" t="str">
            <v>TY_06:00</v>
          </cell>
        </row>
        <row r="264">
          <cell r="L264" t="str">
            <v>/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str">
            <v>Natalia (Natalia Padilla),孙婕 Jasmine（Sunjie）</v>
          </cell>
          <cell r="S264" t="str">
            <v>贺子强Jeff (Ziqiang He)</v>
          </cell>
        </row>
        <row r="265">
          <cell r="G265" t="str">
            <v>WE 美西大区SP 西雅图·波特兰片区SEA.H</v>
          </cell>
          <cell r="H265" t="str">
            <v>Sorter 分拣员</v>
          </cell>
          <cell r="I265" t="str">
            <v>TY_06:00</v>
          </cell>
          <cell r="J265" t="str">
            <v>05:28</v>
          </cell>
          <cell r="K265" t="str">
            <v>13:54</v>
          </cell>
          <cell r="L265" t="str">
            <v>正确</v>
          </cell>
          <cell r="M265">
            <v>0</v>
          </cell>
          <cell r="N265">
            <v>7.93</v>
          </cell>
          <cell r="O265">
            <v>0</v>
          </cell>
          <cell r="P265">
            <v>0</v>
          </cell>
          <cell r="Q265">
            <v>0</v>
          </cell>
          <cell r="R265" t="str">
            <v>王骞Ariel（Qian Wang）,叶秀芳Freya (Xiufang Ye)</v>
          </cell>
          <cell r="S265" t="str">
            <v>常哲</v>
          </cell>
          <cell r="T265" t="str">
            <v>尤梦楠Yuko（Mengnan You）</v>
          </cell>
        </row>
        <row r="266">
          <cell r="G266" t="str">
            <v>DO 数字运营部美国技术支持组</v>
          </cell>
          <cell r="H266" t="str">
            <v>IT support 技术支持工程师</v>
          </cell>
          <cell r="I266" t="str">
            <v>TY_休息日</v>
          </cell>
        </row>
        <row r="266">
          <cell r="L266" t="str">
            <v>正确</v>
          </cell>
          <cell r="M266">
            <v>0</v>
          </cell>
          <cell r="N266">
            <v>0</v>
          </cell>
          <cell r="O266">
            <v>0</v>
          </cell>
          <cell r="P266">
            <v>34.15</v>
          </cell>
          <cell r="Q266">
            <v>0</v>
          </cell>
          <cell r="R266" t="str">
            <v>袁博闻(Bowen Yuan)</v>
          </cell>
        </row>
        <row r="267">
          <cell r="G267" t="str">
            <v>NE 东北大区NY 纽约片区BDR01</v>
          </cell>
          <cell r="H267" t="str">
            <v>Station Operations Specialist 站点运营专员</v>
          </cell>
          <cell r="I267" t="str">
            <v>TY_05:30</v>
          </cell>
        </row>
        <row r="267">
          <cell r="L267" t="str">
            <v>/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str">
            <v>孙可君Monica（Kejun Sun）</v>
          </cell>
          <cell r="S267" t="str">
            <v>马聪Cong (Cong Ma)</v>
          </cell>
          <cell r="T267" t="str">
            <v>朱晗宇 Peter (Hanyu Zhu)</v>
          </cell>
        </row>
        <row r="268">
          <cell r="G268" t="str">
            <v>DO 数字运营部美国技术支持组</v>
          </cell>
          <cell r="H268" t="str">
            <v>IT support 技术支持工程师</v>
          </cell>
          <cell r="I268" t="str">
            <v>TY_休息日</v>
          </cell>
        </row>
        <row r="268">
          <cell r="L268" t="str">
            <v>正确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str">
            <v>袁博闻(Bowen Yuan)</v>
          </cell>
        </row>
        <row r="269">
          <cell r="G269" t="str">
            <v>FL 佛州大区SF 南佛片区</v>
          </cell>
          <cell r="H269" t="str">
            <v>District Head 片区长</v>
          </cell>
          <cell r="I269" t="str">
            <v>TY_06:30</v>
          </cell>
        </row>
        <row r="269">
          <cell r="L269" t="str">
            <v>/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str">
            <v>Natalia (Natalia Padilla),孙婕 Jasmine（Sunjie）</v>
          </cell>
          <cell r="S269" t="str">
            <v>贺子强Jeff (Ziqiang He)</v>
          </cell>
        </row>
        <row r="270">
          <cell r="G270" t="str">
            <v>TX 德州大区NT 北德州片区TUL01</v>
          </cell>
          <cell r="H270" t="str">
            <v>Station Head 站长</v>
          </cell>
          <cell r="I270" t="str">
            <v>TY_06:00</v>
          </cell>
          <cell r="J270" t="str">
            <v>06:29</v>
          </cell>
        </row>
        <row r="270">
          <cell r="L270" t="str">
            <v>正确</v>
          </cell>
          <cell r="M270">
            <v>1</v>
          </cell>
          <cell r="N270">
            <v>1</v>
          </cell>
          <cell r="O270">
            <v>0</v>
          </cell>
          <cell r="P270">
            <v>0</v>
          </cell>
          <cell r="Q270">
            <v>0</v>
          </cell>
          <cell r="R270" t="str">
            <v>肖芦莉Lily (Luli Xiao)</v>
          </cell>
          <cell r="S270" t="str">
            <v>张骥Ji Zhang (Ji Zhang)</v>
          </cell>
          <cell r="T270" t="str">
            <v>何琼joan(Qiong He)</v>
          </cell>
        </row>
        <row r="271">
          <cell r="G271" t="str">
            <v>NE 东北大区揽收部揽收调度组</v>
          </cell>
          <cell r="H271" t="str">
            <v>Pickup Dispatcher 揽收调度员</v>
          </cell>
          <cell r="I271" t="str">
            <v>TY_休息日</v>
          </cell>
        </row>
        <row r="271">
          <cell r="L271" t="str">
            <v>正确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str">
            <v>孙可君Monica（Kejun Sun）</v>
          </cell>
          <cell r="S271" t="str">
            <v>马聪Cong (Cong Ma)</v>
          </cell>
        </row>
        <row r="272">
          <cell r="G272" t="str">
            <v>Ground项目部OG 美西区PX850</v>
          </cell>
          <cell r="H272" t="str">
            <v>Station Head 站长</v>
          </cell>
          <cell r="I272" t="str">
            <v>TY_06:00</v>
          </cell>
          <cell r="J272" t="str">
            <v>05:41</v>
          </cell>
          <cell r="K272" t="str">
            <v>16:25</v>
          </cell>
          <cell r="L272" t="str">
            <v>正确</v>
          </cell>
          <cell r="M272">
            <v>0</v>
          </cell>
          <cell r="N272">
            <v>10.23</v>
          </cell>
          <cell r="O272">
            <v>2.23</v>
          </cell>
          <cell r="P272">
            <v>0</v>
          </cell>
          <cell r="Q272">
            <v>0</v>
          </cell>
          <cell r="R272" t="str">
            <v>王安琪 (Anqi Wang),张朱同 Thomson（Zhutong Zhang）</v>
          </cell>
          <cell r="S272" t="str">
            <v>陈锦昭</v>
          </cell>
          <cell r="T272" t="str">
            <v>宋佳牧 Dorian (Jiamu Song)</v>
          </cell>
        </row>
        <row r="273">
          <cell r="G273" t="str">
            <v>NE 东北大区EWR.H综办组</v>
          </cell>
          <cell r="H273" t="str">
            <v>Warehouse Clerk 仓库文员</v>
          </cell>
          <cell r="I273" t="str">
            <v>TY_休息日</v>
          </cell>
        </row>
        <row r="273">
          <cell r="L273" t="str">
            <v>正确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str">
            <v>孙可君Monica（Kejun Sun）</v>
          </cell>
          <cell r="S273" t="str">
            <v>马聪Cong (Cong Ma)</v>
          </cell>
          <cell r="T273" t="str">
            <v>Minqing (Minqing Xu),罗煜雄 Mike (Yuxiong Luo)</v>
          </cell>
        </row>
        <row r="274">
          <cell r="G274" t="str">
            <v>OM 操作管理部仓库租赁组</v>
          </cell>
          <cell r="H274" t="str">
            <v>Junior Warehouse Leasing Specialist 初级仓库租赁专员</v>
          </cell>
          <cell r="I274" t="str">
            <v>TY_休息日</v>
          </cell>
        </row>
        <row r="274">
          <cell r="L274" t="str">
            <v>正确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str">
            <v>袁博闻(Bowen Yuan)</v>
          </cell>
        </row>
        <row r="275">
          <cell r="G275" t="str">
            <v>MS 中南大区RE 北卡和东南海岸片区RDU01</v>
          </cell>
          <cell r="H275" t="str">
            <v>Warehouse Operator 操作员</v>
          </cell>
          <cell r="I275" t="str">
            <v>TY_05:00</v>
          </cell>
          <cell r="J275" t="str">
            <v>05:01</v>
          </cell>
          <cell r="K275" t="str">
            <v>14:54</v>
          </cell>
          <cell r="L275" t="str">
            <v>正确</v>
          </cell>
          <cell r="M275">
            <v>0</v>
          </cell>
          <cell r="N275">
            <v>9.38</v>
          </cell>
          <cell r="O275">
            <v>1.38</v>
          </cell>
          <cell r="P275">
            <v>0</v>
          </cell>
          <cell r="Q275">
            <v>0</v>
          </cell>
          <cell r="R275" t="str">
            <v>欧阳迎春Flower（Yingchun Ouyang）</v>
          </cell>
          <cell r="S275" t="str">
            <v>杨云飞</v>
          </cell>
          <cell r="T275" t="str">
            <v>张森 (Sen Zhang)</v>
          </cell>
        </row>
        <row r="276">
          <cell r="G276" t="str">
            <v>US人力资源部美洲HRBP组大湖区HR组</v>
          </cell>
          <cell r="H276" t="str">
            <v>HRBP Assistant HRBP助理</v>
          </cell>
          <cell r="I276" t="str">
            <v>TY_休息日</v>
          </cell>
        </row>
        <row r="276">
          <cell r="L276" t="str">
            <v>正确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str">
            <v>袁博闻(Bowen Yuan)</v>
          </cell>
        </row>
        <row r="277">
          <cell r="G277" t="str">
            <v>TX 德州大区运营支持部区域支持组</v>
          </cell>
          <cell r="H277" t="str">
            <v>Regional Support Specialist 区域支持专员</v>
          </cell>
          <cell r="I277" t="str">
            <v>TY_09:00</v>
          </cell>
          <cell r="J277" t="str">
            <v>08:50</v>
          </cell>
          <cell r="K277" t="str">
            <v>18:07</v>
          </cell>
          <cell r="L277" t="str">
            <v>正确</v>
          </cell>
          <cell r="M277">
            <v>0</v>
          </cell>
          <cell r="N277">
            <v>8.78</v>
          </cell>
          <cell r="O277">
            <v>0.78</v>
          </cell>
          <cell r="P277">
            <v>0</v>
          </cell>
          <cell r="Q277">
            <v>0</v>
          </cell>
          <cell r="R277" t="str">
            <v>肖芦莉Lily (Luli Xiao)</v>
          </cell>
          <cell r="S277" t="str">
            <v>张骥Ji Zhang (Ji Zhang)</v>
          </cell>
        </row>
        <row r="278">
          <cell r="G278" t="str">
            <v>Ground项目部OG 美东区EWR.G</v>
          </cell>
          <cell r="H278" t="str">
            <v>Sorting Lead 分拣组长</v>
          </cell>
          <cell r="I278" t="str">
            <v>TY_16:30</v>
          </cell>
          <cell r="J278" t="str">
            <v>16:36</v>
          </cell>
          <cell r="K278" t="str">
            <v>02:08</v>
          </cell>
          <cell r="L278" t="str">
            <v>正确</v>
          </cell>
          <cell r="M278">
            <v>0</v>
          </cell>
          <cell r="N278">
            <v>9.03</v>
          </cell>
          <cell r="O278">
            <v>1.03</v>
          </cell>
          <cell r="P278">
            <v>0</v>
          </cell>
          <cell r="Q278">
            <v>0</v>
          </cell>
          <cell r="R278" t="str">
            <v>王安琪 (Anqi Wang),张朱同 Thomson（Zhutong Zhang）</v>
          </cell>
          <cell r="S278" t="str">
            <v>陈锦昭</v>
          </cell>
          <cell r="T278" t="str">
            <v>王兵 Allen (Bing Wang)</v>
          </cell>
        </row>
        <row r="279">
          <cell r="G279" t="str">
            <v>NE 东北大区EWR.H调度组</v>
          </cell>
          <cell r="H279" t="str">
            <v>Dispatcher 调度员</v>
          </cell>
          <cell r="I279" t="str">
            <v>TY_21:00</v>
          </cell>
          <cell r="J279" t="str">
            <v>22:34</v>
          </cell>
          <cell r="K279" t="str">
            <v>08:11</v>
          </cell>
          <cell r="L279" t="str">
            <v>不正确</v>
          </cell>
          <cell r="M279">
            <v>0</v>
          </cell>
          <cell r="N279">
            <v>9.12</v>
          </cell>
          <cell r="O279">
            <v>1.12</v>
          </cell>
          <cell r="P279">
            <v>0</v>
          </cell>
          <cell r="Q279">
            <v>0</v>
          </cell>
          <cell r="R279" t="str">
            <v>孙可君Monica（Kejun Sun）</v>
          </cell>
          <cell r="S279" t="str">
            <v>马聪Cong (Cong Ma)</v>
          </cell>
          <cell r="T279" t="str">
            <v>Minqing (Minqing Xu),罗煜雄 Mike (Yuxiong Luo)</v>
          </cell>
        </row>
        <row r="280">
          <cell r="G280" t="str">
            <v>US人力资源部美洲HRBP组中南区HR组</v>
          </cell>
          <cell r="H280" t="str">
            <v>HRBP Specialist HRBP专员</v>
          </cell>
          <cell r="I280" t="str">
            <v>TY_休息日</v>
          </cell>
        </row>
        <row r="280">
          <cell r="L280" t="str">
            <v>正确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str">
            <v>袁博闻(Bowen Yuan)</v>
          </cell>
        </row>
        <row r="281">
          <cell r="G281" t="str">
            <v>BM 品牌市场部</v>
          </cell>
          <cell r="H281" t="str">
            <v>Marketing Specialist 市场专员</v>
          </cell>
          <cell r="I281" t="str">
            <v>TY_休息日</v>
          </cell>
        </row>
        <row r="281">
          <cell r="L281" t="str">
            <v>正确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str">
            <v>袁博闻(Bowen Yuan)</v>
          </cell>
        </row>
        <row r="282">
          <cell r="G282" t="str">
            <v>SM 站点管理部站点实施组</v>
          </cell>
          <cell r="H282" t="str">
            <v>Junior Station Implementation  Specialist 初级站点实施专员</v>
          </cell>
          <cell r="I282" t="str">
            <v>TY_休息日</v>
          </cell>
        </row>
        <row r="282">
          <cell r="L282" t="str">
            <v>正确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str">
            <v>袁博闻(Bowen Yuan)</v>
          </cell>
        </row>
        <row r="283">
          <cell r="G283" t="str">
            <v>MS 中南大区CLT.H综办组</v>
          </cell>
          <cell r="H283" t="str">
            <v>Warehouse Clerk 仓库文员</v>
          </cell>
          <cell r="I283" t="str">
            <v>TY_休息日</v>
          </cell>
        </row>
        <row r="283">
          <cell r="L283" t="str">
            <v>正确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str">
            <v>欧阳迎春Flower（Yingchun Ouyang）</v>
          </cell>
          <cell r="S283" t="str">
            <v>杨云飞</v>
          </cell>
          <cell r="T283" t="str">
            <v>Minqing (Minqing Xu),罗煜雄 Mike (Yuxiong Luo)</v>
          </cell>
        </row>
        <row r="284">
          <cell r="G284" t="str">
            <v>Ground项目部OG 美西区CNO.G</v>
          </cell>
          <cell r="H284" t="str">
            <v>Dispatch Lead 调度组长</v>
          </cell>
          <cell r="I284" t="str">
            <v>TY_休息日</v>
          </cell>
        </row>
        <row r="284">
          <cell r="L284" t="str">
            <v>正确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str">
            <v>王安琪 (Anqi Wang),张朱同 Thomson（Zhutong Zhang）</v>
          </cell>
          <cell r="S284" t="str">
            <v>陈锦昭</v>
          </cell>
          <cell r="T284" t="str">
            <v>张弘毅 Hongyi （Hongyi Zhang）</v>
          </cell>
        </row>
        <row r="285">
          <cell r="G285" t="str">
            <v>US人力资源部美洲HRBP组东北区HR组</v>
          </cell>
          <cell r="H285" t="str">
            <v>Junior Recruitment Specialist 初级招聘专员</v>
          </cell>
          <cell r="I285" t="str">
            <v>TY_休息日</v>
          </cell>
        </row>
        <row r="285">
          <cell r="L285" t="str">
            <v>正确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str">
            <v>袁博闻(Bowen Yuan)</v>
          </cell>
        </row>
        <row r="286">
          <cell r="G286" t="str">
            <v>GL 大湖大区</v>
          </cell>
          <cell r="H286" t="str">
            <v>Management Trainee 管培生</v>
          </cell>
          <cell r="I286" t="str">
            <v>TY_13:00</v>
          </cell>
          <cell r="J286" t="str">
            <v>10:29</v>
          </cell>
          <cell r="K286" t="str">
            <v>20:09</v>
          </cell>
          <cell r="L286" t="str">
            <v>不正确</v>
          </cell>
          <cell r="M286">
            <v>0</v>
          </cell>
          <cell r="N286">
            <v>9.17</v>
          </cell>
          <cell r="O286">
            <v>1.17</v>
          </cell>
          <cell r="P286">
            <v>0</v>
          </cell>
          <cell r="Q286">
            <v>0</v>
          </cell>
          <cell r="R286" t="str">
            <v>王晓丹 Jasmine（Xiaodan Wang）,周延舒Isabel（Yanshu Zhou）</v>
          </cell>
          <cell r="S286" t="str">
            <v>张骥Ji Zhang (Ji Zhang)</v>
          </cell>
        </row>
        <row r="287">
          <cell r="G287" t="str">
            <v>QC 质量控制部质量改善组</v>
          </cell>
          <cell r="H287" t="str">
            <v>Junior Quality Improvement Specialist 初级质量改善专员</v>
          </cell>
          <cell r="I287" t="str">
            <v>TY_休息日</v>
          </cell>
        </row>
        <row r="287">
          <cell r="L287" t="str">
            <v>正确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str">
            <v>袁博闻(Bowen Yuan)</v>
          </cell>
        </row>
        <row r="288">
          <cell r="G288" t="str">
            <v>WE 美西大区NC 北加片区SFO.H</v>
          </cell>
          <cell r="H288" t="str">
            <v>Sorter 分拣员</v>
          </cell>
          <cell r="I288" t="str">
            <v>TY_15:00</v>
          </cell>
          <cell r="J288" t="str">
            <v>14:55</v>
          </cell>
          <cell r="K288" t="str">
            <v>23:33</v>
          </cell>
          <cell r="L288" t="str">
            <v>正确</v>
          </cell>
          <cell r="M288">
            <v>0</v>
          </cell>
          <cell r="N288">
            <v>8.13</v>
          </cell>
          <cell r="O288">
            <v>0.13</v>
          </cell>
          <cell r="P288">
            <v>0</v>
          </cell>
          <cell r="Q288">
            <v>0</v>
          </cell>
          <cell r="R288" t="str">
            <v>王骞Ariel（Qian Wang）,叶秀芳Freya (Xiufang Ye)</v>
          </cell>
          <cell r="S288" t="str">
            <v>常哲</v>
          </cell>
          <cell r="T288" t="str">
            <v>林美浚（Meijun Lin）</v>
          </cell>
        </row>
        <row r="289">
          <cell r="G289" t="str">
            <v>Ground项目部派送管理部运力开发组</v>
          </cell>
          <cell r="H289" t="str">
            <v>Capacity Development Supervisor 运力开发主管</v>
          </cell>
          <cell r="I289" t="str">
            <v>TY_休息日</v>
          </cell>
        </row>
        <row r="289">
          <cell r="L289" t="str">
            <v>正确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str">
            <v>王安琪 (Anqi Wang),张朱同 Thomson（Zhutong Zhang）</v>
          </cell>
          <cell r="S289" t="str">
            <v>陈锦昭</v>
          </cell>
        </row>
        <row r="290">
          <cell r="G290" t="str">
            <v>GL 大湖大区CVG.H调度组</v>
          </cell>
          <cell r="H290" t="str">
            <v>Dispatcher 调度员</v>
          </cell>
          <cell r="I290" t="str">
            <v>TY_10:00</v>
          </cell>
          <cell r="J290" t="str">
            <v>10:00</v>
          </cell>
          <cell r="K290" t="str">
            <v>18:33</v>
          </cell>
          <cell r="L290" t="str">
            <v>正确</v>
          </cell>
          <cell r="M290">
            <v>0</v>
          </cell>
          <cell r="N290">
            <v>8.05</v>
          </cell>
          <cell r="O290">
            <v>0.05</v>
          </cell>
          <cell r="P290">
            <v>0</v>
          </cell>
          <cell r="Q290">
            <v>0</v>
          </cell>
          <cell r="R290" t="str">
            <v>王晓丹 Jasmine（Xiaodan Wang）,周延舒Isabel（Yanshu Zhou）</v>
          </cell>
          <cell r="S290" t="str">
            <v>张骥Ji Zhang (Ji Zhang)</v>
          </cell>
          <cell r="T290" t="str">
            <v>Minqing (Minqing Xu),罗煜雄 Mike (Yuxiong Luo)</v>
          </cell>
        </row>
        <row r="291">
          <cell r="G291" t="str">
            <v>NE 东北大区PA 宾州片区TEB01</v>
          </cell>
          <cell r="H291" t="str">
            <v>Station Operations Specialist 站点运营专员</v>
          </cell>
          <cell r="I291" t="str">
            <v>TY_05:00</v>
          </cell>
          <cell r="J291" t="str">
            <v>04:34</v>
          </cell>
          <cell r="K291" t="str">
            <v>13:27</v>
          </cell>
          <cell r="L291" t="str">
            <v>正确</v>
          </cell>
          <cell r="M291">
            <v>0</v>
          </cell>
          <cell r="N291">
            <v>8.38</v>
          </cell>
          <cell r="O291">
            <v>0.38</v>
          </cell>
          <cell r="P291">
            <v>0</v>
          </cell>
          <cell r="Q291">
            <v>0</v>
          </cell>
          <cell r="R291" t="str">
            <v>孙可君Monica（Kejun Sun）</v>
          </cell>
          <cell r="S291" t="str">
            <v>马聪Cong (Cong Ma)</v>
          </cell>
          <cell r="T291" t="str">
            <v>朱晗宇 Peter (Hanyu Zhu)</v>
          </cell>
        </row>
        <row r="292">
          <cell r="G292" t="str">
            <v>WE 美西大区CNO.H分拣组</v>
          </cell>
          <cell r="H292" t="str">
            <v>Sorter 分拣员</v>
          </cell>
          <cell r="I292" t="str">
            <v>TY_休息日</v>
          </cell>
        </row>
        <row r="292">
          <cell r="L292" t="str">
            <v>正确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str">
            <v>王骞Ariel（Qian Wang）,叶秀芳Freya (Xiufang Ye)</v>
          </cell>
          <cell r="S292" t="str">
            <v>常哲</v>
          </cell>
          <cell r="T292" t="str">
            <v>张双甫(Shuangfu Zhang)</v>
          </cell>
        </row>
        <row r="293">
          <cell r="G293" t="str">
            <v>WE 美西大区SC 南加片区CNO01</v>
          </cell>
          <cell r="H293" t="str">
            <v>Station Head 站长</v>
          </cell>
          <cell r="I293" t="str">
            <v>TY_04:00</v>
          </cell>
        </row>
        <row r="293">
          <cell r="L293" t="str">
            <v>/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str">
            <v>王骞Ariel（Qian Wang）,叶秀芳Freya (Xiufang Ye)</v>
          </cell>
          <cell r="S293" t="str">
            <v>常哲</v>
          </cell>
          <cell r="T293" t="str">
            <v>尤梦楠Yuko（Mengnan You）</v>
          </cell>
        </row>
        <row r="294">
          <cell r="G294" t="str">
            <v>NE 东北大区BWI01</v>
          </cell>
          <cell r="H294" t="str">
            <v>Station Operations Specialist 站点运营专员</v>
          </cell>
          <cell r="I294" t="str">
            <v>TY_休息日</v>
          </cell>
        </row>
        <row r="294">
          <cell r="L294" t="str">
            <v>正确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str">
            <v>孙可君Monica（Kejun Sun）</v>
          </cell>
          <cell r="S294" t="str">
            <v>马聪Cong (Cong Ma)</v>
          </cell>
        </row>
        <row r="295">
          <cell r="G295" t="str">
            <v>CM 运力管理部</v>
          </cell>
          <cell r="H295" t="str">
            <v>Junior Transportation Capacity Data Analysis Specialist 初级运力数据分析专员</v>
          </cell>
          <cell r="I295" t="str">
            <v>TY_休息日</v>
          </cell>
        </row>
        <row r="295">
          <cell r="L295" t="str">
            <v>正确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str">
            <v>袁博闻(Bowen Yuan)</v>
          </cell>
        </row>
        <row r="296">
          <cell r="G296" t="str">
            <v>NE 东北大区EWR.H综办组</v>
          </cell>
          <cell r="H296" t="str">
            <v>Warehouse Clerk 仓库文员</v>
          </cell>
          <cell r="I296" t="str">
            <v>TY_休息日</v>
          </cell>
        </row>
        <row r="296">
          <cell r="L296" t="str">
            <v>正确</v>
          </cell>
          <cell r="M296">
            <v>0</v>
          </cell>
          <cell r="N296">
            <v>0</v>
          </cell>
          <cell r="O296">
            <v>0</v>
          </cell>
          <cell r="P296">
            <v>45.16</v>
          </cell>
          <cell r="Q296">
            <v>5.16</v>
          </cell>
          <cell r="R296" t="str">
            <v>孙可君Monica（Kejun Sun）</v>
          </cell>
          <cell r="S296" t="str">
            <v>马聪Cong (Cong Ma)</v>
          </cell>
          <cell r="T296" t="str">
            <v>Minqing (Minqing Xu),罗煜雄 Mike (Yuxiong Luo)</v>
          </cell>
        </row>
        <row r="297">
          <cell r="G297" t="str">
            <v>NE 东北大区DC 华盛顿片区BWI01</v>
          </cell>
          <cell r="H297" t="str">
            <v>Station Operations Specialist 站点运营专员</v>
          </cell>
          <cell r="I297" t="str">
            <v>TY_12:30</v>
          </cell>
          <cell r="J297" t="str">
            <v>11:13</v>
          </cell>
          <cell r="K297" t="str">
            <v>21:24</v>
          </cell>
          <cell r="L297" t="str">
            <v>不正确</v>
          </cell>
          <cell r="M297">
            <v>0</v>
          </cell>
          <cell r="N297">
            <v>9.68</v>
          </cell>
          <cell r="O297">
            <v>1.68</v>
          </cell>
          <cell r="P297">
            <v>0</v>
          </cell>
          <cell r="Q297">
            <v>0</v>
          </cell>
          <cell r="R297" t="str">
            <v>孙可君Monica（Kejun Sun）</v>
          </cell>
          <cell r="S297" t="str">
            <v>马聪Cong (Cong Ma)</v>
          </cell>
          <cell r="T297" t="str">
            <v>朱晗宇 Peter (Hanyu Zhu)</v>
          </cell>
        </row>
        <row r="298">
          <cell r="G298" t="str">
            <v>WE 美西大区CNO.H调度组</v>
          </cell>
          <cell r="H298" t="str">
            <v>Dispatcher 调度员</v>
          </cell>
          <cell r="I298" t="str">
            <v>TY_休息日</v>
          </cell>
        </row>
        <row r="298">
          <cell r="L298" t="str">
            <v>正确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str">
            <v>王骞Ariel（Qian Wang）,叶秀芳Freya (Xiufang Ye)</v>
          </cell>
          <cell r="S298" t="str">
            <v>常哲</v>
          </cell>
          <cell r="T298" t="str">
            <v>Minqing (Minqing Xu),罗煜雄 Mike (Yuxiong Luo)</v>
          </cell>
        </row>
        <row r="299">
          <cell r="G299" t="str">
            <v>IC 跨境客户部海外客户组</v>
          </cell>
          <cell r="H299" t="str">
            <v>Junior Oversea Client Specialist 初级海外客户专员</v>
          </cell>
          <cell r="I299" t="str">
            <v>TY_休息日</v>
          </cell>
        </row>
        <row r="299">
          <cell r="L299" t="str">
            <v>正确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str">
            <v>袁博闻(Bowen Yuan)</v>
          </cell>
        </row>
        <row r="300">
          <cell r="G300" t="str">
            <v>NE 东北大区DC 华盛顿片区IAD01</v>
          </cell>
          <cell r="H300" t="str">
            <v>Station Operations Specialist 站点运营专员</v>
          </cell>
          <cell r="I300" t="str">
            <v>TY_休息日</v>
          </cell>
        </row>
        <row r="300">
          <cell r="L300" t="str">
            <v>正确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str">
            <v>孙可君Monica（Kejun Sun）</v>
          </cell>
          <cell r="S300" t="str">
            <v>马聪Cong (Cong Ma)</v>
          </cell>
          <cell r="T300" t="str">
            <v>朱晗宇 Peter (Hanyu Zhu)</v>
          </cell>
        </row>
        <row r="301">
          <cell r="G301" t="str">
            <v>GL 大湖大区IND01</v>
          </cell>
          <cell r="H301" t="str">
            <v>Station Operations Specialist 站点运营专员</v>
          </cell>
          <cell r="I301" t="str">
            <v>TY_05:30</v>
          </cell>
          <cell r="J301" t="str">
            <v>05:46</v>
          </cell>
          <cell r="K301" t="str">
            <v>13:50</v>
          </cell>
          <cell r="L301" t="str">
            <v>正确</v>
          </cell>
          <cell r="M301">
            <v>0</v>
          </cell>
          <cell r="N301">
            <v>7.57</v>
          </cell>
          <cell r="O301">
            <v>0</v>
          </cell>
          <cell r="P301">
            <v>0</v>
          </cell>
          <cell r="Q301">
            <v>0</v>
          </cell>
          <cell r="R301" t="str">
            <v>王晓丹 Jasmine（Xiaodan Wang）,周延舒Isabel（Yanshu Zhou）</v>
          </cell>
          <cell r="S301" t="str">
            <v>张骥Ji Zhang (Ji Zhang)</v>
          </cell>
        </row>
        <row r="302">
          <cell r="G302" t="str">
            <v>US人力资源部美洲HRBP组东北区HR组</v>
          </cell>
          <cell r="H302" t="str">
            <v>HRBP Supervisor HRBP主管</v>
          </cell>
          <cell r="I302" t="str">
            <v>TY_休息日</v>
          </cell>
        </row>
        <row r="302">
          <cell r="L302" t="str">
            <v>正确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str">
            <v>袁博闻(Bowen Yuan)</v>
          </cell>
        </row>
        <row r="303">
          <cell r="G303" t="str">
            <v>Ground项目部OG 美西区SD921</v>
          </cell>
          <cell r="H303" t="str">
            <v>Station Head 站长</v>
          </cell>
          <cell r="I303" t="str">
            <v>TY_06:00</v>
          </cell>
          <cell r="J303" t="str">
            <v>05:53</v>
          </cell>
          <cell r="K303" t="str">
            <v>15:30</v>
          </cell>
          <cell r="L303" t="str">
            <v>正确</v>
          </cell>
          <cell r="M303">
            <v>0</v>
          </cell>
          <cell r="N303">
            <v>9.12</v>
          </cell>
          <cell r="O303">
            <v>1.12</v>
          </cell>
          <cell r="P303">
            <v>0</v>
          </cell>
          <cell r="Q303">
            <v>0</v>
          </cell>
          <cell r="R303" t="str">
            <v>王安琪 (Anqi Wang),张朱同 Thomson（Zhutong Zhang）</v>
          </cell>
          <cell r="S303" t="str">
            <v>陈锦昭</v>
          </cell>
          <cell r="T303" t="str">
            <v>宋佳牧 Dorian (Jiamu Song)</v>
          </cell>
        </row>
        <row r="304">
          <cell r="G304" t="str">
            <v>WE 美西大区CNO.H异常处理组</v>
          </cell>
          <cell r="H304" t="str">
            <v>Returns Lead 退件组长</v>
          </cell>
          <cell r="I304" t="str">
            <v>TY_休息日</v>
          </cell>
        </row>
        <row r="304">
          <cell r="L304" t="str">
            <v>正确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str">
            <v>王骞Ariel（Qian Wang）,叶秀芳Freya (Xiufang Ye)</v>
          </cell>
          <cell r="S304" t="str">
            <v>常哲</v>
          </cell>
          <cell r="T304" t="str">
            <v>Minqing (Minqing Xu),罗煜雄 Mike (Yuxiong Luo)</v>
          </cell>
        </row>
        <row r="305">
          <cell r="G305" t="str">
            <v>WE 美西大区LAV.H操作组</v>
          </cell>
          <cell r="H305" t="str">
            <v>Warehouse Operator 操作员</v>
          </cell>
          <cell r="I305" t="str">
            <v>TY_06:00</v>
          </cell>
          <cell r="J305" t="str">
            <v>06:11</v>
          </cell>
          <cell r="K305" t="str">
            <v>12:11</v>
          </cell>
          <cell r="L305" t="str">
            <v>正确</v>
          </cell>
          <cell r="M305">
            <v>0</v>
          </cell>
          <cell r="N305">
            <v>5.5</v>
          </cell>
          <cell r="O305">
            <v>0</v>
          </cell>
          <cell r="P305">
            <v>42.28</v>
          </cell>
          <cell r="Q305">
            <v>2.28</v>
          </cell>
          <cell r="R305" t="str">
            <v>王骞Ariel（Qian Wang）,叶秀芳Freya (Xiufang Ye)</v>
          </cell>
          <cell r="S305" t="str">
            <v>常哲</v>
          </cell>
          <cell r="T305" t="str">
            <v>Minqing (Minqing Xu),罗煜雄 Mike (Yuxiong Luo)</v>
          </cell>
        </row>
        <row r="306">
          <cell r="G306" t="str">
            <v>US人力资源部美洲HRBP组佛州区HR组</v>
          </cell>
          <cell r="H306" t="str">
            <v>Junior HRBP Specialist 初级HRBP专员</v>
          </cell>
          <cell r="I306" t="str">
            <v>TY_休息日</v>
          </cell>
        </row>
        <row r="306">
          <cell r="L306" t="str">
            <v>正确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str">
            <v>袁博闻(Bowen Yuan)</v>
          </cell>
        </row>
        <row r="307">
          <cell r="G307" t="str">
            <v>SM 站点管理部站点实施组</v>
          </cell>
          <cell r="H307" t="str">
            <v>Station Implementation  Specialist 站点实施专员</v>
          </cell>
          <cell r="I307" t="str">
            <v>TY_休息日</v>
          </cell>
        </row>
        <row r="307">
          <cell r="L307" t="str">
            <v>正确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str">
            <v>袁博闻(Bowen Yuan)</v>
          </cell>
        </row>
        <row r="308">
          <cell r="G308" t="str">
            <v>US人力资源部美洲HRBP组中南区HR组</v>
          </cell>
          <cell r="H308" t="str">
            <v>Junior Recruitment Specialist 初级招聘专员</v>
          </cell>
          <cell r="I308" t="str">
            <v>TY_休息日</v>
          </cell>
        </row>
        <row r="308">
          <cell r="L308" t="str">
            <v>正确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str">
            <v>袁博闻(Bowen Yuan)</v>
          </cell>
        </row>
        <row r="309">
          <cell r="G309" t="str">
            <v>WE 美西大区DS 丹佛·盐湖城片区SLC01</v>
          </cell>
          <cell r="H309" t="str">
            <v>Warehouse Operator 操作员</v>
          </cell>
          <cell r="I309" t="str">
            <v>TY_06:00</v>
          </cell>
          <cell r="J309" t="str">
            <v>06:04</v>
          </cell>
          <cell r="K309" t="str">
            <v>20:30</v>
          </cell>
          <cell r="L309" t="str">
            <v>正确</v>
          </cell>
          <cell r="M309">
            <v>0</v>
          </cell>
          <cell r="N309">
            <v>13.93</v>
          </cell>
          <cell r="O309">
            <v>5.93</v>
          </cell>
          <cell r="P309">
            <v>60.25</v>
          </cell>
          <cell r="Q309">
            <v>20.25</v>
          </cell>
          <cell r="R309" t="str">
            <v>王骞Ariel（Qian Wang）,叶秀芳Freya (Xiufang Ye)</v>
          </cell>
          <cell r="S309" t="str">
            <v>常哲</v>
          </cell>
          <cell r="T309" t="str">
            <v>兰鹏Peng（Peng Lan）</v>
          </cell>
        </row>
        <row r="310">
          <cell r="G310" t="str">
            <v>MS 中南大区AS 亚特兰大和南阿拉巴马片区ATL01</v>
          </cell>
          <cell r="H310" t="str">
            <v>Station Operations Specialist 站点运营专员</v>
          </cell>
          <cell r="I310" t="str">
            <v>TY_休息日</v>
          </cell>
        </row>
        <row r="310">
          <cell r="L310" t="str">
            <v>正确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str">
            <v>欧阳迎春Flower（Yingchun Ouyang）</v>
          </cell>
          <cell r="S310" t="str">
            <v>杨云飞</v>
          </cell>
          <cell r="T310" t="str">
            <v>李明峰Lucas(Mingfeng Li)</v>
          </cell>
        </row>
        <row r="311">
          <cell r="G311" t="str">
            <v>WE 美西大区运营支持部区域支持组</v>
          </cell>
          <cell r="H311" t="str">
            <v>Regional Support Specialist 区域支持专员</v>
          </cell>
          <cell r="I311" t="str">
            <v>TY_11:00</v>
          </cell>
          <cell r="J311" t="str">
            <v>10:53</v>
          </cell>
          <cell r="K311" t="str">
            <v>18:52</v>
          </cell>
          <cell r="L311" t="str">
            <v>正确</v>
          </cell>
          <cell r="M311">
            <v>0</v>
          </cell>
          <cell r="N311">
            <v>7.48</v>
          </cell>
          <cell r="O311">
            <v>0</v>
          </cell>
          <cell r="P311">
            <v>0</v>
          </cell>
          <cell r="Q311">
            <v>0</v>
          </cell>
          <cell r="R311" t="str">
            <v>王骞Ariel（Qian Wang）,叶秀芳Freya (Xiufang Ye)</v>
          </cell>
          <cell r="S311" t="str">
            <v>常哲</v>
          </cell>
        </row>
        <row r="312">
          <cell r="G312" t="str">
            <v>DO 数字运营部美国技术支持组</v>
          </cell>
          <cell r="H312" t="str">
            <v>IT support 技术支持工程师</v>
          </cell>
          <cell r="I312" t="str">
            <v>TY_06:00</v>
          </cell>
        </row>
        <row r="312">
          <cell r="L312" t="str">
            <v>/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str">
            <v>袁博闻(Bowen Yuan)</v>
          </cell>
        </row>
        <row r="313">
          <cell r="G313" t="str">
            <v>TX 德州大区揽收部</v>
          </cell>
          <cell r="H313" t="str">
            <v>Pickup Dispatcher 揽收调度员</v>
          </cell>
          <cell r="I313" t="str">
            <v>TY_休息日</v>
          </cell>
        </row>
        <row r="313">
          <cell r="L313" t="str">
            <v>正确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str">
            <v>肖芦莉Lily (Luli Xiao)</v>
          </cell>
          <cell r="S313" t="str">
            <v>张骥Ji Zhang (Ji Zhang)</v>
          </cell>
        </row>
        <row r="314">
          <cell r="G314" t="str">
            <v>NE 东北大区EWR.H调度组</v>
          </cell>
          <cell r="H314" t="str">
            <v>Dispatcher 调度员</v>
          </cell>
          <cell r="I314" t="str">
            <v>TY_06:00</v>
          </cell>
          <cell r="J314" t="str">
            <v>06:06</v>
          </cell>
          <cell r="K314" t="str">
            <v>14:49</v>
          </cell>
          <cell r="L314" t="str">
            <v>正确</v>
          </cell>
          <cell r="M314">
            <v>0</v>
          </cell>
          <cell r="N314">
            <v>8.22</v>
          </cell>
          <cell r="O314">
            <v>0.22</v>
          </cell>
          <cell r="P314">
            <v>0</v>
          </cell>
          <cell r="Q314">
            <v>0</v>
          </cell>
          <cell r="R314" t="str">
            <v>孙可君Monica（Kejun Sun）</v>
          </cell>
          <cell r="S314" t="str">
            <v>马聪Cong (Cong Ma)</v>
          </cell>
          <cell r="T314" t="str">
            <v>Minqing (Minqing Xu),罗煜雄 Mike (Yuxiong Luo)</v>
          </cell>
        </row>
        <row r="315">
          <cell r="G315" t="str">
            <v>WE 美西大区NC 北加片区SFO.H</v>
          </cell>
          <cell r="H315" t="str">
            <v>Warehouse Lead 操作组长</v>
          </cell>
          <cell r="I315" t="str">
            <v>TY_16:00</v>
          </cell>
        </row>
        <row r="315">
          <cell r="K315" t="str">
            <v>06:51</v>
          </cell>
          <cell r="L315" t="str">
            <v>/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str">
            <v>王骞Ariel（Qian Wang）,叶秀芳Freya (Xiufang Ye)</v>
          </cell>
          <cell r="S315" t="str">
            <v>常哲</v>
          </cell>
          <cell r="T315" t="str">
            <v>林美浚（Meijun Lin）</v>
          </cell>
        </row>
        <row r="316">
          <cell r="G316" t="str">
            <v>Ground项目部OG 美西区运营支持组</v>
          </cell>
          <cell r="H316" t="str">
            <v>Operations Support Specialist 运营支持专员</v>
          </cell>
          <cell r="I316" t="str">
            <v>TY_休息日</v>
          </cell>
        </row>
        <row r="316">
          <cell r="L316" t="str">
            <v>正确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str">
            <v>王安琪 (Anqi Wang),张朱同 Thomson（Zhutong Zhang）</v>
          </cell>
          <cell r="S316" t="str">
            <v>陈锦昭</v>
          </cell>
        </row>
        <row r="317">
          <cell r="G317" t="str">
            <v>NE 东北大区EWR.H分拣组</v>
          </cell>
          <cell r="H317" t="str">
            <v>Sorter 分拣员</v>
          </cell>
          <cell r="I317" t="str">
            <v>TY_15:00</v>
          </cell>
        </row>
        <row r="317">
          <cell r="L317" t="str">
            <v>/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str">
            <v>孙可君Monica（Kejun Sun）</v>
          </cell>
          <cell r="S317" t="str">
            <v>马聪Cong (Cong Ma)</v>
          </cell>
          <cell r="T317" t="str">
            <v>张双甫(Shuangfu Zhang)</v>
          </cell>
        </row>
        <row r="318">
          <cell r="G318" t="str">
            <v>TX 德州大区GC 墨湾片区IAH01</v>
          </cell>
          <cell r="H318" t="str">
            <v>Station Head 站长</v>
          </cell>
          <cell r="I318" t="str">
            <v>TY_06:30</v>
          </cell>
        </row>
        <row r="318">
          <cell r="L318" t="str">
            <v>/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str">
            <v>肖芦莉Lily (Luli Xiao)</v>
          </cell>
          <cell r="S318" t="str">
            <v>张骥Ji Zhang (Ji Zhang)</v>
          </cell>
          <cell r="T318" t="str">
            <v>金磊Brian（LEI JIN）</v>
          </cell>
        </row>
        <row r="319">
          <cell r="G319" t="str">
            <v>DO 数字运营部美国技术支持组</v>
          </cell>
          <cell r="H319" t="str">
            <v>IT support 技术支持工程师</v>
          </cell>
          <cell r="I319" t="str">
            <v>TY_09:00</v>
          </cell>
        </row>
        <row r="319">
          <cell r="L319" t="str">
            <v>/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str">
            <v>袁博闻(Bowen Yuan)</v>
          </cell>
        </row>
        <row r="320">
          <cell r="G320" t="str">
            <v>MS 中南大区AS 奥萨查沿海片区SAV01</v>
          </cell>
          <cell r="H320" t="str">
            <v>Station Operations Specialist 站点运营专员</v>
          </cell>
          <cell r="I320" t="str">
            <v>TY_07:00</v>
          </cell>
          <cell r="J320" t="str">
            <v>06:41</v>
          </cell>
          <cell r="K320" t="str">
            <v>20:22</v>
          </cell>
          <cell r="L320" t="str">
            <v>正确</v>
          </cell>
          <cell r="M320">
            <v>0</v>
          </cell>
          <cell r="N320">
            <v>13.18</v>
          </cell>
          <cell r="O320">
            <v>5.18</v>
          </cell>
          <cell r="P320">
            <v>0</v>
          </cell>
          <cell r="Q320">
            <v>0</v>
          </cell>
          <cell r="R320" t="str">
            <v>欧阳迎春Flower（Yingchun Ouyang）</v>
          </cell>
          <cell r="S320" t="str">
            <v>杨云飞</v>
          </cell>
          <cell r="T320" t="str">
            <v>宋昊阳Chris(Haoyang Song)</v>
          </cell>
        </row>
        <row r="321">
          <cell r="G321" t="str">
            <v>WE 美西大区NC 北加片区SMF01</v>
          </cell>
          <cell r="H321" t="str">
            <v>Warehouse Operator 操作员</v>
          </cell>
          <cell r="I321" t="str">
            <v>TY_休息日</v>
          </cell>
        </row>
        <row r="321">
          <cell r="L321" t="str">
            <v>正确</v>
          </cell>
          <cell r="M321">
            <v>0</v>
          </cell>
          <cell r="N321">
            <v>0</v>
          </cell>
          <cell r="O321">
            <v>0</v>
          </cell>
          <cell r="P321">
            <v>42.56</v>
          </cell>
          <cell r="Q321">
            <v>2.56</v>
          </cell>
          <cell r="R321" t="str">
            <v>王骞Ariel（Qian Wang）,叶秀芳Freya (Xiufang Ye)</v>
          </cell>
          <cell r="S321" t="str">
            <v>常哲</v>
          </cell>
          <cell r="T321" t="str">
            <v>林美浚（Meijun Lin）</v>
          </cell>
        </row>
        <row r="322">
          <cell r="G322" t="str">
            <v>TX 德州大区DFW.H调度组</v>
          </cell>
          <cell r="H322" t="str">
            <v>Dispatcher 调度员</v>
          </cell>
          <cell r="I322" t="str">
            <v>TY_休息日</v>
          </cell>
        </row>
        <row r="322">
          <cell r="L322" t="str">
            <v>正确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str">
            <v>肖芦莉Lily (Luli Xiao)</v>
          </cell>
          <cell r="S322" t="str">
            <v>张骥Ji Zhang (Ji Zhang)</v>
          </cell>
          <cell r="T322" t="str">
            <v>Minqing (Minqing Xu),罗煜雄 Mike (Yuxiong Luo)</v>
          </cell>
        </row>
        <row r="323">
          <cell r="G323" t="str">
            <v>GL 大湖大区ORD.H综办组</v>
          </cell>
          <cell r="H323" t="str">
            <v>Warehouse Clerk 仓库文员</v>
          </cell>
          <cell r="I323" t="str">
            <v>TY_11:00</v>
          </cell>
          <cell r="J323" t="str">
            <v>11:45</v>
          </cell>
          <cell r="K323" t="str">
            <v>21:03</v>
          </cell>
          <cell r="L323" t="str">
            <v>正确</v>
          </cell>
          <cell r="M323">
            <v>0</v>
          </cell>
          <cell r="N323">
            <v>8.8</v>
          </cell>
          <cell r="O323">
            <v>0.8</v>
          </cell>
          <cell r="P323">
            <v>0</v>
          </cell>
          <cell r="Q323">
            <v>0</v>
          </cell>
          <cell r="R323" t="str">
            <v>王晓丹 Jasmine（Xiaodan Wang）,周延舒Isabel（Yanshu Zhou）</v>
          </cell>
          <cell r="S323" t="str">
            <v>张骥Ji Zhang (Ji Zhang)</v>
          </cell>
          <cell r="T323" t="str">
            <v>Minqing (Minqing Xu),罗煜雄 Mike (Yuxiong Luo)</v>
          </cell>
        </row>
        <row r="324">
          <cell r="G324" t="str">
            <v>WE 美西大区运营支持部</v>
          </cell>
          <cell r="H324" t="str">
            <v>Regional Support Specialist 区域支持专员</v>
          </cell>
          <cell r="I324" t="str">
            <v>TY_休息日</v>
          </cell>
        </row>
        <row r="324">
          <cell r="L324" t="str">
            <v>正确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str">
            <v>王骞Ariel（Qian Wang）,叶秀芳Freya (Xiufang Ye)</v>
          </cell>
          <cell r="S324" t="str">
            <v>常哲</v>
          </cell>
        </row>
        <row r="325">
          <cell r="G325" t="str">
            <v>Ground项目部OG 美东区NY118</v>
          </cell>
          <cell r="H325" t="str">
            <v>Station Operations Specialist 站点运营专员</v>
          </cell>
          <cell r="I325" t="str">
            <v>TY_休息日</v>
          </cell>
        </row>
        <row r="325">
          <cell r="L325" t="str">
            <v>正确</v>
          </cell>
          <cell r="M325">
            <v>0</v>
          </cell>
          <cell r="N325">
            <v>0</v>
          </cell>
          <cell r="O325">
            <v>0</v>
          </cell>
          <cell r="P325">
            <v>48.28</v>
          </cell>
          <cell r="Q325">
            <v>8.28</v>
          </cell>
          <cell r="R325" t="str">
            <v>王安琪 (Anqi Wang),张朱同 Thomson（Zhutong Zhang）</v>
          </cell>
          <cell r="S325" t="str">
            <v>陈锦昭</v>
          </cell>
          <cell r="T325" t="str">
            <v>欧和枫 Henry (HeFeng Ou)</v>
          </cell>
        </row>
        <row r="326">
          <cell r="G326" t="str">
            <v>AD 行政部美东组</v>
          </cell>
          <cell r="H326" t="str">
            <v>Admin Assistant 行政助理</v>
          </cell>
          <cell r="I326" t="str">
            <v>TY_休息日</v>
          </cell>
        </row>
        <row r="326">
          <cell r="L326" t="str">
            <v>正确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str">
            <v>袁博闻(Bowen Yuan)</v>
          </cell>
        </row>
        <row r="327">
          <cell r="G327" t="str">
            <v>TX 德州大区NT 北德州片区DFW01</v>
          </cell>
          <cell r="H327" t="str">
            <v>Station Head 站长</v>
          </cell>
          <cell r="I327" t="str">
            <v>TY_休息日</v>
          </cell>
        </row>
        <row r="327">
          <cell r="L327" t="str">
            <v>正确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str">
            <v>肖芦莉Lily (Luli Xiao)</v>
          </cell>
          <cell r="S327" t="str">
            <v>张骥Ji Zhang (Ji Zhang)</v>
          </cell>
          <cell r="T327" t="str">
            <v>何琼joan(Qiong He)</v>
          </cell>
        </row>
        <row r="328">
          <cell r="G328" t="str">
            <v>Ground项目部派送管理部运力开发组</v>
          </cell>
          <cell r="H328" t="str">
            <v>Capacity Development Specialist 运力开发专员</v>
          </cell>
          <cell r="I328" t="str">
            <v>TY_休息日</v>
          </cell>
        </row>
        <row r="328">
          <cell r="L328" t="str">
            <v>正确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str">
            <v>王安琪 (Anqi Wang),张朱同 Thomson（Zhutong Zhang）</v>
          </cell>
          <cell r="S328" t="str">
            <v>陈锦昭</v>
          </cell>
        </row>
        <row r="329">
          <cell r="G329" t="str">
            <v>TX 德州大区DFW.H异常处理组</v>
          </cell>
          <cell r="H329" t="str">
            <v>Returns Lead 退件组长</v>
          </cell>
          <cell r="I329" t="str">
            <v>TY_休息日</v>
          </cell>
        </row>
        <row r="329">
          <cell r="L329" t="str">
            <v>正确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str">
            <v>肖芦莉Lily (Luli Xiao)</v>
          </cell>
          <cell r="S329" t="str">
            <v>张骥Ji Zhang (Ji Zhang)</v>
          </cell>
          <cell r="T329" t="str">
            <v>Minqing (Minqing Xu),罗煜雄 Mike (Yuxiong Luo)</v>
          </cell>
        </row>
        <row r="330">
          <cell r="G330" t="str">
            <v>WE 美西大区CNO.H调度组</v>
          </cell>
          <cell r="H330" t="str">
            <v>Dispatcher 调度员</v>
          </cell>
          <cell r="I330" t="str">
            <v>TY_17:00</v>
          </cell>
          <cell r="J330" t="str">
            <v>17:15</v>
          </cell>
          <cell r="K330" t="str">
            <v>05:15</v>
          </cell>
          <cell r="L330" t="str">
            <v>正确</v>
          </cell>
          <cell r="M330">
            <v>0</v>
          </cell>
          <cell r="N330">
            <v>11.5</v>
          </cell>
          <cell r="O330">
            <v>3.5</v>
          </cell>
          <cell r="P330">
            <v>0</v>
          </cell>
          <cell r="Q330">
            <v>0</v>
          </cell>
          <cell r="R330" t="str">
            <v>王骞Ariel（Qian Wang）,叶秀芳Freya (Xiufang Ye)</v>
          </cell>
          <cell r="S330" t="str">
            <v>常哲</v>
          </cell>
          <cell r="T330" t="str">
            <v>Minqing (Minqing Xu),罗煜雄 Mike (Yuxiong Luo)</v>
          </cell>
        </row>
        <row r="331">
          <cell r="G331" t="str">
            <v>FL 佛州大区MCO.H分拣组</v>
          </cell>
          <cell r="H331" t="str">
            <v>Sorter 分拣员</v>
          </cell>
          <cell r="I331" t="str">
            <v>TY_04:00</v>
          </cell>
          <cell r="J331" t="str">
            <v>03:40</v>
          </cell>
          <cell r="K331" t="str">
            <v>16:01</v>
          </cell>
          <cell r="L331" t="str">
            <v>正确</v>
          </cell>
          <cell r="M331">
            <v>0</v>
          </cell>
          <cell r="N331">
            <v>11.85</v>
          </cell>
          <cell r="O331">
            <v>3.85</v>
          </cell>
          <cell r="P331">
            <v>0</v>
          </cell>
          <cell r="Q331">
            <v>0</v>
          </cell>
          <cell r="R331" t="str">
            <v>Natalia (Natalia Padilla),孙婕 Jasmine（Sunjie）</v>
          </cell>
          <cell r="S331" t="str">
            <v>贺子强Jeff (Ziqiang He)</v>
          </cell>
          <cell r="T331" t="str">
            <v>张双甫(Shuangfu Zhang)</v>
          </cell>
        </row>
        <row r="332">
          <cell r="G332" t="str">
            <v>WE 美西大区NC 北加片区SFO.H</v>
          </cell>
          <cell r="H332" t="str">
            <v>Sorting Lead 分拣组长</v>
          </cell>
          <cell r="I332" t="str">
            <v>TY_06:00</v>
          </cell>
          <cell r="J332" t="str">
            <v>05:59</v>
          </cell>
          <cell r="K332" t="str">
            <v>16:01</v>
          </cell>
          <cell r="L332" t="str">
            <v>正确</v>
          </cell>
          <cell r="M332">
            <v>0</v>
          </cell>
          <cell r="N332">
            <v>9.53</v>
          </cell>
          <cell r="O332">
            <v>1.53</v>
          </cell>
          <cell r="P332">
            <v>0</v>
          </cell>
          <cell r="Q332">
            <v>0</v>
          </cell>
          <cell r="R332" t="str">
            <v>王骞Ariel（Qian Wang）,叶秀芳Freya (Xiufang Ye)</v>
          </cell>
          <cell r="S332" t="str">
            <v>常哲</v>
          </cell>
          <cell r="T332" t="str">
            <v>林美浚（Meijun Lin）</v>
          </cell>
        </row>
        <row r="333">
          <cell r="G333" t="str">
            <v>TX 德州大区DFW.H分拣组</v>
          </cell>
          <cell r="H333" t="str">
            <v>Sorter 分拣员</v>
          </cell>
          <cell r="I333" t="str">
            <v>TY_休息日</v>
          </cell>
        </row>
        <row r="333">
          <cell r="L333" t="str">
            <v>正确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str">
            <v>肖芦莉Lily (Luli Xiao)</v>
          </cell>
          <cell r="S333" t="str">
            <v>张骥Ji Zhang (Ji Zhang)</v>
          </cell>
          <cell r="T333" t="str">
            <v>张双甫(Shuangfu Zhang)</v>
          </cell>
        </row>
        <row r="334">
          <cell r="G334" t="str">
            <v>WE 美西大区DS 丹佛·盐湖城片区SLC01</v>
          </cell>
          <cell r="H334" t="str">
            <v>Station Operations Specialist 站点运营专员</v>
          </cell>
          <cell r="I334" t="str">
            <v>TY_休息日</v>
          </cell>
        </row>
        <row r="334">
          <cell r="L334" t="str">
            <v>正确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str">
            <v>王骞Ariel（Qian Wang）,叶秀芳Freya (Xiufang Ye)</v>
          </cell>
          <cell r="S334" t="str">
            <v>常哲</v>
          </cell>
          <cell r="T334" t="str">
            <v>兰鹏Peng（Peng Lan）</v>
          </cell>
        </row>
        <row r="335">
          <cell r="G335" t="str">
            <v>Ground项目部OG 美南区运营支持组</v>
          </cell>
          <cell r="H335" t="str">
            <v>Operations Support Specialist 运营支持专员</v>
          </cell>
          <cell r="I335" t="str">
            <v>TY_10:00</v>
          </cell>
          <cell r="J335" t="str">
            <v>09:54</v>
          </cell>
        </row>
        <row r="335">
          <cell r="L335" t="str">
            <v>正确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str">
            <v>王安琪 (Anqi Wang),张朱同 Thomson（Zhutong Zhang）</v>
          </cell>
          <cell r="S335" t="str">
            <v>陈锦昭</v>
          </cell>
        </row>
        <row r="336">
          <cell r="G336" t="str">
            <v>TX 德州大区IAH.H异常处理组</v>
          </cell>
          <cell r="H336" t="str">
            <v>Returns Lead 退件组长</v>
          </cell>
          <cell r="I336" t="str">
            <v>TY_休息日</v>
          </cell>
        </row>
        <row r="336">
          <cell r="L336" t="str">
            <v>正确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str">
            <v>肖芦莉Lily (Luli Xiao)</v>
          </cell>
          <cell r="S336" t="str">
            <v>张骥Ji Zhang (Ji Zhang)</v>
          </cell>
          <cell r="T336" t="str">
            <v>Minqing (Minqing Xu),罗煜雄 Mike (Yuxiong Luo)</v>
          </cell>
        </row>
        <row r="337">
          <cell r="G337" t="str">
            <v>FL 佛州大区SF 南佛片区MIA02</v>
          </cell>
          <cell r="H337" t="str">
            <v>Station Operations Specialist 站点运营专员</v>
          </cell>
          <cell r="I337" t="str">
            <v>TY_休息日</v>
          </cell>
        </row>
        <row r="337">
          <cell r="L337" t="str">
            <v>正确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str">
            <v>Natalia (Natalia Padilla),孙婕 Jasmine（Sunjie）</v>
          </cell>
          <cell r="S337" t="str">
            <v>贺子强Jeff (Ziqiang He)</v>
          </cell>
          <cell r="T337" t="str">
            <v>王航 Hang (Hang Wang)</v>
          </cell>
        </row>
        <row r="338">
          <cell r="G338" t="str">
            <v>TX 德州大区NT 北德州片区DFW01</v>
          </cell>
          <cell r="H338" t="str">
            <v>Station Operations Specialist 站点运营专员</v>
          </cell>
          <cell r="I338" t="str">
            <v>TY_休息日</v>
          </cell>
        </row>
        <row r="338">
          <cell r="L338" t="str">
            <v>正确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str">
            <v>肖芦莉Lily (Luli Xiao)</v>
          </cell>
          <cell r="S338" t="str">
            <v>张骥Ji Zhang (Ji Zhang)</v>
          </cell>
          <cell r="T338" t="str">
            <v>何琼joan(Qiong He)</v>
          </cell>
        </row>
        <row r="339">
          <cell r="G339" t="str">
            <v>WE 美西大区NC 北加片区SFO.H</v>
          </cell>
          <cell r="H339" t="str">
            <v>Warehouse Operator 操作员</v>
          </cell>
          <cell r="I339" t="str">
            <v>TY_休息日</v>
          </cell>
          <cell r="J339" t="str">
            <v>15:51</v>
          </cell>
          <cell r="K339" t="str">
            <v>20:10</v>
          </cell>
          <cell r="L339" t="str">
            <v>不正确</v>
          </cell>
          <cell r="M339">
            <v>0</v>
          </cell>
          <cell r="N339">
            <v>4.32</v>
          </cell>
          <cell r="O339">
            <v>0</v>
          </cell>
          <cell r="P339">
            <v>0</v>
          </cell>
          <cell r="Q339">
            <v>0</v>
          </cell>
          <cell r="R339" t="str">
            <v>王骞Ariel（Qian Wang）,叶秀芳Freya (Xiufang Ye)</v>
          </cell>
          <cell r="S339" t="str">
            <v>常哲</v>
          </cell>
          <cell r="T339" t="str">
            <v>林美浚（Meijun Lin）</v>
          </cell>
        </row>
        <row r="340">
          <cell r="G340" t="str">
            <v>GL 大湖大区IND01</v>
          </cell>
          <cell r="H340" t="str">
            <v>Station Operations Specialist 站点运营专员</v>
          </cell>
          <cell r="I340" t="str">
            <v>TY_休息日</v>
          </cell>
        </row>
        <row r="340">
          <cell r="L340" t="str">
            <v>正确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str">
            <v>王晓丹 Jasmine（Xiaodan Wang）,周延舒Isabel（Yanshu Zhou）</v>
          </cell>
          <cell r="S340" t="str">
            <v>张骥Ji Zhang (Ji Zhang)</v>
          </cell>
        </row>
        <row r="341">
          <cell r="G341" t="str">
            <v>TX 德州大区NT 北德州片区DFW01</v>
          </cell>
          <cell r="H341" t="str">
            <v>Station Operations Specialist 站点运营专员</v>
          </cell>
          <cell r="I341" t="str">
            <v>TY_05:30</v>
          </cell>
          <cell r="J341" t="str">
            <v>05:25</v>
          </cell>
          <cell r="K341" t="str">
            <v>13:04</v>
          </cell>
          <cell r="L341" t="str">
            <v>正确</v>
          </cell>
          <cell r="M341">
            <v>1</v>
          </cell>
          <cell r="N341">
            <v>8.15</v>
          </cell>
          <cell r="O341">
            <v>0</v>
          </cell>
          <cell r="P341">
            <v>0</v>
          </cell>
          <cell r="Q341">
            <v>0</v>
          </cell>
          <cell r="R341" t="str">
            <v>肖芦莉Lily (Luli Xiao)</v>
          </cell>
          <cell r="S341" t="str">
            <v>张骥Ji Zhang (Ji Zhang)</v>
          </cell>
          <cell r="T341" t="str">
            <v>何琼joan(Qiong He)</v>
          </cell>
        </row>
        <row r="342">
          <cell r="G342" t="str">
            <v>GL 大湖大区ORD.H调度组</v>
          </cell>
          <cell r="H342" t="str">
            <v>Dispatcher 调度员</v>
          </cell>
          <cell r="I342" t="str">
            <v>TY_07:00</v>
          </cell>
          <cell r="J342" t="str">
            <v>07:06</v>
          </cell>
          <cell r="K342" t="str">
            <v>16:45</v>
          </cell>
          <cell r="L342" t="str">
            <v>正确</v>
          </cell>
          <cell r="M342">
            <v>0</v>
          </cell>
          <cell r="N342">
            <v>9.15</v>
          </cell>
          <cell r="O342">
            <v>1.15</v>
          </cell>
          <cell r="P342">
            <v>0</v>
          </cell>
          <cell r="Q342">
            <v>0</v>
          </cell>
          <cell r="R342" t="str">
            <v>王晓丹 Jasmine（Xiaodan Wang）,周延舒Isabel（Yanshu Zhou）</v>
          </cell>
          <cell r="S342" t="str">
            <v>张骥Ji Zhang (Ji Zhang)</v>
          </cell>
          <cell r="T342" t="str">
            <v>Minqing (Minqing Xu),罗煜雄 Mike (Yuxiong Luo)</v>
          </cell>
        </row>
        <row r="343">
          <cell r="G343" t="str">
            <v>WE 美西大区LAV.H合流合包组</v>
          </cell>
          <cell r="H343" t="str">
            <v>Warehouse Operator 操作员</v>
          </cell>
          <cell r="I343" t="str">
            <v>TY_13:30</v>
          </cell>
        </row>
        <row r="343">
          <cell r="L343" t="str">
            <v>/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str">
            <v>王骞Ariel（Qian Wang）,叶秀芳Freya (Xiufang Ye)</v>
          </cell>
          <cell r="S343" t="str">
            <v>常哲</v>
          </cell>
          <cell r="T343" t="str">
            <v>覃超群Jessica（Chaoqun Qin）</v>
          </cell>
        </row>
        <row r="344">
          <cell r="G344" t="str">
            <v>US人力资源部美洲HRBP组德州区HR组</v>
          </cell>
          <cell r="H344" t="str">
            <v>HRBP Specialist HRBP专员</v>
          </cell>
          <cell r="I344" t="str">
            <v>TY_休息日</v>
          </cell>
        </row>
        <row r="344">
          <cell r="L344" t="str">
            <v>正确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str">
            <v>袁博闻(Bowen Yuan)</v>
          </cell>
        </row>
        <row r="345">
          <cell r="G345" t="str">
            <v>WE 美西大区LAV.H分拣组</v>
          </cell>
          <cell r="H345" t="str">
            <v>Sorting Lead 分拣组长</v>
          </cell>
          <cell r="I345" t="str">
            <v>TY_美国节假日（9点-18点）</v>
          </cell>
        </row>
        <row r="345">
          <cell r="L345" t="str">
            <v>正确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str">
            <v>王骞Ariel（Qian Wang）,叶秀芳Freya (Xiufang Ye)</v>
          </cell>
          <cell r="S345" t="str">
            <v>常哲</v>
          </cell>
          <cell r="T345" t="str">
            <v>张双甫(Shuangfu Zhang)</v>
          </cell>
        </row>
        <row r="346">
          <cell r="G346" t="str">
            <v>GL 大湖大区ORD.H调度组</v>
          </cell>
          <cell r="H346" t="str">
            <v>Dispatch Lead 调度组长</v>
          </cell>
          <cell r="I346" t="str">
            <v>TY_休息日</v>
          </cell>
        </row>
        <row r="346">
          <cell r="L346" t="str">
            <v>正确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str">
            <v>王晓丹 Jasmine（Xiaodan Wang）,周延舒Isabel（Yanshu Zhou）</v>
          </cell>
          <cell r="S346" t="str">
            <v>张骥Ji Zhang (Ji Zhang)</v>
          </cell>
          <cell r="T346" t="str">
            <v>Minqing (Minqing Xu),罗煜雄 Mike (Yuxiong Luo)</v>
          </cell>
        </row>
        <row r="347">
          <cell r="G347" t="str">
            <v>US人力资源部美洲HRBP组美西区HR组</v>
          </cell>
          <cell r="H347" t="str">
            <v>HRBP Assistant HRBP助理</v>
          </cell>
          <cell r="I347" t="str">
            <v>TY_休息日</v>
          </cell>
        </row>
        <row r="347">
          <cell r="L347" t="str">
            <v>正确</v>
          </cell>
          <cell r="M347">
            <v>0</v>
          </cell>
          <cell r="N347">
            <v>0</v>
          </cell>
          <cell r="O347">
            <v>0</v>
          </cell>
          <cell r="P347">
            <v>42.6</v>
          </cell>
          <cell r="Q347">
            <v>2.6</v>
          </cell>
          <cell r="R347" t="str">
            <v>袁博闻(Bowen Yuan)</v>
          </cell>
        </row>
        <row r="348">
          <cell r="G348" t="str">
            <v>WE 美西大区CNO.H操作组</v>
          </cell>
          <cell r="H348" t="str">
            <v>Warehouse Lead 操作组长</v>
          </cell>
          <cell r="I348" t="str">
            <v>TY_休息日</v>
          </cell>
        </row>
        <row r="348">
          <cell r="K348" t="str">
            <v>21:33</v>
          </cell>
          <cell r="L348" t="str">
            <v>正确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str">
            <v>王骞Ariel（Qian Wang）,叶秀芳Freya (Xiufang Ye)</v>
          </cell>
          <cell r="S348" t="str">
            <v>常哲</v>
          </cell>
          <cell r="T348" t="str">
            <v>Minqing (Minqing Xu),罗煜雄 Mike (Yuxiong Luo)</v>
          </cell>
        </row>
        <row r="349">
          <cell r="G349" t="str">
            <v>NE 东北大区揽收部揽收调度组</v>
          </cell>
          <cell r="H349" t="str">
            <v>Pickup Dispatcher 揽收调度员</v>
          </cell>
          <cell r="I349" t="str">
            <v>TY_08:00</v>
          </cell>
          <cell r="J349" t="str">
            <v>08:19</v>
          </cell>
          <cell r="K349" t="str">
            <v>20:06</v>
          </cell>
          <cell r="L349" t="str">
            <v>正确</v>
          </cell>
          <cell r="M349">
            <v>0</v>
          </cell>
          <cell r="N349">
            <v>11.28</v>
          </cell>
          <cell r="O349">
            <v>3.28</v>
          </cell>
          <cell r="P349">
            <v>0</v>
          </cell>
          <cell r="Q349">
            <v>0</v>
          </cell>
          <cell r="R349" t="str">
            <v>孙可君Monica（Kejun Sun）</v>
          </cell>
          <cell r="S349" t="str">
            <v>马聪Cong (Cong Ma)</v>
          </cell>
        </row>
        <row r="350">
          <cell r="G350" t="str">
            <v>FL 佛州大区MCO.H综办组</v>
          </cell>
          <cell r="H350" t="str">
            <v>EHS Specialist EHS专员</v>
          </cell>
          <cell r="I350" t="str">
            <v>TY_09:00</v>
          </cell>
        </row>
        <row r="350">
          <cell r="L350" t="str">
            <v>/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str">
            <v>Natalia (Natalia Padilla),孙婕 Jasmine（Sunjie）</v>
          </cell>
          <cell r="S350" t="str">
            <v>贺子强Jeff (Ziqiang He)</v>
          </cell>
          <cell r="T350" t="str">
            <v>Minqing (Minqing Xu),罗煜雄 Mike (Yuxiong Luo)</v>
          </cell>
        </row>
        <row r="351">
          <cell r="G351" t="str">
            <v>WE 美西大区CNO.H分拣组</v>
          </cell>
          <cell r="H351" t="str">
            <v>Sorter 分拣员</v>
          </cell>
          <cell r="I351" t="str">
            <v>TY_休息日</v>
          </cell>
        </row>
        <row r="351">
          <cell r="L351" t="str">
            <v>正确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str">
            <v>王骞Ariel（Qian Wang）,叶秀芳Freya (Xiufang Ye)</v>
          </cell>
          <cell r="S351" t="str">
            <v>常哲</v>
          </cell>
          <cell r="T351" t="str">
            <v>张双甫(Shuangfu Zhang)</v>
          </cell>
        </row>
        <row r="352">
          <cell r="G352" t="str">
            <v>TX 德州大区IAH.H</v>
          </cell>
          <cell r="H352" t="str">
            <v>Deputy Hub Head 副仓长</v>
          </cell>
          <cell r="I352" t="str">
            <v>TY_11:00</v>
          </cell>
          <cell r="J352" t="str">
            <v>10:45</v>
          </cell>
          <cell r="K352" t="str">
            <v>19:54</v>
          </cell>
          <cell r="L352" t="str">
            <v>正确</v>
          </cell>
          <cell r="M352">
            <v>0</v>
          </cell>
          <cell r="N352">
            <v>8.65</v>
          </cell>
          <cell r="O352">
            <v>0.65</v>
          </cell>
          <cell r="P352">
            <v>0</v>
          </cell>
          <cell r="Q352">
            <v>0</v>
          </cell>
          <cell r="R352" t="str">
            <v>肖芦莉Lily (Luli Xiao)</v>
          </cell>
          <cell r="S352" t="str">
            <v>张骥Ji Zhang (Ji Zhang)</v>
          </cell>
        </row>
        <row r="353">
          <cell r="G353" t="str">
            <v>GL 大湖大区运营支持部区域支持组</v>
          </cell>
          <cell r="H353" t="str">
            <v>Regional Support Specialist 区域支持专员</v>
          </cell>
          <cell r="I353" t="str">
            <v>TY_休息日</v>
          </cell>
        </row>
        <row r="353">
          <cell r="L353" t="str">
            <v>正确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str">
            <v>王晓丹 Jasmine（Xiaodan Wang）,周延舒Isabel（Yanshu Zhou）</v>
          </cell>
          <cell r="S353" t="str">
            <v>张骥Ji Zhang (Ji Zhang)</v>
          </cell>
        </row>
        <row r="354">
          <cell r="G354" t="str">
            <v>OM 操作管理部实施运营组</v>
          </cell>
          <cell r="H354" t="str">
            <v>Implementation Operations Manager 实施运营经理</v>
          </cell>
          <cell r="I354" t="str">
            <v>TY_休息日</v>
          </cell>
        </row>
        <row r="354">
          <cell r="L354" t="str">
            <v>正确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str">
            <v>袁博闻(Bowen Yuan)</v>
          </cell>
        </row>
        <row r="355">
          <cell r="G355" t="str">
            <v>QC 质量控制部质量改善组</v>
          </cell>
          <cell r="H355" t="str">
            <v>Junior Quality Improvement Specialist 初级质量改善专员</v>
          </cell>
          <cell r="I355" t="str">
            <v>TY_休息日</v>
          </cell>
        </row>
        <row r="355">
          <cell r="L355" t="str">
            <v>正确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str">
            <v>袁博闻(Bowen Yuan)</v>
          </cell>
        </row>
        <row r="356">
          <cell r="G356" t="str">
            <v>FL 佛州大区MIA.H异常处理组</v>
          </cell>
          <cell r="H356" t="str">
            <v>Returns Specialist 退件员</v>
          </cell>
          <cell r="I356" t="str">
            <v>TY_09:00</v>
          </cell>
          <cell r="J356" t="str">
            <v>08:30</v>
          </cell>
          <cell r="K356" t="str">
            <v>17:40</v>
          </cell>
          <cell r="L356" t="str">
            <v>正确</v>
          </cell>
          <cell r="M356">
            <v>0</v>
          </cell>
          <cell r="N356">
            <v>8.67</v>
          </cell>
          <cell r="O356">
            <v>0.67</v>
          </cell>
          <cell r="P356">
            <v>0</v>
          </cell>
          <cell r="Q356">
            <v>0</v>
          </cell>
          <cell r="R356" t="str">
            <v>Natalia (Natalia Padilla),孙婕 Jasmine（Sunjie）</v>
          </cell>
          <cell r="S356" t="str">
            <v>贺子强Jeff (Ziqiang He)</v>
          </cell>
          <cell r="T356" t="str">
            <v>Minqing (Minqing Xu),罗煜雄 Mike (Yuxiong Luo)</v>
          </cell>
        </row>
        <row r="357">
          <cell r="G357" t="str">
            <v>DO 数字运营部美国技术支持组</v>
          </cell>
          <cell r="H357" t="str">
            <v>IT support 技术支持工程师</v>
          </cell>
          <cell r="I357" t="str">
            <v>TY_休息日</v>
          </cell>
        </row>
        <row r="357">
          <cell r="L357" t="str">
            <v>正确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str">
            <v>袁博闻(Bowen Yuan)</v>
          </cell>
        </row>
        <row r="358">
          <cell r="G358" t="str">
            <v>WE 美西大区运营支持部区域支持组</v>
          </cell>
          <cell r="H358" t="str">
            <v>Regional Support Specialist 区域支持专员</v>
          </cell>
          <cell r="I358" t="str">
            <v>TY_休息日</v>
          </cell>
        </row>
        <row r="358">
          <cell r="L358" t="str">
            <v>正确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str">
            <v>王骞Ariel（Qian Wang）,叶秀芳Freya (Xiufang Ye)</v>
          </cell>
          <cell r="S358" t="str">
            <v>常哲</v>
          </cell>
        </row>
        <row r="359">
          <cell r="G359" t="str">
            <v>OM 操作管理部设备规划组</v>
          </cell>
          <cell r="H359" t="str">
            <v>Senior MRO Specialist 高级设备运营专员</v>
          </cell>
          <cell r="I359" t="str">
            <v>TY_09:30</v>
          </cell>
        </row>
        <row r="359">
          <cell r="L359" t="str">
            <v>/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str">
            <v>袁博闻(Bowen Yuan)</v>
          </cell>
        </row>
        <row r="360">
          <cell r="G360" t="str">
            <v>GL 大湖大区揽收部揽收支持组</v>
          </cell>
          <cell r="H360" t="str">
            <v>Pickup Support Specialist 揽收支持专员</v>
          </cell>
          <cell r="I360" t="str">
            <v>TY_10:30</v>
          </cell>
          <cell r="J360" t="str">
            <v>11:41</v>
          </cell>
          <cell r="K360" t="str">
            <v>21:04</v>
          </cell>
          <cell r="L360" t="str">
            <v>不正确</v>
          </cell>
          <cell r="M360">
            <v>0</v>
          </cell>
          <cell r="N360">
            <v>8.88</v>
          </cell>
          <cell r="O360">
            <v>0.88</v>
          </cell>
          <cell r="P360">
            <v>0</v>
          </cell>
          <cell r="Q360">
            <v>0</v>
          </cell>
          <cell r="R360" t="str">
            <v>王晓丹 Jasmine（Xiaodan Wang）,周延舒Isabel（Yanshu Zhou）</v>
          </cell>
          <cell r="S360" t="str">
            <v>张骥Ji Zhang (Ji Zhang)</v>
          </cell>
          <cell r="T360" t="str">
            <v>王姝涵Function（Shuhan Wang)</v>
          </cell>
        </row>
        <row r="361">
          <cell r="G361" t="str">
            <v>TX 德州大区IAH.H调度组</v>
          </cell>
          <cell r="H361" t="str">
            <v>Dispatcher 调度员</v>
          </cell>
          <cell r="I361" t="str">
            <v>TY_06:00</v>
          </cell>
          <cell r="J361" t="str">
            <v>05:45</v>
          </cell>
          <cell r="K361" t="str">
            <v>16:28</v>
          </cell>
          <cell r="L361" t="str">
            <v>正确</v>
          </cell>
          <cell r="M361">
            <v>0</v>
          </cell>
          <cell r="N361">
            <v>10.22</v>
          </cell>
          <cell r="O361">
            <v>2.22</v>
          </cell>
          <cell r="P361">
            <v>0</v>
          </cell>
          <cell r="Q361">
            <v>0</v>
          </cell>
          <cell r="R361" t="str">
            <v>肖芦莉Lily (Luli Xiao)</v>
          </cell>
          <cell r="S361" t="str">
            <v>张骥Ji Zhang (Ji Zhang)</v>
          </cell>
          <cell r="T361" t="str">
            <v>Minqing (Minqing Xu),罗煜雄 Mike (Yuxiong Luo)</v>
          </cell>
        </row>
        <row r="362">
          <cell r="G362" t="str">
            <v>WE 美西大区LAV.H综办组</v>
          </cell>
          <cell r="H362" t="str">
            <v>Warehouse Clerk 仓库文员</v>
          </cell>
          <cell r="I362" t="str">
            <v>TY_美国节假日（9点-18点）</v>
          </cell>
        </row>
        <row r="362">
          <cell r="L362" t="str">
            <v>正确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str">
            <v>王骞Ariel（Qian Wang）,叶秀芳Freya (Xiufang Ye)</v>
          </cell>
          <cell r="S362" t="str">
            <v>常哲</v>
          </cell>
          <cell r="T362" t="str">
            <v>Minqing (Minqing Xu),罗煜雄 Mike (Yuxiong Luo)</v>
          </cell>
        </row>
        <row r="363">
          <cell r="G363" t="str">
            <v>WE 美西大区CNO.H调度组</v>
          </cell>
          <cell r="H363" t="str">
            <v>Dispatcher 调度员</v>
          </cell>
          <cell r="I363" t="str">
            <v>TY_休息日</v>
          </cell>
        </row>
        <row r="363">
          <cell r="L363" t="str">
            <v>正确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str">
            <v>王骞Ariel（Qian Wang）,叶秀芳Freya (Xiufang Ye)</v>
          </cell>
          <cell r="S363" t="str">
            <v>常哲</v>
          </cell>
          <cell r="T363" t="str">
            <v>Minqing (Minqing Xu),罗煜雄 Mike (Yuxiong Luo)</v>
          </cell>
        </row>
        <row r="364">
          <cell r="G364" t="str">
            <v>Ground项目部OG 美西区CNO.G</v>
          </cell>
          <cell r="H364" t="str">
            <v>Warehouse Clerk 仓库文员</v>
          </cell>
          <cell r="I364" t="str">
            <v>TY_休息日</v>
          </cell>
        </row>
        <row r="364">
          <cell r="L364" t="str">
            <v>正确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str">
            <v>王安琪 (Anqi Wang),张朱同 Thomson（Zhutong Zhang）</v>
          </cell>
          <cell r="S364" t="str">
            <v>陈锦昭</v>
          </cell>
          <cell r="T364" t="str">
            <v>张弘毅 Hongyi （Hongyi Zhang）</v>
          </cell>
        </row>
        <row r="365">
          <cell r="G365" t="str">
            <v>WE 美西大区运营支持部区域支持组</v>
          </cell>
          <cell r="H365" t="str">
            <v>Regional Support Specialist 区域支持专员</v>
          </cell>
          <cell r="I365" t="str">
            <v>TY_09:30</v>
          </cell>
          <cell r="J365" t="str">
            <v>10:30</v>
          </cell>
          <cell r="K365" t="str">
            <v>01:30</v>
          </cell>
          <cell r="L365" t="str">
            <v>正确</v>
          </cell>
          <cell r="M365">
            <v>0</v>
          </cell>
          <cell r="N365">
            <v>14.5</v>
          </cell>
          <cell r="O365">
            <v>6.5</v>
          </cell>
          <cell r="P365">
            <v>0</v>
          </cell>
          <cell r="Q365">
            <v>0</v>
          </cell>
          <cell r="R365" t="str">
            <v>王骞Ariel（Qian Wang）,叶秀芳Freya (Xiufang Ye)</v>
          </cell>
          <cell r="S365" t="str">
            <v>常哲</v>
          </cell>
        </row>
        <row r="366">
          <cell r="G366" t="str">
            <v>WE 美西大区CNO.H</v>
          </cell>
          <cell r="H366" t="str">
            <v>Deputy Hub Head 副仓长</v>
          </cell>
          <cell r="I366" t="str">
            <v>TY_19:00</v>
          </cell>
        </row>
        <row r="366">
          <cell r="L366" t="str">
            <v>/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str">
            <v>王骞Ariel（Qian Wang）,叶秀芳Freya (Xiufang Ye)</v>
          </cell>
          <cell r="S366" t="str">
            <v>常哲</v>
          </cell>
        </row>
        <row r="367">
          <cell r="G367" t="str">
            <v>AD 行政部</v>
          </cell>
          <cell r="H367" t="str">
            <v>Admin Manager 行政经理</v>
          </cell>
          <cell r="I367" t="str">
            <v>TY_休息日</v>
          </cell>
        </row>
        <row r="367">
          <cell r="L367" t="str">
            <v>正确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str">
            <v>袁博闻(Bowen Yuan)</v>
          </cell>
        </row>
        <row r="368">
          <cell r="G368" t="str">
            <v>TX 德州大区IAH.H分拣组</v>
          </cell>
          <cell r="H368" t="str">
            <v>Sorter 分拣员</v>
          </cell>
          <cell r="I368" t="str">
            <v>TY_休息日</v>
          </cell>
        </row>
        <row r="368">
          <cell r="L368" t="str">
            <v>正确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str">
            <v>肖芦莉Lily (Luli Xiao)</v>
          </cell>
          <cell r="S368" t="str">
            <v>张骥Ji Zhang (Ji Zhang)</v>
          </cell>
          <cell r="T368" t="str">
            <v>张双甫(Shuangfu Zhang)</v>
          </cell>
        </row>
        <row r="369">
          <cell r="G369" t="str">
            <v>TX 德州大区揽收部</v>
          </cell>
          <cell r="H369" t="str">
            <v>Pickup Dispatcher 揽收调度员</v>
          </cell>
          <cell r="I369" t="str">
            <v>TY_休息日</v>
          </cell>
        </row>
        <row r="369">
          <cell r="L369" t="str">
            <v>正确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str">
            <v>肖芦莉Lily (Luli Xiao)</v>
          </cell>
          <cell r="S369" t="str">
            <v>张骥Ji Zhang (Ji Zhang)</v>
          </cell>
        </row>
        <row r="370">
          <cell r="G370" t="str">
            <v>WE 美西大区SC 南加片区LA揽收部</v>
          </cell>
          <cell r="H370" t="str">
            <v>Pickup Support Specialist 揽收支持专员</v>
          </cell>
          <cell r="I370" t="str">
            <v>TY_休息日</v>
          </cell>
        </row>
        <row r="370">
          <cell r="L370" t="str">
            <v>正确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str">
            <v>王骞Ariel（Qian Wang）,叶秀芳Freya (Xiufang Ye)</v>
          </cell>
          <cell r="S370" t="str">
            <v>常哲</v>
          </cell>
          <cell r="T370" t="str">
            <v>尤梦楠Yuko（Mengnan You）</v>
          </cell>
        </row>
        <row r="371">
          <cell r="G371" t="str">
            <v>NE 东北大区NY 纽约片区FRG01</v>
          </cell>
          <cell r="H371" t="str">
            <v>Station Head （Probation）站长（见习）</v>
          </cell>
          <cell r="I371" t="str">
            <v>TY_休息日</v>
          </cell>
        </row>
        <row r="371">
          <cell r="L371" t="str">
            <v>正确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str">
            <v>孙可君Monica（Kejun Sun）</v>
          </cell>
          <cell r="S371" t="str">
            <v>马聪Cong (Cong Ma)</v>
          </cell>
          <cell r="T371" t="str">
            <v>朱晗宇 Peter (Hanyu Zhu)</v>
          </cell>
        </row>
        <row r="372">
          <cell r="G372" t="str">
            <v>US人力资源部美洲HRBP组Ground项目HR组</v>
          </cell>
          <cell r="H372" t="str">
            <v>Junior HRBP Specialist 初级HRBP专员</v>
          </cell>
          <cell r="I372" t="str">
            <v>TY_休息日</v>
          </cell>
        </row>
        <row r="372">
          <cell r="L372" t="str">
            <v>正确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str">
            <v>袁博闻(Bowen Yuan)</v>
          </cell>
        </row>
        <row r="373">
          <cell r="G373" t="str">
            <v>WE 美西大区CNO.H调度组</v>
          </cell>
          <cell r="H373" t="str">
            <v>Dispatcher 调度员</v>
          </cell>
          <cell r="I373" t="str">
            <v>TY_休息日</v>
          </cell>
        </row>
        <row r="373">
          <cell r="L373" t="str">
            <v>正确</v>
          </cell>
          <cell r="M373">
            <v>0</v>
          </cell>
          <cell r="N373">
            <v>0</v>
          </cell>
          <cell r="O373">
            <v>0</v>
          </cell>
          <cell r="P373">
            <v>52.62</v>
          </cell>
          <cell r="Q373">
            <v>12.62</v>
          </cell>
          <cell r="R373" t="str">
            <v>王骞Ariel（Qian Wang）,叶秀芳Freya (Xiufang Ye)</v>
          </cell>
          <cell r="S373" t="str">
            <v>常哲</v>
          </cell>
          <cell r="T373" t="str">
            <v>Minqing (Minqing Xu),罗煜雄 Mike (Yuxiong Luo)</v>
          </cell>
        </row>
        <row r="374">
          <cell r="G374" t="str">
            <v>MS 中南大区ATL.H调度组</v>
          </cell>
          <cell r="H374" t="str">
            <v>Dispatcher 调度员</v>
          </cell>
          <cell r="I374" t="str">
            <v>TY_18:00</v>
          </cell>
          <cell r="J374" t="str">
            <v>17:51</v>
          </cell>
          <cell r="K374" t="str">
            <v>02:41</v>
          </cell>
          <cell r="L374" t="str">
            <v>正确</v>
          </cell>
          <cell r="M374">
            <v>0</v>
          </cell>
          <cell r="N374">
            <v>8.33</v>
          </cell>
          <cell r="O374">
            <v>0.33</v>
          </cell>
          <cell r="P374">
            <v>0</v>
          </cell>
          <cell r="Q374">
            <v>0</v>
          </cell>
          <cell r="R374" t="str">
            <v>欧阳迎春Flower（Yingchun Ouyang）</v>
          </cell>
          <cell r="S374" t="str">
            <v>杨云飞</v>
          </cell>
          <cell r="T374" t="str">
            <v>Minqing (Minqing Xu),罗煜雄 Mike (Yuxiong Luo),明杰麟Jennie (Jielin Ming)</v>
          </cell>
          <cell r="U374" t="str">
            <v>文艳平</v>
          </cell>
        </row>
        <row r="375">
          <cell r="G375" t="str">
            <v>FL 佛州大区MCO01</v>
          </cell>
          <cell r="H375" t="str">
            <v>Station Operations Specialist 站点运营专员</v>
          </cell>
          <cell r="I375" t="str">
            <v>TY_06:00</v>
          </cell>
          <cell r="J375" t="str">
            <v>06:06</v>
          </cell>
          <cell r="K375" t="str">
            <v>16:31</v>
          </cell>
          <cell r="L375" t="str">
            <v>正确</v>
          </cell>
          <cell r="M375">
            <v>0</v>
          </cell>
          <cell r="N375">
            <v>9.92</v>
          </cell>
          <cell r="O375">
            <v>1.92</v>
          </cell>
          <cell r="P375">
            <v>0</v>
          </cell>
          <cell r="Q375">
            <v>0</v>
          </cell>
          <cell r="R375" t="str">
            <v>Natalia (Natalia Padilla),孙婕 Jasmine（Sunjie）</v>
          </cell>
          <cell r="S375" t="str">
            <v>贺子强Jeff (Ziqiang He)</v>
          </cell>
        </row>
        <row r="376">
          <cell r="G376" t="str">
            <v>NE 东北大区EWR.H调度组</v>
          </cell>
          <cell r="H376" t="str">
            <v>Dispatcher 调度员</v>
          </cell>
          <cell r="I376" t="str">
            <v>TY_休息日</v>
          </cell>
          <cell r="J376" t="str">
            <v>13:59</v>
          </cell>
        </row>
        <row r="376">
          <cell r="L376" t="str">
            <v>不正确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str">
            <v>孙可君Monica（Kejun Sun）</v>
          </cell>
          <cell r="S376" t="str">
            <v>马聪Cong (Cong Ma)</v>
          </cell>
          <cell r="T376" t="str">
            <v>Minqing (Minqing Xu),罗煜雄 Mike (Yuxiong Luo)</v>
          </cell>
        </row>
        <row r="377">
          <cell r="G377" t="str">
            <v>MS 中南大区RE 北卡和东南海岸片区RDU01</v>
          </cell>
          <cell r="H377" t="str">
            <v>Station Head （Probation）站长（见习）</v>
          </cell>
          <cell r="I377" t="str">
            <v>TY_05:00</v>
          </cell>
          <cell r="J377" t="str">
            <v>05:03</v>
          </cell>
        </row>
        <row r="377">
          <cell r="L377" t="str">
            <v>正确</v>
          </cell>
          <cell r="M377">
            <v>3</v>
          </cell>
          <cell r="N377">
            <v>3</v>
          </cell>
          <cell r="O377">
            <v>0</v>
          </cell>
          <cell r="P377">
            <v>0</v>
          </cell>
          <cell r="Q377">
            <v>0</v>
          </cell>
          <cell r="R377" t="str">
            <v>欧阳迎春Flower（Yingchun Ouyang）</v>
          </cell>
          <cell r="S377" t="str">
            <v>杨云飞</v>
          </cell>
          <cell r="T377" t="str">
            <v>张森 (Sen Zhang)</v>
          </cell>
        </row>
        <row r="378">
          <cell r="G378" t="str">
            <v>FL 佛州大区MIA.H综办组</v>
          </cell>
          <cell r="H378" t="str">
            <v>Warehouse Clerk 仓库文员</v>
          </cell>
          <cell r="I378" t="str">
            <v>TY_15:00</v>
          </cell>
          <cell r="J378" t="str">
            <v>14:40</v>
          </cell>
          <cell r="K378" t="str">
            <v>02:40</v>
          </cell>
          <cell r="L378" t="str">
            <v>正确</v>
          </cell>
          <cell r="M378">
            <v>0</v>
          </cell>
          <cell r="N378">
            <v>11.5</v>
          </cell>
          <cell r="O378">
            <v>3.5</v>
          </cell>
          <cell r="P378">
            <v>0</v>
          </cell>
          <cell r="Q378">
            <v>0</v>
          </cell>
          <cell r="R378" t="str">
            <v>Natalia (Natalia Padilla),孙婕 Jasmine（Sunjie）</v>
          </cell>
          <cell r="S378" t="str">
            <v>贺子强Jeff (Ziqiang He)</v>
          </cell>
          <cell r="T378" t="str">
            <v>Minqing (Minqing Xu),罗煜雄 Mike (Yuxiong Luo)</v>
          </cell>
        </row>
        <row r="379">
          <cell r="G379" t="str">
            <v>US人力资源部美洲HRBP组佛州区HR组</v>
          </cell>
          <cell r="H379" t="str">
            <v>Junior Recruitment Specialist 初级招聘专员</v>
          </cell>
          <cell r="I379" t="str">
            <v>TY_休息日</v>
          </cell>
        </row>
        <row r="379">
          <cell r="L379" t="str">
            <v>正确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str">
            <v>袁博闻(Bowen Yuan)</v>
          </cell>
        </row>
        <row r="380">
          <cell r="G380" t="str">
            <v>FL 佛州大区NF 北佛片区JAX01</v>
          </cell>
          <cell r="H380" t="str">
            <v>Station Operations Specialist 站点运营专员</v>
          </cell>
          <cell r="I380" t="str">
            <v>TY_05:00</v>
          </cell>
          <cell r="J380" t="str">
            <v>05:06</v>
          </cell>
          <cell r="K380" t="str">
            <v>13:18</v>
          </cell>
          <cell r="L380" t="str">
            <v>正确</v>
          </cell>
          <cell r="M380">
            <v>0</v>
          </cell>
          <cell r="N380">
            <v>7.7</v>
          </cell>
          <cell r="O380">
            <v>0</v>
          </cell>
          <cell r="P380">
            <v>0</v>
          </cell>
          <cell r="Q380">
            <v>0</v>
          </cell>
          <cell r="R380" t="str">
            <v>Natalia (Natalia Padilla),孙婕 Jasmine（Sunjie）</v>
          </cell>
          <cell r="S380" t="str">
            <v>贺子强Jeff (Ziqiang He)</v>
          </cell>
          <cell r="T380" t="str">
            <v>黄燕娜 Nana (Yanna Huang)</v>
          </cell>
        </row>
        <row r="381">
          <cell r="G381" t="str">
            <v>Ground项目部OG 美西区运营支持组</v>
          </cell>
          <cell r="H381" t="str">
            <v>Operations Support Specialist 运营支持专员</v>
          </cell>
          <cell r="I381" t="str">
            <v>TY_休息日</v>
          </cell>
        </row>
        <row r="381">
          <cell r="L381" t="str">
            <v>正确</v>
          </cell>
          <cell r="M381">
            <v>0</v>
          </cell>
          <cell r="N381">
            <v>0</v>
          </cell>
          <cell r="O381">
            <v>0</v>
          </cell>
          <cell r="P381">
            <v>24.97</v>
          </cell>
          <cell r="Q381">
            <v>0</v>
          </cell>
          <cell r="R381" t="str">
            <v>王安琪 (Anqi Wang),张朱同 Thomson（Zhutong Zhang）</v>
          </cell>
          <cell r="S381" t="str">
            <v>陈锦昭</v>
          </cell>
        </row>
        <row r="382">
          <cell r="G382" t="str">
            <v>GL 大湖大区ORD.H操作组</v>
          </cell>
          <cell r="H382" t="str">
            <v>Warehouse Operator 操作员</v>
          </cell>
          <cell r="I382" t="str">
            <v>TY_14:00</v>
          </cell>
          <cell r="J382" t="str">
            <v>12:08</v>
          </cell>
          <cell r="K382" t="str">
            <v>22:32</v>
          </cell>
          <cell r="L382" t="str">
            <v>不正确</v>
          </cell>
          <cell r="M382">
            <v>0</v>
          </cell>
          <cell r="N382">
            <v>9.9</v>
          </cell>
          <cell r="O382">
            <v>1.9</v>
          </cell>
          <cell r="P382">
            <v>0</v>
          </cell>
          <cell r="Q382">
            <v>0</v>
          </cell>
          <cell r="R382" t="str">
            <v>王晓丹 Jasmine（Xiaodan Wang）,周延舒Isabel（Yanshu Zhou）</v>
          </cell>
          <cell r="S382" t="str">
            <v>张骥Ji Zhang (Ji Zhang)</v>
          </cell>
          <cell r="T382" t="str">
            <v>Minqing (Minqing Xu),罗煜雄 Mike (Yuxiong Luo)</v>
          </cell>
        </row>
        <row r="383">
          <cell r="G383" t="str">
            <v>AD 行政部美西组</v>
          </cell>
          <cell r="H383" t="str">
            <v>Admin Assistant 行政助理</v>
          </cell>
          <cell r="I383" t="str">
            <v>TY_休息日</v>
          </cell>
        </row>
        <row r="383">
          <cell r="L383" t="str">
            <v>正确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str">
            <v>袁博闻(Bowen Yuan)</v>
          </cell>
        </row>
        <row r="384">
          <cell r="G384" t="str">
            <v>Ground项目部OG 美南区AT303</v>
          </cell>
          <cell r="H384" t="str">
            <v>Station Head 站长</v>
          </cell>
          <cell r="I384" t="str">
            <v>TY_08:00</v>
          </cell>
          <cell r="J384" t="str">
            <v>09:54</v>
          </cell>
        </row>
        <row r="384">
          <cell r="L384" t="str">
            <v>不正确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str">
            <v>王安琪 (Anqi Wang),张朱同 Thomson（Zhutong Zhang）</v>
          </cell>
          <cell r="S384" t="str">
            <v>陈锦昭</v>
          </cell>
          <cell r="T384" t="str">
            <v>金筱燕Sharon（Xiaoyan Jin）</v>
          </cell>
        </row>
        <row r="385">
          <cell r="G385" t="str">
            <v>NE 东北大区BUF01</v>
          </cell>
          <cell r="H385" t="str">
            <v>Station Operations Specialist 站点运营专员</v>
          </cell>
          <cell r="I385" t="str">
            <v>TY_休息日</v>
          </cell>
        </row>
        <row r="385">
          <cell r="L385" t="str">
            <v>正确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str">
            <v>孙可君Monica（Kejun Sun）</v>
          </cell>
          <cell r="S385" t="str">
            <v>马聪Cong (Cong Ma)</v>
          </cell>
        </row>
        <row r="386">
          <cell r="G386" t="str">
            <v>WE 美西大区CNO.H综办组</v>
          </cell>
          <cell r="H386" t="str">
            <v>Warehouse Clerk 仓库文员</v>
          </cell>
          <cell r="I386" t="str">
            <v>TY_休息日</v>
          </cell>
        </row>
        <row r="386">
          <cell r="L386" t="str">
            <v>正确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str">
            <v>王骞Ariel（Qian Wang）,叶秀芳Freya (Xiufang Ye)</v>
          </cell>
          <cell r="S386" t="str">
            <v>常哲</v>
          </cell>
          <cell r="T386" t="str">
            <v>Minqing (Minqing Xu),罗煜雄 Mike (Yuxiong Luo)</v>
          </cell>
        </row>
        <row r="387">
          <cell r="G387" t="str">
            <v>Ground项目部OG 美西区LA917</v>
          </cell>
          <cell r="H387" t="str">
            <v>Delivery Driver 司机</v>
          </cell>
          <cell r="I387" t="str">
            <v>TY_休息日</v>
          </cell>
        </row>
        <row r="387">
          <cell r="L387" t="str">
            <v>正确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str">
            <v>王安琪 (Anqi Wang),张朱同 Thomson（Zhutong Zhang）</v>
          </cell>
          <cell r="S387" t="str">
            <v>陈锦昭</v>
          </cell>
          <cell r="T387" t="str">
            <v>宋佳牧 Dorian (Jiamu Song)</v>
          </cell>
        </row>
        <row r="388">
          <cell r="G388" t="str">
            <v>WE 美西大区CNO.H</v>
          </cell>
          <cell r="H388" t="str">
            <v>Hub Head（Probation） 仓长（见习）</v>
          </cell>
          <cell r="I388" t="str">
            <v>TY_休息日</v>
          </cell>
        </row>
        <row r="388">
          <cell r="L388" t="str">
            <v>正确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str">
            <v>王骞Ariel（Qian Wang）,叶秀芳Freya (Xiufang Ye)</v>
          </cell>
          <cell r="S388" t="str">
            <v>常哲</v>
          </cell>
        </row>
        <row r="389">
          <cell r="G389" t="str">
            <v>WE 美西大区车辆管理部</v>
          </cell>
          <cell r="H389" t="str">
            <v>Vehicle Management Specialist 车辆管理专员</v>
          </cell>
          <cell r="I389" t="str">
            <v>TY_休息日</v>
          </cell>
        </row>
        <row r="389">
          <cell r="L389" t="str">
            <v>正确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str">
            <v>王骞Ariel（Qian Wang）,叶秀芳Freya (Xiufang Ye)</v>
          </cell>
          <cell r="S389" t="str">
            <v>常哲</v>
          </cell>
        </row>
        <row r="390">
          <cell r="G390" t="str">
            <v>WE 美西大区LAV.H操作组</v>
          </cell>
          <cell r="H390" t="str">
            <v>Warehouse Lead 操作组长</v>
          </cell>
          <cell r="I390" t="str">
            <v>TY_美国节假日（9点-18点）</v>
          </cell>
        </row>
        <row r="390">
          <cell r="L390" t="str">
            <v>正确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str">
            <v>王骞Ariel（Qian Wang）,叶秀芳Freya (Xiufang Ye)</v>
          </cell>
          <cell r="S390" t="str">
            <v>常哲</v>
          </cell>
          <cell r="T390" t="str">
            <v>Minqing (Minqing Xu),罗煜雄 Mike (Yuxiong Luo)</v>
          </cell>
        </row>
        <row r="391">
          <cell r="G391" t="str">
            <v>MS 中南大区ATL.H综办组</v>
          </cell>
          <cell r="H391" t="str">
            <v>Warehouse Clerk 仓库文员</v>
          </cell>
          <cell r="I391" t="str">
            <v>TY_休息日</v>
          </cell>
        </row>
        <row r="391">
          <cell r="L391" t="str">
            <v>正确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str">
            <v>欧阳迎春Flower（Yingchun Ouyang）</v>
          </cell>
          <cell r="S391" t="str">
            <v>杨云飞</v>
          </cell>
          <cell r="T391" t="str">
            <v>Minqing (Minqing Xu),罗煜雄 Mike (Yuxiong Luo),明杰麟Jennie (Jielin Ming)</v>
          </cell>
          <cell r="U391" t="str">
            <v>文艳平</v>
          </cell>
        </row>
        <row r="392">
          <cell r="G392" t="str">
            <v>GL 大湖大区ORD.H异常处理组</v>
          </cell>
          <cell r="H392" t="str">
            <v>Returns Specialist 退件员</v>
          </cell>
          <cell r="I392" t="str">
            <v>TY_09:00</v>
          </cell>
          <cell r="J392" t="str">
            <v>08:41</v>
          </cell>
          <cell r="K392" t="str">
            <v>14:31</v>
          </cell>
          <cell r="L392" t="str">
            <v>正确</v>
          </cell>
          <cell r="M392">
            <v>0</v>
          </cell>
          <cell r="N392">
            <v>5.33</v>
          </cell>
          <cell r="O392">
            <v>0</v>
          </cell>
          <cell r="P392">
            <v>0</v>
          </cell>
          <cell r="Q392">
            <v>0</v>
          </cell>
          <cell r="R392" t="str">
            <v>王晓丹 Jasmine（Xiaodan Wang）,周延舒Isabel（Yanshu Zhou）</v>
          </cell>
          <cell r="S392" t="str">
            <v>张骥Ji Zhang (Ji Zhang)</v>
          </cell>
          <cell r="T392" t="str">
            <v>Minqing (Minqing Xu),罗煜雄 Mike (Yuxiong Luo)</v>
          </cell>
        </row>
        <row r="393">
          <cell r="G393" t="str">
            <v>OM 操作管理部实施运营组</v>
          </cell>
          <cell r="H393" t="str">
            <v>Implementation Operations Manager 实施运营经理</v>
          </cell>
          <cell r="I393" t="str">
            <v>TY_休息日</v>
          </cell>
        </row>
        <row r="393">
          <cell r="L393" t="str">
            <v>正确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str">
            <v>袁博闻(Bowen Yuan)</v>
          </cell>
        </row>
        <row r="394">
          <cell r="G394" t="str">
            <v>TX 德州大区GC 墨湾片区JAN01</v>
          </cell>
          <cell r="H394" t="str">
            <v>Station Operations Specialist 站点运营专员</v>
          </cell>
          <cell r="I394" t="str">
            <v>TY_休息日</v>
          </cell>
        </row>
        <row r="394">
          <cell r="L394" t="str">
            <v>正确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str">
            <v>肖芦莉Lily (Luli Xiao)</v>
          </cell>
          <cell r="S394" t="str">
            <v>张骥Ji Zhang (Ji Zhang)</v>
          </cell>
          <cell r="T394" t="str">
            <v>金磊Brian（LEI JIN）</v>
          </cell>
        </row>
        <row r="395">
          <cell r="G395" t="str">
            <v>WE 美西大区SC 南加片区HNL01</v>
          </cell>
          <cell r="H395" t="str">
            <v>Station Operations Specialist 站点运营专员</v>
          </cell>
          <cell r="I395" t="str">
            <v>TY_休息日</v>
          </cell>
        </row>
        <row r="395">
          <cell r="L395" t="str">
            <v>正确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str">
            <v>王骞Ariel（Qian Wang）,叶秀芳Freya (Xiufang Ye)</v>
          </cell>
          <cell r="S395" t="str">
            <v>常哲</v>
          </cell>
          <cell r="T395" t="str">
            <v>尤梦楠Yuko（Mengnan You）</v>
          </cell>
        </row>
        <row r="396">
          <cell r="G396" t="str">
            <v>MS 中南大区CS 夏洛特及周边片区CLT02</v>
          </cell>
          <cell r="H396" t="str">
            <v>Station Operations Specialist 站点运营专员</v>
          </cell>
          <cell r="I396" t="str">
            <v>TY_05:30</v>
          </cell>
        </row>
        <row r="396">
          <cell r="L396" t="str">
            <v>/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str">
            <v>欧阳迎春Flower（Yingchun Ouyang）</v>
          </cell>
          <cell r="S396" t="str">
            <v>杨云飞</v>
          </cell>
          <cell r="T396" t="str">
            <v>郭丞芸Lexie(Chengyun Kuo)</v>
          </cell>
        </row>
        <row r="397">
          <cell r="G397" t="str">
            <v>WE 美西大区SP 西雅图·波特兰片区SEA.H</v>
          </cell>
          <cell r="H397" t="str">
            <v>Warehouse Clerk 仓库文员</v>
          </cell>
          <cell r="I397" t="str">
            <v>TY_休息日</v>
          </cell>
        </row>
        <row r="397">
          <cell r="L397" t="str">
            <v>正确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str">
            <v>王骞Ariel（Qian Wang）,叶秀芳Freya (Xiufang Ye)</v>
          </cell>
          <cell r="S397" t="str">
            <v>常哲</v>
          </cell>
          <cell r="T397" t="str">
            <v>尤梦楠Yuko（Mengnan You）</v>
          </cell>
        </row>
        <row r="398">
          <cell r="G398" t="str">
            <v>FL 佛州大区MCO.H调度组</v>
          </cell>
          <cell r="H398" t="str">
            <v>Dispatcher 调度员</v>
          </cell>
          <cell r="I398" t="str">
            <v>TY_13:00</v>
          </cell>
          <cell r="J398" t="str">
            <v>12:26</v>
          </cell>
          <cell r="K398" t="str">
            <v>00:01</v>
          </cell>
          <cell r="L398" t="str">
            <v>正确</v>
          </cell>
          <cell r="M398">
            <v>0</v>
          </cell>
          <cell r="N398">
            <v>11.08</v>
          </cell>
          <cell r="O398">
            <v>3.08</v>
          </cell>
          <cell r="P398">
            <v>0</v>
          </cell>
          <cell r="Q398">
            <v>0</v>
          </cell>
          <cell r="R398" t="str">
            <v>Natalia (Natalia Padilla),孙婕 Jasmine（Sunjie）</v>
          </cell>
          <cell r="S398" t="str">
            <v>贺子强Jeff (Ziqiang He)</v>
          </cell>
          <cell r="T398" t="str">
            <v>Minqing (Minqing Xu),罗煜雄 Mike (Yuxiong Luo)</v>
          </cell>
        </row>
        <row r="399">
          <cell r="G399" t="str">
            <v>BM 品牌市场部</v>
          </cell>
          <cell r="H399" t="str">
            <v>Brand Marketing Manager 品牌市场部经理</v>
          </cell>
          <cell r="I399" t="str">
            <v>TY_休息日</v>
          </cell>
        </row>
        <row r="399">
          <cell r="L399" t="str">
            <v>正确</v>
          </cell>
          <cell r="M399">
            <v>0</v>
          </cell>
          <cell r="N399">
            <v>0</v>
          </cell>
          <cell r="O399">
            <v>0</v>
          </cell>
          <cell r="P399">
            <v>48</v>
          </cell>
          <cell r="Q399">
            <v>8</v>
          </cell>
          <cell r="R399" t="str">
            <v>袁博闻(Bowen Yuan)</v>
          </cell>
        </row>
        <row r="400">
          <cell r="G400" t="str">
            <v>Ground项目部OG 美东区运营支持组</v>
          </cell>
          <cell r="H400" t="str">
            <v>Operations Support Specialist 运营支持专员</v>
          </cell>
          <cell r="I400" t="str">
            <v>TY_08:00</v>
          </cell>
        </row>
        <row r="400">
          <cell r="L400" t="str">
            <v>/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str">
            <v>王安琪 (Anqi Wang),张朱同 Thomson（Zhutong Zhang）</v>
          </cell>
          <cell r="S400" t="str">
            <v>陈锦昭</v>
          </cell>
        </row>
        <row r="401">
          <cell r="G401" t="str">
            <v>OM 操作管理部实施运营组</v>
          </cell>
          <cell r="H401" t="str">
            <v>Implementation Operations Supervisor 实施运营主管</v>
          </cell>
          <cell r="I401" t="str">
            <v>TY_休息日</v>
          </cell>
        </row>
        <row r="401">
          <cell r="L401" t="str">
            <v>正确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str">
            <v>袁博闻(Bowen Yuan)</v>
          </cell>
        </row>
        <row r="402">
          <cell r="G402" t="str">
            <v>NE 东北大区车辆管理部</v>
          </cell>
          <cell r="H402" t="str">
            <v>Fleet Support Specialist 车队支持专员</v>
          </cell>
          <cell r="I402" t="str">
            <v>TY_休息日</v>
          </cell>
        </row>
        <row r="402">
          <cell r="L402" t="str">
            <v>正确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str">
            <v>孙可君Monica（Kejun Sun）</v>
          </cell>
          <cell r="S402" t="str">
            <v>马聪Cong (Cong Ma)</v>
          </cell>
        </row>
        <row r="403">
          <cell r="G403" t="str">
            <v>NE 东北大区车辆管理部</v>
          </cell>
          <cell r="H403" t="str">
            <v>Fleet Support Specialist 车队支持专员</v>
          </cell>
          <cell r="I403" t="str">
            <v>TY_09:00</v>
          </cell>
          <cell r="J403" t="str">
            <v>09:31</v>
          </cell>
          <cell r="K403" t="str">
            <v>18:59</v>
          </cell>
          <cell r="L403" t="str">
            <v>正确</v>
          </cell>
          <cell r="M403">
            <v>0</v>
          </cell>
          <cell r="N403">
            <v>8.97</v>
          </cell>
          <cell r="O403">
            <v>0.97</v>
          </cell>
          <cell r="P403">
            <v>0</v>
          </cell>
          <cell r="Q403">
            <v>0</v>
          </cell>
          <cell r="R403" t="str">
            <v>孙可君Monica（Kejun Sun）</v>
          </cell>
          <cell r="S403" t="str">
            <v>马聪Cong (Cong Ma)</v>
          </cell>
        </row>
        <row r="404">
          <cell r="G404" t="str">
            <v>WE 美西大区LAV.H调度组</v>
          </cell>
          <cell r="H404" t="str">
            <v>Dispatcher 调度员</v>
          </cell>
          <cell r="I404" t="str">
            <v>TY_08:00</v>
          </cell>
          <cell r="J404" t="str">
            <v>07:59</v>
          </cell>
          <cell r="K404" t="str">
            <v>17:00</v>
          </cell>
          <cell r="L404" t="str">
            <v>正确</v>
          </cell>
          <cell r="M404">
            <v>0</v>
          </cell>
          <cell r="N404">
            <v>8.52</v>
          </cell>
          <cell r="O404">
            <v>0.52</v>
          </cell>
          <cell r="P404">
            <v>0</v>
          </cell>
          <cell r="Q404">
            <v>0</v>
          </cell>
          <cell r="R404" t="str">
            <v>王骞Ariel（Qian Wang）,叶秀芳Freya (Xiufang Ye)</v>
          </cell>
          <cell r="S404" t="str">
            <v>常哲</v>
          </cell>
          <cell r="T404" t="str">
            <v>Minqing (Minqing Xu),罗煜雄 Mike (Yuxiong Luo)</v>
          </cell>
        </row>
        <row r="405">
          <cell r="G405" t="str">
            <v>US人力资源部美洲HRBP组招聘组</v>
          </cell>
          <cell r="H405" t="str">
            <v>Recruitment Assistant 招聘助理</v>
          </cell>
          <cell r="I405" t="str">
            <v>TY_休息日</v>
          </cell>
        </row>
        <row r="405">
          <cell r="L405" t="str">
            <v>正确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str">
            <v>袁博闻(Bowen Yuan)</v>
          </cell>
        </row>
        <row r="406">
          <cell r="G406" t="str">
            <v>TX 德州大区</v>
          </cell>
          <cell r="H406" t="str">
            <v>Regional Head 区长</v>
          </cell>
          <cell r="I406" t="str">
            <v>TY_11:00</v>
          </cell>
        </row>
        <row r="406">
          <cell r="L406" t="str">
            <v>/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str">
            <v>肖芦莉Lily (Luli Xiao)</v>
          </cell>
          <cell r="S406" t="str">
            <v>张骥Ji Zhang (Ji Zhang)</v>
          </cell>
        </row>
        <row r="407">
          <cell r="G407" t="str">
            <v>FL 佛州大区SF 南佛片区MIA01</v>
          </cell>
          <cell r="H407" t="str">
            <v>Station Operations Specialist 站点运营专员</v>
          </cell>
          <cell r="I407" t="str">
            <v>TY_06:30</v>
          </cell>
        </row>
        <row r="407">
          <cell r="L407" t="str">
            <v>/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str">
            <v>Natalia (Natalia Padilla),孙婕 Jasmine（Sunjie）</v>
          </cell>
          <cell r="S407" t="str">
            <v>贺子强Jeff (Ziqiang He)</v>
          </cell>
          <cell r="T407" t="str">
            <v>王航 Hang (Hang Wang)</v>
          </cell>
        </row>
        <row r="408">
          <cell r="G408" t="str">
            <v>GL 大湖大区CLE01</v>
          </cell>
          <cell r="H408" t="str">
            <v>Station Operations Specialist 站点运营专员</v>
          </cell>
          <cell r="I408" t="str">
            <v>TY_06:30</v>
          </cell>
          <cell r="J408" t="str">
            <v>06:16</v>
          </cell>
          <cell r="K408" t="str">
            <v>14:29</v>
          </cell>
          <cell r="L408" t="str">
            <v>正确</v>
          </cell>
          <cell r="M408">
            <v>1</v>
          </cell>
          <cell r="N408">
            <v>8.72</v>
          </cell>
          <cell r="O408">
            <v>0</v>
          </cell>
          <cell r="P408">
            <v>0</v>
          </cell>
          <cell r="Q408">
            <v>0</v>
          </cell>
          <cell r="R408" t="str">
            <v>王晓丹 Jasmine（Xiaodan Wang）,周延舒Isabel（Yanshu Zhou）</v>
          </cell>
          <cell r="S408" t="str">
            <v>张骥Ji Zhang (Ji Zhang)</v>
          </cell>
        </row>
        <row r="409">
          <cell r="G409" t="str">
            <v>TX 德州大区DFW.H异常处理组</v>
          </cell>
          <cell r="H409" t="str">
            <v>Returns Specialist 退件员</v>
          </cell>
          <cell r="I409" t="str">
            <v>TY_休息日</v>
          </cell>
        </row>
        <row r="409">
          <cell r="L409" t="str">
            <v>正确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str">
            <v>肖芦莉Lily (Luli Xiao)</v>
          </cell>
          <cell r="S409" t="str">
            <v>张骥Ji Zhang (Ji Zhang)</v>
          </cell>
          <cell r="T409" t="str">
            <v>Minqing (Minqing Xu),罗煜雄 Mike (Yuxiong Luo)</v>
          </cell>
        </row>
        <row r="410">
          <cell r="G410" t="str">
            <v>TX 德州大区IAH.H操作组</v>
          </cell>
          <cell r="H410" t="str">
            <v>Warehouse Lead 操作组长</v>
          </cell>
          <cell r="I410" t="str">
            <v>TY_休息日</v>
          </cell>
        </row>
        <row r="410">
          <cell r="L410" t="str">
            <v>正确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str">
            <v>肖芦莉Lily (Luli Xiao)</v>
          </cell>
          <cell r="S410" t="str">
            <v>张骥Ji Zhang (Ji Zhang)</v>
          </cell>
          <cell r="T410" t="str">
            <v>Minqing (Minqing Xu),罗煜雄 Mike (Yuxiong Luo)</v>
          </cell>
        </row>
        <row r="411">
          <cell r="G411" t="str">
            <v>TX 德州大区GC 墨湾片区IAH01</v>
          </cell>
          <cell r="H411" t="str">
            <v>Station Operations Specialist 站点运营专员</v>
          </cell>
          <cell r="I411" t="str">
            <v>TY_05:30</v>
          </cell>
          <cell r="J411" t="str">
            <v>05:36</v>
          </cell>
          <cell r="K411" t="str">
            <v>14:20</v>
          </cell>
          <cell r="L411" t="str">
            <v>正确</v>
          </cell>
          <cell r="M411">
            <v>0</v>
          </cell>
          <cell r="N411">
            <v>8.23</v>
          </cell>
          <cell r="O411">
            <v>0.23</v>
          </cell>
          <cell r="P411">
            <v>0</v>
          </cell>
          <cell r="Q411">
            <v>0</v>
          </cell>
          <cell r="R411" t="str">
            <v>肖芦莉Lily (Luli Xiao)</v>
          </cell>
          <cell r="S411" t="str">
            <v>张骥Ji Zhang (Ji Zhang)</v>
          </cell>
          <cell r="T411" t="str">
            <v>金磊Brian（LEI JIN）</v>
          </cell>
        </row>
        <row r="412">
          <cell r="G412" t="str">
            <v>GL 大湖大区ORD.H异常处理组</v>
          </cell>
          <cell r="H412" t="str">
            <v>Returns Lead 退件组长</v>
          </cell>
          <cell r="I412" t="str">
            <v>TY_休息日</v>
          </cell>
        </row>
        <row r="412">
          <cell r="L412" t="str">
            <v>正确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str">
            <v>王晓丹 Jasmine（Xiaodan Wang）,周延舒Isabel（Yanshu Zhou）</v>
          </cell>
          <cell r="S412" t="str">
            <v>张骥Ji Zhang (Ji Zhang)</v>
          </cell>
          <cell r="T412" t="str">
            <v>Minqing (Minqing Xu),罗煜雄 Mike (Yuxiong Luo)</v>
          </cell>
        </row>
        <row r="413">
          <cell r="G413" t="str">
            <v>MS 中南大区ATL.H</v>
          </cell>
          <cell r="H413" t="str">
            <v>Deputy Hub Head 副仓长</v>
          </cell>
          <cell r="I413" t="str">
            <v>TY_16:00</v>
          </cell>
          <cell r="J413" t="str">
            <v>17:51</v>
          </cell>
          <cell r="K413" t="str">
            <v>01:41</v>
          </cell>
          <cell r="L413" t="str">
            <v>不正确</v>
          </cell>
          <cell r="M413">
            <v>0</v>
          </cell>
          <cell r="N413">
            <v>7.33</v>
          </cell>
          <cell r="O413">
            <v>0</v>
          </cell>
          <cell r="P413">
            <v>0</v>
          </cell>
          <cell r="Q413">
            <v>0</v>
          </cell>
          <cell r="R413" t="str">
            <v>欧阳迎春Flower（Yingchun Ouyang）</v>
          </cell>
          <cell r="S413" t="str">
            <v>杨云飞</v>
          </cell>
          <cell r="T413" t="str">
            <v>明杰麟Jennie (Jielin Ming)</v>
          </cell>
          <cell r="U413" t="str">
            <v>文艳平</v>
          </cell>
        </row>
        <row r="414">
          <cell r="G414" t="str">
            <v>FL 佛州大区MCO.H调度组</v>
          </cell>
          <cell r="H414" t="str">
            <v>Dispatcher 调度员</v>
          </cell>
          <cell r="I414" t="str">
            <v>TY_04:00</v>
          </cell>
          <cell r="J414" t="str">
            <v>04:14</v>
          </cell>
        </row>
        <row r="414">
          <cell r="L414" t="str">
            <v>正确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str">
            <v>Natalia (Natalia Padilla),孙婕 Jasmine（Sunjie）</v>
          </cell>
          <cell r="S414" t="str">
            <v>贺子强Jeff (Ziqiang He)</v>
          </cell>
          <cell r="T414" t="str">
            <v>Minqing (Minqing Xu),罗煜雄 Mike (Yuxiong Luo)</v>
          </cell>
        </row>
        <row r="415">
          <cell r="G415" t="str">
            <v>NE 东北大区运营支持部区域支持组</v>
          </cell>
          <cell r="H415" t="str">
            <v>Senior Regional Support Specialist 高级区域支持专员</v>
          </cell>
          <cell r="I415" t="str">
            <v>TY_休息日</v>
          </cell>
        </row>
        <row r="415">
          <cell r="L415" t="str">
            <v>正确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str">
            <v>孙可君Monica（Kejun Sun）</v>
          </cell>
          <cell r="S415" t="str">
            <v>马聪Cong (Cong Ma)</v>
          </cell>
        </row>
        <row r="416">
          <cell r="G416" t="str">
            <v>MS 中南大区RE 北卡和东南海岸片区RDU01</v>
          </cell>
          <cell r="H416" t="str">
            <v>Station Operations Specialist 站点运营专员</v>
          </cell>
          <cell r="I416" t="str">
            <v>TY_05:00</v>
          </cell>
          <cell r="J416" t="str">
            <v>05:01</v>
          </cell>
          <cell r="K416" t="str">
            <v>14:58</v>
          </cell>
          <cell r="L416" t="str">
            <v>正确</v>
          </cell>
          <cell r="M416">
            <v>0</v>
          </cell>
          <cell r="N416">
            <v>9.45</v>
          </cell>
          <cell r="O416">
            <v>1.45</v>
          </cell>
          <cell r="P416">
            <v>0</v>
          </cell>
          <cell r="Q416">
            <v>0</v>
          </cell>
          <cell r="R416" t="str">
            <v>欧阳迎春Flower（Yingchun Ouyang）</v>
          </cell>
          <cell r="S416" t="str">
            <v>杨云飞</v>
          </cell>
          <cell r="T416" t="str">
            <v>张森 (Sen Zhang)</v>
          </cell>
        </row>
        <row r="417">
          <cell r="G417" t="str">
            <v>MS 中南大区ATL.H操作组</v>
          </cell>
          <cell r="H417" t="str">
            <v>Warehouse Operator 操作员</v>
          </cell>
          <cell r="I417" t="str">
            <v>TY_08:30</v>
          </cell>
          <cell r="J417" t="str">
            <v>08:27</v>
          </cell>
          <cell r="K417" t="str">
            <v>18:03</v>
          </cell>
          <cell r="L417" t="str">
            <v>正确</v>
          </cell>
          <cell r="M417">
            <v>0</v>
          </cell>
          <cell r="N417">
            <v>9.1</v>
          </cell>
          <cell r="O417">
            <v>1.1</v>
          </cell>
          <cell r="P417">
            <v>45.17</v>
          </cell>
          <cell r="Q417">
            <v>5.17</v>
          </cell>
          <cell r="R417" t="str">
            <v>欧阳迎春Flower（Yingchun Ouyang）</v>
          </cell>
          <cell r="S417" t="str">
            <v>杨云飞</v>
          </cell>
          <cell r="T417" t="str">
            <v>Minqing (Minqing Xu),罗煜雄 Mike (Yuxiong Luo),明杰麟Jennie (Jielin Ming)</v>
          </cell>
          <cell r="U417" t="str">
            <v>文艳平</v>
          </cell>
        </row>
        <row r="418">
          <cell r="G418" t="str">
            <v>GL 大湖大区WG 西大湖片区ORD01</v>
          </cell>
          <cell r="H418" t="str">
            <v>Station Operations Specialist 站点运营专员</v>
          </cell>
          <cell r="I418" t="str">
            <v>TY_05:00</v>
          </cell>
          <cell r="J418" t="str">
            <v>05:30</v>
          </cell>
          <cell r="K418" t="str">
            <v>16:37</v>
          </cell>
          <cell r="L418" t="str">
            <v>正确</v>
          </cell>
          <cell r="M418">
            <v>0</v>
          </cell>
          <cell r="N418">
            <v>10.62</v>
          </cell>
          <cell r="O418">
            <v>2.62</v>
          </cell>
          <cell r="P418">
            <v>0</v>
          </cell>
          <cell r="Q418">
            <v>0</v>
          </cell>
          <cell r="R418" t="str">
            <v>王晓丹 Jasmine（Xiaodan Wang）,周延舒Isabel（Yanshu Zhou）</v>
          </cell>
          <cell r="S418" t="str">
            <v>张骥Ji Zhang (Ji Zhang)</v>
          </cell>
          <cell r="T418" t="str">
            <v>易至聪Zac (Zhicong Yi),尚青蓓 Suki （Qingbei Shang）</v>
          </cell>
        </row>
        <row r="419">
          <cell r="G419" t="str">
            <v>TX 德州大区揽收部</v>
          </cell>
          <cell r="H419" t="str">
            <v>Pickup Dispatcher 揽收调度员</v>
          </cell>
          <cell r="I419" t="str">
            <v>TY_09:30</v>
          </cell>
          <cell r="J419" t="str">
            <v>09:32</v>
          </cell>
        </row>
        <row r="419">
          <cell r="L419" t="str">
            <v>正确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str">
            <v>肖芦莉Lily (Luli Xiao)</v>
          </cell>
          <cell r="S419" t="str">
            <v>张骥Ji Zhang (Ji Zhang)</v>
          </cell>
        </row>
        <row r="420">
          <cell r="G420" t="str">
            <v>WE 美西大区LA揽收部揽收调度组</v>
          </cell>
          <cell r="H420" t="str">
            <v>Pickup Dispatcher 揽收调度员</v>
          </cell>
          <cell r="I420" t="str">
            <v>TY_休息日</v>
          </cell>
        </row>
        <row r="420">
          <cell r="L420" t="str">
            <v>正确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str">
            <v>王骞Ariel（Qian Wang）,叶秀芳Freya (Xiufang Ye)</v>
          </cell>
          <cell r="S420" t="str">
            <v>常哲</v>
          </cell>
        </row>
        <row r="421">
          <cell r="G421" t="str">
            <v>Ground项目部OG 美东区BO021</v>
          </cell>
          <cell r="H421" t="str">
            <v>Station Operations Specialist 站点运营专员</v>
          </cell>
          <cell r="I421" t="str">
            <v>TY_休息日</v>
          </cell>
        </row>
        <row r="421">
          <cell r="L421" t="str">
            <v>正确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str">
            <v>王安琪 (Anqi Wang),张朱同 Thomson（Zhutong Zhang）</v>
          </cell>
          <cell r="S421" t="str">
            <v>陈锦昭</v>
          </cell>
          <cell r="T421" t="str">
            <v>欧和枫 Henry (HeFeng Ou)</v>
          </cell>
        </row>
        <row r="422">
          <cell r="G422" t="str">
            <v>Ground项目部OG 美西区CNO.G</v>
          </cell>
          <cell r="H422" t="str">
            <v>Warehouse Operator 操作员</v>
          </cell>
          <cell r="I422" t="str">
            <v>TY_09:00</v>
          </cell>
        </row>
        <row r="422">
          <cell r="L422" t="str">
            <v>/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str">
            <v>王安琪 (Anqi Wang),张朱同 Thomson（Zhutong Zhang）</v>
          </cell>
          <cell r="S422" t="str">
            <v>陈锦昭</v>
          </cell>
          <cell r="T422" t="str">
            <v>张弘毅 Hongyi （Hongyi Zhang）</v>
          </cell>
        </row>
        <row r="423">
          <cell r="G423" t="str">
            <v>MS 中南大区CS 夏洛特及周边片区CLT01</v>
          </cell>
          <cell r="H423" t="str">
            <v>Station Operations Specialist 站点运营专员</v>
          </cell>
          <cell r="I423" t="str">
            <v>TY_13:30</v>
          </cell>
          <cell r="J423" t="str">
            <v>13:40</v>
          </cell>
          <cell r="K423" t="str">
            <v>02:24</v>
          </cell>
          <cell r="L423" t="str">
            <v>正确</v>
          </cell>
          <cell r="M423">
            <v>0</v>
          </cell>
          <cell r="N423">
            <v>12.23</v>
          </cell>
          <cell r="O423">
            <v>4.23</v>
          </cell>
          <cell r="P423">
            <v>0</v>
          </cell>
          <cell r="Q423">
            <v>0</v>
          </cell>
          <cell r="R423" t="str">
            <v>欧阳迎春Flower（Yingchun Ouyang）</v>
          </cell>
          <cell r="S423" t="str">
            <v>杨云飞</v>
          </cell>
          <cell r="T423" t="str">
            <v>郭丞芸Lexie(Chengyun Kuo)</v>
          </cell>
        </row>
        <row r="424">
          <cell r="G424" t="str">
            <v>NE 东北大区运营支持部区域支持组</v>
          </cell>
          <cell r="H424" t="str">
            <v>Station Trainee 站点培训生</v>
          </cell>
          <cell r="I424" t="str">
            <v>TY_12:30</v>
          </cell>
        </row>
        <row r="424">
          <cell r="L424" t="str">
            <v>/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str">
            <v>孙可君Monica（Kejun Sun）</v>
          </cell>
          <cell r="S424" t="str">
            <v>马聪Cong (Cong Ma)</v>
          </cell>
        </row>
        <row r="425">
          <cell r="G425" t="str">
            <v>Ground项目部OG 美西区LA917</v>
          </cell>
          <cell r="H425" t="str">
            <v>Station Head 站长</v>
          </cell>
          <cell r="I425" t="str">
            <v>TY_09:00</v>
          </cell>
          <cell r="J425" t="str">
            <v>07:23</v>
          </cell>
          <cell r="K425" t="str">
            <v>15:59</v>
          </cell>
          <cell r="L425" t="str">
            <v>不正确</v>
          </cell>
          <cell r="M425">
            <v>0</v>
          </cell>
          <cell r="N425">
            <v>8.1</v>
          </cell>
          <cell r="O425">
            <v>0.1</v>
          </cell>
          <cell r="P425">
            <v>0</v>
          </cell>
          <cell r="Q425">
            <v>0</v>
          </cell>
          <cell r="R425" t="str">
            <v>王安琪 (Anqi Wang),张朱同 Thomson（Zhutong Zhang）</v>
          </cell>
          <cell r="S425" t="str">
            <v>陈锦昭</v>
          </cell>
          <cell r="T425" t="str">
            <v>宋佳牧 Dorian (Jiamu Song)</v>
          </cell>
        </row>
        <row r="426">
          <cell r="G426" t="str">
            <v>NE 东北大区BWI.H分拣组</v>
          </cell>
          <cell r="H426" t="str">
            <v>Sorter 分拣员</v>
          </cell>
          <cell r="I426" t="str">
            <v>TY_休息日</v>
          </cell>
        </row>
        <row r="426">
          <cell r="L426" t="str">
            <v>正确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str">
            <v>孙可君Monica（Kejun Sun）</v>
          </cell>
          <cell r="S426" t="str">
            <v>马聪Cong (Cong Ma)</v>
          </cell>
          <cell r="T426" t="str">
            <v>张双甫(Shuangfu Zhang)</v>
          </cell>
        </row>
        <row r="427">
          <cell r="G427" t="str">
            <v>TX 德州大区CT 中德州片区AUS01</v>
          </cell>
          <cell r="H427" t="str">
            <v>Station Operations Specialist 站点运营专员</v>
          </cell>
          <cell r="I427" t="str">
            <v>TY_05:30</v>
          </cell>
          <cell r="J427" t="str">
            <v>04:36</v>
          </cell>
        </row>
        <row r="427">
          <cell r="L427" t="str">
            <v>正确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str">
            <v>肖芦莉Lily (Luli Xiao)</v>
          </cell>
          <cell r="S427" t="str">
            <v>张骥Ji Zhang (Ji Zhang)</v>
          </cell>
          <cell r="T427" t="str">
            <v>马铭 Ming (Ming Ma)</v>
          </cell>
        </row>
        <row r="428">
          <cell r="G428" t="str">
            <v>NE 东北大区DC 华盛顿片区ORF01</v>
          </cell>
          <cell r="H428" t="str">
            <v>Station Operations Specialist 站点运营专员</v>
          </cell>
          <cell r="I428" t="str">
            <v>TY_06:00</v>
          </cell>
          <cell r="J428" t="str">
            <v>05:43</v>
          </cell>
        </row>
        <row r="428">
          <cell r="L428" t="str">
            <v>正确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str">
            <v>孙可君Monica（Kejun Sun）</v>
          </cell>
          <cell r="S428" t="str">
            <v>马聪Cong (Cong Ma)</v>
          </cell>
          <cell r="T428" t="str">
            <v>朱晗宇 Peter (Hanyu Zhu)</v>
          </cell>
        </row>
        <row r="429">
          <cell r="G429" t="str">
            <v>CM 运力管理部美东运力组</v>
          </cell>
          <cell r="H429" t="str">
            <v>Senior Transportation Supervisor 高级运力主管</v>
          </cell>
          <cell r="I429" t="str">
            <v>TY_休息日</v>
          </cell>
        </row>
        <row r="429">
          <cell r="L429" t="str">
            <v>正确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str">
            <v>袁博闻(Bowen Yuan)</v>
          </cell>
        </row>
        <row r="430">
          <cell r="G430" t="str">
            <v>GL 大湖大区MKE01</v>
          </cell>
          <cell r="H430" t="str">
            <v>Station Operations Specialist 站点运营专员</v>
          </cell>
          <cell r="I430" t="str">
            <v>TY_05:00</v>
          </cell>
        </row>
        <row r="430">
          <cell r="L430" t="str">
            <v>/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str">
            <v>王晓丹 Jasmine（Xiaodan Wang）,周延舒Isabel（Yanshu Zhou）</v>
          </cell>
          <cell r="S430" t="str">
            <v>张骥Ji Zhang (Ji Zhang)</v>
          </cell>
        </row>
        <row r="431">
          <cell r="G431" t="str">
            <v>NE 东北大区MA 新英格兰片区MHT01</v>
          </cell>
          <cell r="H431" t="str">
            <v>Station Head （Probation）站长（见习）</v>
          </cell>
          <cell r="I431" t="str">
            <v>TY_06:00</v>
          </cell>
          <cell r="J431" t="str">
            <v>05:57</v>
          </cell>
          <cell r="K431" t="str">
            <v>14:40</v>
          </cell>
          <cell r="L431" t="str">
            <v>正确</v>
          </cell>
          <cell r="M431">
            <v>0</v>
          </cell>
          <cell r="N431">
            <v>8.22</v>
          </cell>
          <cell r="O431">
            <v>0.22</v>
          </cell>
          <cell r="P431">
            <v>0</v>
          </cell>
          <cell r="Q431">
            <v>0</v>
          </cell>
          <cell r="R431" t="str">
            <v>孙可君Monica（Kejun Sun）</v>
          </cell>
          <cell r="S431" t="str">
            <v>马聪Cong (Cong Ma)</v>
          </cell>
          <cell r="T431" t="str">
            <v>朱晗宇 Peter (Hanyu Zhu)</v>
          </cell>
        </row>
        <row r="432">
          <cell r="G432" t="str">
            <v>FL 佛州大区SF 南佛片区WPB01</v>
          </cell>
          <cell r="H432" t="str">
            <v>Station Operations Specialist 站点运营专员</v>
          </cell>
          <cell r="I432" t="str">
            <v>TY_06:00</v>
          </cell>
          <cell r="J432" t="str">
            <v>05:54</v>
          </cell>
          <cell r="K432" t="str">
            <v>15:00</v>
          </cell>
          <cell r="L432" t="str">
            <v>正确</v>
          </cell>
          <cell r="M432">
            <v>0</v>
          </cell>
          <cell r="N432">
            <v>8.6</v>
          </cell>
          <cell r="O432">
            <v>0.6</v>
          </cell>
          <cell r="P432">
            <v>0</v>
          </cell>
          <cell r="Q432">
            <v>0</v>
          </cell>
          <cell r="R432" t="str">
            <v>Natalia (Natalia Padilla),孙婕 Jasmine（Sunjie）</v>
          </cell>
          <cell r="S432" t="str">
            <v>贺子强Jeff (Ziqiang He)</v>
          </cell>
          <cell r="T432" t="str">
            <v>曹杨清清(Encore)</v>
          </cell>
        </row>
        <row r="433">
          <cell r="G433" t="str">
            <v>MS 中南大区ATL.H综办组</v>
          </cell>
          <cell r="H433" t="str">
            <v>Warehouse Clerk 仓库文员</v>
          </cell>
          <cell r="I433" t="str">
            <v>TY_休息日</v>
          </cell>
        </row>
        <row r="433">
          <cell r="L433" t="str">
            <v>正确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str">
            <v>欧阳迎春Flower（Yingchun Ouyang）</v>
          </cell>
          <cell r="S433" t="str">
            <v>杨云飞</v>
          </cell>
          <cell r="T433" t="str">
            <v>Minqing (Minqing Xu),罗煜雄 Mike (Yuxiong Luo),明杰麟Jennie (Jielin Ming)</v>
          </cell>
          <cell r="U433" t="str">
            <v>文艳平</v>
          </cell>
        </row>
        <row r="434">
          <cell r="G434" t="str">
            <v>TX 德州大区IAH.H综办组</v>
          </cell>
          <cell r="H434" t="str">
            <v>EHS Specialist EHS专员</v>
          </cell>
          <cell r="I434" t="str">
            <v>TY_休息日</v>
          </cell>
        </row>
        <row r="434">
          <cell r="L434" t="str">
            <v>正确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str">
            <v>肖芦莉Lily (Luli Xiao)</v>
          </cell>
          <cell r="S434" t="str">
            <v>张骥Ji Zhang (Ji Zhang)</v>
          </cell>
          <cell r="T434" t="str">
            <v>Minqing (Minqing Xu),罗煜雄 Mike (Yuxiong Luo)</v>
          </cell>
        </row>
        <row r="435">
          <cell r="G435" t="str">
            <v>GL 大湖大区WG 西大湖片区</v>
          </cell>
          <cell r="H435" t="str">
            <v>District Head 片区长</v>
          </cell>
          <cell r="I435" t="str">
            <v>TY_05:00</v>
          </cell>
        </row>
        <row r="435">
          <cell r="L435" t="str">
            <v>/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str">
            <v>王晓丹 Jasmine（Xiaodan Wang）,周延舒Isabel（Yanshu Zhou）</v>
          </cell>
          <cell r="S435" t="str">
            <v>张骥Ji Zhang (Ji Zhang)</v>
          </cell>
        </row>
        <row r="436">
          <cell r="G436" t="str">
            <v>MS 中南大区CLT.H分拣组</v>
          </cell>
          <cell r="H436" t="str">
            <v>Sorting Lead 分拣组长</v>
          </cell>
          <cell r="I436" t="str">
            <v>TY_休息日</v>
          </cell>
        </row>
        <row r="436">
          <cell r="L436" t="str">
            <v>正确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str">
            <v>欧阳迎春Flower（Yingchun Ouyang）</v>
          </cell>
          <cell r="S436" t="str">
            <v>杨云飞</v>
          </cell>
          <cell r="T436" t="str">
            <v>张双甫(Shuangfu Zhang)</v>
          </cell>
        </row>
        <row r="437">
          <cell r="G437" t="str">
            <v>TX 德州大区DFW.H调度组</v>
          </cell>
          <cell r="H437" t="str">
            <v>Dispatch Lead 调度组长</v>
          </cell>
          <cell r="I437" t="str">
            <v>TY_15:00</v>
          </cell>
          <cell r="J437" t="str">
            <v>16:16</v>
          </cell>
          <cell r="K437" t="str">
            <v>02:44</v>
          </cell>
          <cell r="L437" t="str">
            <v>不正确</v>
          </cell>
          <cell r="M437">
            <v>0</v>
          </cell>
          <cell r="N437">
            <v>9.97</v>
          </cell>
          <cell r="O437">
            <v>1.97</v>
          </cell>
          <cell r="P437">
            <v>0</v>
          </cell>
          <cell r="Q437">
            <v>0</v>
          </cell>
          <cell r="R437" t="str">
            <v>肖芦莉Lily (Luli Xiao)</v>
          </cell>
          <cell r="S437" t="str">
            <v>张骥Ji Zhang (Ji Zhang)</v>
          </cell>
          <cell r="T437" t="str">
            <v>Minqing (Minqing Xu),罗煜雄 Mike (Yuxiong Luo)</v>
          </cell>
        </row>
        <row r="438">
          <cell r="G438" t="str">
            <v>FL 佛州大区SF 南佛片区WPB01</v>
          </cell>
          <cell r="H438" t="str">
            <v>Station Head 站长</v>
          </cell>
          <cell r="I438" t="str">
            <v>TY_08:00</v>
          </cell>
          <cell r="J438" t="str">
            <v>08:23</v>
          </cell>
          <cell r="K438" t="str">
            <v>23:17</v>
          </cell>
          <cell r="L438" t="str">
            <v>正确</v>
          </cell>
          <cell r="M438">
            <v>0</v>
          </cell>
          <cell r="N438">
            <v>14.4</v>
          </cell>
          <cell r="O438">
            <v>6.4</v>
          </cell>
          <cell r="P438">
            <v>0</v>
          </cell>
          <cell r="Q438">
            <v>0</v>
          </cell>
          <cell r="R438" t="str">
            <v>Natalia (Natalia Padilla),孙婕 Jasmine（Sunjie）</v>
          </cell>
          <cell r="S438" t="str">
            <v>贺子强Jeff (Ziqiang He)</v>
          </cell>
          <cell r="T438" t="str">
            <v>曹杨清清(Encore)</v>
          </cell>
        </row>
        <row r="439">
          <cell r="G439" t="str">
            <v>DO 数字运营部美国项目交付组</v>
          </cell>
          <cell r="H439" t="str">
            <v>Product Manager 产品经理</v>
          </cell>
          <cell r="I439" t="str">
            <v>TY_休息日</v>
          </cell>
        </row>
        <row r="439">
          <cell r="L439" t="str">
            <v>正确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str">
            <v>袁博闻(Bowen Yuan)</v>
          </cell>
        </row>
        <row r="440">
          <cell r="G440" t="str">
            <v>NE 东北大区JFK.H综办组</v>
          </cell>
          <cell r="H440" t="str">
            <v>Warehouse Clerk 仓库文员</v>
          </cell>
          <cell r="I440" t="str">
            <v>TY_休息日</v>
          </cell>
        </row>
        <row r="440">
          <cell r="L440" t="str">
            <v>正确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str">
            <v>孙可君Monica（Kejun Sun）</v>
          </cell>
          <cell r="S440" t="str">
            <v>马聪Cong (Cong Ma)</v>
          </cell>
          <cell r="T440" t="str">
            <v>Minqing (Minqing Xu),罗煜雄 Mike (Yuxiong Luo)</v>
          </cell>
        </row>
        <row r="441">
          <cell r="G441" t="str">
            <v>MS 中南大区AS 亚特兰大和南阿拉巴马片区MOB01</v>
          </cell>
          <cell r="H441" t="str">
            <v>Station Operations Specialist 站点运营专员</v>
          </cell>
          <cell r="I441" t="str">
            <v>TY_06:30</v>
          </cell>
          <cell r="J441" t="str">
            <v>06:28</v>
          </cell>
        </row>
        <row r="441">
          <cell r="L441" t="str">
            <v>正确</v>
          </cell>
          <cell r="M441">
            <v>4.3</v>
          </cell>
          <cell r="N441">
            <v>4.3</v>
          </cell>
          <cell r="O441">
            <v>0</v>
          </cell>
          <cell r="P441">
            <v>0</v>
          </cell>
          <cell r="Q441">
            <v>0</v>
          </cell>
          <cell r="R441" t="str">
            <v>欧阳迎春Flower（Yingchun Ouyang）</v>
          </cell>
          <cell r="S441" t="str">
            <v>杨云飞</v>
          </cell>
          <cell r="T441" t="str">
            <v>曾令桓（Linghuan Zeng）</v>
          </cell>
        </row>
        <row r="442">
          <cell r="G442" t="str">
            <v>CS 客户服务部消费者客服组海外客服组</v>
          </cell>
          <cell r="H442" t="str">
            <v>Hotline CS Specialist 热线客服专员</v>
          </cell>
          <cell r="I442" t="str">
            <v>TY_休息日</v>
          </cell>
          <cell r="J442" t="str">
            <v>12:44</v>
          </cell>
          <cell r="K442" t="str">
            <v>16:36</v>
          </cell>
          <cell r="L442" t="str">
            <v>不正确</v>
          </cell>
          <cell r="M442">
            <v>0</v>
          </cell>
          <cell r="N442">
            <v>3.37</v>
          </cell>
          <cell r="O442">
            <v>0</v>
          </cell>
          <cell r="P442">
            <v>0</v>
          </cell>
          <cell r="Q442">
            <v>0</v>
          </cell>
          <cell r="R442" t="str">
            <v>袁博闻(Bowen Yuan)</v>
          </cell>
        </row>
        <row r="443">
          <cell r="G443" t="str">
            <v>US人力资源部美洲HRBP组东北区HR组</v>
          </cell>
          <cell r="H443" t="str">
            <v>Junior HRBP Specialist 初级HRBP专员</v>
          </cell>
          <cell r="I443" t="str">
            <v>TY_休息日</v>
          </cell>
        </row>
        <row r="443">
          <cell r="L443" t="str">
            <v>正确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str">
            <v>袁博闻(Bowen Yuan)</v>
          </cell>
        </row>
        <row r="444">
          <cell r="G444" t="str">
            <v>TX 德州大区DFW.H操作组</v>
          </cell>
          <cell r="H444" t="str">
            <v>Warehouse Operator 操作员</v>
          </cell>
          <cell r="I444" t="str">
            <v>TY_15:00</v>
          </cell>
          <cell r="J444" t="str">
            <v>15:27</v>
          </cell>
          <cell r="K444" t="str">
            <v>03:51</v>
          </cell>
          <cell r="L444" t="str">
            <v>正确</v>
          </cell>
          <cell r="M444">
            <v>0</v>
          </cell>
          <cell r="N444">
            <v>11.9</v>
          </cell>
          <cell r="O444">
            <v>3.9</v>
          </cell>
          <cell r="P444">
            <v>0</v>
          </cell>
          <cell r="Q444">
            <v>0</v>
          </cell>
          <cell r="R444" t="str">
            <v>肖芦莉Lily (Luli Xiao)</v>
          </cell>
          <cell r="S444" t="str">
            <v>张骥Ji Zhang (Ji Zhang)</v>
          </cell>
          <cell r="T444" t="str">
            <v>Minqing (Minqing Xu),罗煜雄 Mike (Yuxiong Luo)</v>
          </cell>
        </row>
        <row r="445">
          <cell r="G445" t="str">
            <v>FL 佛州大区MF 中佛片区</v>
          </cell>
          <cell r="H445" t="str">
            <v>District Head（Probation）片区长（见习）</v>
          </cell>
          <cell r="I445" t="str">
            <v>TY_06:00</v>
          </cell>
        </row>
        <row r="445">
          <cell r="K445" t="str">
            <v>17:31</v>
          </cell>
          <cell r="L445" t="str">
            <v>/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str">
            <v>Natalia (Natalia Padilla),孙婕 Jasmine（Sunjie）</v>
          </cell>
          <cell r="S445" t="str">
            <v>贺子强Jeff (Ziqiang He)</v>
          </cell>
        </row>
        <row r="446">
          <cell r="G446" t="str">
            <v>NE 东北大区运营支持部区域支持组</v>
          </cell>
          <cell r="H446" t="str">
            <v>Regional Support Specialist 区域支持专员</v>
          </cell>
          <cell r="I446" t="str">
            <v>TY_休息日</v>
          </cell>
        </row>
        <row r="446">
          <cell r="L446" t="str">
            <v>正确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str">
            <v>孙可君Monica（Kejun Sun）</v>
          </cell>
          <cell r="S446" t="str">
            <v>马聪Cong (Cong Ma)</v>
          </cell>
        </row>
        <row r="447">
          <cell r="G447" t="str">
            <v>AD 行政部美西组</v>
          </cell>
          <cell r="H447" t="str">
            <v>Admin Assistant 行政助理</v>
          </cell>
          <cell r="I447" t="str">
            <v>TY_休息日</v>
          </cell>
        </row>
        <row r="447">
          <cell r="L447" t="str">
            <v>正确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str">
            <v>袁博闻(Bowen Yuan)</v>
          </cell>
        </row>
        <row r="448">
          <cell r="G448" t="str">
            <v>Ground项目部派送管理部运力开发组</v>
          </cell>
          <cell r="H448" t="str">
            <v>Capacity Development Specialist 运力开发专员</v>
          </cell>
          <cell r="I448" t="str">
            <v>TY_休息日</v>
          </cell>
        </row>
        <row r="448">
          <cell r="L448" t="str">
            <v>正确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str">
            <v>王安琪 (Anqi Wang),张朱同 Thomson（Zhutong Zhang）</v>
          </cell>
          <cell r="S448" t="str">
            <v>陈锦昭</v>
          </cell>
        </row>
        <row r="449">
          <cell r="G449" t="str">
            <v>AD 行政部美中组</v>
          </cell>
          <cell r="H449" t="str">
            <v>Junior Admin Specialist 初级行政专员</v>
          </cell>
          <cell r="I449" t="str">
            <v>TY_休息日</v>
          </cell>
        </row>
        <row r="449">
          <cell r="L449" t="str">
            <v>正确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str">
            <v>袁博闻(Bowen Yuan)</v>
          </cell>
        </row>
        <row r="450">
          <cell r="G450" t="str">
            <v>GL 大湖大区ORD.H维保组</v>
          </cell>
          <cell r="H450" t="str">
            <v>Management Trainee 管培生</v>
          </cell>
          <cell r="I450" t="str">
            <v>TY_休息日</v>
          </cell>
        </row>
        <row r="450">
          <cell r="L450" t="str">
            <v>正确</v>
          </cell>
          <cell r="M450">
            <v>0</v>
          </cell>
          <cell r="N450">
            <v>0</v>
          </cell>
          <cell r="O450">
            <v>0</v>
          </cell>
          <cell r="P450">
            <v>33.17</v>
          </cell>
          <cell r="Q450">
            <v>0</v>
          </cell>
          <cell r="R450" t="str">
            <v>王晓丹 Jasmine（Xiaodan Wang）,周延舒Isabel（Yanshu Zhou）</v>
          </cell>
          <cell r="S450" t="str">
            <v>张骥Ji Zhang (Ji Zhang)</v>
          </cell>
          <cell r="T450" t="str">
            <v>章峻铭 J (Junming Zhang)</v>
          </cell>
        </row>
        <row r="451">
          <cell r="G451" t="str">
            <v>OM 操作管理部实施运营组</v>
          </cell>
          <cell r="H451" t="str">
            <v>Senior Implementation Operations Supervisor 高级实施运营主管</v>
          </cell>
          <cell r="I451" t="str">
            <v>TY_休息日</v>
          </cell>
        </row>
        <row r="451">
          <cell r="L451" t="str">
            <v>正确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str">
            <v>袁博闻(Bowen Yuan)</v>
          </cell>
        </row>
        <row r="452">
          <cell r="G452" t="str">
            <v>MS 中南大区CLT.H分拣组</v>
          </cell>
          <cell r="H452" t="str">
            <v>Sorting Lead 分拣组长</v>
          </cell>
          <cell r="I452" t="str">
            <v>TY_09:30</v>
          </cell>
          <cell r="J452" t="str">
            <v>08:36</v>
          </cell>
          <cell r="K452" t="str">
            <v>19:00</v>
          </cell>
          <cell r="L452" t="str">
            <v>正确</v>
          </cell>
          <cell r="M452">
            <v>0</v>
          </cell>
          <cell r="N452">
            <v>9.9</v>
          </cell>
          <cell r="O452">
            <v>1.9</v>
          </cell>
          <cell r="P452">
            <v>0</v>
          </cell>
          <cell r="Q452">
            <v>0</v>
          </cell>
          <cell r="R452" t="str">
            <v>欧阳迎春Flower（Yingchun Ouyang）</v>
          </cell>
          <cell r="S452" t="str">
            <v>杨云飞</v>
          </cell>
          <cell r="T452" t="str">
            <v>张双甫(Shuangfu Zhang)</v>
          </cell>
        </row>
        <row r="453">
          <cell r="G453" t="str">
            <v>FL 佛州大区WF 西佛片区SRQ01</v>
          </cell>
          <cell r="H453" t="str">
            <v>Station Operations Specialist 站点运营专员</v>
          </cell>
          <cell r="I453" t="str">
            <v>TY_04:00</v>
          </cell>
          <cell r="J453" t="str">
            <v>04:46</v>
          </cell>
          <cell r="K453" t="str">
            <v>13:50</v>
          </cell>
          <cell r="L453" t="str">
            <v>正确</v>
          </cell>
          <cell r="M453">
            <v>0</v>
          </cell>
          <cell r="N453">
            <v>8.57</v>
          </cell>
          <cell r="O453">
            <v>0.57</v>
          </cell>
          <cell r="P453">
            <v>0</v>
          </cell>
          <cell r="Q453">
            <v>0</v>
          </cell>
          <cell r="R453" t="str">
            <v>Natalia (Natalia Padilla),孙婕 Jasmine（Sunjie）</v>
          </cell>
          <cell r="S453" t="str">
            <v>贺子强Jeff (Ziqiang He)</v>
          </cell>
          <cell r="T453" t="str">
            <v>于文康 Henry (Wenkang Yu)</v>
          </cell>
        </row>
        <row r="454">
          <cell r="G454" t="str">
            <v>MS 中南大区运营支持部区域支持组</v>
          </cell>
          <cell r="H454" t="str">
            <v>Deputy Regional Support Supervisor 区域支持组副主管</v>
          </cell>
          <cell r="I454" t="str">
            <v>TY_休息日</v>
          </cell>
        </row>
        <row r="454">
          <cell r="L454" t="str">
            <v>正确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str">
            <v>欧阳迎春Flower（Yingchun Ouyang）</v>
          </cell>
          <cell r="S454" t="str">
            <v>杨云飞</v>
          </cell>
        </row>
        <row r="455">
          <cell r="G455" t="str">
            <v>US人力资源部美洲HRBP组中南区HR组</v>
          </cell>
          <cell r="H455" t="str">
            <v>Junior Recruitment Specialist 初级招聘专员</v>
          </cell>
          <cell r="I455" t="str">
            <v>TY_休息日</v>
          </cell>
        </row>
        <row r="455">
          <cell r="L455" t="str">
            <v>正确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str">
            <v>袁博闻(Bowen Yuan)</v>
          </cell>
        </row>
        <row r="456">
          <cell r="G456" t="str">
            <v>GL 大湖大区ORD.H调度组</v>
          </cell>
          <cell r="H456" t="str">
            <v>Dispatcher 调度员</v>
          </cell>
          <cell r="I456" t="str">
            <v>TY_休息日</v>
          </cell>
        </row>
        <row r="456">
          <cell r="L456" t="str">
            <v>正确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str">
            <v>王晓丹 Jasmine（Xiaodan Wang）,周延舒Isabel（Yanshu Zhou）</v>
          </cell>
          <cell r="S456" t="str">
            <v>张骥Ji Zhang (Ji Zhang)</v>
          </cell>
          <cell r="T456" t="str">
            <v>Minqing (Minqing Xu),罗煜雄 Mike (Yuxiong Luo)</v>
          </cell>
        </row>
        <row r="457">
          <cell r="G457" t="str">
            <v>OM 操作管理部实施运营组</v>
          </cell>
          <cell r="H457" t="str">
            <v>Implementation Operations Specialist 实施运营专员</v>
          </cell>
          <cell r="I457" t="str">
            <v>TY_休息日</v>
          </cell>
        </row>
        <row r="457">
          <cell r="L457" t="str">
            <v>正确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str">
            <v>袁博闻(Bowen Yuan)</v>
          </cell>
        </row>
        <row r="458">
          <cell r="G458" t="str">
            <v>FL 佛州大区SF 南佛片区MIA02</v>
          </cell>
          <cell r="H458" t="str">
            <v>Station Operations Specialist 站点运营专员</v>
          </cell>
          <cell r="I458" t="str">
            <v>TY_06:30</v>
          </cell>
          <cell r="J458" t="str">
            <v>07:26</v>
          </cell>
          <cell r="K458" t="str">
            <v>15:47</v>
          </cell>
          <cell r="L458" t="str">
            <v>正确</v>
          </cell>
          <cell r="M458">
            <v>0</v>
          </cell>
          <cell r="N458">
            <v>7.85</v>
          </cell>
          <cell r="O458">
            <v>0</v>
          </cell>
          <cell r="P458">
            <v>0</v>
          </cell>
          <cell r="Q458">
            <v>0</v>
          </cell>
          <cell r="R458" t="str">
            <v>Natalia (Natalia Padilla),孙婕 Jasmine（Sunjie）</v>
          </cell>
          <cell r="S458" t="str">
            <v>贺子强Jeff (Ziqiang He)</v>
          </cell>
          <cell r="T458" t="str">
            <v>王航 Hang (Hang Wang)</v>
          </cell>
        </row>
        <row r="459">
          <cell r="G459" t="str">
            <v>FL 佛州大区MIA01</v>
          </cell>
          <cell r="H459" t="str">
            <v>Station Operations Specialist 站点运营专员</v>
          </cell>
          <cell r="I459" t="str">
            <v>TY_休息日</v>
          </cell>
        </row>
        <row r="459">
          <cell r="L459" t="str">
            <v>正确</v>
          </cell>
          <cell r="M459">
            <v>0</v>
          </cell>
          <cell r="N459">
            <v>0</v>
          </cell>
          <cell r="O459">
            <v>0</v>
          </cell>
          <cell r="P459">
            <v>44.13</v>
          </cell>
          <cell r="Q459">
            <v>4.13</v>
          </cell>
          <cell r="R459" t="str">
            <v>Natalia (Natalia Padilla),孙婕 Jasmine（Sunjie）</v>
          </cell>
          <cell r="S459" t="str">
            <v>贺子强Jeff (Ziqiang He)</v>
          </cell>
        </row>
        <row r="460">
          <cell r="G460" t="str">
            <v>GL 大湖大区NM 中西部北片区STL01</v>
          </cell>
          <cell r="H460" t="str">
            <v>Station Operations Specialist 站点运营专员</v>
          </cell>
          <cell r="I460" t="str">
            <v>TY_05:30</v>
          </cell>
          <cell r="J460" t="str">
            <v>06:18</v>
          </cell>
          <cell r="K460" t="str">
            <v>16:03</v>
          </cell>
          <cell r="L460" t="str">
            <v>正确</v>
          </cell>
          <cell r="M460">
            <v>0</v>
          </cell>
          <cell r="N460">
            <v>9.25</v>
          </cell>
          <cell r="O460">
            <v>1.25</v>
          </cell>
          <cell r="P460">
            <v>0</v>
          </cell>
          <cell r="Q460">
            <v>0</v>
          </cell>
          <cell r="R460" t="str">
            <v>王晓丹 Jasmine（Xiaodan Wang）,周延舒Isabel（Yanshu Zhou）</v>
          </cell>
          <cell r="S460" t="str">
            <v>张骥Ji Zhang (Ji Zhang)</v>
          </cell>
          <cell r="T460" t="str">
            <v>武杰 Jay（Jie Wu）,尚青蓓 Suki （Qingbei Shang）</v>
          </cell>
        </row>
        <row r="461">
          <cell r="G461" t="str">
            <v>WE 美西大区SC 南加片区SAN01</v>
          </cell>
          <cell r="H461" t="str">
            <v>Warehouse Operator 操作员</v>
          </cell>
          <cell r="I461" t="str">
            <v>TY_05:00</v>
          </cell>
        </row>
        <row r="461">
          <cell r="L461" t="str">
            <v>/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str">
            <v>王骞Ariel（Qian Wang）,叶秀芳Freya (Xiufang Ye)</v>
          </cell>
          <cell r="S461" t="str">
            <v>常哲</v>
          </cell>
          <cell r="T461" t="str">
            <v>尤梦楠Yuko（Mengnan You）</v>
          </cell>
        </row>
        <row r="462">
          <cell r="G462" t="str">
            <v>FL 佛州大区MIA.H异常处理组</v>
          </cell>
          <cell r="H462" t="str">
            <v>Returns Specialist 退件员</v>
          </cell>
          <cell r="I462" t="str">
            <v>TY_休息日</v>
          </cell>
          <cell r="J462" t="str">
            <v>08:44</v>
          </cell>
          <cell r="K462" t="str">
            <v>17:42</v>
          </cell>
          <cell r="L462" t="str">
            <v>正确</v>
          </cell>
          <cell r="M462">
            <v>0</v>
          </cell>
          <cell r="N462">
            <v>8.47</v>
          </cell>
          <cell r="O462">
            <v>0.47</v>
          </cell>
          <cell r="P462">
            <v>0</v>
          </cell>
          <cell r="Q462">
            <v>0</v>
          </cell>
          <cell r="R462" t="str">
            <v>Natalia (Natalia Padilla),孙婕 Jasmine（Sunjie）</v>
          </cell>
          <cell r="S462" t="str">
            <v>贺子强Jeff (Ziqiang He)</v>
          </cell>
          <cell r="T462" t="str">
            <v>Minqing (Minqing Xu),罗煜雄 Mike (Yuxiong Luo)</v>
          </cell>
        </row>
        <row r="463">
          <cell r="G463" t="str">
            <v>Ground项目部OG 美西区PT972</v>
          </cell>
          <cell r="H463" t="str">
            <v>Station Operations Specialist 站点运营专员</v>
          </cell>
          <cell r="I463" t="str">
            <v>TY_06:30</v>
          </cell>
          <cell r="J463" t="str">
            <v>06:30</v>
          </cell>
          <cell r="K463" t="str">
            <v>15:00</v>
          </cell>
          <cell r="L463" t="str">
            <v>正确</v>
          </cell>
          <cell r="M463">
            <v>0</v>
          </cell>
          <cell r="N463">
            <v>8</v>
          </cell>
          <cell r="O463">
            <v>0</v>
          </cell>
          <cell r="P463">
            <v>0</v>
          </cell>
          <cell r="Q463">
            <v>0</v>
          </cell>
          <cell r="R463" t="str">
            <v>王安琪 (Anqi Wang),张朱同 Thomson（Zhutong Zhang）</v>
          </cell>
          <cell r="S463" t="str">
            <v>陈锦昭</v>
          </cell>
          <cell r="T463" t="str">
            <v>张潇予（Angelia）Xiaoyu Zhang</v>
          </cell>
        </row>
        <row r="464">
          <cell r="G464" t="str">
            <v>MS 中南大区ATL.H维保组</v>
          </cell>
          <cell r="H464" t="str">
            <v>Maintenance Specialist 维保员</v>
          </cell>
          <cell r="I464" t="str">
            <v>TY_13:00</v>
          </cell>
          <cell r="J464" t="str">
            <v>10:14</v>
          </cell>
          <cell r="K464" t="str">
            <v>21:38</v>
          </cell>
          <cell r="L464" t="str">
            <v>不正确</v>
          </cell>
          <cell r="M464">
            <v>0</v>
          </cell>
          <cell r="N464">
            <v>10.9</v>
          </cell>
          <cell r="O464">
            <v>2.9</v>
          </cell>
          <cell r="P464">
            <v>0</v>
          </cell>
          <cell r="Q464">
            <v>0</v>
          </cell>
          <cell r="R464" t="str">
            <v>欧阳迎春Flower（Yingchun Ouyang）</v>
          </cell>
          <cell r="S464" t="str">
            <v>杨云飞</v>
          </cell>
          <cell r="T464" t="str">
            <v>章峻铭 J (Junming Zhang),明杰麟Jennie (Jielin Ming)</v>
          </cell>
          <cell r="U464" t="str">
            <v>文艳平</v>
          </cell>
        </row>
        <row r="465">
          <cell r="G465" t="str">
            <v>IC 跨境客户部海外客户组</v>
          </cell>
          <cell r="H465" t="str">
            <v>Oversea Client Specialist 海外客户专员</v>
          </cell>
          <cell r="I465" t="str">
            <v>TY_休息日</v>
          </cell>
        </row>
        <row r="465">
          <cell r="L465" t="str">
            <v>正确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str">
            <v>袁博闻(Bowen Yuan)</v>
          </cell>
        </row>
        <row r="466">
          <cell r="G466" t="str">
            <v>GL 大湖大区WG 西大湖片区GRR01</v>
          </cell>
          <cell r="H466" t="str">
            <v>Station Operations Specialist 站点运营专员</v>
          </cell>
          <cell r="I466" t="str">
            <v>TY_休息日</v>
          </cell>
        </row>
        <row r="466">
          <cell r="L466" t="str">
            <v>正确</v>
          </cell>
          <cell r="M466">
            <v>0</v>
          </cell>
          <cell r="N466">
            <v>0</v>
          </cell>
          <cell r="O466">
            <v>0</v>
          </cell>
          <cell r="P466">
            <v>40</v>
          </cell>
          <cell r="Q466">
            <v>0</v>
          </cell>
          <cell r="R466" t="str">
            <v>王晓丹 Jasmine（Xiaodan Wang）,周延舒Isabel（Yanshu Zhou）</v>
          </cell>
          <cell r="S466" t="str">
            <v>张骥Ji Zhang (Ji Zhang)</v>
          </cell>
        </row>
        <row r="467">
          <cell r="G467" t="str">
            <v>NE 东北大区EWR.H综办组</v>
          </cell>
          <cell r="H467" t="str">
            <v>Warehouse Clerk 仓库文员</v>
          </cell>
          <cell r="I467" t="str">
            <v>TY_休息日</v>
          </cell>
        </row>
        <row r="467">
          <cell r="L467" t="str">
            <v>正确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str">
            <v>孙可君Monica（Kejun Sun）</v>
          </cell>
          <cell r="S467" t="str">
            <v>马聪Cong (Cong Ma)</v>
          </cell>
          <cell r="T467" t="str">
            <v>Minqing (Minqing Xu),罗煜雄 Mike (Yuxiong Luo)</v>
          </cell>
        </row>
        <row r="468">
          <cell r="G468" t="str">
            <v>Ground项目部派送管理部运力开发组</v>
          </cell>
          <cell r="H468" t="str">
            <v>Junior Capacity Development Specialist 初级运力开发专员</v>
          </cell>
          <cell r="I468" t="str">
            <v>TY_休息日</v>
          </cell>
        </row>
        <row r="468">
          <cell r="L468" t="str">
            <v>正确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str">
            <v>王安琪 (Anqi Wang),张朱同 Thomson（Zhutong Zhang）</v>
          </cell>
          <cell r="S468" t="str">
            <v>陈锦昭</v>
          </cell>
        </row>
        <row r="469">
          <cell r="G469" t="str">
            <v>FL 佛州大区NF 北佛片区TAL01</v>
          </cell>
          <cell r="H469" t="str">
            <v>Station Operations Specialist 站点运营专员</v>
          </cell>
          <cell r="I469" t="str">
            <v>TY_05:00</v>
          </cell>
          <cell r="J469" t="str">
            <v>05:07</v>
          </cell>
          <cell r="K469" t="str">
            <v>13:29</v>
          </cell>
          <cell r="L469" t="str">
            <v>正确</v>
          </cell>
          <cell r="M469">
            <v>0</v>
          </cell>
          <cell r="N469">
            <v>7.87</v>
          </cell>
          <cell r="O469">
            <v>0</v>
          </cell>
          <cell r="P469">
            <v>0</v>
          </cell>
          <cell r="Q469">
            <v>0</v>
          </cell>
          <cell r="R469" t="str">
            <v>Natalia (Natalia Padilla),孙婕 Jasmine（Sunjie）</v>
          </cell>
          <cell r="S469" t="str">
            <v>贺子强Jeff (Ziqiang He)</v>
          </cell>
          <cell r="T469" t="str">
            <v>黄燕娜 Nana (Yanna Huang)</v>
          </cell>
        </row>
        <row r="470">
          <cell r="G470" t="str">
            <v>AD 行政部美西组</v>
          </cell>
          <cell r="H470" t="str">
            <v>Senior Admin Specialist 高级行政专员</v>
          </cell>
          <cell r="I470" t="str">
            <v>TY_休息日</v>
          </cell>
        </row>
        <row r="470">
          <cell r="L470" t="str">
            <v>正确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str">
            <v>袁博闻(Bowen Yuan)</v>
          </cell>
        </row>
        <row r="471">
          <cell r="G471" t="str">
            <v>WE 美西大区LAV.H调度组</v>
          </cell>
          <cell r="H471" t="str">
            <v>Dispatcher 调度员</v>
          </cell>
          <cell r="I471" t="str">
            <v>TY_15:00</v>
          </cell>
          <cell r="J471" t="str">
            <v>15:35</v>
          </cell>
          <cell r="K471" t="str">
            <v>02:32</v>
          </cell>
          <cell r="L471" t="str">
            <v>正确</v>
          </cell>
          <cell r="M471">
            <v>0</v>
          </cell>
          <cell r="N471">
            <v>10.45</v>
          </cell>
          <cell r="O471">
            <v>2.45</v>
          </cell>
          <cell r="P471">
            <v>0</v>
          </cell>
          <cell r="Q471">
            <v>0</v>
          </cell>
          <cell r="R471" t="str">
            <v>王骞Ariel（Qian Wang）,叶秀芳Freya (Xiufang Ye)</v>
          </cell>
          <cell r="S471" t="str">
            <v>常哲</v>
          </cell>
          <cell r="T471" t="str">
            <v>Minqing (Minqing Xu),罗煜雄 Mike (Yuxiong Luo)</v>
          </cell>
        </row>
        <row r="472">
          <cell r="G472" t="str">
            <v>US人力资源部美洲HRBP组招聘组</v>
          </cell>
          <cell r="H472" t="str">
            <v>Recruitment Assistant 招聘助理</v>
          </cell>
          <cell r="I472" t="str">
            <v>TY_休息日</v>
          </cell>
        </row>
        <row r="472">
          <cell r="L472" t="str">
            <v>正确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str">
            <v>袁博闻(Bowen Yuan)</v>
          </cell>
        </row>
        <row r="473">
          <cell r="G473" t="str">
            <v>OM 操作管理部仓库租赁组</v>
          </cell>
          <cell r="H473" t="str">
            <v>Senior Warehouse Leasing Supervisor 高级仓库租赁主管</v>
          </cell>
          <cell r="I473" t="str">
            <v>TY_休息日</v>
          </cell>
        </row>
        <row r="473">
          <cell r="L473" t="str">
            <v>正确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str">
            <v>袁博闻(Bowen Yuan)</v>
          </cell>
        </row>
        <row r="474">
          <cell r="G474" t="str">
            <v>US人力资源部美洲HRBP组大湖区HR组</v>
          </cell>
          <cell r="H474" t="str">
            <v>Recruitment Assistant 招聘助理</v>
          </cell>
          <cell r="I474" t="str">
            <v>TY_休息日</v>
          </cell>
        </row>
        <row r="474">
          <cell r="L474" t="str">
            <v>正确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str">
            <v>袁博闻(Bowen Yuan)</v>
          </cell>
        </row>
        <row r="475">
          <cell r="G475" t="str">
            <v>NE 东北大区运营支持部区域支持组</v>
          </cell>
          <cell r="H475" t="str">
            <v>Station Trainee 站点培训生</v>
          </cell>
          <cell r="I475" t="str">
            <v>TY_休息日</v>
          </cell>
        </row>
        <row r="475">
          <cell r="L475" t="str">
            <v>正确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str">
            <v>孙可君Monica（Kejun Sun）</v>
          </cell>
          <cell r="S475" t="str">
            <v>马聪Cong (Cong Ma)</v>
          </cell>
        </row>
        <row r="476">
          <cell r="G476" t="str">
            <v>GL 大湖大区揽收部</v>
          </cell>
          <cell r="H476" t="str">
            <v>Pickup Supervisor 揽收部主管</v>
          </cell>
          <cell r="I476" t="str">
            <v>TY_休息日</v>
          </cell>
        </row>
        <row r="476">
          <cell r="L476" t="str">
            <v>正确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str">
            <v>王晓丹 Jasmine（Xiaodan Wang）,周延舒Isabel（Yanshu Zhou）</v>
          </cell>
          <cell r="S476" t="str">
            <v>张骥Ji Zhang (Ji Zhang)</v>
          </cell>
        </row>
        <row r="477">
          <cell r="G477" t="str">
            <v>NE 东北大区运营支持部区域支持组</v>
          </cell>
          <cell r="H477" t="str">
            <v>Station Trainee 站点培训生</v>
          </cell>
          <cell r="I477" t="str">
            <v>TY_06:00</v>
          </cell>
        </row>
        <row r="477">
          <cell r="L477" t="str">
            <v>/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str">
            <v>孙可君Monica（Kejun Sun）</v>
          </cell>
          <cell r="S477" t="str">
            <v>马聪Cong (Cong Ma)</v>
          </cell>
        </row>
        <row r="478">
          <cell r="G478" t="str">
            <v>GL 大湖大区ORD.H操作组</v>
          </cell>
          <cell r="H478" t="str">
            <v>Warehouse Lead 操作组长</v>
          </cell>
          <cell r="I478" t="str">
            <v>TY_08:00</v>
          </cell>
          <cell r="J478" t="str">
            <v>07:54</v>
          </cell>
          <cell r="K478" t="str">
            <v>18:44</v>
          </cell>
          <cell r="L478" t="str">
            <v>正确</v>
          </cell>
          <cell r="M478">
            <v>0</v>
          </cell>
          <cell r="N478">
            <v>10.33</v>
          </cell>
          <cell r="O478">
            <v>2.33</v>
          </cell>
          <cell r="P478">
            <v>0</v>
          </cell>
          <cell r="Q478">
            <v>0</v>
          </cell>
          <cell r="R478" t="str">
            <v>王晓丹 Jasmine（Xiaodan Wang）,周延舒Isabel（Yanshu Zhou）</v>
          </cell>
          <cell r="S478" t="str">
            <v>张骥Ji Zhang (Ji Zhang)</v>
          </cell>
          <cell r="T478" t="str">
            <v>Minqing (Minqing Xu),罗煜雄 Mike (Yuxiong Luo)</v>
          </cell>
        </row>
        <row r="479">
          <cell r="G479" t="str">
            <v>NE 东北大区EWR.H调度组</v>
          </cell>
          <cell r="H479" t="str">
            <v>Dispatcher 调度员</v>
          </cell>
          <cell r="I479" t="str">
            <v>TY_休息日</v>
          </cell>
          <cell r="J479" t="str">
            <v>09:57</v>
          </cell>
        </row>
        <row r="479">
          <cell r="L479" t="str">
            <v>正确</v>
          </cell>
          <cell r="M479">
            <v>0</v>
          </cell>
          <cell r="N479">
            <v>0</v>
          </cell>
          <cell r="O479">
            <v>0</v>
          </cell>
          <cell r="P479">
            <v>56.51</v>
          </cell>
          <cell r="Q479">
            <v>16.51</v>
          </cell>
          <cell r="R479" t="str">
            <v>孙可君Monica（Kejun Sun）</v>
          </cell>
          <cell r="S479" t="str">
            <v>马聪Cong (Cong Ma)</v>
          </cell>
          <cell r="T479" t="str">
            <v>Minqing (Minqing Xu),罗煜雄 Mike (Yuxiong Luo)</v>
          </cell>
        </row>
        <row r="480">
          <cell r="G480" t="str">
            <v>WE 美西大区LAV.H操作组</v>
          </cell>
          <cell r="H480" t="str">
            <v>Warehouse Operator 操作员</v>
          </cell>
          <cell r="I480" t="str">
            <v>TY_美国节假日（9点-18点）</v>
          </cell>
        </row>
        <row r="480">
          <cell r="L480" t="str">
            <v>正确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str">
            <v>王骞Ariel（Qian Wang）,叶秀芳Freya (Xiufang Ye)</v>
          </cell>
          <cell r="S480" t="str">
            <v>常哲</v>
          </cell>
          <cell r="T480" t="str">
            <v>Minqing (Minqing Xu),罗煜雄 Mike (Yuxiong Luo)</v>
          </cell>
        </row>
        <row r="481">
          <cell r="G481" t="str">
            <v>MS 中南大区AS 亚特兰大和南阿拉巴马片区ATL01</v>
          </cell>
          <cell r="H481" t="str">
            <v>Station Head （Probation）站长（见习）</v>
          </cell>
          <cell r="I481" t="str">
            <v>TY_06:00</v>
          </cell>
          <cell r="J481" t="str">
            <v>08:31</v>
          </cell>
          <cell r="K481" t="str">
            <v>16:21</v>
          </cell>
          <cell r="L481" t="str">
            <v>不正确</v>
          </cell>
          <cell r="M481">
            <v>0</v>
          </cell>
          <cell r="N481">
            <v>7.33</v>
          </cell>
          <cell r="O481">
            <v>0</v>
          </cell>
          <cell r="P481">
            <v>0</v>
          </cell>
          <cell r="Q481">
            <v>0</v>
          </cell>
          <cell r="R481" t="str">
            <v>欧阳迎春Flower（Yingchun Ouyang）</v>
          </cell>
          <cell r="S481" t="str">
            <v>杨云飞</v>
          </cell>
          <cell r="T481" t="str">
            <v>李明峰Lucas(Mingfeng Li)</v>
          </cell>
        </row>
        <row r="482">
          <cell r="G482" t="str">
            <v>NE 东北大区EWR.H调度组</v>
          </cell>
          <cell r="H482" t="str">
            <v>Dispatcher 调度员</v>
          </cell>
          <cell r="I482" t="str">
            <v>TY_休息日</v>
          </cell>
        </row>
        <row r="482">
          <cell r="L482" t="str">
            <v>正确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str">
            <v>孙可君Monica（Kejun Sun）</v>
          </cell>
          <cell r="S482" t="str">
            <v>马聪Cong (Cong Ma)</v>
          </cell>
          <cell r="T482" t="str">
            <v>Minqing (Minqing Xu),罗煜雄 Mike (Yuxiong Luo)</v>
          </cell>
        </row>
        <row r="483">
          <cell r="G483" t="str">
            <v>NE 东北大区DC 华盛顿片区GED01</v>
          </cell>
          <cell r="H483" t="str">
            <v>Station Operations Specialist 站点运营专员</v>
          </cell>
          <cell r="I483" t="str">
            <v>TY_12:00</v>
          </cell>
          <cell r="J483" t="str">
            <v>12:04</v>
          </cell>
          <cell r="K483" t="str">
            <v>20:40</v>
          </cell>
          <cell r="L483" t="str">
            <v>正确</v>
          </cell>
          <cell r="M483">
            <v>0</v>
          </cell>
          <cell r="N483">
            <v>8.1</v>
          </cell>
          <cell r="O483">
            <v>0.1</v>
          </cell>
          <cell r="P483">
            <v>0</v>
          </cell>
          <cell r="Q483">
            <v>0</v>
          </cell>
          <cell r="R483" t="str">
            <v>孙可君Monica（Kejun Sun）</v>
          </cell>
          <cell r="S483" t="str">
            <v>马聪Cong (Cong Ma)</v>
          </cell>
          <cell r="T483" t="str">
            <v>朱晗宇 Peter (Hanyu Zhu)</v>
          </cell>
        </row>
        <row r="484">
          <cell r="G484" t="str">
            <v>BM 品牌市场部</v>
          </cell>
          <cell r="H484" t="str">
            <v>Marketing Specialist 市场专员</v>
          </cell>
          <cell r="I484" t="str">
            <v>TY_休息日</v>
          </cell>
        </row>
        <row r="484">
          <cell r="L484" t="str">
            <v>正确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str">
            <v>袁博闻(Bowen Yuan)</v>
          </cell>
        </row>
        <row r="485">
          <cell r="G485" t="str">
            <v>NE 东北大区PA 宾州片区MDT01</v>
          </cell>
          <cell r="H485" t="str">
            <v>Station Head （Probation）站长（见习）</v>
          </cell>
          <cell r="I485" t="str">
            <v>TY_05:00</v>
          </cell>
          <cell r="J485" t="str">
            <v>04:32</v>
          </cell>
          <cell r="K485" t="str">
            <v>16:56</v>
          </cell>
          <cell r="L485" t="str">
            <v>正确</v>
          </cell>
          <cell r="M485">
            <v>0</v>
          </cell>
          <cell r="N485">
            <v>11.9</v>
          </cell>
          <cell r="O485">
            <v>3.9</v>
          </cell>
          <cell r="P485">
            <v>0</v>
          </cell>
          <cell r="Q485">
            <v>0</v>
          </cell>
          <cell r="R485" t="str">
            <v>孙可君Monica（Kejun Sun）</v>
          </cell>
          <cell r="S485" t="str">
            <v>马聪Cong (Cong Ma)</v>
          </cell>
          <cell r="T485" t="str">
            <v>朱晗宇 Peter (Hanyu Zhu)</v>
          </cell>
        </row>
        <row r="486">
          <cell r="G486" t="str">
            <v>MS 中南大区CS 夏洛特及周边片区CLT02</v>
          </cell>
          <cell r="H486" t="str">
            <v>Warehouse Operator 操作员</v>
          </cell>
          <cell r="I486" t="str">
            <v>TY_04:30</v>
          </cell>
          <cell r="J486" t="str">
            <v>04:29</v>
          </cell>
          <cell r="K486" t="str">
            <v>13:00</v>
          </cell>
          <cell r="L486" t="str">
            <v>正确</v>
          </cell>
          <cell r="M486">
            <v>0</v>
          </cell>
          <cell r="N486">
            <v>8.02</v>
          </cell>
          <cell r="O486">
            <v>0.02</v>
          </cell>
          <cell r="P486">
            <v>57.11</v>
          </cell>
          <cell r="Q486">
            <v>17.11</v>
          </cell>
          <cell r="R486" t="str">
            <v>欧阳迎春Flower（Yingchun Ouyang）</v>
          </cell>
          <cell r="S486" t="str">
            <v>杨云飞</v>
          </cell>
          <cell r="T486" t="str">
            <v>郭丞芸Lexie(Chengyun Kuo)</v>
          </cell>
        </row>
        <row r="487">
          <cell r="G487" t="str">
            <v>Ground项目部OG 美东区CB080</v>
          </cell>
          <cell r="H487" t="str">
            <v>Warehouse Operator 操作员</v>
          </cell>
          <cell r="I487" t="str">
            <v>TY_休息日</v>
          </cell>
          <cell r="J487" t="str">
            <v>08:58</v>
          </cell>
          <cell r="K487" t="str">
            <v>17:30</v>
          </cell>
          <cell r="L487" t="str">
            <v>正确</v>
          </cell>
          <cell r="M487">
            <v>0</v>
          </cell>
          <cell r="N487">
            <v>8.03</v>
          </cell>
          <cell r="O487">
            <v>0.03</v>
          </cell>
          <cell r="P487">
            <v>0</v>
          </cell>
          <cell r="Q487">
            <v>0</v>
          </cell>
          <cell r="R487" t="str">
            <v>王安琪 (Anqi Wang),张朱同 Thomson（Zhutong Zhang）</v>
          </cell>
          <cell r="S487" t="str">
            <v>陈锦昭</v>
          </cell>
          <cell r="T487" t="str">
            <v>欧和枫 Henry (HeFeng Ou)</v>
          </cell>
        </row>
        <row r="488">
          <cell r="G488" t="str">
            <v>NE 东北大区运营支持部区域支持组</v>
          </cell>
          <cell r="H488" t="str">
            <v>Station Trainee 站点培训生</v>
          </cell>
          <cell r="I488" t="str">
            <v>TY_06:00</v>
          </cell>
        </row>
        <row r="488">
          <cell r="L488" t="str">
            <v>/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str">
            <v>孙可君Monica（Kejun Sun）</v>
          </cell>
          <cell r="S488" t="str">
            <v>马聪Cong (Cong Ma)</v>
          </cell>
        </row>
        <row r="489">
          <cell r="G489" t="str">
            <v>WE 美西大区SC 南加片区LAX01</v>
          </cell>
          <cell r="H489" t="str">
            <v>Warehouse Operator 操作员</v>
          </cell>
          <cell r="I489" t="str">
            <v>TY_休息日</v>
          </cell>
          <cell r="J489" t="str">
            <v>10:33</v>
          </cell>
          <cell r="K489" t="str">
            <v>14:08</v>
          </cell>
          <cell r="L489" t="str">
            <v>不正确</v>
          </cell>
          <cell r="M489">
            <v>0</v>
          </cell>
          <cell r="N489">
            <v>3.45</v>
          </cell>
          <cell r="O489">
            <v>0</v>
          </cell>
          <cell r="P489">
            <v>0</v>
          </cell>
          <cell r="Q489">
            <v>0</v>
          </cell>
          <cell r="R489" t="str">
            <v>王骞Ariel（Qian Wang）,叶秀芳Freya (Xiufang Ye)</v>
          </cell>
          <cell r="S489" t="str">
            <v>常哲</v>
          </cell>
          <cell r="T489" t="str">
            <v>尤梦楠Yuko（Mengnan You）</v>
          </cell>
        </row>
        <row r="490">
          <cell r="G490" t="str">
            <v>FL 佛州大区MCO.H操作组</v>
          </cell>
          <cell r="H490" t="str">
            <v>Warehouse Operator 操作员</v>
          </cell>
          <cell r="I490" t="str">
            <v>TY_13:00</v>
          </cell>
          <cell r="J490" t="str">
            <v>12:55</v>
          </cell>
          <cell r="K490" t="str">
            <v>00:01</v>
          </cell>
          <cell r="L490" t="str">
            <v>正确</v>
          </cell>
          <cell r="M490">
            <v>0</v>
          </cell>
          <cell r="N490">
            <v>10.6</v>
          </cell>
          <cell r="O490">
            <v>2.6</v>
          </cell>
          <cell r="P490">
            <v>0</v>
          </cell>
          <cell r="Q490">
            <v>0</v>
          </cell>
          <cell r="R490" t="str">
            <v>Natalia (Natalia Padilla),孙婕 Jasmine（Sunjie）</v>
          </cell>
          <cell r="S490" t="str">
            <v>贺子强Jeff (Ziqiang He)</v>
          </cell>
          <cell r="T490" t="str">
            <v>Minqing (Minqing Xu),罗煜雄 Mike (Yuxiong Luo)</v>
          </cell>
        </row>
        <row r="491">
          <cell r="G491" t="str">
            <v>WE 美西大区LAV.H操作组</v>
          </cell>
          <cell r="H491" t="str">
            <v>Warehouse Operator 操作员</v>
          </cell>
          <cell r="I491" t="str">
            <v>TY_08:00</v>
          </cell>
          <cell r="J491" t="str">
            <v>08:18</v>
          </cell>
          <cell r="K491" t="str">
            <v>16:52</v>
          </cell>
          <cell r="L491" t="str">
            <v>正确</v>
          </cell>
          <cell r="M491">
            <v>0</v>
          </cell>
          <cell r="N491">
            <v>8.07</v>
          </cell>
          <cell r="O491">
            <v>0.07</v>
          </cell>
          <cell r="P491">
            <v>0</v>
          </cell>
          <cell r="Q491">
            <v>0</v>
          </cell>
          <cell r="R491" t="str">
            <v>王骞Ariel（Qian Wang）,叶秀芳Freya (Xiufang Ye)</v>
          </cell>
          <cell r="S491" t="str">
            <v>常哲</v>
          </cell>
          <cell r="T491" t="str">
            <v>Minqing (Minqing Xu),罗煜雄 Mike (Yuxiong Luo)</v>
          </cell>
        </row>
        <row r="492">
          <cell r="G492" t="str">
            <v>SM 站点管理部站点实施组</v>
          </cell>
          <cell r="H492" t="str">
            <v>Senior Station Implementation  Specialist 高级站点实施专员</v>
          </cell>
          <cell r="I492" t="str">
            <v>TY_休息日</v>
          </cell>
        </row>
        <row r="492">
          <cell r="L492" t="str">
            <v>正确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str">
            <v>袁博闻(Bowen Yuan)</v>
          </cell>
        </row>
        <row r="493">
          <cell r="G493" t="str">
            <v>WE 美西大区SC 南加片区LAX01</v>
          </cell>
          <cell r="H493" t="str">
            <v>Station Operations Specialist 站点运营专员</v>
          </cell>
          <cell r="I493" t="str">
            <v>TY_05:00</v>
          </cell>
          <cell r="J493" t="str">
            <v>04:40</v>
          </cell>
          <cell r="K493" t="str">
            <v>14:28</v>
          </cell>
          <cell r="L493" t="str">
            <v>正确</v>
          </cell>
          <cell r="M493">
            <v>0</v>
          </cell>
          <cell r="N493">
            <v>9.3</v>
          </cell>
          <cell r="O493">
            <v>1.3</v>
          </cell>
          <cell r="P493">
            <v>37.72</v>
          </cell>
          <cell r="Q493">
            <v>0</v>
          </cell>
          <cell r="R493" t="str">
            <v>王骞Ariel（Qian Wang）,叶秀芳Freya (Xiufang Ye)</v>
          </cell>
          <cell r="S493" t="str">
            <v>常哲</v>
          </cell>
          <cell r="T493" t="str">
            <v>尤梦楠Yuko（Mengnan You）</v>
          </cell>
        </row>
        <row r="494">
          <cell r="G494" t="str">
            <v>NE 东北大区PA 宾州片区LDJ01</v>
          </cell>
          <cell r="H494" t="str">
            <v>Station Operations Specialist 站点运营专员</v>
          </cell>
          <cell r="I494" t="str">
            <v>TY_休息日</v>
          </cell>
        </row>
        <row r="494">
          <cell r="L494" t="str">
            <v>正确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str">
            <v>孙可君Monica（Kejun Sun）</v>
          </cell>
          <cell r="S494" t="str">
            <v>马聪Cong (Cong Ma)</v>
          </cell>
          <cell r="T494" t="str">
            <v>朱晗宇 Peter (Hanyu Zhu)</v>
          </cell>
        </row>
        <row r="495">
          <cell r="G495" t="str">
            <v>US人力资源部美洲HRBP组综合HRBP组</v>
          </cell>
          <cell r="H495" t="str">
            <v>HRBP Assistant HRBP助理</v>
          </cell>
          <cell r="I495" t="str">
            <v>TY_休息日</v>
          </cell>
        </row>
        <row r="495">
          <cell r="L495" t="str">
            <v>正确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str">
            <v>袁博闻(Bowen Yuan)</v>
          </cell>
        </row>
        <row r="496">
          <cell r="G496" t="str">
            <v>GL 大湖大区运营支持部区域支持组</v>
          </cell>
          <cell r="H496" t="str">
            <v>Regional Support Specialist 区域支持专员</v>
          </cell>
          <cell r="I496" t="str">
            <v>TY_休息日</v>
          </cell>
          <cell r="J496" t="str">
            <v>10:47</v>
          </cell>
          <cell r="K496" t="str">
            <v>20:09</v>
          </cell>
          <cell r="L496" t="str">
            <v>不正确</v>
          </cell>
          <cell r="M496">
            <v>0</v>
          </cell>
          <cell r="N496">
            <v>8.87</v>
          </cell>
          <cell r="O496">
            <v>0.87</v>
          </cell>
          <cell r="P496">
            <v>0</v>
          </cell>
          <cell r="Q496">
            <v>0</v>
          </cell>
          <cell r="R496" t="str">
            <v>王晓丹 Jasmine（Xiaodan Wang）,周延舒Isabel（Yanshu Zhou）</v>
          </cell>
          <cell r="S496" t="str">
            <v>张骥Ji Zhang (Ji Zhang)</v>
          </cell>
        </row>
        <row r="497">
          <cell r="G497" t="str">
            <v>NE 东北大区BWI01</v>
          </cell>
          <cell r="H497" t="str">
            <v>Station Operations Specialist 站点运营专员</v>
          </cell>
          <cell r="I497" t="str">
            <v>TY_07:30</v>
          </cell>
        </row>
        <row r="497">
          <cell r="L497" t="str">
            <v>/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str">
            <v>孙可君Monica（Kejun Sun）</v>
          </cell>
          <cell r="S497" t="str">
            <v>马聪Cong (Cong Ma)</v>
          </cell>
        </row>
        <row r="498">
          <cell r="G498" t="str">
            <v>AD 行政部美东组</v>
          </cell>
          <cell r="H498" t="str">
            <v>Admin Specialist 行政专员</v>
          </cell>
          <cell r="I498" t="str">
            <v>TY_休息日</v>
          </cell>
        </row>
        <row r="498">
          <cell r="L498" t="str">
            <v>正确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str">
            <v>袁博闻(Bowen Yuan)</v>
          </cell>
        </row>
        <row r="499">
          <cell r="G499" t="str">
            <v>WE 美西大区CNO.H操作组</v>
          </cell>
          <cell r="H499" t="str">
            <v>Warehouse Lead 操作组长</v>
          </cell>
          <cell r="I499" t="str">
            <v>TY_休息日</v>
          </cell>
        </row>
        <row r="499">
          <cell r="L499" t="str">
            <v>正确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str">
            <v>王骞Ariel（Qian Wang）,叶秀芳Freya (Xiufang Ye)</v>
          </cell>
          <cell r="S499" t="str">
            <v>常哲</v>
          </cell>
          <cell r="T499" t="str">
            <v>Minqing (Minqing Xu),罗煜雄 Mike (Yuxiong Luo)</v>
          </cell>
        </row>
        <row r="500">
          <cell r="G500" t="str">
            <v>WE 美西大区CNO.H分拣组</v>
          </cell>
          <cell r="H500" t="str">
            <v>Sorter 分拣员</v>
          </cell>
          <cell r="I500" t="str">
            <v>TY_休息日</v>
          </cell>
        </row>
        <row r="500">
          <cell r="L500" t="str">
            <v>正确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str">
            <v>王骞Ariel（Qian Wang）,叶秀芳Freya (Xiufang Ye)</v>
          </cell>
          <cell r="S500" t="str">
            <v>常哲</v>
          </cell>
          <cell r="T500" t="str">
            <v>张双甫(Shuangfu Zhang)</v>
          </cell>
        </row>
        <row r="501">
          <cell r="G501" t="str">
            <v>MS 中南大区AS 亚特兰大和南阿拉巴马片区ATL01</v>
          </cell>
          <cell r="H501" t="str">
            <v>Station Operations Specialist 站点运营专员</v>
          </cell>
          <cell r="I501" t="str">
            <v>TY_休息日</v>
          </cell>
        </row>
        <row r="501">
          <cell r="L501" t="str">
            <v>正确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str">
            <v>欧阳迎春Flower（Yingchun Ouyang）</v>
          </cell>
          <cell r="S501" t="str">
            <v>杨云飞</v>
          </cell>
          <cell r="T501" t="str">
            <v>李明峰Lucas(Mingfeng Li)</v>
          </cell>
        </row>
        <row r="502">
          <cell r="G502" t="str">
            <v>GL 大湖大区ORD.H异常处理组</v>
          </cell>
          <cell r="H502" t="str">
            <v>Returns Specialist 退件员</v>
          </cell>
          <cell r="I502" t="str">
            <v>TY_09:00</v>
          </cell>
          <cell r="J502" t="str">
            <v>08:50</v>
          </cell>
          <cell r="K502" t="str">
            <v>17:48</v>
          </cell>
          <cell r="L502" t="str">
            <v>正确</v>
          </cell>
          <cell r="M502">
            <v>0</v>
          </cell>
          <cell r="N502">
            <v>8.47</v>
          </cell>
          <cell r="O502">
            <v>0.47</v>
          </cell>
          <cell r="P502">
            <v>0</v>
          </cell>
          <cell r="Q502">
            <v>0</v>
          </cell>
          <cell r="R502" t="str">
            <v>王晓丹 Jasmine（Xiaodan Wang）,周延舒Isabel（Yanshu Zhou）</v>
          </cell>
          <cell r="S502" t="str">
            <v>张骥Ji Zhang (Ji Zhang)</v>
          </cell>
          <cell r="T502" t="str">
            <v>Minqing (Minqing Xu),罗煜雄 Mike (Yuxiong Luo)</v>
          </cell>
        </row>
        <row r="503">
          <cell r="G503" t="str">
            <v>AD 行政部综合管理组</v>
          </cell>
          <cell r="H503" t="str">
            <v>Vehicle Management Specialist 车辆管理专员</v>
          </cell>
          <cell r="I503" t="str">
            <v>TY_休息日</v>
          </cell>
        </row>
        <row r="503">
          <cell r="L503" t="str">
            <v>正确</v>
          </cell>
          <cell r="M503">
            <v>0</v>
          </cell>
          <cell r="N503">
            <v>0</v>
          </cell>
          <cell r="O503">
            <v>0</v>
          </cell>
          <cell r="P503">
            <v>47.55</v>
          </cell>
          <cell r="Q503">
            <v>7.55</v>
          </cell>
          <cell r="R503" t="str">
            <v>袁博闻(Bowen Yuan)</v>
          </cell>
        </row>
        <row r="504">
          <cell r="G504" t="str">
            <v>Ground项目部OG 美西区SFO.G</v>
          </cell>
          <cell r="H504" t="str">
            <v>Sorter 分拣员</v>
          </cell>
          <cell r="I504" t="str">
            <v>TY_休息日</v>
          </cell>
        </row>
        <row r="504">
          <cell r="L504" t="str">
            <v>正确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str">
            <v>王安琪 (Anqi Wang),张朱同 Thomson（Zhutong Zhang）</v>
          </cell>
          <cell r="S504" t="str">
            <v>陈锦昭</v>
          </cell>
          <cell r="T504" t="str">
            <v>蒲奕霖Steven（Yilin Pu）</v>
          </cell>
        </row>
        <row r="505">
          <cell r="G505" t="str">
            <v>WE 美西大区LAV.H</v>
          </cell>
          <cell r="H505" t="str">
            <v>Hub Head（Probation） 仓长（见习）</v>
          </cell>
          <cell r="I505" t="str">
            <v>TY_美国节假日（9点-18点）</v>
          </cell>
        </row>
        <row r="505">
          <cell r="L505" t="str">
            <v>正确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str">
            <v>王骞Ariel（Qian Wang）,叶秀芳Freya (Xiufang Ye)</v>
          </cell>
          <cell r="S505" t="str">
            <v>常哲</v>
          </cell>
        </row>
        <row r="506">
          <cell r="G506" t="str">
            <v>AD 行政部美西组</v>
          </cell>
          <cell r="H506" t="str">
            <v>Admin Assistant 行政助理</v>
          </cell>
          <cell r="I506" t="str">
            <v>TY_休息日</v>
          </cell>
        </row>
        <row r="506">
          <cell r="L506" t="str">
            <v>正确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str">
            <v>袁博闻(Bowen Yuan)</v>
          </cell>
        </row>
        <row r="507">
          <cell r="G507" t="str">
            <v>NE 东北大区运营支持部</v>
          </cell>
          <cell r="H507" t="str">
            <v>Operation Support Supervisor 运营支持部主管</v>
          </cell>
          <cell r="I507" t="str">
            <v>TY_09:30</v>
          </cell>
        </row>
        <row r="507">
          <cell r="L507" t="str">
            <v>/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str">
            <v>孙可君Monica（Kejun Sun）</v>
          </cell>
          <cell r="S507" t="str">
            <v>马聪Cong (Cong Ma)</v>
          </cell>
        </row>
        <row r="508">
          <cell r="G508" t="str">
            <v>CM 运力管理部自营运力组</v>
          </cell>
          <cell r="H508" t="str">
            <v>Junior In-house Capacity Data Specialist 初级自营运力数据专员</v>
          </cell>
          <cell r="I508" t="str">
            <v>TY_休息日</v>
          </cell>
        </row>
        <row r="508">
          <cell r="L508" t="str">
            <v>正确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str">
            <v>袁博闻(Bowen Yuan)</v>
          </cell>
        </row>
        <row r="509">
          <cell r="G509" t="str">
            <v>GL 大湖大区CVG.H调度组</v>
          </cell>
          <cell r="H509" t="str">
            <v>Dispatcher 调度员</v>
          </cell>
          <cell r="I509" t="str">
            <v>TY_16:00</v>
          </cell>
        </row>
        <row r="509">
          <cell r="K509" t="str">
            <v>01:12</v>
          </cell>
          <cell r="L509" t="str">
            <v>/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str">
            <v>王晓丹 Jasmine（Xiaodan Wang）,周延舒Isabel（Yanshu Zhou）</v>
          </cell>
          <cell r="S509" t="str">
            <v>张骥Ji Zhang (Ji Zhang)</v>
          </cell>
          <cell r="T509" t="str">
            <v>Minqing (Minqing Xu),罗煜雄 Mike (Yuxiong Luo)</v>
          </cell>
        </row>
        <row r="510">
          <cell r="G510" t="str">
            <v>Ground项目部OG 美中区ORD.G</v>
          </cell>
          <cell r="H510" t="str">
            <v>Deputy Hub Head 副仓长</v>
          </cell>
          <cell r="I510" t="str">
            <v>TY_08:30</v>
          </cell>
        </row>
        <row r="510">
          <cell r="L510" t="str">
            <v>/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str">
            <v>王安琪 (Anqi Wang),张朱同 Thomson（Zhutong Zhang）</v>
          </cell>
          <cell r="S510" t="str">
            <v>陈锦昭</v>
          </cell>
        </row>
        <row r="511">
          <cell r="G511" t="str">
            <v>NE 东北大区运营支持部区域支持组</v>
          </cell>
          <cell r="H511" t="str">
            <v>Regional Support Specialist 区域支持专员</v>
          </cell>
          <cell r="I511" t="str">
            <v>TY_休息日</v>
          </cell>
        </row>
        <row r="511">
          <cell r="L511" t="str">
            <v>正确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str">
            <v>孙可君Monica（Kejun Sun）</v>
          </cell>
          <cell r="S511" t="str">
            <v>马聪Cong (Cong Ma)</v>
          </cell>
        </row>
        <row r="512">
          <cell r="G512" t="str">
            <v>NE 东北大区EWR.H综办组</v>
          </cell>
          <cell r="H512" t="str">
            <v>EHS Specialist EHS专员</v>
          </cell>
          <cell r="I512" t="str">
            <v>TY_06:00</v>
          </cell>
          <cell r="J512" t="str">
            <v>07:27</v>
          </cell>
          <cell r="K512" t="str">
            <v>16:38</v>
          </cell>
          <cell r="L512" t="str">
            <v>不正确</v>
          </cell>
          <cell r="M512">
            <v>0</v>
          </cell>
          <cell r="N512">
            <v>8.68</v>
          </cell>
          <cell r="O512">
            <v>0.68</v>
          </cell>
          <cell r="P512">
            <v>50.74</v>
          </cell>
          <cell r="Q512">
            <v>10.74</v>
          </cell>
          <cell r="R512" t="str">
            <v>孙可君Monica（Kejun Sun）</v>
          </cell>
          <cell r="S512" t="str">
            <v>马聪Cong (Cong Ma)</v>
          </cell>
          <cell r="T512" t="str">
            <v>Minqing (Minqing Xu),罗煜雄 Mike (Yuxiong Luo)</v>
          </cell>
        </row>
        <row r="513">
          <cell r="G513" t="str">
            <v>Ground项目部OG 美西区LV891</v>
          </cell>
          <cell r="H513" t="str">
            <v>Station Operations Specialist 站点运营专员</v>
          </cell>
          <cell r="I513" t="str">
            <v>TY_休息日</v>
          </cell>
        </row>
        <row r="513">
          <cell r="L513" t="str">
            <v>正确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str">
            <v>王安琪 (Anqi Wang),张朱同 Thomson（Zhutong Zhang）</v>
          </cell>
          <cell r="S513" t="str">
            <v>陈锦昭</v>
          </cell>
          <cell r="T513" t="str">
            <v>宋佳牧 Dorian (Jiamu Song)</v>
          </cell>
        </row>
        <row r="514">
          <cell r="G514" t="str">
            <v>WE 美西大区LAV.H操作组</v>
          </cell>
          <cell r="H514" t="str">
            <v>Warehouse Operator 操作员</v>
          </cell>
          <cell r="I514" t="str">
            <v>TY_13:00</v>
          </cell>
          <cell r="J514" t="str">
            <v>12:50</v>
          </cell>
          <cell r="K514" t="str">
            <v>21:37</v>
          </cell>
          <cell r="L514" t="str">
            <v>正确</v>
          </cell>
          <cell r="M514">
            <v>0</v>
          </cell>
          <cell r="N514">
            <v>8.28</v>
          </cell>
          <cell r="O514">
            <v>0.28</v>
          </cell>
          <cell r="P514">
            <v>0</v>
          </cell>
          <cell r="Q514">
            <v>0</v>
          </cell>
          <cell r="R514" t="str">
            <v>王骞Ariel（Qian Wang）,叶秀芳Freya (Xiufang Ye)</v>
          </cell>
          <cell r="S514" t="str">
            <v>常哲</v>
          </cell>
          <cell r="T514" t="str">
            <v>Minqing (Minqing Xu),罗煜雄 Mike (Yuxiong Luo)</v>
          </cell>
        </row>
        <row r="515">
          <cell r="G515" t="str">
            <v>NE 东北大区运营支持部区域支持组</v>
          </cell>
          <cell r="H515" t="str">
            <v>Station Trainee 站点培训生</v>
          </cell>
          <cell r="I515" t="str">
            <v>TY_休息日</v>
          </cell>
        </row>
        <row r="515">
          <cell r="L515" t="str">
            <v>正确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str">
            <v>孙可君Monica（Kejun Sun）</v>
          </cell>
          <cell r="S515" t="str">
            <v>马聪Cong (Cong Ma)</v>
          </cell>
        </row>
        <row r="516">
          <cell r="G516" t="str">
            <v>AD 行政部美东组</v>
          </cell>
          <cell r="H516" t="str">
            <v>Junior Admin Specialist 初级行政专员</v>
          </cell>
          <cell r="I516" t="str">
            <v>TY_休息日</v>
          </cell>
        </row>
        <row r="516">
          <cell r="L516" t="str">
            <v>正确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str">
            <v>袁博闻(Bowen Yuan)</v>
          </cell>
        </row>
        <row r="517">
          <cell r="G517" t="str">
            <v>MS 中南大区</v>
          </cell>
          <cell r="H517" t="str">
            <v>Regional Head 区长</v>
          </cell>
          <cell r="I517" t="str">
            <v>TY_09:30</v>
          </cell>
          <cell r="J517" t="str">
            <v>09:30</v>
          </cell>
          <cell r="K517" t="str">
            <v>18:00</v>
          </cell>
          <cell r="L517" t="str">
            <v>正确</v>
          </cell>
          <cell r="M517">
            <v>0</v>
          </cell>
          <cell r="N517">
            <v>8</v>
          </cell>
          <cell r="O517">
            <v>0</v>
          </cell>
          <cell r="P517">
            <v>0</v>
          </cell>
          <cell r="Q517">
            <v>0</v>
          </cell>
          <cell r="R517" t="str">
            <v>欧阳迎春Flower（Yingchun Ouyang）</v>
          </cell>
          <cell r="S517" t="str">
            <v>杨云飞</v>
          </cell>
        </row>
        <row r="518">
          <cell r="G518" t="str">
            <v>WE 美西大区CNO.H分拣组</v>
          </cell>
          <cell r="H518" t="str">
            <v>Sorter 分拣员</v>
          </cell>
          <cell r="I518" t="str">
            <v>TY_休息日</v>
          </cell>
        </row>
        <row r="518">
          <cell r="L518" t="str">
            <v>正确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str">
            <v>王骞Ariel（Qian Wang）,叶秀芳Freya (Xiufang Ye)</v>
          </cell>
          <cell r="S518" t="str">
            <v>常哲</v>
          </cell>
          <cell r="T518" t="str">
            <v>张双甫(Shuangfu Zhang)</v>
          </cell>
        </row>
        <row r="519">
          <cell r="G519" t="str">
            <v>FL 佛州大区MF 中佛片区WPB02</v>
          </cell>
          <cell r="H519" t="str">
            <v>Station Operations Specialist 站点运营专员</v>
          </cell>
          <cell r="I519" t="str">
            <v>TY_05:00</v>
          </cell>
          <cell r="J519" t="str">
            <v>04:29</v>
          </cell>
          <cell r="K519" t="str">
            <v>13:30</v>
          </cell>
          <cell r="L519" t="str">
            <v>正确</v>
          </cell>
          <cell r="M519">
            <v>0</v>
          </cell>
          <cell r="N519">
            <v>8.52</v>
          </cell>
          <cell r="O519">
            <v>0.52</v>
          </cell>
          <cell r="P519">
            <v>0</v>
          </cell>
          <cell r="Q519">
            <v>0</v>
          </cell>
          <cell r="R519" t="str">
            <v>Natalia (Natalia Padilla),孙婕 Jasmine（Sunjie）</v>
          </cell>
          <cell r="S519" t="str">
            <v>贺子强Jeff (Ziqiang He)</v>
          </cell>
          <cell r="T519" t="str">
            <v>曹杨清清(Encore)</v>
          </cell>
        </row>
        <row r="520">
          <cell r="G520" t="str">
            <v>TX 德州大区NT 北德州片区DFW01</v>
          </cell>
          <cell r="H520" t="str">
            <v>Station Operations Specialist 站点运营专员</v>
          </cell>
          <cell r="I520" t="str">
            <v>TY_05:30</v>
          </cell>
        </row>
        <row r="520">
          <cell r="L520" t="str">
            <v>/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str">
            <v>肖芦莉Lily (Luli Xiao)</v>
          </cell>
          <cell r="S520" t="str">
            <v>张骥Ji Zhang (Ji Zhang)</v>
          </cell>
          <cell r="T520" t="str">
            <v>何琼joan(Qiong He)</v>
          </cell>
        </row>
        <row r="521">
          <cell r="G521" t="str">
            <v>WE 美西大区CNO.H操作组</v>
          </cell>
          <cell r="H521" t="str">
            <v>Warehouse Operator 操作员</v>
          </cell>
          <cell r="I521" t="str">
            <v>TY_休息日</v>
          </cell>
        </row>
        <row r="521">
          <cell r="L521" t="str">
            <v>正确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str">
            <v>王骞Ariel（Qian Wang）,叶秀芳Freya (Xiufang Ye)</v>
          </cell>
          <cell r="S521" t="str">
            <v>常哲</v>
          </cell>
          <cell r="T521" t="str">
            <v>Minqing (Minqing Xu),罗煜雄 Mike (Yuxiong Luo)</v>
          </cell>
        </row>
        <row r="522">
          <cell r="G522" t="str">
            <v>FL 佛州大区SRQ01</v>
          </cell>
          <cell r="H522" t="str">
            <v>Station Operations Specialist 站点运营专员</v>
          </cell>
          <cell r="I522" t="str">
            <v>TY_04:00</v>
          </cell>
          <cell r="J522" t="str">
            <v>04:51</v>
          </cell>
          <cell r="K522" t="str">
            <v>14:16</v>
          </cell>
          <cell r="L522" t="str">
            <v>正确</v>
          </cell>
          <cell r="M522">
            <v>0</v>
          </cell>
          <cell r="N522">
            <v>8.92</v>
          </cell>
          <cell r="O522">
            <v>0.92</v>
          </cell>
          <cell r="P522">
            <v>0</v>
          </cell>
          <cell r="Q522">
            <v>0</v>
          </cell>
          <cell r="R522" t="str">
            <v>Natalia (Natalia Padilla),孙婕 Jasmine（Sunjie）</v>
          </cell>
          <cell r="S522" t="str">
            <v>贺子强Jeff (Ziqiang He)</v>
          </cell>
        </row>
        <row r="523">
          <cell r="G523" t="str">
            <v>WE 美西大区SP 西雅图·波特兰片区SEA01</v>
          </cell>
          <cell r="H523" t="str">
            <v>Warehouse Operator 操作员</v>
          </cell>
          <cell r="I523" t="str">
            <v>TY_06:00</v>
          </cell>
          <cell r="J523" t="str">
            <v>05:36</v>
          </cell>
          <cell r="K523" t="str">
            <v>13:55</v>
          </cell>
          <cell r="L523" t="str">
            <v>正确</v>
          </cell>
          <cell r="M523">
            <v>0</v>
          </cell>
          <cell r="N523">
            <v>7.82</v>
          </cell>
          <cell r="O523">
            <v>0</v>
          </cell>
          <cell r="P523">
            <v>0</v>
          </cell>
          <cell r="Q523">
            <v>0</v>
          </cell>
          <cell r="R523" t="str">
            <v>王骞Ariel（Qian Wang）,叶秀芳Freya (Xiufang Ye)</v>
          </cell>
          <cell r="S523" t="str">
            <v>常哲</v>
          </cell>
          <cell r="T523" t="str">
            <v>尤梦楠Yuko（Mengnan You）</v>
          </cell>
        </row>
        <row r="524">
          <cell r="G524" t="str">
            <v>TX 德州大区DFW.H调度组</v>
          </cell>
          <cell r="H524" t="str">
            <v>Dispatcher 调度员</v>
          </cell>
          <cell r="I524" t="str">
            <v>TY_休息日</v>
          </cell>
        </row>
        <row r="524">
          <cell r="L524" t="str">
            <v>正确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str">
            <v>肖芦莉Lily (Luli Xiao)</v>
          </cell>
          <cell r="S524" t="str">
            <v>张骥Ji Zhang (Ji Zhang)</v>
          </cell>
          <cell r="T524" t="str">
            <v>Minqing (Minqing Xu),罗煜雄 Mike (Yuxiong Luo)</v>
          </cell>
        </row>
        <row r="525">
          <cell r="G525" t="str">
            <v>QC 质量控制部质量改善组</v>
          </cell>
          <cell r="H525" t="str">
            <v>Junior Quality Improvement Specialist 初级质量改善专员</v>
          </cell>
          <cell r="I525" t="str">
            <v>TY_休息日</v>
          </cell>
        </row>
        <row r="525">
          <cell r="L525" t="str">
            <v>正确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str">
            <v>袁博闻(Bowen Yuan)</v>
          </cell>
        </row>
        <row r="526">
          <cell r="G526" t="str">
            <v>MS 中南大区ATL.H分拣组</v>
          </cell>
          <cell r="H526" t="str">
            <v>Sorting Lead 分拣组长</v>
          </cell>
          <cell r="I526" t="str">
            <v>TY_18:00</v>
          </cell>
          <cell r="J526" t="str">
            <v>18:34</v>
          </cell>
          <cell r="K526" t="str">
            <v>02:52</v>
          </cell>
          <cell r="L526" t="str">
            <v>正确</v>
          </cell>
          <cell r="M526">
            <v>0</v>
          </cell>
          <cell r="N526">
            <v>7.8</v>
          </cell>
          <cell r="O526">
            <v>0</v>
          </cell>
          <cell r="P526">
            <v>0</v>
          </cell>
          <cell r="Q526">
            <v>0</v>
          </cell>
          <cell r="R526" t="str">
            <v>欧阳迎春Flower（Yingchun Ouyang）</v>
          </cell>
          <cell r="S526" t="str">
            <v>杨云飞</v>
          </cell>
          <cell r="T526" t="str">
            <v>张双甫(Shuangfu Zhang),明杰麟Jennie (Jielin Ming)</v>
          </cell>
          <cell r="U526" t="str">
            <v>文艳平</v>
          </cell>
        </row>
        <row r="527">
          <cell r="G527" t="str">
            <v>TX 德州大区揽收部</v>
          </cell>
          <cell r="H527" t="str">
            <v>Pickup Supervisor 揽收部主管</v>
          </cell>
          <cell r="I527" t="str">
            <v>TY_休息日</v>
          </cell>
        </row>
        <row r="527">
          <cell r="L527" t="str">
            <v>正确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str">
            <v>肖芦莉Lily (Luli Xiao)</v>
          </cell>
          <cell r="S527" t="str">
            <v>张骥Ji Zhang (Ji Zhang)</v>
          </cell>
        </row>
        <row r="528">
          <cell r="G528" t="str">
            <v>GL 大湖大区ORD.H调度组</v>
          </cell>
          <cell r="H528" t="str">
            <v>Dispatch Lead 调度组长</v>
          </cell>
          <cell r="I528" t="str">
            <v>TY_07:00</v>
          </cell>
          <cell r="J528" t="str">
            <v>07:22</v>
          </cell>
          <cell r="K528" t="str">
            <v>18:15</v>
          </cell>
          <cell r="L528" t="str">
            <v>正确</v>
          </cell>
          <cell r="M528">
            <v>0</v>
          </cell>
          <cell r="N528">
            <v>10.38</v>
          </cell>
          <cell r="O528">
            <v>2.38</v>
          </cell>
          <cell r="P528">
            <v>50.02</v>
          </cell>
          <cell r="Q528">
            <v>10.02</v>
          </cell>
          <cell r="R528" t="str">
            <v>王晓丹 Jasmine（Xiaodan Wang）,周延舒Isabel（Yanshu Zhou）</v>
          </cell>
          <cell r="S528" t="str">
            <v>张骥Ji Zhang (Ji Zhang)</v>
          </cell>
          <cell r="T528" t="str">
            <v>Minqing (Minqing Xu),罗煜雄 Mike (Yuxiong Luo)</v>
          </cell>
        </row>
        <row r="529">
          <cell r="G529" t="str">
            <v>TX 德州大区DFW.H分拣组</v>
          </cell>
          <cell r="H529" t="str">
            <v>Sorter 分拣员</v>
          </cell>
          <cell r="I529" t="str">
            <v>TY_休息日</v>
          </cell>
        </row>
        <row r="529">
          <cell r="L529" t="str">
            <v>正确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str">
            <v>肖芦莉Lily (Luli Xiao)</v>
          </cell>
          <cell r="S529" t="str">
            <v>张骥Ji Zhang (Ji Zhang)</v>
          </cell>
          <cell r="T529" t="str">
            <v>张双甫(Shuangfu Zhang)</v>
          </cell>
        </row>
        <row r="530">
          <cell r="G530" t="str">
            <v>MS 中南大区BN 田纳西和北阿拉巴马片区CHA01</v>
          </cell>
          <cell r="H530" t="str">
            <v>Station Operations Specialist 站点运营专员</v>
          </cell>
          <cell r="I530" t="str">
            <v>TY_05:00</v>
          </cell>
          <cell r="J530" t="str">
            <v>05:15</v>
          </cell>
          <cell r="K530" t="str">
            <v>11:30</v>
          </cell>
          <cell r="L530" t="str">
            <v>正确</v>
          </cell>
          <cell r="M530">
            <v>2</v>
          </cell>
          <cell r="N530">
            <v>7.75</v>
          </cell>
          <cell r="O530">
            <v>0</v>
          </cell>
          <cell r="P530">
            <v>0</v>
          </cell>
          <cell r="Q530">
            <v>0</v>
          </cell>
          <cell r="R530" t="str">
            <v>欧阳迎春Flower（Yingchun Ouyang）</v>
          </cell>
          <cell r="S530" t="str">
            <v>杨云飞</v>
          </cell>
          <cell r="T530" t="str">
            <v>杨益洲Young（Yizhou Yang）</v>
          </cell>
        </row>
        <row r="531">
          <cell r="G531" t="str">
            <v>SM 站点管理部产品运营组</v>
          </cell>
          <cell r="H531" t="str">
            <v>Junior Product Operation Specialist 初级产品运营专员</v>
          </cell>
          <cell r="I531" t="str">
            <v>TY_休息日</v>
          </cell>
        </row>
        <row r="531">
          <cell r="L531" t="str">
            <v>正确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str">
            <v>袁博闻(Bowen Yuan)</v>
          </cell>
        </row>
        <row r="532">
          <cell r="G532" t="str">
            <v>WE 美西大区CNO.H异常处理组</v>
          </cell>
          <cell r="H532" t="str">
            <v>Returns Specialist 退件员</v>
          </cell>
          <cell r="I532" t="str">
            <v>TY_休息日</v>
          </cell>
        </row>
        <row r="532">
          <cell r="L532" t="str">
            <v>正确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str">
            <v>王骞Ariel（Qian Wang）,叶秀芳Freya (Xiufang Ye)</v>
          </cell>
          <cell r="S532" t="str">
            <v>常哲</v>
          </cell>
          <cell r="T532" t="str">
            <v>Minqing (Minqing Xu),罗煜雄 Mike (Yuxiong Luo)</v>
          </cell>
        </row>
        <row r="533">
          <cell r="G533" t="str">
            <v>TX 德州大区IAH.H异常处理组</v>
          </cell>
          <cell r="H533" t="str">
            <v>Returns Specialist 退件员</v>
          </cell>
          <cell r="I533" t="str">
            <v>TY_休息日</v>
          </cell>
        </row>
        <row r="533">
          <cell r="L533" t="str">
            <v>正确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str">
            <v>肖芦莉Lily (Luli Xiao)</v>
          </cell>
          <cell r="S533" t="str">
            <v>张骥Ji Zhang (Ji Zhang)</v>
          </cell>
          <cell r="T533" t="str">
            <v>Minqing (Minqing Xu),罗煜雄 Mike (Yuxiong Luo)</v>
          </cell>
        </row>
        <row r="534">
          <cell r="G534" t="str">
            <v>Ground项目部OG 美东区NY118</v>
          </cell>
          <cell r="H534" t="str">
            <v>Station Operations Specialist 站点运营专员</v>
          </cell>
          <cell r="I534" t="str">
            <v>TY_12:00</v>
          </cell>
          <cell r="J534" t="str">
            <v>11:48</v>
          </cell>
          <cell r="K534" t="str">
            <v>20:32</v>
          </cell>
          <cell r="L534" t="str">
            <v>正确</v>
          </cell>
          <cell r="M534">
            <v>0</v>
          </cell>
          <cell r="N534">
            <v>8.23</v>
          </cell>
          <cell r="O534">
            <v>0.23</v>
          </cell>
          <cell r="P534">
            <v>0</v>
          </cell>
          <cell r="Q534">
            <v>0</v>
          </cell>
          <cell r="R534" t="str">
            <v>王安琪 (Anqi Wang),张朱同 Thomson（Zhutong Zhang）</v>
          </cell>
          <cell r="S534" t="str">
            <v>陈锦昭</v>
          </cell>
          <cell r="T534" t="str">
            <v>欧和枫 Henry (HeFeng Ou)</v>
          </cell>
        </row>
        <row r="535">
          <cell r="G535" t="str">
            <v>NE 东北大区BDL01</v>
          </cell>
          <cell r="H535" t="str">
            <v>Station Head 站长</v>
          </cell>
          <cell r="I535" t="str">
            <v>TY_休息日</v>
          </cell>
          <cell r="J535" t="str">
            <v>05:51</v>
          </cell>
          <cell r="K535" t="str">
            <v>15:08</v>
          </cell>
          <cell r="L535" t="str">
            <v>不正确</v>
          </cell>
          <cell r="M535">
            <v>0</v>
          </cell>
          <cell r="N535">
            <v>8.78</v>
          </cell>
          <cell r="O535">
            <v>0.78</v>
          </cell>
          <cell r="P535">
            <v>0</v>
          </cell>
          <cell r="Q535">
            <v>0</v>
          </cell>
          <cell r="R535" t="str">
            <v>孙可君Monica（Kejun Sun）</v>
          </cell>
          <cell r="S535" t="str">
            <v>马聪Cong (Cong Ma)</v>
          </cell>
        </row>
        <row r="536">
          <cell r="G536" t="str">
            <v>GL 大湖大区揽收部揽收调度组</v>
          </cell>
          <cell r="H536" t="str">
            <v>Pickup Dispatcher 揽收调度员</v>
          </cell>
          <cell r="I536" t="str">
            <v>TY_09:30</v>
          </cell>
          <cell r="J536" t="str">
            <v>09:01</v>
          </cell>
          <cell r="K536" t="str">
            <v>17:43</v>
          </cell>
          <cell r="L536" t="str">
            <v>正确</v>
          </cell>
          <cell r="M536">
            <v>0</v>
          </cell>
          <cell r="N536">
            <v>8.2</v>
          </cell>
          <cell r="O536">
            <v>0.2</v>
          </cell>
          <cell r="P536">
            <v>0</v>
          </cell>
          <cell r="Q536">
            <v>0</v>
          </cell>
          <cell r="R536" t="str">
            <v>王晓丹 Jasmine（Xiaodan Wang）,周延舒Isabel（Yanshu Zhou）</v>
          </cell>
          <cell r="S536" t="str">
            <v>张骥Ji Zhang (Ji Zhang)</v>
          </cell>
        </row>
        <row r="537">
          <cell r="G537" t="str">
            <v>WE 美西大区SC 南加片区SAN01</v>
          </cell>
          <cell r="H537" t="str">
            <v>Station Operations Specialist 站点运营专员</v>
          </cell>
          <cell r="I537" t="str">
            <v>TY_05:00</v>
          </cell>
          <cell r="J537" t="str">
            <v>04:32</v>
          </cell>
          <cell r="K537" t="str">
            <v>15:48</v>
          </cell>
          <cell r="L537" t="str">
            <v>正确</v>
          </cell>
          <cell r="M537">
            <v>0</v>
          </cell>
          <cell r="N537">
            <v>10.77</v>
          </cell>
          <cell r="O537">
            <v>2.77</v>
          </cell>
          <cell r="P537">
            <v>0</v>
          </cell>
          <cell r="Q537">
            <v>0</v>
          </cell>
          <cell r="R537" t="str">
            <v>王骞Ariel（Qian Wang）,叶秀芳Freya (Xiufang Ye)</v>
          </cell>
          <cell r="S537" t="str">
            <v>常哲</v>
          </cell>
          <cell r="T537" t="str">
            <v>尤梦楠Yuko（Mengnan You）</v>
          </cell>
        </row>
        <row r="538">
          <cell r="G538" t="str">
            <v>MS 中南大区AS 亚特兰大和南阿拉巴马片区揽收部</v>
          </cell>
          <cell r="H538" t="str">
            <v>Pickup Lead 揽收组组长</v>
          </cell>
          <cell r="I538" t="str">
            <v>TY_休息日</v>
          </cell>
        </row>
        <row r="538">
          <cell r="L538" t="str">
            <v>正确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str">
            <v>欧阳迎春Flower（Yingchun Ouyang）</v>
          </cell>
          <cell r="S538" t="str">
            <v>杨云飞</v>
          </cell>
          <cell r="T538" t="str">
            <v>依丽旦娜·依明江Dana （Yilidanna Yimingjiang）</v>
          </cell>
        </row>
        <row r="539">
          <cell r="G539" t="str">
            <v>US人力资源部美洲HRBP组美西区HR组</v>
          </cell>
          <cell r="H539" t="str">
            <v>HRBP Assistant HRBP助理</v>
          </cell>
          <cell r="I539" t="str">
            <v>TY_休息日</v>
          </cell>
        </row>
        <row r="539">
          <cell r="L539" t="str">
            <v>正确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str">
            <v>袁博闻(Bowen Yuan)</v>
          </cell>
        </row>
        <row r="540">
          <cell r="G540" t="str">
            <v>US人力资源部美洲HRBP组东北区HR组</v>
          </cell>
          <cell r="H540" t="str">
            <v>HRBP Assistant HRBP助理</v>
          </cell>
          <cell r="I540" t="str">
            <v>TY_休息日</v>
          </cell>
        </row>
        <row r="540">
          <cell r="L540" t="str">
            <v>正确</v>
          </cell>
          <cell r="M540">
            <v>0</v>
          </cell>
          <cell r="N540">
            <v>0</v>
          </cell>
          <cell r="O540">
            <v>0</v>
          </cell>
          <cell r="P540">
            <v>45.17</v>
          </cell>
          <cell r="Q540">
            <v>5.17</v>
          </cell>
          <cell r="R540" t="str">
            <v>袁博闻(Bowen Yuan)</v>
          </cell>
        </row>
        <row r="541">
          <cell r="G541" t="str">
            <v>NE 东北大区揽收部揽收支持组</v>
          </cell>
          <cell r="H541" t="str">
            <v>Pickup Support Specialist 揽收支持专员</v>
          </cell>
          <cell r="I541" t="str">
            <v>TY_休息日</v>
          </cell>
          <cell r="J541" t="str">
            <v>09:43</v>
          </cell>
          <cell r="K541" t="str">
            <v>20:16</v>
          </cell>
          <cell r="L541" t="str">
            <v>正确</v>
          </cell>
          <cell r="M541">
            <v>0</v>
          </cell>
          <cell r="N541">
            <v>10.05</v>
          </cell>
          <cell r="O541">
            <v>2.05</v>
          </cell>
          <cell r="P541">
            <v>61.02</v>
          </cell>
          <cell r="Q541">
            <v>21.02</v>
          </cell>
          <cell r="R541" t="str">
            <v>孙可君Monica（Kejun Sun）</v>
          </cell>
          <cell r="S541" t="str">
            <v>马聪Cong (Cong Ma)</v>
          </cell>
          <cell r="T541" t="str">
            <v>王姝涵Function（Shuhan Wang)</v>
          </cell>
        </row>
        <row r="542">
          <cell r="G542" t="str">
            <v>NE 东北大区PA 宾州片区MDT01</v>
          </cell>
          <cell r="H542" t="str">
            <v>Station Operations Specialist 站点运营专员</v>
          </cell>
          <cell r="I542" t="str">
            <v>TY_休息日</v>
          </cell>
        </row>
        <row r="542">
          <cell r="L542" t="str">
            <v>正确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str">
            <v>孙可君Monica（Kejun Sun）</v>
          </cell>
          <cell r="S542" t="str">
            <v>马聪Cong (Cong Ma)</v>
          </cell>
          <cell r="T542" t="str">
            <v>朱晗宇 Peter (Hanyu Zhu)</v>
          </cell>
        </row>
        <row r="543">
          <cell r="G543" t="str">
            <v>SM 站点管理部站点实施组</v>
          </cell>
          <cell r="H543" t="str">
            <v>Junior Station Implementation  Specialist 初级站点实施专员</v>
          </cell>
          <cell r="I543" t="str">
            <v>TY_休息日</v>
          </cell>
        </row>
        <row r="543">
          <cell r="L543" t="str">
            <v>正确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str">
            <v>袁博闻(Bowen Yuan)</v>
          </cell>
        </row>
        <row r="544">
          <cell r="G544" t="str">
            <v>Ground项目部派送管理部运力开发组</v>
          </cell>
          <cell r="H544" t="str">
            <v>Capacity Development Specialist 运力开发专员</v>
          </cell>
          <cell r="I544" t="str">
            <v>TY_休息日</v>
          </cell>
        </row>
        <row r="544">
          <cell r="L544" t="str">
            <v>正确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str">
            <v>王安琪 (Anqi Wang),张朱同 Thomson（Zhutong Zhang）</v>
          </cell>
          <cell r="S544" t="str">
            <v>陈锦昭</v>
          </cell>
        </row>
        <row r="545">
          <cell r="G545" t="str">
            <v>CM 运力管理部调度运营组</v>
          </cell>
          <cell r="H545" t="str">
            <v>Junior Dispatching Operations Specialist 初级调度运营专员</v>
          </cell>
          <cell r="I545" t="str">
            <v>TY_休息日</v>
          </cell>
        </row>
        <row r="545">
          <cell r="L545" t="str">
            <v>正确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str">
            <v>袁博闻(Bowen Yuan)</v>
          </cell>
        </row>
        <row r="546">
          <cell r="G546" t="str">
            <v>WE 美西大区NC 北加片区SFO01</v>
          </cell>
          <cell r="H546" t="str">
            <v>Station Operations Specialist 站点运营专员</v>
          </cell>
          <cell r="I546" t="str">
            <v>TY_08:00</v>
          </cell>
          <cell r="J546" t="str">
            <v>08:12</v>
          </cell>
        </row>
        <row r="546">
          <cell r="L546" t="str">
            <v>正确</v>
          </cell>
          <cell r="M546">
            <v>0</v>
          </cell>
          <cell r="N546">
            <v>0</v>
          </cell>
          <cell r="O546">
            <v>0</v>
          </cell>
          <cell r="P546">
            <v>20.98</v>
          </cell>
          <cell r="Q546">
            <v>0</v>
          </cell>
          <cell r="R546" t="str">
            <v>王骞Ariel（Qian Wang）,叶秀芳Freya (Xiufang Ye)</v>
          </cell>
          <cell r="S546" t="str">
            <v>常哲</v>
          </cell>
          <cell r="T546" t="str">
            <v>林美浚（Meijun Lin）</v>
          </cell>
        </row>
        <row r="547">
          <cell r="G547" t="str">
            <v>Ground项目部OG 美西区SE981</v>
          </cell>
          <cell r="H547" t="str">
            <v>Station Head 站长</v>
          </cell>
          <cell r="I547" t="str">
            <v>TY_08:30</v>
          </cell>
        </row>
        <row r="547">
          <cell r="L547" t="str">
            <v>/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str">
            <v>王安琪 (Anqi Wang),张朱同 Thomson（Zhutong Zhang）</v>
          </cell>
          <cell r="S547" t="str">
            <v>陈锦昭</v>
          </cell>
          <cell r="T547" t="str">
            <v>张潇予（Angelia）Xiaoyu Zhang</v>
          </cell>
        </row>
        <row r="548">
          <cell r="G548" t="str">
            <v>NE 东北大区NY 纽约片区LGA01</v>
          </cell>
          <cell r="H548" t="str">
            <v>Station Operations Specialist 站点运营专员</v>
          </cell>
          <cell r="I548" t="str">
            <v>TY_15:00</v>
          </cell>
          <cell r="J548" t="str">
            <v>14:39</v>
          </cell>
          <cell r="K548" t="str">
            <v>01:20</v>
          </cell>
          <cell r="L548" t="str">
            <v>正确</v>
          </cell>
          <cell r="M548">
            <v>0</v>
          </cell>
          <cell r="N548">
            <v>10.18</v>
          </cell>
          <cell r="O548">
            <v>2.18</v>
          </cell>
          <cell r="P548">
            <v>0</v>
          </cell>
          <cell r="Q548">
            <v>0</v>
          </cell>
          <cell r="R548" t="str">
            <v>孙可君Monica（Kejun Sun）</v>
          </cell>
          <cell r="S548" t="str">
            <v>马聪Cong (Cong Ma)</v>
          </cell>
          <cell r="T548" t="str">
            <v>朱晗宇 Peter (Hanyu Zhu)</v>
          </cell>
        </row>
        <row r="549">
          <cell r="G549" t="str">
            <v>NE 东北大区JFK.H调度组</v>
          </cell>
          <cell r="H549" t="str">
            <v>Dispatch Lead 调度组长</v>
          </cell>
          <cell r="I549" t="str">
            <v>TY_休息日</v>
          </cell>
        </row>
        <row r="549">
          <cell r="L549" t="str">
            <v>正确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str">
            <v>孙可君Monica（Kejun Sun）</v>
          </cell>
          <cell r="S549" t="str">
            <v>马聪Cong (Cong Ma)</v>
          </cell>
          <cell r="T549" t="str">
            <v>Minqing (Minqing Xu),罗煜雄 Mike (Yuxiong Luo)</v>
          </cell>
        </row>
        <row r="550">
          <cell r="G550" t="str">
            <v>NE 东北大区EWR.H分拣组</v>
          </cell>
          <cell r="H550" t="str">
            <v>Sorter 分拣员</v>
          </cell>
          <cell r="I550" t="str">
            <v>TY_休息日</v>
          </cell>
        </row>
        <row r="550">
          <cell r="L550" t="str">
            <v>正确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str">
            <v>孙可君Monica（Kejun Sun）</v>
          </cell>
          <cell r="S550" t="str">
            <v>马聪Cong (Cong Ma)</v>
          </cell>
          <cell r="T550" t="str">
            <v>张双甫(Shuangfu Zhang)</v>
          </cell>
        </row>
        <row r="551">
          <cell r="G551" t="str">
            <v>WE 美西大区CNO.H分拣组</v>
          </cell>
          <cell r="H551" t="str">
            <v>Sorter 分拣员</v>
          </cell>
          <cell r="I551" t="str">
            <v>TY_06:00</v>
          </cell>
          <cell r="J551" t="str">
            <v>05:33</v>
          </cell>
          <cell r="K551" t="str">
            <v>17:32</v>
          </cell>
          <cell r="L551" t="str">
            <v>正确</v>
          </cell>
          <cell r="M551">
            <v>0</v>
          </cell>
          <cell r="N551">
            <v>11.48</v>
          </cell>
          <cell r="O551">
            <v>3.48</v>
          </cell>
          <cell r="P551">
            <v>0</v>
          </cell>
          <cell r="Q551">
            <v>0</v>
          </cell>
          <cell r="R551" t="str">
            <v>王骞Ariel（Qian Wang）,叶秀芳Freya (Xiufang Ye)</v>
          </cell>
          <cell r="S551" t="str">
            <v>常哲</v>
          </cell>
          <cell r="T551" t="str">
            <v>张双甫(Shuangfu Zhang)</v>
          </cell>
        </row>
        <row r="552">
          <cell r="G552" t="str">
            <v>NE 东北大区揽收部揽收调度组</v>
          </cell>
          <cell r="H552" t="str">
            <v>Pickup Dispatcher 揽收调度员</v>
          </cell>
          <cell r="I552" t="str">
            <v>TY_休息日</v>
          </cell>
        </row>
        <row r="552">
          <cell r="L552" t="str">
            <v>正确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str">
            <v>孙可君Monica（Kejun Sun）</v>
          </cell>
          <cell r="S552" t="str">
            <v>马聪Cong (Cong Ma)</v>
          </cell>
        </row>
        <row r="553">
          <cell r="G553" t="str">
            <v>NE 东北大区DC 华盛顿片区PNE01</v>
          </cell>
          <cell r="H553" t="str">
            <v>Station Head （Probation）站长（见习）</v>
          </cell>
          <cell r="I553" t="str">
            <v>TY_休息日</v>
          </cell>
        </row>
        <row r="553">
          <cell r="L553" t="str">
            <v>正确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str">
            <v>孙可君Monica（Kejun Sun）</v>
          </cell>
          <cell r="S553" t="str">
            <v>马聪Cong (Cong Ma)</v>
          </cell>
          <cell r="T553" t="str">
            <v>朱晗宇 Peter (Hanyu Zhu)</v>
          </cell>
        </row>
        <row r="554">
          <cell r="G554" t="str">
            <v>TX 德州大区IAH.H综办组</v>
          </cell>
          <cell r="H554" t="str">
            <v>Warehouse Clerk 仓库文员</v>
          </cell>
          <cell r="I554" t="str">
            <v>TY_09:00</v>
          </cell>
          <cell r="J554" t="str">
            <v>08:51</v>
          </cell>
          <cell r="K554" t="str">
            <v>17:30</v>
          </cell>
          <cell r="L554" t="str">
            <v>正确</v>
          </cell>
          <cell r="M554">
            <v>0</v>
          </cell>
          <cell r="N554">
            <v>8.15</v>
          </cell>
          <cell r="O554">
            <v>0.15</v>
          </cell>
          <cell r="P554">
            <v>0</v>
          </cell>
          <cell r="Q554">
            <v>0</v>
          </cell>
          <cell r="R554" t="str">
            <v>肖芦莉Lily (Luli Xiao)</v>
          </cell>
          <cell r="S554" t="str">
            <v>张骥Ji Zhang (Ji Zhang)</v>
          </cell>
          <cell r="T554" t="str">
            <v>Minqing (Minqing Xu),罗煜雄 Mike (Yuxiong Luo)</v>
          </cell>
        </row>
        <row r="555">
          <cell r="G555" t="str">
            <v>WE 美西大区LAV.H分拣组</v>
          </cell>
          <cell r="H555" t="str">
            <v>Sorter 分拣员</v>
          </cell>
          <cell r="I555" t="str">
            <v>TY_16:30</v>
          </cell>
          <cell r="J555" t="str">
            <v>16:24</v>
          </cell>
          <cell r="K555" t="str">
            <v>02:37</v>
          </cell>
          <cell r="L555" t="str">
            <v>正确</v>
          </cell>
          <cell r="M555">
            <v>0</v>
          </cell>
          <cell r="N555">
            <v>9.72</v>
          </cell>
          <cell r="O555">
            <v>1.72</v>
          </cell>
          <cell r="P555">
            <v>0</v>
          </cell>
          <cell r="Q555">
            <v>0</v>
          </cell>
          <cell r="R555" t="str">
            <v>王骞Ariel（Qian Wang）,叶秀芳Freya (Xiufang Ye)</v>
          </cell>
          <cell r="S555" t="str">
            <v>常哲</v>
          </cell>
          <cell r="T555" t="str">
            <v>张双甫(Shuangfu Zhang)</v>
          </cell>
        </row>
        <row r="556">
          <cell r="G556" t="str">
            <v>NE 东北大区NY 纽约片区</v>
          </cell>
          <cell r="H556" t="str">
            <v>District Head 片区长</v>
          </cell>
          <cell r="I556" t="str">
            <v>TY_15:00</v>
          </cell>
        </row>
        <row r="556">
          <cell r="L556" t="str">
            <v>/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str">
            <v>孙可君Monica（Kejun Sun）</v>
          </cell>
          <cell r="S556" t="str">
            <v>马聪Cong (Cong Ma)</v>
          </cell>
        </row>
        <row r="557">
          <cell r="G557" t="str">
            <v>WE 美西大区SC 南加片区LAS01</v>
          </cell>
          <cell r="H557" t="str">
            <v>Warehouse Operator 操作员</v>
          </cell>
          <cell r="I557" t="str">
            <v>TY_05:00</v>
          </cell>
          <cell r="J557" t="str">
            <v>05:19</v>
          </cell>
          <cell r="K557" t="str">
            <v>13:10</v>
          </cell>
          <cell r="L557" t="str">
            <v>正确</v>
          </cell>
          <cell r="M557">
            <v>0</v>
          </cell>
          <cell r="N557">
            <v>7.35</v>
          </cell>
          <cell r="O557">
            <v>0</v>
          </cell>
          <cell r="P557">
            <v>0</v>
          </cell>
          <cell r="Q557">
            <v>0</v>
          </cell>
          <cell r="R557" t="str">
            <v>王骞Ariel（Qian Wang）,叶秀芳Freya (Xiufang Ye)</v>
          </cell>
          <cell r="S557" t="str">
            <v>常哲</v>
          </cell>
          <cell r="T557" t="str">
            <v>尤梦楠Yuko（Mengnan You）</v>
          </cell>
        </row>
        <row r="558">
          <cell r="G558" t="str">
            <v>WE 美西大区LAV.H合流合包组</v>
          </cell>
          <cell r="H558" t="str">
            <v>Warehouse Operator 操作员</v>
          </cell>
          <cell r="I558" t="str">
            <v>TY_13:30</v>
          </cell>
          <cell r="J558" t="str">
            <v>13:19</v>
          </cell>
          <cell r="K558" t="str">
            <v>22:29</v>
          </cell>
          <cell r="L558" t="str">
            <v>正确</v>
          </cell>
          <cell r="M558">
            <v>0</v>
          </cell>
          <cell r="N558">
            <v>8.67</v>
          </cell>
          <cell r="O558">
            <v>0.67</v>
          </cell>
          <cell r="P558">
            <v>0</v>
          </cell>
          <cell r="Q558">
            <v>0</v>
          </cell>
          <cell r="R558" t="str">
            <v>王骞Ariel（Qian Wang）,叶秀芳Freya (Xiufang Ye)</v>
          </cell>
          <cell r="S558" t="str">
            <v>常哲</v>
          </cell>
          <cell r="T558" t="str">
            <v>覃超群Jessica（Chaoqun Qin）</v>
          </cell>
        </row>
        <row r="559">
          <cell r="G559" t="str">
            <v>Ground项目部OG 美东区运营支持组</v>
          </cell>
          <cell r="H559" t="str">
            <v>Operations Support Specialist 运营支持专员</v>
          </cell>
          <cell r="I559" t="str">
            <v>TY_08:00</v>
          </cell>
          <cell r="J559" t="str">
            <v>08:08</v>
          </cell>
          <cell r="K559" t="str">
            <v>22:44</v>
          </cell>
          <cell r="L559" t="str">
            <v>正确</v>
          </cell>
          <cell r="M559">
            <v>0</v>
          </cell>
          <cell r="N559">
            <v>14.1</v>
          </cell>
          <cell r="O559">
            <v>6.1</v>
          </cell>
          <cell r="P559">
            <v>0</v>
          </cell>
          <cell r="Q559">
            <v>0</v>
          </cell>
          <cell r="R559" t="str">
            <v>王安琪 (Anqi Wang),张朱同 Thomson（Zhutong Zhang）</v>
          </cell>
          <cell r="S559" t="str">
            <v>陈锦昭</v>
          </cell>
        </row>
        <row r="560">
          <cell r="G560" t="str">
            <v>GL 大湖大区CM 中西部中心片区</v>
          </cell>
          <cell r="H560" t="str">
            <v>District Head（Probation）片区长（见习）</v>
          </cell>
          <cell r="I560" t="str">
            <v>TY_07:00</v>
          </cell>
        </row>
        <row r="560">
          <cell r="L560" t="str">
            <v>/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str">
            <v>王晓丹 Jasmine（Xiaodan Wang）,周延舒Isabel（Yanshu Zhou）</v>
          </cell>
          <cell r="S560" t="str">
            <v>张骥Ji Zhang (Ji Zhang)</v>
          </cell>
        </row>
        <row r="561">
          <cell r="G561" t="str">
            <v>NE 东北大区EWR.H综办组</v>
          </cell>
          <cell r="H561" t="str">
            <v>Warehouse Clerk 仓库文员</v>
          </cell>
          <cell r="I561" t="str">
            <v>TY_05:00</v>
          </cell>
        </row>
        <row r="561">
          <cell r="K561" t="str">
            <v>20:30</v>
          </cell>
          <cell r="L561" t="str">
            <v>/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str">
            <v>孙可君Monica（Kejun Sun）</v>
          </cell>
          <cell r="S561" t="str">
            <v>马聪Cong (Cong Ma)</v>
          </cell>
          <cell r="T561" t="str">
            <v>Minqing (Minqing Xu),罗煜雄 Mike (Yuxiong Luo)</v>
          </cell>
        </row>
        <row r="562">
          <cell r="G562" t="str">
            <v>US人力资源部美洲HRBP组中南区HR组</v>
          </cell>
          <cell r="H562" t="str">
            <v>HRBP Supervisor HRBP主管</v>
          </cell>
          <cell r="I562" t="str">
            <v>TY_休息日</v>
          </cell>
        </row>
        <row r="562">
          <cell r="L562" t="str">
            <v>正确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str">
            <v>袁博闻(Bowen Yuan)</v>
          </cell>
        </row>
        <row r="563">
          <cell r="G563" t="str">
            <v>WE 美西大区LAV.H操作组</v>
          </cell>
          <cell r="H563" t="str">
            <v>Warehouse Operator 操作员</v>
          </cell>
          <cell r="I563" t="str">
            <v>TY_美国节假日（9点-18点）</v>
          </cell>
          <cell r="J563" t="str">
            <v>15:04</v>
          </cell>
          <cell r="K563" t="str">
            <v>19:57</v>
          </cell>
          <cell r="L563" t="str">
            <v>不正确</v>
          </cell>
          <cell r="M563">
            <v>0</v>
          </cell>
          <cell r="N563">
            <v>4.88</v>
          </cell>
          <cell r="O563">
            <v>0</v>
          </cell>
          <cell r="P563">
            <v>0</v>
          </cell>
          <cell r="Q563">
            <v>0</v>
          </cell>
          <cell r="R563" t="str">
            <v>王骞Ariel（Qian Wang）,叶秀芳Freya (Xiufang Ye)</v>
          </cell>
          <cell r="S563" t="str">
            <v>常哲</v>
          </cell>
          <cell r="T563" t="str">
            <v>Minqing (Minqing Xu),罗煜雄 Mike (Yuxiong Luo)</v>
          </cell>
        </row>
        <row r="564">
          <cell r="G564" t="str">
            <v>Gofo财务部美区财务组合规及本地支持组</v>
          </cell>
          <cell r="H564" t="str">
            <v>高级海外会计</v>
          </cell>
          <cell r="I564" t="str">
            <v>TY_休息日</v>
          </cell>
        </row>
        <row r="564">
          <cell r="L564" t="str">
            <v>正确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str">
            <v>袁博闻(Bowen Yuan)</v>
          </cell>
        </row>
        <row r="565">
          <cell r="G565" t="str">
            <v>GL 大湖大区NM 中西部北片区</v>
          </cell>
          <cell r="H565" t="str">
            <v>District Head（Probation）片区长（见习）</v>
          </cell>
          <cell r="I565" t="str">
            <v>TY_休息日</v>
          </cell>
        </row>
        <row r="565">
          <cell r="L565" t="str">
            <v>正确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str">
            <v>王晓丹 Jasmine（Xiaodan Wang）,周延舒Isabel（Yanshu Zhou）</v>
          </cell>
          <cell r="S565" t="str">
            <v>张骥Ji Zhang (Ji Zhang)</v>
          </cell>
        </row>
        <row r="566">
          <cell r="G566" t="str">
            <v>FL 佛州大区MIA.H</v>
          </cell>
          <cell r="H566" t="str">
            <v>Deputy Hub Head（Probation） 副仓长（见习）</v>
          </cell>
          <cell r="I566" t="str">
            <v>TY_12:30</v>
          </cell>
          <cell r="J566" t="str">
            <v>11:24</v>
          </cell>
          <cell r="K566" t="str">
            <v>20:39</v>
          </cell>
          <cell r="L566" t="str">
            <v>不正确</v>
          </cell>
          <cell r="M566">
            <v>0</v>
          </cell>
          <cell r="N566">
            <v>8.75</v>
          </cell>
          <cell r="O566">
            <v>0.75</v>
          </cell>
          <cell r="P566">
            <v>0</v>
          </cell>
          <cell r="Q566">
            <v>0</v>
          </cell>
          <cell r="R566" t="str">
            <v>Natalia (Natalia Padilla),孙婕 Jasmine（Sunjie）</v>
          </cell>
          <cell r="S566" t="str">
            <v>贺子强Jeff (Ziqiang He)</v>
          </cell>
        </row>
        <row r="567">
          <cell r="G567" t="str">
            <v>CM 运力管理部</v>
          </cell>
          <cell r="H567" t="str">
            <v>Transportation Capacity Manager 运力管理部经理</v>
          </cell>
          <cell r="I567" t="str">
            <v>TY_休息日</v>
          </cell>
        </row>
        <row r="567">
          <cell r="L567" t="str">
            <v>正确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str">
            <v>袁博闻(Bowen Yuan)</v>
          </cell>
        </row>
        <row r="568">
          <cell r="G568" t="str">
            <v>AD 行政部美东组</v>
          </cell>
          <cell r="H568" t="str">
            <v>Senior Admin Specialist 高级行政专员</v>
          </cell>
          <cell r="I568" t="str">
            <v>TY_休息日</v>
          </cell>
        </row>
        <row r="568">
          <cell r="L568" t="str">
            <v>正确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str">
            <v>袁博闻(Bowen Yuan)</v>
          </cell>
        </row>
        <row r="569">
          <cell r="G569" t="str">
            <v>TX 德州大区IAH.H综办组</v>
          </cell>
          <cell r="H569" t="str">
            <v>Warehouse Clerk 仓库文员</v>
          </cell>
          <cell r="I569" t="str">
            <v>TY_休息日</v>
          </cell>
        </row>
        <row r="569">
          <cell r="L569" t="str">
            <v>正确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str">
            <v>肖芦莉Lily (Luli Xiao)</v>
          </cell>
          <cell r="S569" t="str">
            <v>张骥Ji Zhang (Ji Zhang)</v>
          </cell>
          <cell r="T569" t="str">
            <v>Minqing (Minqing Xu),罗煜雄 Mike (Yuxiong Luo)</v>
          </cell>
        </row>
        <row r="570">
          <cell r="G570" t="str">
            <v>CS 客户服务部消费者客服组海外客服组</v>
          </cell>
          <cell r="H570" t="str">
            <v>Senior Hotline CS Specialist 高级热线客服专员</v>
          </cell>
          <cell r="I570" t="str">
            <v>TY_休息日</v>
          </cell>
        </row>
        <row r="570">
          <cell r="L570" t="str">
            <v>正确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str">
            <v>袁博闻(Bowen Yuan)</v>
          </cell>
        </row>
        <row r="571">
          <cell r="G571" t="str">
            <v>FL 佛州大区MCO.H调度组</v>
          </cell>
          <cell r="H571" t="str">
            <v>Dispatcher 调度员</v>
          </cell>
          <cell r="I571" t="str">
            <v>TY_09:00</v>
          </cell>
        </row>
        <row r="571">
          <cell r="L571" t="str">
            <v>/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str">
            <v>Natalia (Natalia Padilla),孙婕 Jasmine（Sunjie）</v>
          </cell>
          <cell r="S571" t="str">
            <v>贺子强Jeff (Ziqiang He)</v>
          </cell>
          <cell r="T571" t="str">
            <v>Minqing (Minqing Xu),罗煜雄 Mike (Yuxiong Luo)</v>
          </cell>
        </row>
        <row r="572">
          <cell r="G572" t="str">
            <v>TX 德州大区DFW.H综办组</v>
          </cell>
          <cell r="H572" t="str">
            <v>EHS Specialist EHS专员</v>
          </cell>
          <cell r="I572" t="str">
            <v>TY_休息日</v>
          </cell>
        </row>
        <row r="572">
          <cell r="L572" t="str">
            <v>正确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str">
            <v>肖芦莉Lily (Luli Xiao)</v>
          </cell>
          <cell r="S572" t="str">
            <v>张骥Ji Zhang (Ji Zhang)</v>
          </cell>
          <cell r="T572" t="str">
            <v>Minqing (Minqing Xu),罗煜雄 Mike (Yuxiong Luo)</v>
          </cell>
        </row>
        <row r="573">
          <cell r="G573" t="str">
            <v>GL 大湖大区WG 西大湖片区MKE01</v>
          </cell>
          <cell r="H573" t="str">
            <v>Station Operations Specialist 站点运营专员</v>
          </cell>
          <cell r="I573" t="str">
            <v>TY_休息日</v>
          </cell>
        </row>
        <row r="573">
          <cell r="L573" t="str">
            <v>正确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str">
            <v>王晓丹 Jasmine（Xiaodan Wang）,周延舒Isabel（Yanshu Zhou）</v>
          </cell>
          <cell r="S573" t="str">
            <v>张骥Ji Zhang (Ji Zhang)</v>
          </cell>
          <cell r="T573" t="str">
            <v>易至聪Zac (Zhicong Yi),尚青蓓 Suki （Qingbei Shang）</v>
          </cell>
        </row>
        <row r="574">
          <cell r="G574" t="str">
            <v>NE 东北大区EWR.H调度组</v>
          </cell>
          <cell r="H574" t="str">
            <v>Dispatch Lead 调度组长</v>
          </cell>
          <cell r="I574" t="str">
            <v>TY_09:00</v>
          </cell>
          <cell r="J574" t="str">
            <v>09:48</v>
          </cell>
          <cell r="K574" t="str">
            <v>19:47</v>
          </cell>
          <cell r="L574" t="str">
            <v>正确</v>
          </cell>
          <cell r="M574">
            <v>0</v>
          </cell>
          <cell r="N574">
            <v>9.48</v>
          </cell>
          <cell r="O574">
            <v>1.48</v>
          </cell>
          <cell r="P574">
            <v>0</v>
          </cell>
          <cell r="Q574">
            <v>0</v>
          </cell>
          <cell r="R574" t="str">
            <v>孙可君Monica（Kejun Sun）</v>
          </cell>
          <cell r="S574" t="str">
            <v>马聪Cong (Cong Ma)</v>
          </cell>
          <cell r="T574" t="str">
            <v>Minqing (Minqing Xu),罗煜雄 Mike (Yuxiong Luo)</v>
          </cell>
        </row>
        <row r="575">
          <cell r="G575" t="str">
            <v>NE 东北大区DC 华盛顿片区DCA01</v>
          </cell>
          <cell r="H575" t="str">
            <v>Station Operations Specialist 站点运营专员</v>
          </cell>
          <cell r="I575" t="str">
            <v>TY_休息日</v>
          </cell>
        </row>
        <row r="575">
          <cell r="L575" t="str">
            <v>正确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str">
            <v>孙可君Monica（Kejun Sun）</v>
          </cell>
          <cell r="S575" t="str">
            <v>马聪Cong (Cong Ma)</v>
          </cell>
          <cell r="T575" t="str">
            <v>朱晗宇 Peter (Hanyu Zhu)</v>
          </cell>
        </row>
        <row r="576">
          <cell r="G576" t="str">
            <v>WE 美西大区CNO.H操作组</v>
          </cell>
          <cell r="H576" t="str">
            <v>Warehouse Operator 操作员</v>
          </cell>
          <cell r="I576" t="str">
            <v>TY_06:00</v>
          </cell>
          <cell r="J576" t="str">
            <v>05:43</v>
          </cell>
          <cell r="K576" t="str">
            <v>17:32</v>
          </cell>
          <cell r="L576" t="str">
            <v>正确</v>
          </cell>
          <cell r="M576">
            <v>0</v>
          </cell>
          <cell r="N576">
            <v>11.32</v>
          </cell>
          <cell r="O576">
            <v>3.32</v>
          </cell>
          <cell r="P576">
            <v>56.43</v>
          </cell>
          <cell r="Q576">
            <v>16.43</v>
          </cell>
          <cell r="R576" t="str">
            <v>王骞Ariel（Qian Wang）,叶秀芳Freya (Xiufang Ye)</v>
          </cell>
          <cell r="S576" t="str">
            <v>常哲</v>
          </cell>
          <cell r="T576" t="str">
            <v>Minqing (Minqing Xu),罗煜雄 Mike (Yuxiong Luo)</v>
          </cell>
        </row>
        <row r="577">
          <cell r="G577" t="str">
            <v>MS 中南大区CLT.H调度组</v>
          </cell>
          <cell r="H577" t="str">
            <v>Dispatcher 调度员</v>
          </cell>
          <cell r="I577" t="str">
            <v>TY_休息日</v>
          </cell>
        </row>
        <row r="577">
          <cell r="L577" t="str">
            <v>正确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str">
            <v>欧阳迎春Flower（Yingchun Ouyang）</v>
          </cell>
          <cell r="S577" t="str">
            <v>杨云飞</v>
          </cell>
          <cell r="T577" t="str">
            <v>Minqing (Minqing Xu),罗煜雄 Mike (Yuxiong Luo)</v>
          </cell>
        </row>
        <row r="578">
          <cell r="G578" t="str">
            <v>IC 跨境客户部海外客户组</v>
          </cell>
          <cell r="H578" t="str">
            <v>Junior Oversea Client Specialist 初级海外客户专员</v>
          </cell>
          <cell r="I578" t="str">
            <v>TY_休息日</v>
          </cell>
        </row>
        <row r="578">
          <cell r="L578" t="str">
            <v>正确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str">
            <v>袁博闻(Bowen Yuan)</v>
          </cell>
        </row>
        <row r="579">
          <cell r="G579" t="str">
            <v>WE 美西大区DS 丹佛·盐湖城片区DEN01</v>
          </cell>
          <cell r="H579" t="str">
            <v>Warehouse Operator 操作员</v>
          </cell>
          <cell r="I579" t="str">
            <v>TY_06:00</v>
          </cell>
          <cell r="J579" t="str">
            <v>05:56</v>
          </cell>
          <cell r="K579" t="str">
            <v>16:51</v>
          </cell>
          <cell r="L579" t="str">
            <v>正确</v>
          </cell>
          <cell r="M579">
            <v>0</v>
          </cell>
          <cell r="N579">
            <v>10.42</v>
          </cell>
          <cell r="O579">
            <v>2.42</v>
          </cell>
          <cell r="P579">
            <v>0</v>
          </cell>
          <cell r="Q579">
            <v>0</v>
          </cell>
          <cell r="R579" t="str">
            <v>王骞Ariel（Qian Wang）,叶秀芳Freya (Xiufang Ye)</v>
          </cell>
          <cell r="S579" t="str">
            <v>常哲</v>
          </cell>
          <cell r="T579" t="str">
            <v>兰鹏Peng（Peng Lan）</v>
          </cell>
        </row>
        <row r="580">
          <cell r="G580" t="str">
            <v>MS 中南大区揽收部CLT揽收组</v>
          </cell>
          <cell r="H580" t="str">
            <v>Pickup Specialist 揽收专员</v>
          </cell>
          <cell r="I580" t="str">
            <v>TY_休息日</v>
          </cell>
          <cell r="J580" t="str">
            <v>08:36</v>
          </cell>
          <cell r="K580" t="str">
            <v>18:49</v>
          </cell>
          <cell r="L580" t="str">
            <v>正确</v>
          </cell>
          <cell r="M580">
            <v>0</v>
          </cell>
          <cell r="N580">
            <v>9.72</v>
          </cell>
          <cell r="O580">
            <v>1.72</v>
          </cell>
          <cell r="P580">
            <v>0</v>
          </cell>
          <cell r="Q580">
            <v>0</v>
          </cell>
          <cell r="R580" t="str">
            <v>欧阳迎春Flower（Yingchun Ouyang）</v>
          </cell>
          <cell r="S580" t="str">
            <v>杨云飞</v>
          </cell>
          <cell r="T580" t="str">
            <v>依丽旦娜·依明江Dana （Yilidanna Yimingjiang）</v>
          </cell>
        </row>
        <row r="581">
          <cell r="G581" t="str">
            <v>LD 法务部美洲法务组</v>
          </cell>
          <cell r="H581" t="str">
            <v>Risk Control Specialist</v>
          </cell>
          <cell r="I581" t="str">
            <v>TY_休息日</v>
          </cell>
        </row>
        <row r="581">
          <cell r="L581" t="str">
            <v>正确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str">
            <v>袁博闻(Bowen Yuan)</v>
          </cell>
        </row>
        <row r="582">
          <cell r="G582" t="str">
            <v>TX 德州大区DFW.H调度组</v>
          </cell>
          <cell r="H582" t="str">
            <v>Dispatcher 调度员</v>
          </cell>
          <cell r="I582" t="str">
            <v>TY_休息日</v>
          </cell>
          <cell r="J582" t="str">
            <v>08:08</v>
          </cell>
        </row>
        <row r="582">
          <cell r="L582" t="str">
            <v>不正确</v>
          </cell>
          <cell r="M582">
            <v>0</v>
          </cell>
          <cell r="N582">
            <v>0</v>
          </cell>
          <cell r="O582">
            <v>0</v>
          </cell>
          <cell r="P582">
            <v>46.16</v>
          </cell>
          <cell r="Q582">
            <v>6.16</v>
          </cell>
          <cell r="R582" t="str">
            <v>肖芦莉Lily (Luli Xiao)</v>
          </cell>
          <cell r="S582" t="str">
            <v>张骥Ji Zhang (Ji Zhang)</v>
          </cell>
          <cell r="T582" t="str">
            <v>Minqing (Minqing Xu),罗煜雄 Mike (Yuxiong Luo)</v>
          </cell>
        </row>
        <row r="583">
          <cell r="G583" t="str">
            <v>FL 佛州大区MF 中佛片区WPB02</v>
          </cell>
          <cell r="H583" t="str">
            <v>Station Operations Specialist 站点运营专员</v>
          </cell>
          <cell r="I583" t="str">
            <v>TY_04:30</v>
          </cell>
          <cell r="J583" t="str">
            <v>04:39</v>
          </cell>
          <cell r="K583" t="str">
            <v>17:38</v>
          </cell>
          <cell r="L583" t="str">
            <v>正确</v>
          </cell>
          <cell r="M583">
            <v>0</v>
          </cell>
          <cell r="N583">
            <v>12.48</v>
          </cell>
          <cell r="O583">
            <v>4.48</v>
          </cell>
          <cell r="P583">
            <v>0</v>
          </cell>
          <cell r="Q583">
            <v>0</v>
          </cell>
          <cell r="R583" t="str">
            <v>Natalia (Natalia Padilla),孙婕 Jasmine（Sunjie）</v>
          </cell>
          <cell r="S583" t="str">
            <v>贺子强Jeff (Ziqiang He)</v>
          </cell>
          <cell r="T583" t="str">
            <v>曹杨清清(Encore)</v>
          </cell>
        </row>
        <row r="584">
          <cell r="G584" t="str">
            <v>NE 东北大区MA 新英格兰片区BOS01</v>
          </cell>
          <cell r="H584" t="str">
            <v>Station Operations Specialist 站点运营专员</v>
          </cell>
          <cell r="I584" t="str">
            <v>TY_休息日</v>
          </cell>
        </row>
        <row r="584">
          <cell r="L584" t="str">
            <v>正确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str">
            <v>孙可君Monica（Kejun Sun）</v>
          </cell>
          <cell r="S584" t="str">
            <v>马聪Cong (Cong Ma)</v>
          </cell>
          <cell r="T584" t="str">
            <v>朱晗宇 Peter (Hanyu Zhu)</v>
          </cell>
        </row>
        <row r="585">
          <cell r="G585" t="str">
            <v>NE 东北大区BDL01</v>
          </cell>
          <cell r="H585" t="str">
            <v>Station Operations Specialist 站点运营专员</v>
          </cell>
          <cell r="I585" t="str">
            <v>TY_05:00</v>
          </cell>
        </row>
        <row r="585">
          <cell r="L585" t="str">
            <v>/</v>
          </cell>
          <cell r="M585">
            <v>0</v>
          </cell>
          <cell r="N585">
            <v>0</v>
          </cell>
          <cell r="O585">
            <v>0</v>
          </cell>
          <cell r="P585">
            <v>31.96</v>
          </cell>
          <cell r="Q585">
            <v>0</v>
          </cell>
          <cell r="R585" t="str">
            <v>孙可君Monica（Kejun Sun）</v>
          </cell>
          <cell r="S585" t="str">
            <v>马聪Cong (Cong Ma)</v>
          </cell>
        </row>
        <row r="586">
          <cell r="G586" t="str">
            <v>WE 美西大区NC 北加片区SFO.H</v>
          </cell>
          <cell r="H586" t="str">
            <v>Deputy Hub Head（Probation） 副仓长（见习）</v>
          </cell>
          <cell r="I586" t="str">
            <v>TY_休息日</v>
          </cell>
        </row>
        <row r="586">
          <cell r="L586" t="str">
            <v>正确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str">
            <v>王骞Ariel（Qian Wang）,叶秀芳Freya (Xiufang Ye)</v>
          </cell>
          <cell r="S586" t="str">
            <v>常哲</v>
          </cell>
          <cell r="T586" t="str">
            <v>林美浚（Meijun Lin）</v>
          </cell>
        </row>
        <row r="587">
          <cell r="G587" t="str">
            <v>WE 美西大区CNO.H分拣组</v>
          </cell>
          <cell r="H587" t="str">
            <v>Sorter 分拣员</v>
          </cell>
          <cell r="I587" t="str">
            <v>TY_休息日</v>
          </cell>
        </row>
        <row r="587">
          <cell r="L587" t="str">
            <v>正确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str">
            <v>王骞Ariel（Qian Wang）,叶秀芳Freya (Xiufang Ye)</v>
          </cell>
          <cell r="S587" t="str">
            <v>常哲</v>
          </cell>
          <cell r="T587" t="str">
            <v>张双甫(Shuangfu Zhang)</v>
          </cell>
        </row>
        <row r="588">
          <cell r="G588" t="str">
            <v>US人力资源部美洲HRBP组美西区HR组</v>
          </cell>
          <cell r="H588" t="str">
            <v>Recruitment Assistant 招聘助理</v>
          </cell>
          <cell r="I588" t="str">
            <v>TY_休息日</v>
          </cell>
        </row>
        <row r="588">
          <cell r="L588" t="str">
            <v>正确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str">
            <v>袁博闻(Bowen Yuan)</v>
          </cell>
        </row>
        <row r="589">
          <cell r="G589" t="str">
            <v>WE 美西大区车辆管理部</v>
          </cell>
          <cell r="H589" t="str">
            <v>Vehicle Management Specialist 车辆管理专员</v>
          </cell>
          <cell r="I589" t="str">
            <v>TY_休息日</v>
          </cell>
        </row>
        <row r="589">
          <cell r="L589" t="str">
            <v>正确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str">
            <v>王骞Ariel（Qian Wang）,叶秀芳Freya (Xiufang Ye)</v>
          </cell>
          <cell r="S589" t="str">
            <v>常哲</v>
          </cell>
        </row>
        <row r="590">
          <cell r="G590" t="str">
            <v>NE 东北大区EWR.H调度组</v>
          </cell>
          <cell r="H590" t="str">
            <v>Dispatcher 调度员</v>
          </cell>
          <cell r="I590" t="str">
            <v>TY_休息日</v>
          </cell>
        </row>
        <row r="590">
          <cell r="L590" t="str">
            <v>正确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str">
            <v>孙可君Monica（Kejun Sun）</v>
          </cell>
          <cell r="S590" t="str">
            <v>马聪Cong (Cong Ma)</v>
          </cell>
          <cell r="T590" t="str">
            <v>Minqing (Minqing Xu),罗煜雄 Mike (Yuxiong Luo)</v>
          </cell>
        </row>
        <row r="591">
          <cell r="G591" t="str">
            <v>AD 行政部美西组</v>
          </cell>
          <cell r="H591" t="str">
            <v>Admin Assistant 行政助理</v>
          </cell>
          <cell r="I591" t="str">
            <v>TY_休息日</v>
          </cell>
        </row>
        <row r="591">
          <cell r="L591" t="str">
            <v>正确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str">
            <v>袁博闻(Bowen Yuan)</v>
          </cell>
        </row>
        <row r="592">
          <cell r="G592" t="str">
            <v>WE 美西大区CNO.H综办组</v>
          </cell>
          <cell r="H592" t="str">
            <v>EHS Specialist EHS专员</v>
          </cell>
          <cell r="I592" t="str">
            <v>TY_休息日</v>
          </cell>
        </row>
        <row r="592">
          <cell r="L592" t="str">
            <v>正确</v>
          </cell>
          <cell r="M592">
            <v>0</v>
          </cell>
          <cell r="N592">
            <v>0</v>
          </cell>
          <cell r="O592">
            <v>0</v>
          </cell>
          <cell r="P592">
            <v>44.61</v>
          </cell>
          <cell r="Q592">
            <v>4.61</v>
          </cell>
          <cell r="R592" t="str">
            <v>王骞Ariel（Qian Wang）,叶秀芳Freya (Xiufang Ye)</v>
          </cell>
          <cell r="S592" t="str">
            <v>常哲</v>
          </cell>
          <cell r="T592" t="str">
            <v>Minqing (Minqing Xu),罗煜雄 Mike (Yuxiong Luo)</v>
          </cell>
        </row>
        <row r="593">
          <cell r="G593" t="str">
            <v>BM 品牌市场部</v>
          </cell>
          <cell r="H593" t="str">
            <v>Marketing Specialist 市场专员</v>
          </cell>
          <cell r="I593" t="str">
            <v>TY_休息日</v>
          </cell>
        </row>
        <row r="593">
          <cell r="L593" t="str">
            <v>正确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str">
            <v>袁博闻(Bowen Yuan)</v>
          </cell>
        </row>
        <row r="594">
          <cell r="G594" t="str">
            <v>NE 东北大区EWR.H分拣组</v>
          </cell>
          <cell r="H594" t="str">
            <v>Sorter 分拣员</v>
          </cell>
          <cell r="I594" t="str">
            <v>TY_18:00</v>
          </cell>
        </row>
        <row r="594">
          <cell r="L594" t="str">
            <v>/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str">
            <v>孙可君Monica（Kejun Sun）</v>
          </cell>
          <cell r="S594" t="str">
            <v>马聪Cong (Cong Ma)</v>
          </cell>
          <cell r="T594" t="str">
            <v>张双甫(Shuangfu Zhang)</v>
          </cell>
        </row>
        <row r="595">
          <cell r="G595" t="str">
            <v>WE 美西大区LA揽收部揽收调度组</v>
          </cell>
          <cell r="H595" t="str">
            <v>Pickup Dispatcher 揽收调度员</v>
          </cell>
          <cell r="I595" t="str">
            <v>TY_10:00</v>
          </cell>
          <cell r="J595" t="str">
            <v>10:04</v>
          </cell>
          <cell r="K595" t="str">
            <v>20:00</v>
          </cell>
          <cell r="L595" t="str">
            <v>正确</v>
          </cell>
          <cell r="M595">
            <v>0</v>
          </cell>
          <cell r="N595">
            <v>9.43</v>
          </cell>
          <cell r="O595">
            <v>1.43</v>
          </cell>
          <cell r="P595">
            <v>48.46</v>
          </cell>
          <cell r="Q595">
            <v>8.46</v>
          </cell>
          <cell r="R595" t="str">
            <v>王骞Ariel（Qian Wang）,叶秀芳Freya (Xiufang Ye)</v>
          </cell>
          <cell r="S595" t="str">
            <v>常哲</v>
          </cell>
        </row>
        <row r="596">
          <cell r="G596" t="str">
            <v>WE 美西大区SC 南加片区PHX01</v>
          </cell>
          <cell r="H596" t="str">
            <v>Station Operations Specialist 站点运营专员</v>
          </cell>
          <cell r="I596" t="str">
            <v>TY_休息日</v>
          </cell>
          <cell r="J596" t="str">
            <v>12:49</v>
          </cell>
          <cell r="K596" t="str">
            <v>21:39</v>
          </cell>
          <cell r="L596" t="str">
            <v>不正确</v>
          </cell>
          <cell r="M596">
            <v>0</v>
          </cell>
          <cell r="N596">
            <v>8.33</v>
          </cell>
          <cell r="O596">
            <v>0.33</v>
          </cell>
          <cell r="P596">
            <v>0</v>
          </cell>
          <cell r="Q596">
            <v>0</v>
          </cell>
          <cell r="R596" t="str">
            <v>王骞Ariel（Qian Wang）,叶秀芳Freya (Xiufang Ye)</v>
          </cell>
          <cell r="S596" t="str">
            <v>常哲</v>
          </cell>
          <cell r="T596" t="str">
            <v>尤梦楠Yuko（Mengnan You）</v>
          </cell>
        </row>
        <row r="597">
          <cell r="G597" t="str">
            <v>US人力资源部美洲HRBP组中南区HR组</v>
          </cell>
          <cell r="H597" t="str">
            <v>Junior Recruitment Specialist 初级招聘专员</v>
          </cell>
          <cell r="I597" t="str">
            <v>TY_休息日</v>
          </cell>
        </row>
        <row r="597">
          <cell r="L597" t="str">
            <v>正确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str">
            <v>袁博闻(Bowen Yuan)</v>
          </cell>
        </row>
        <row r="598">
          <cell r="G598" t="str">
            <v>WE 美西大区CNO.H调度组</v>
          </cell>
          <cell r="H598" t="str">
            <v>Dispatcher 调度员</v>
          </cell>
          <cell r="I598" t="str">
            <v>TY_17:00</v>
          </cell>
          <cell r="J598" t="str">
            <v>16:36</v>
          </cell>
          <cell r="K598" t="str">
            <v>03:08</v>
          </cell>
          <cell r="L598" t="str">
            <v>正确</v>
          </cell>
          <cell r="M598">
            <v>0</v>
          </cell>
          <cell r="N598">
            <v>10.03</v>
          </cell>
          <cell r="O598">
            <v>2.03</v>
          </cell>
          <cell r="P598">
            <v>0</v>
          </cell>
          <cell r="Q598">
            <v>0</v>
          </cell>
          <cell r="R598" t="str">
            <v>王骞Ariel（Qian Wang）,叶秀芳Freya (Xiufang Ye)</v>
          </cell>
          <cell r="S598" t="str">
            <v>常哲</v>
          </cell>
          <cell r="T598" t="str">
            <v>Minqing (Minqing Xu),罗煜雄 Mike (Yuxiong Luo)</v>
          </cell>
        </row>
        <row r="599">
          <cell r="G599" t="str">
            <v>GL 大湖大区ORD.H分拣组</v>
          </cell>
          <cell r="H599" t="str">
            <v>Sorter 分拣员</v>
          </cell>
          <cell r="I599" t="str">
            <v>TY_08:00</v>
          </cell>
          <cell r="J599" t="str">
            <v>07:22</v>
          </cell>
          <cell r="K599" t="str">
            <v>18:15</v>
          </cell>
          <cell r="L599" t="str">
            <v>正确</v>
          </cell>
          <cell r="M599">
            <v>0</v>
          </cell>
          <cell r="N599">
            <v>10.38</v>
          </cell>
          <cell r="O599">
            <v>2.38</v>
          </cell>
          <cell r="P599">
            <v>0</v>
          </cell>
          <cell r="Q599">
            <v>0</v>
          </cell>
          <cell r="R599" t="str">
            <v>王晓丹 Jasmine（Xiaodan Wang）,周延舒Isabel（Yanshu Zhou）</v>
          </cell>
          <cell r="S599" t="str">
            <v>张骥Ji Zhang (Ji Zhang)</v>
          </cell>
          <cell r="T599" t="str">
            <v>张双甫(Shuangfu Zhang)</v>
          </cell>
        </row>
        <row r="600">
          <cell r="G600" t="str">
            <v>NE 东北大区EWR.H操作组</v>
          </cell>
          <cell r="H600" t="str">
            <v>Warehouse Operator 操作员</v>
          </cell>
          <cell r="I600" t="str">
            <v>TY_21:00</v>
          </cell>
          <cell r="J600" t="str">
            <v>21:24</v>
          </cell>
          <cell r="K600" t="str">
            <v>08:08</v>
          </cell>
          <cell r="L600" t="str">
            <v>正确</v>
          </cell>
          <cell r="M600">
            <v>0</v>
          </cell>
          <cell r="N600">
            <v>10.23</v>
          </cell>
          <cell r="O600">
            <v>2.23</v>
          </cell>
          <cell r="P600">
            <v>0</v>
          </cell>
          <cell r="Q600">
            <v>0</v>
          </cell>
          <cell r="R600" t="str">
            <v>孙可君Monica（Kejun Sun）</v>
          </cell>
          <cell r="S600" t="str">
            <v>马聪Cong (Cong Ma)</v>
          </cell>
          <cell r="T600" t="str">
            <v>Minqing (Minqing Xu),罗煜雄 Mike (Yuxiong Luo)</v>
          </cell>
        </row>
        <row r="601">
          <cell r="G601" t="str">
            <v>DO 数字运营部美国项目交付组</v>
          </cell>
          <cell r="H601" t="str">
            <v>Project Specialist 项目专员</v>
          </cell>
          <cell r="I601" t="str">
            <v>TY_休息日</v>
          </cell>
        </row>
        <row r="601">
          <cell r="L601" t="str">
            <v>正确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str">
            <v>袁博闻(Bowen Yuan)</v>
          </cell>
        </row>
        <row r="602">
          <cell r="G602" t="str">
            <v>IC 跨境客户部海外客户组</v>
          </cell>
          <cell r="H602" t="str">
            <v>Oversea Client Specialist 海外客户专员</v>
          </cell>
          <cell r="I602" t="str">
            <v>TY_休息日</v>
          </cell>
        </row>
        <row r="602">
          <cell r="L602" t="str">
            <v>正确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str">
            <v>袁博闻(Bowen Yuan)</v>
          </cell>
        </row>
        <row r="603">
          <cell r="G603" t="str">
            <v>MS 中南大区CS 夏洛特及周边片区GSP01</v>
          </cell>
          <cell r="H603" t="str">
            <v>Station Operations Specialist 站点运营专员</v>
          </cell>
          <cell r="I603" t="str">
            <v>TY_06:00</v>
          </cell>
          <cell r="J603" t="str">
            <v>06:00</v>
          </cell>
        </row>
        <row r="603">
          <cell r="L603" t="str">
            <v>正确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str">
            <v>欧阳迎春Flower（Yingchun Ouyang）</v>
          </cell>
          <cell r="S603" t="str">
            <v>杨云飞</v>
          </cell>
          <cell r="T603" t="str">
            <v>唐浩Thomas(Hao Tang)</v>
          </cell>
        </row>
        <row r="604">
          <cell r="G604" t="str">
            <v>Ground项目部OG 美中区运营支持组</v>
          </cell>
          <cell r="H604" t="str">
            <v>Operations Support Specialist 运营支持专员</v>
          </cell>
          <cell r="I604" t="str">
            <v>TY_休息日</v>
          </cell>
        </row>
        <row r="604">
          <cell r="L604" t="str">
            <v>正确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str">
            <v>王安琪 (Anqi Wang),张朱同 Thomson（Zhutong Zhang）</v>
          </cell>
          <cell r="S604" t="str">
            <v>陈锦昭</v>
          </cell>
        </row>
        <row r="605">
          <cell r="G605" t="str">
            <v>NE 东北大区NY 纽约片区LGA01</v>
          </cell>
          <cell r="H605" t="str">
            <v>Station Head （Probation）站长（见习）</v>
          </cell>
          <cell r="I605" t="str">
            <v>TY_05:00</v>
          </cell>
          <cell r="J605" t="str">
            <v>05:20</v>
          </cell>
          <cell r="K605" t="str">
            <v>13:51</v>
          </cell>
          <cell r="L605" t="str">
            <v>正确</v>
          </cell>
          <cell r="M605">
            <v>0</v>
          </cell>
          <cell r="N605">
            <v>8.02</v>
          </cell>
          <cell r="O605">
            <v>0.02</v>
          </cell>
          <cell r="P605">
            <v>0</v>
          </cell>
          <cell r="Q605">
            <v>0</v>
          </cell>
          <cell r="R605" t="str">
            <v>孙可君Monica（Kejun Sun）</v>
          </cell>
          <cell r="S605" t="str">
            <v>马聪Cong (Cong Ma)</v>
          </cell>
          <cell r="T605" t="str">
            <v>朱晗宇 Peter (Hanyu Zhu)</v>
          </cell>
        </row>
        <row r="606">
          <cell r="G606" t="str">
            <v>Ground项目部OG 美东区EWR.G</v>
          </cell>
          <cell r="H606" t="str">
            <v>Deputy Hub Head 副仓长</v>
          </cell>
          <cell r="I606" t="str">
            <v>TY_休息日</v>
          </cell>
        </row>
        <row r="606">
          <cell r="L606" t="str">
            <v>正确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str">
            <v>王安琪 (Anqi Wang),张朱同 Thomson（Zhutong Zhang）</v>
          </cell>
          <cell r="S606" t="str">
            <v>陈锦昭</v>
          </cell>
          <cell r="T606" t="str">
            <v>王兵 Allen (Bing Wang)</v>
          </cell>
        </row>
        <row r="607">
          <cell r="G607" t="str">
            <v>GL 大湖大区NM 中西部北片区MCI01</v>
          </cell>
          <cell r="H607" t="str">
            <v>Station Operations Specialist 站点运营专员</v>
          </cell>
          <cell r="I607" t="str">
            <v>TY_休息日</v>
          </cell>
        </row>
        <row r="607">
          <cell r="L607" t="str">
            <v>正确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str">
            <v>王晓丹 Jasmine（Xiaodan Wang）,周延舒Isabel（Yanshu Zhou）</v>
          </cell>
          <cell r="S607" t="str">
            <v>张骥Ji Zhang (Ji Zhang)</v>
          </cell>
          <cell r="T607" t="str">
            <v>武杰 Jay（Jie Wu）,尚青蓓 Suki （Qingbei Shang）</v>
          </cell>
        </row>
        <row r="608">
          <cell r="G608" t="str">
            <v>GL 大湖大区CMH01</v>
          </cell>
          <cell r="H608" t="str">
            <v>Station Operations Specialist 站点运营专员</v>
          </cell>
          <cell r="I608" t="str">
            <v>TY_05:30</v>
          </cell>
        </row>
        <row r="608">
          <cell r="L608" t="str">
            <v>/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str">
            <v>王晓丹 Jasmine（Xiaodan Wang）,周延舒Isabel（Yanshu Zhou）</v>
          </cell>
          <cell r="S608" t="str">
            <v>张骥Ji Zhang (Ji Zhang)</v>
          </cell>
        </row>
        <row r="609">
          <cell r="G609" t="str">
            <v>FL 佛州大区MIA.H异常处理组</v>
          </cell>
          <cell r="H609" t="str">
            <v>Returns Lead 退件组长</v>
          </cell>
          <cell r="I609" t="str">
            <v>TY_09:00</v>
          </cell>
        </row>
        <row r="609">
          <cell r="L609" t="str">
            <v>/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str">
            <v>Natalia (Natalia Padilla),孙婕 Jasmine（Sunjie）</v>
          </cell>
          <cell r="S609" t="str">
            <v>贺子强Jeff (Ziqiang He)</v>
          </cell>
          <cell r="T609" t="str">
            <v>Minqing (Minqing Xu),罗煜雄 Mike (Yuxiong Luo)</v>
          </cell>
        </row>
        <row r="610">
          <cell r="G610" t="str">
            <v>NE 东北大区运营支持部区域支持组</v>
          </cell>
          <cell r="H610" t="str">
            <v>Regional Support Specialist 区域支持专员</v>
          </cell>
          <cell r="I610" t="str">
            <v>TY_休息日</v>
          </cell>
        </row>
        <row r="610">
          <cell r="L610" t="str">
            <v>正确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str">
            <v>孙可君Monica（Kejun Sun）</v>
          </cell>
          <cell r="S610" t="str">
            <v>马聪Cong (Cong Ma)</v>
          </cell>
        </row>
        <row r="611">
          <cell r="G611" t="str">
            <v>NE 东北大区EWR.H操作组</v>
          </cell>
          <cell r="H611" t="str">
            <v>Warehouse Lead 操作组长</v>
          </cell>
          <cell r="I611" t="str">
            <v>TY_22:00</v>
          </cell>
          <cell r="J611" t="str">
            <v>21:58</v>
          </cell>
          <cell r="K611" t="str">
            <v>07:13</v>
          </cell>
          <cell r="L611" t="str">
            <v>正确</v>
          </cell>
          <cell r="M611">
            <v>0</v>
          </cell>
          <cell r="N611">
            <v>8.75</v>
          </cell>
          <cell r="O611">
            <v>0.75</v>
          </cell>
          <cell r="P611">
            <v>0</v>
          </cell>
          <cell r="Q611">
            <v>0</v>
          </cell>
          <cell r="R611" t="str">
            <v>孙可君Monica（Kejun Sun）</v>
          </cell>
          <cell r="S611" t="str">
            <v>马聪Cong (Cong Ma)</v>
          </cell>
          <cell r="T611" t="str">
            <v>Minqing (Minqing Xu),罗煜雄 Mike (Yuxiong Luo)</v>
          </cell>
        </row>
        <row r="612">
          <cell r="G612" t="str">
            <v>GL 大湖大区ORD01</v>
          </cell>
          <cell r="H612" t="str">
            <v>Station Operations Specialist 站点运营专员</v>
          </cell>
          <cell r="I612" t="str">
            <v>TY_05:00</v>
          </cell>
        </row>
        <row r="612">
          <cell r="L612" t="str">
            <v>/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str">
            <v>王晓丹 Jasmine（Xiaodan Wang）,周延舒Isabel（Yanshu Zhou）</v>
          </cell>
          <cell r="S612" t="str">
            <v>张骥Ji Zhang (Ji Zhang)</v>
          </cell>
        </row>
        <row r="613">
          <cell r="G613" t="str">
            <v>NE 东北大区揽收部</v>
          </cell>
          <cell r="H613" t="str">
            <v>Pickup Supervisor 揽收部主管</v>
          </cell>
          <cell r="I613" t="str">
            <v>TY_休息日</v>
          </cell>
        </row>
        <row r="613">
          <cell r="L613" t="str">
            <v>正确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str">
            <v>孙可君Monica（Kejun Sun）</v>
          </cell>
          <cell r="S613" t="str">
            <v>马聪Cong (Cong Ma)</v>
          </cell>
        </row>
        <row r="614">
          <cell r="G614" t="str">
            <v>WE 美西大区CNO.H异常处理组</v>
          </cell>
          <cell r="H614" t="str">
            <v>Returns Specialist 退件员</v>
          </cell>
          <cell r="I614" t="str">
            <v>TY_休息日</v>
          </cell>
        </row>
        <row r="614">
          <cell r="L614" t="str">
            <v>正确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str">
            <v>王骞Ariel（Qian Wang）,叶秀芳Freya (Xiufang Ye)</v>
          </cell>
          <cell r="S614" t="str">
            <v>常哲</v>
          </cell>
          <cell r="T614" t="str">
            <v>Minqing (Minqing Xu),罗煜雄 Mike (Yuxiong Luo)</v>
          </cell>
        </row>
        <row r="615">
          <cell r="G615" t="str">
            <v>WE 美西大区SP 西雅图·波特兰片区SEA.H</v>
          </cell>
          <cell r="H615" t="str">
            <v>Warehouse Lead 操作组长</v>
          </cell>
          <cell r="I615" t="str">
            <v>TY_15:00</v>
          </cell>
          <cell r="J615" t="str">
            <v>14:55</v>
          </cell>
          <cell r="K615" t="str">
            <v>00:55</v>
          </cell>
          <cell r="L615" t="str">
            <v>正确</v>
          </cell>
          <cell r="M615">
            <v>0</v>
          </cell>
          <cell r="N615">
            <v>9.5</v>
          </cell>
          <cell r="O615">
            <v>1.5</v>
          </cell>
          <cell r="P615">
            <v>0</v>
          </cell>
          <cell r="Q615">
            <v>0</v>
          </cell>
          <cell r="R615" t="str">
            <v>王骞Ariel（Qian Wang）,叶秀芳Freya (Xiufang Ye)</v>
          </cell>
          <cell r="S615" t="str">
            <v>常哲</v>
          </cell>
          <cell r="T615" t="str">
            <v>尤梦楠Yuko（Mengnan You）</v>
          </cell>
        </row>
        <row r="616">
          <cell r="G616" t="str">
            <v>US人力资源部美洲HRBP组Ground项目HR组</v>
          </cell>
          <cell r="H616" t="str">
            <v>Senior HRBP Specialist 高级HRBP专员</v>
          </cell>
          <cell r="I616" t="str">
            <v>TY_休息日</v>
          </cell>
        </row>
        <row r="616">
          <cell r="L616" t="str">
            <v>正确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str">
            <v>袁博闻(Bowen Yuan)</v>
          </cell>
        </row>
        <row r="617">
          <cell r="G617" t="str">
            <v>US人力资源部美洲HRBP组</v>
          </cell>
          <cell r="H617" t="str">
            <v>HRBP助理</v>
          </cell>
          <cell r="I617" t="str">
            <v>TY_休息日</v>
          </cell>
        </row>
        <row r="617">
          <cell r="L617" t="str">
            <v>正确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str">
            <v>袁博闻(Bowen Yuan)</v>
          </cell>
        </row>
        <row r="618">
          <cell r="G618" t="str">
            <v>Ground项目部OG 美西区PT972</v>
          </cell>
          <cell r="H618" t="str">
            <v>Station Head （Probation）站长（见习）</v>
          </cell>
          <cell r="I618" t="str">
            <v>TY_06:30</v>
          </cell>
          <cell r="J618" t="str">
            <v>06:28</v>
          </cell>
          <cell r="K618" t="str">
            <v>15:00</v>
          </cell>
          <cell r="L618" t="str">
            <v>正确</v>
          </cell>
          <cell r="M618">
            <v>0</v>
          </cell>
          <cell r="N618">
            <v>8.03</v>
          </cell>
          <cell r="O618">
            <v>0.03</v>
          </cell>
          <cell r="P618">
            <v>0</v>
          </cell>
          <cell r="Q618">
            <v>0</v>
          </cell>
          <cell r="R618" t="str">
            <v>王安琪 (Anqi Wang),张朱同 Thomson（Zhutong Zhang）</v>
          </cell>
          <cell r="S618" t="str">
            <v>陈锦昭</v>
          </cell>
          <cell r="T618" t="str">
            <v>张潇予（Angelia）Xiaoyu Zhang</v>
          </cell>
        </row>
        <row r="619">
          <cell r="G619" t="str">
            <v>GL 大湖大区CM 中西部中心片区CVG01</v>
          </cell>
          <cell r="H619" t="str">
            <v>Station Head （Probation）站长（见习）</v>
          </cell>
          <cell r="I619" t="str">
            <v>TY_休息日</v>
          </cell>
        </row>
        <row r="619">
          <cell r="L619" t="str">
            <v>正确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str">
            <v>王晓丹 Jasmine（Xiaodan Wang）,周延舒Isabel（Yanshu Zhou）</v>
          </cell>
          <cell r="S619" t="str">
            <v>张骥Ji Zhang (Ji Zhang)</v>
          </cell>
          <cell r="T619" t="str">
            <v>欧阳溢巍 Nathan (Yiwei Ouyang),尚青蓓 Suki （Qingbei Shang）</v>
          </cell>
        </row>
        <row r="620">
          <cell r="G620" t="str">
            <v>NE 东北大区EWR.H维保组</v>
          </cell>
          <cell r="H620" t="str">
            <v>Maintenance Specialist 维保员</v>
          </cell>
          <cell r="I620" t="str">
            <v>TY_休息日</v>
          </cell>
        </row>
        <row r="620">
          <cell r="L620" t="str">
            <v>正确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str">
            <v>孙可君Monica（Kejun Sun）</v>
          </cell>
          <cell r="S620" t="str">
            <v>马聪Cong (Cong Ma)</v>
          </cell>
          <cell r="T620" t="str">
            <v>章峻铭 J (Junming Zhang)</v>
          </cell>
        </row>
        <row r="621">
          <cell r="G621" t="str">
            <v>FL 佛州大区WF 西佛片区TPA01</v>
          </cell>
          <cell r="H621" t="str">
            <v>Station Operations Specialist 站点运营专员</v>
          </cell>
          <cell r="I621" t="str">
            <v>TY_04:00</v>
          </cell>
          <cell r="J621" t="str">
            <v>04:26</v>
          </cell>
          <cell r="K621" t="str">
            <v>13:37</v>
          </cell>
          <cell r="L621" t="str">
            <v>正确</v>
          </cell>
          <cell r="M621">
            <v>0</v>
          </cell>
          <cell r="N621">
            <v>8.68</v>
          </cell>
          <cell r="O621">
            <v>0.68</v>
          </cell>
          <cell r="P621">
            <v>0</v>
          </cell>
          <cell r="Q621">
            <v>0</v>
          </cell>
          <cell r="R621" t="str">
            <v>Natalia (Natalia Padilla),孙婕 Jasmine（Sunjie）</v>
          </cell>
          <cell r="S621" t="str">
            <v>贺子强Jeff (Ziqiang He)</v>
          </cell>
          <cell r="T621" t="str">
            <v>于文康 Henry (Wenkang Yu)</v>
          </cell>
        </row>
        <row r="622">
          <cell r="G622" t="str">
            <v>GL 大湖大区ORD.H分拣组</v>
          </cell>
          <cell r="H622" t="str">
            <v>Sorter 分拣员</v>
          </cell>
          <cell r="I622" t="str">
            <v>TY_16:30</v>
          </cell>
          <cell r="J622" t="str">
            <v>16:44</v>
          </cell>
          <cell r="K622" t="str">
            <v>03:47</v>
          </cell>
          <cell r="L622" t="str">
            <v>正确</v>
          </cell>
          <cell r="M622">
            <v>0</v>
          </cell>
          <cell r="N622">
            <v>10.55</v>
          </cell>
          <cell r="O622">
            <v>2.55</v>
          </cell>
          <cell r="P622">
            <v>0</v>
          </cell>
          <cell r="Q622">
            <v>0</v>
          </cell>
          <cell r="R622" t="str">
            <v>王晓丹 Jasmine（Xiaodan Wang）,周延舒Isabel（Yanshu Zhou）</v>
          </cell>
          <cell r="S622" t="str">
            <v>张骥Ji Zhang (Ji Zhang)</v>
          </cell>
          <cell r="T622" t="str">
            <v>张双甫(Shuangfu Zhang)</v>
          </cell>
        </row>
        <row r="623">
          <cell r="G623" t="str">
            <v>IC 跨境客户部海外客户组</v>
          </cell>
          <cell r="H623" t="str">
            <v>Oversea Client Specialist 海外客户专员</v>
          </cell>
          <cell r="I623" t="str">
            <v>TY_休息日</v>
          </cell>
        </row>
        <row r="623">
          <cell r="L623" t="str">
            <v>正确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str">
            <v>袁博闻(Bowen Yuan)</v>
          </cell>
        </row>
        <row r="624">
          <cell r="G624" t="str">
            <v>Ground项目部派送管理部运力开发组</v>
          </cell>
          <cell r="H624" t="str">
            <v>Junior Capacity Development Specialist 初级运力开发专员</v>
          </cell>
          <cell r="I624" t="str">
            <v>TY_休息日</v>
          </cell>
        </row>
        <row r="624">
          <cell r="L624" t="str">
            <v>正确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str">
            <v>王安琪 (Anqi Wang),张朱同 Thomson（Zhutong Zhang）</v>
          </cell>
          <cell r="S624" t="str">
            <v>陈锦昭</v>
          </cell>
        </row>
        <row r="625">
          <cell r="G625" t="str">
            <v>US人力资源部美洲HRBP组招聘组</v>
          </cell>
          <cell r="H625" t="str">
            <v>HRBP Specialist HRBP专员</v>
          </cell>
          <cell r="I625" t="str">
            <v>TY_休息日</v>
          </cell>
        </row>
        <row r="625">
          <cell r="L625" t="str">
            <v>正确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str">
            <v>袁博闻(Bowen Yuan)</v>
          </cell>
        </row>
        <row r="626">
          <cell r="G626" t="str">
            <v>WE 美西大区NC 北加片区SFO.H</v>
          </cell>
          <cell r="H626" t="str">
            <v>Sorter 分拣员</v>
          </cell>
          <cell r="I626" t="str">
            <v>TY_15:00</v>
          </cell>
          <cell r="J626" t="str">
            <v>14:55</v>
          </cell>
        </row>
        <row r="626">
          <cell r="L626" t="str">
            <v>正确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str">
            <v>王骞Ariel（Qian Wang）,叶秀芳Freya (Xiufang Ye)</v>
          </cell>
          <cell r="S626" t="str">
            <v>常哲</v>
          </cell>
          <cell r="T626" t="str">
            <v>林美浚（Meijun Lin）</v>
          </cell>
        </row>
        <row r="627">
          <cell r="G627" t="str">
            <v>Ground项目部运营管理部精益管理组</v>
          </cell>
          <cell r="H627" t="str">
            <v>Operations Optimization Supervisor 操作优化主管</v>
          </cell>
          <cell r="I627" t="str">
            <v>TY_休息日</v>
          </cell>
        </row>
        <row r="627">
          <cell r="L627" t="str">
            <v>正确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str">
            <v>王安琪 (Anqi Wang),张朱同 Thomson（Zhutong Zhang）</v>
          </cell>
          <cell r="S627" t="str">
            <v>陈锦昭</v>
          </cell>
        </row>
        <row r="628">
          <cell r="G628" t="str">
            <v>WE 美西大区CNO.H维保组</v>
          </cell>
          <cell r="H628" t="str">
            <v>Maintenance Specialist 维保员</v>
          </cell>
          <cell r="I628" t="str">
            <v>TY_16:00</v>
          </cell>
          <cell r="J628" t="str">
            <v>15:48</v>
          </cell>
          <cell r="K628" t="str">
            <v>02:33</v>
          </cell>
          <cell r="L628" t="str">
            <v>正确</v>
          </cell>
          <cell r="M628">
            <v>0</v>
          </cell>
          <cell r="N628">
            <v>10.25</v>
          </cell>
          <cell r="O628">
            <v>2.25</v>
          </cell>
          <cell r="P628">
            <v>0</v>
          </cell>
          <cell r="Q628">
            <v>0</v>
          </cell>
          <cell r="R628" t="str">
            <v>王骞Ariel（Qian Wang）,叶秀芳Freya (Xiufang Ye)</v>
          </cell>
          <cell r="S628" t="str">
            <v>常哲</v>
          </cell>
          <cell r="T628" t="str">
            <v>章峻铭 J (Junming Zhang)</v>
          </cell>
        </row>
        <row r="629">
          <cell r="G629" t="str">
            <v>GL 大湖大区ORD.H</v>
          </cell>
          <cell r="H629" t="str">
            <v>Deputy Hub Head（Probation） 副仓长（见习）</v>
          </cell>
          <cell r="I629" t="str">
            <v>TY_09:00</v>
          </cell>
          <cell r="J629" t="str">
            <v>08:47</v>
          </cell>
          <cell r="K629" t="str">
            <v>18:15</v>
          </cell>
          <cell r="L629" t="str">
            <v>正确</v>
          </cell>
          <cell r="M629">
            <v>0</v>
          </cell>
          <cell r="N629">
            <v>8.97</v>
          </cell>
          <cell r="O629">
            <v>0.97</v>
          </cell>
          <cell r="P629">
            <v>0</v>
          </cell>
          <cell r="Q629">
            <v>0</v>
          </cell>
          <cell r="R629" t="str">
            <v>王晓丹 Jasmine（Xiaodan Wang）,周延舒Isabel（Yanshu Zhou）</v>
          </cell>
          <cell r="S629" t="str">
            <v>张骥Ji Zhang (Ji Zhang)</v>
          </cell>
          <cell r="T629" t="str">
            <v>Minqing (Minqing Xu),罗煜雄 Mike (Yuxiong Luo)</v>
          </cell>
        </row>
        <row r="630">
          <cell r="G630" t="str">
            <v>NE 东北大区PA 宾州片区TEB01</v>
          </cell>
          <cell r="H630" t="str">
            <v>Station Head （Probation）站长（见习）</v>
          </cell>
          <cell r="I630" t="str">
            <v>TY_04:30</v>
          </cell>
          <cell r="J630" t="str">
            <v>04:04</v>
          </cell>
          <cell r="K630" t="str">
            <v>13:18</v>
          </cell>
          <cell r="L630" t="str">
            <v>正确</v>
          </cell>
          <cell r="M630">
            <v>0</v>
          </cell>
          <cell r="N630">
            <v>8.73</v>
          </cell>
          <cell r="O630">
            <v>0.73</v>
          </cell>
          <cell r="P630">
            <v>0</v>
          </cell>
          <cell r="Q630">
            <v>0</v>
          </cell>
          <cell r="R630" t="str">
            <v>孙可君Monica（Kejun Sun）</v>
          </cell>
          <cell r="S630" t="str">
            <v>马聪Cong (Cong Ma)</v>
          </cell>
          <cell r="T630" t="str">
            <v>朱晗宇 Peter (Hanyu Zhu)</v>
          </cell>
        </row>
        <row r="631">
          <cell r="G631" t="str">
            <v>TX 德州大区NT 北德州片区DFW01</v>
          </cell>
          <cell r="H631" t="str">
            <v>Station Operations Specialist 站点运营专员</v>
          </cell>
          <cell r="I631" t="str">
            <v>TY_05:30</v>
          </cell>
          <cell r="J631" t="str">
            <v>05:51</v>
          </cell>
          <cell r="K631" t="str">
            <v>13:16</v>
          </cell>
          <cell r="L631" t="str">
            <v>正确</v>
          </cell>
          <cell r="M631">
            <v>2</v>
          </cell>
          <cell r="N631">
            <v>8.92</v>
          </cell>
          <cell r="O631">
            <v>0</v>
          </cell>
          <cell r="P631">
            <v>0</v>
          </cell>
          <cell r="Q631">
            <v>0</v>
          </cell>
          <cell r="R631" t="str">
            <v>肖芦莉Lily (Luli Xiao)</v>
          </cell>
          <cell r="S631" t="str">
            <v>张骥Ji Zhang (Ji Zhang)</v>
          </cell>
          <cell r="T631" t="str">
            <v>何琼joan(Qiong He)</v>
          </cell>
        </row>
        <row r="632">
          <cell r="G632" t="str">
            <v>TX 德州大区揽收部</v>
          </cell>
          <cell r="H632" t="str">
            <v>Pickup Dispatcher 揽收调度员</v>
          </cell>
          <cell r="I632" t="str">
            <v>TY_09:30</v>
          </cell>
          <cell r="J632" t="str">
            <v>08:50</v>
          </cell>
          <cell r="K632" t="str">
            <v>22:55</v>
          </cell>
          <cell r="L632" t="str">
            <v>正确</v>
          </cell>
          <cell r="M632">
            <v>0</v>
          </cell>
          <cell r="N632">
            <v>13.58</v>
          </cell>
          <cell r="O632">
            <v>5.58</v>
          </cell>
          <cell r="P632">
            <v>0</v>
          </cell>
          <cell r="Q632">
            <v>0</v>
          </cell>
          <cell r="R632" t="str">
            <v>肖芦莉Lily (Luli Xiao)</v>
          </cell>
          <cell r="S632" t="str">
            <v>张骥Ji Zhang (Ji Zhang)</v>
          </cell>
        </row>
        <row r="633">
          <cell r="G633" t="str">
            <v>FL 佛州大区MCO.H异常处理组</v>
          </cell>
          <cell r="H633" t="str">
            <v>Returns Specialist 退件员</v>
          </cell>
          <cell r="I633" t="str">
            <v>TY_休息日</v>
          </cell>
        </row>
        <row r="633">
          <cell r="L633" t="str">
            <v>正确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str">
            <v>Natalia (Natalia Padilla),孙婕 Jasmine（Sunjie）</v>
          </cell>
          <cell r="S633" t="str">
            <v>贺子强Jeff (Ziqiang He)</v>
          </cell>
          <cell r="T633" t="str">
            <v>Minqing (Minqing Xu),罗煜雄 Mike (Yuxiong Luo)</v>
          </cell>
        </row>
        <row r="634">
          <cell r="G634" t="str">
            <v>US人力资源部美洲HRBP组大湖区HR组</v>
          </cell>
          <cell r="H634" t="str">
            <v>HRBP Supervisor HRBP主管</v>
          </cell>
          <cell r="I634" t="str">
            <v>TY_休息日</v>
          </cell>
        </row>
        <row r="634">
          <cell r="L634" t="str">
            <v>正确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str">
            <v>袁博闻(Bowen Yuan)</v>
          </cell>
        </row>
        <row r="635">
          <cell r="G635" t="str">
            <v>TX 德州大区DFW.H操作组</v>
          </cell>
          <cell r="H635" t="str">
            <v>Warehouse Lead 操作组长</v>
          </cell>
          <cell r="I635" t="str">
            <v>TY_13:00</v>
          </cell>
          <cell r="J635" t="str">
            <v>13:34</v>
          </cell>
          <cell r="K635" t="str">
            <v>00:54</v>
          </cell>
          <cell r="L635" t="str">
            <v>正确</v>
          </cell>
          <cell r="M635">
            <v>0</v>
          </cell>
          <cell r="N635">
            <v>10.83</v>
          </cell>
          <cell r="O635">
            <v>2.83</v>
          </cell>
          <cell r="P635">
            <v>0</v>
          </cell>
          <cell r="Q635">
            <v>0</v>
          </cell>
          <cell r="R635" t="str">
            <v>肖芦莉Lily (Luli Xiao)</v>
          </cell>
          <cell r="S635" t="str">
            <v>张骥Ji Zhang (Ji Zhang)</v>
          </cell>
          <cell r="T635" t="str">
            <v>Minqing (Minqing Xu),罗煜雄 Mike (Yuxiong Luo)</v>
          </cell>
        </row>
        <row r="636">
          <cell r="G636" t="str">
            <v>LD 法务部美洲法务组</v>
          </cell>
          <cell r="H636" t="str">
            <v>Legal Assistant法务助理</v>
          </cell>
          <cell r="I636" t="str">
            <v>TY_休息日</v>
          </cell>
        </row>
        <row r="636">
          <cell r="L636" t="str">
            <v>正确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str">
            <v>袁博闻(Bowen Yuan)</v>
          </cell>
        </row>
        <row r="637">
          <cell r="G637" t="str">
            <v>Ground项目部OG 美东区BA210</v>
          </cell>
          <cell r="H637" t="str">
            <v>Station Operations Specialist 站点运营专员</v>
          </cell>
          <cell r="I637" t="str">
            <v>TY_07:00</v>
          </cell>
          <cell r="J637" t="str">
            <v>06:58</v>
          </cell>
          <cell r="K637" t="str">
            <v>15:37</v>
          </cell>
          <cell r="L637" t="str">
            <v>正确</v>
          </cell>
          <cell r="M637">
            <v>0</v>
          </cell>
          <cell r="N637">
            <v>8.15</v>
          </cell>
          <cell r="O637">
            <v>0.15</v>
          </cell>
          <cell r="P637">
            <v>0</v>
          </cell>
          <cell r="Q637">
            <v>0</v>
          </cell>
          <cell r="R637" t="str">
            <v>王安琪 (Anqi Wang),张朱同 Thomson（Zhutong Zhang）</v>
          </cell>
          <cell r="S637" t="str">
            <v>陈锦昭</v>
          </cell>
          <cell r="T637" t="str">
            <v>欧和枫 Henry (HeFeng Ou)</v>
          </cell>
        </row>
        <row r="638">
          <cell r="G638" t="str">
            <v>TX 德州大区DFW.H维保组</v>
          </cell>
          <cell r="H638" t="str">
            <v>Maintenance Specialist 维保员</v>
          </cell>
          <cell r="I638" t="str">
            <v>TY_15:00</v>
          </cell>
          <cell r="J638" t="str">
            <v>14:34</v>
          </cell>
          <cell r="K638" t="str">
            <v>02:32</v>
          </cell>
          <cell r="L638" t="str">
            <v>正确</v>
          </cell>
          <cell r="M638">
            <v>0</v>
          </cell>
          <cell r="N638">
            <v>11.47</v>
          </cell>
          <cell r="O638">
            <v>3.47</v>
          </cell>
          <cell r="P638">
            <v>0</v>
          </cell>
          <cell r="Q638">
            <v>0</v>
          </cell>
          <cell r="R638" t="str">
            <v>肖芦莉Lily (Luli Xiao)</v>
          </cell>
          <cell r="S638" t="str">
            <v>张骥Ji Zhang (Ji Zhang)</v>
          </cell>
          <cell r="T638" t="str">
            <v>章峻铭 J (Junming Zhang)</v>
          </cell>
        </row>
        <row r="639">
          <cell r="G639" t="str">
            <v>NE 东北大区MA 新英格兰片区PVD01</v>
          </cell>
          <cell r="H639" t="str">
            <v>Station Operations Specialist 站点运营专员</v>
          </cell>
          <cell r="I639" t="str">
            <v>TY_休息日</v>
          </cell>
        </row>
        <row r="639">
          <cell r="L639" t="str">
            <v>正确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str">
            <v>孙可君Monica（Kejun Sun）</v>
          </cell>
          <cell r="S639" t="str">
            <v>马聪Cong (Cong Ma)</v>
          </cell>
          <cell r="T639" t="str">
            <v>朱晗宇 Peter (Hanyu Zhu)</v>
          </cell>
        </row>
        <row r="640">
          <cell r="G640" t="str">
            <v>US人力资源部美洲HRBP组东北区HR组</v>
          </cell>
          <cell r="H640" t="str">
            <v>Junior Recruitment Specialist 初级招聘专员</v>
          </cell>
          <cell r="I640" t="str">
            <v>TY_休息日</v>
          </cell>
        </row>
        <row r="640">
          <cell r="L640" t="str">
            <v>正确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str">
            <v>袁博闻(Bowen Yuan)</v>
          </cell>
        </row>
        <row r="641">
          <cell r="G641" t="str">
            <v>WE 美西大区NC 北加片区SFO01</v>
          </cell>
          <cell r="H641" t="str">
            <v>Station Operations Specialist 站点运营专员</v>
          </cell>
          <cell r="I641" t="str">
            <v>TY_休息日</v>
          </cell>
        </row>
        <row r="641">
          <cell r="L641" t="str">
            <v>正确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str">
            <v>王骞Ariel（Qian Wang）,叶秀芳Freya (Xiufang Ye)</v>
          </cell>
          <cell r="S641" t="str">
            <v>常哲</v>
          </cell>
          <cell r="T641" t="str">
            <v>林美浚（Meijun Lin）</v>
          </cell>
        </row>
        <row r="642">
          <cell r="G642" t="str">
            <v>NE 东北大区NY 纽约片区LGA01</v>
          </cell>
          <cell r="H642" t="str">
            <v>Station Operations Specialist 站点运营专员</v>
          </cell>
          <cell r="I642" t="str">
            <v>TY_15:00</v>
          </cell>
        </row>
        <row r="642">
          <cell r="L642" t="str">
            <v>/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str">
            <v>孙可君Monica（Kejun Sun）</v>
          </cell>
          <cell r="S642" t="str">
            <v>马聪Cong (Cong Ma)</v>
          </cell>
          <cell r="T642" t="str">
            <v>朱晗宇 Peter (Hanyu Zhu)</v>
          </cell>
        </row>
        <row r="643">
          <cell r="G643" t="str">
            <v>NE 东北大区MA 新英格兰片区</v>
          </cell>
          <cell r="H643" t="str">
            <v>District Head 片区长</v>
          </cell>
          <cell r="I643" t="str">
            <v>TY_休息日</v>
          </cell>
        </row>
        <row r="643">
          <cell r="L643" t="str">
            <v>正确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str">
            <v>孙可君Monica（Kejun Sun）</v>
          </cell>
          <cell r="S643" t="str">
            <v>马聪Cong (Cong Ma)</v>
          </cell>
        </row>
        <row r="644">
          <cell r="G644" t="str">
            <v>WE 美西大区SC 南加片区LAX01</v>
          </cell>
          <cell r="H644" t="str">
            <v>Warehouse Operator 操作员</v>
          </cell>
          <cell r="I644" t="str">
            <v>TY_休息日</v>
          </cell>
        </row>
        <row r="644">
          <cell r="L644" t="str">
            <v>正确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str">
            <v>王骞Ariel（Qian Wang）,叶秀芳Freya (Xiufang Ye)</v>
          </cell>
          <cell r="S644" t="str">
            <v>常哲</v>
          </cell>
          <cell r="T644" t="str">
            <v>尤梦楠Yuko（Mengnan You）</v>
          </cell>
        </row>
        <row r="645">
          <cell r="G645" t="str">
            <v>GL 大湖大区ORD.H分拣组</v>
          </cell>
          <cell r="H645" t="str">
            <v>Sorter 分拣员</v>
          </cell>
          <cell r="I645" t="str">
            <v>TY_休息日</v>
          </cell>
        </row>
        <row r="645">
          <cell r="L645" t="str">
            <v>正确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str">
            <v>王晓丹 Jasmine（Xiaodan Wang）,周延舒Isabel（Yanshu Zhou）</v>
          </cell>
          <cell r="S645" t="str">
            <v>张骥Ji Zhang (Ji Zhang)</v>
          </cell>
          <cell r="T645" t="str">
            <v>张双甫(Shuangfu Zhang)</v>
          </cell>
        </row>
        <row r="646">
          <cell r="G646" t="str">
            <v>OM 操作管理部实施运营组</v>
          </cell>
          <cell r="H646" t="str">
            <v>Implementation Operations Specialist 实施运营专员</v>
          </cell>
          <cell r="I646" t="str">
            <v>TY_休息日</v>
          </cell>
        </row>
        <row r="646">
          <cell r="L646" t="str">
            <v>正确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str">
            <v>袁博闻(Bowen Yuan)</v>
          </cell>
        </row>
        <row r="647">
          <cell r="G647" t="str">
            <v>NE 东北大区JFK.H异常处理组</v>
          </cell>
          <cell r="H647" t="str">
            <v>Returns Lead 退件组长</v>
          </cell>
          <cell r="I647" t="str">
            <v>TY_休息日</v>
          </cell>
          <cell r="J647" t="str">
            <v>11:52</v>
          </cell>
          <cell r="K647" t="str">
            <v>22:24</v>
          </cell>
          <cell r="L647" t="str">
            <v>不正确</v>
          </cell>
          <cell r="M647">
            <v>0</v>
          </cell>
          <cell r="N647">
            <v>10.03</v>
          </cell>
          <cell r="O647">
            <v>2.03</v>
          </cell>
          <cell r="P647">
            <v>0</v>
          </cell>
          <cell r="Q647">
            <v>0</v>
          </cell>
          <cell r="R647" t="str">
            <v>孙可君Monica（Kejun Sun）</v>
          </cell>
          <cell r="S647" t="str">
            <v>马聪Cong (Cong Ma)</v>
          </cell>
          <cell r="T647" t="str">
            <v>Minqing (Minqing Xu),罗煜雄 Mike (Yuxiong Luo)</v>
          </cell>
        </row>
        <row r="648">
          <cell r="G648" t="str">
            <v>FL 佛州大区SF 南佛片区MIA01</v>
          </cell>
          <cell r="H648" t="str">
            <v>Station Operations Specialist 站点运营专员</v>
          </cell>
          <cell r="I648" t="str">
            <v>TY_休息日</v>
          </cell>
        </row>
        <row r="648">
          <cell r="L648" t="str">
            <v>正确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str">
            <v>Natalia (Natalia Padilla),孙婕 Jasmine（Sunjie）</v>
          </cell>
          <cell r="S648" t="str">
            <v>贺子强Jeff (Ziqiang He)</v>
          </cell>
          <cell r="T648" t="str">
            <v>王航 Hang (Hang Wang)</v>
          </cell>
        </row>
        <row r="649">
          <cell r="G649" t="str">
            <v>WE 美西大区NC 北加片区SFO.H</v>
          </cell>
          <cell r="H649" t="str">
            <v>Warehouse Lead 操作组长</v>
          </cell>
          <cell r="I649" t="str">
            <v>TY_09:00</v>
          </cell>
        </row>
        <row r="649">
          <cell r="L649" t="str">
            <v>/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str">
            <v>王骞Ariel（Qian Wang）,叶秀芳Freya (Xiufang Ye)</v>
          </cell>
          <cell r="S649" t="str">
            <v>常哲</v>
          </cell>
          <cell r="T649" t="str">
            <v>林美浚（Meijun Lin）</v>
          </cell>
        </row>
        <row r="650">
          <cell r="G650" t="str">
            <v>NE 东北大区BDL01</v>
          </cell>
          <cell r="H650" t="str">
            <v>Station Operations Specialist 站点运营专员</v>
          </cell>
          <cell r="I650" t="str">
            <v>TY_05:00</v>
          </cell>
          <cell r="J650" t="str">
            <v>05:06</v>
          </cell>
          <cell r="K650" t="str">
            <v>15:08</v>
          </cell>
          <cell r="L650" t="str">
            <v>正确</v>
          </cell>
          <cell r="M650">
            <v>0</v>
          </cell>
          <cell r="N650">
            <v>9.53</v>
          </cell>
          <cell r="O650">
            <v>1.53</v>
          </cell>
          <cell r="P650">
            <v>0</v>
          </cell>
          <cell r="Q650">
            <v>0</v>
          </cell>
          <cell r="R650" t="str">
            <v>孙可君Monica（Kejun Sun）</v>
          </cell>
          <cell r="S650" t="str">
            <v>马聪Cong (Cong Ma)</v>
          </cell>
        </row>
        <row r="651">
          <cell r="G651" t="str">
            <v>NE 东北大区DC 华盛顿片区IAD01</v>
          </cell>
          <cell r="H651" t="str">
            <v>Station Operations Specialist 站点运营专员</v>
          </cell>
          <cell r="I651" t="str">
            <v>TY_05:30</v>
          </cell>
          <cell r="J651" t="str">
            <v>05:00</v>
          </cell>
          <cell r="K651" t="str">
            <v>13:31</v>
          </cell>
          <cell r="L651" t="str">
            <v>正确</v>
          </cell>
          <cell r="M651">
            <v>0</v>
          </cell>
          <cell r="N651">
            <v>8.02</v>
          </cell>
          <cell r="O651">
            <v>0.02</v>
          </cell>
          <cell r="P651">
            <v>0</v>
          </cell>
          <cell r="Q651">
            <v>0</v>
          </cell>
          <cell r="R651" t="str">
            <v>孙可君Monica（Kejun Sun）</v>
          </cell>
          <cell r="S651" t="str">
            <v>马聪Cong (Cong Ma)</v>
          </cell>
          <cell r="T651" t="str">
            <v>朱晗宇 Peter (Hanyu Zhu)</v>
          </cell>
        </row>
        <row r="652">
          <cell r="G652" t="str">
            <v>WE 美西大区SC 南加片区LAS01</v>
          </cell>
          <cell r="H652" t="str">
            <v>Station Head 站长</v>
          </cell>
          <cell r="I652" t="str">
            <v>TY_05:00</v>
          </cell>
          <cell r="J652" t="str">
            <v>05:16</v>
          </cell>
          <cell r="K652" t="str">
            <v>14:23</v>
          </cell>
          <cell r="L652" t="str">
            <v>正确</v>
          </cell>
          <cell r="M652">
            <v>0</v>
          </cell>
          <cell r="N652">
            <v>8.62</v>
          </cell>
          <cell r="O652">
            <v>0.62</v>
          </cell>
          <cell r="P652">
            <v>59.59</v>
          </cell>
          <cell r="Q652">
            <v>19.59</v>
          </cell>
          <cell r="R652" t="str">
            <v>王骞Ariel（Qian Wang）,叶秀芳Freya (Xiufang Ye)</v>
          </cell>
          <cell r="S652" t="str">
            <v>常哲</v>
          </cell>
          <cell r="T652" t="str">
            <v>尤梦楠Yuko（Mengnan You）</v>
          </cell>
        </row>
        <row r="653">
          <cell r="G653" t="str">
            <v>CM 运力管理部调度运营组</v>
          </cell>
          <cell r="H653" t="str">
            <v>Dispatch Operations Manager 调度运营经理</v>
          </cell>
          <cell r="I653" t="str">
            <v>TY_休息日</v>
          </cell>
        </row>
        <row r="653">
          <cell r="L653" t="str">
            <v>正确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str">
            <v>袁博闻(Bowen Yuan)</v>
          </cell>
        </row>
        <row r="654">
          <cell r="G654" t="str">
            <v>US人力资源部美洲HRBP组德州区HR组</v>
          </cell>
          <cell r="H654" t="str">
            <v>Junior HRBP Specialist 初级HRBP专员</v>
          </cell>
          <cell r="I654" t="str">
            <v>TY_休息日</v>
          </cell>
        </row>
        <row r="654">
          <cell r="L654" t="str">
            <v>正确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str">
            <v>袁博闻(Bowen Yuan)</v>
          </cell>
        </row>
        <row r="655">
          <cell r="G655" t="str">
            <v>WE 美西大区LAV.H调度组</v>
          </cell>
          <cell r="H655" t="str">
            <v>Dispatcher 调度员</v>
          </cell>
          <cell r="I655" t="str">
            <v>TY_15:00</v>
          </cell>
          <cell r="J655" t="str">
            <v>15:00</v>
          </cell>
          <cell r="K655" t="str">
            <v>02:32</v>
          </cell>
          <cell r="L655" t="str">
            <v>正确</v>
          </cell>
          <cell r="M655">
            <v>0</v>
          </cell>
          <cell r="N655">
            <v>11.03</v>
          </cell>
          <cell r="O655">
            <v>3.03</v>
          </cell>
          <cell r="P655">
            <v>0</v>
          </cell>
          <cell r="Q655">
            <v>0</v>
          </cell>
          <cell r="R655" t="str">
            <v>王骞Ariel（Qian Wang）,叶秀芳Freya (Xiufang Ye)</v>
          </cell>
          <cell r="S655" t="str">
            <v>常哲</v>
          </cell>
          <cell r="T655" t="str">
            <v>Minqing (Minqing Xu),罗煜雄 Mike (Yuxiong Luo)</v>
          </cell>
        </row>
        <row r="656">
          <cell r="G656" t="str">
            <v>TX 德州大区GC 墨湾片区IAH01</v>
          </cell>
          <cell r="H656" t="str">
            <v>Station Operations Specialist 站点运营专员</v>
          </cell>
          <cell r="I656" t="str">
            <v>TY_05:30</v>
          </cell>
          <cell r="J656" t="str">
            <v>05:33</v>
          </cell>
          <cell r="K656" t="str">
            <v>13:13</v>
          </cell>
          <cell r="L656" t="str">
            <v>正确</v>
          </cell>
          <cell r="M656">
            <v>0.9</v>
          </cell>
          <cell r="N656">
            <v>8.07</v>
          </cell>
          <cell r="O656">
            <v>0</v>
          </cell>
          <cell r="P656">
            <v>0</v>
          </cell>
          <cell r="Q656">
            <v>0</v>
          </cell>
          <cell r="R656" t="str">
            <v>肖芦莉Lily (Luli Xiao)</v>
          </cell>
          <cell r="S656" t="str">
            <v>张骥Ji Zhang (Ji Zhang)</v>
          </cell>
          <cell r="T656" t="str">
            <v>金磊Brian（LEI JIN）</v>
          </cell>
        </row>
        <row r="657">
          <cell r="G657" t="str">
            <v>WE 美西大区CNO.H调度组</v>
          </cell>
          <cell r="H657" t="str">
            <v>Dispatch Lead 调度组长</v>
          </cell>
          <cell r="I657" t="str">
            <v>TY_12:00</v>
          </cell>
          <cell r="J657" t="str">
            <v>11:55</v>
          </cell>
          <cell r="K657" t="str">
            <v>19:56</v>
          </cell>
          <cell r="L657" t="str">
            <v>正确</v>
          </cell>
          <cell r="M657">
            <v>0</v>
          </cell>
          <cell r="N657">
            <v>7.52</v>
          </cell>
          <cell r="O657">
            <v>0</v>
          </cell>
          <cell r="P657">
            <v>0</v>
          </cell>
          <cell r="Q657">
            <v>0</v>
          </cell>
          <cell r="R657" t="str">
            <v>王骞Ariel（Qian Wang）,叶秀芳Freya (Xiufang Ye)</v>
          </cell>
          <cell r="S657" t="str">
            <v>常哲</v>
          </cell>
          <cell r="T657" t="str">
            <v>Minqing (Minqing Xu),罗煜雄 Mike (Yuxiong Luo)</v>
          </cell>
        </row>
        <row r="658">
          <cell r="G658" t="str">
            <v>US人力资源部美洲HRBP组美西区HR组</v>
          </cell>
          <cell r="H658" t="str">
            <v>Deputy WE HR Supervisor 美西区HR组副主管</v>
          </cell>
          <cell r="I658" t="str">
            <v>TY_休息日</v>
          </cell>
        </row>
        <row r="658">
          <cell r="L658" t="str">
            <v>正确</v>
          </cell>
          <cell r="M658">
            <v>0</v>
          </cell>
          <cell r="N658">
            <v>0</v>
          </cell>
          <cell r="O658">
            <v>0</v>
          </cell>
          <cell r="P658">
            <v>41.84</v>
          </cell>
          <cell r="Q658">
            <v>1.84</v>
          </cell>
          <cell r="R658" t="str">
            <v>袁博闻(Bowen Yuan)</v>
          </cell>
        </row>
        <row r="659">
          <cell r="G659" t="str">
            <v>TX 德州大区GC 墨湾片区IAH01</v>
          </cell>
          <cell r="H659" t="str">
            <v>Station Operations Specialist 站点运营专员</v>
          </cell>
          <cell r="I659" t="str">
            <v>TY_休息日</v>
          </cell>
        </row>
        <row r="659">
          <cell r="L659" t="str">
            <v>正确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str">
            <v>肖芦莉Lily (Luli Xiao)</v>
          </cell>
          <cell r="S659" t="str">
            <v>张骥Ji Zhang (Ji Zhang)</v>
          </cell>
          <cell r="T659" t="str">
            <v>金磊Brian（LEI JIN）</v>
          </cell>
        </row>
        <row r="660">
          <cell r="G660" t="str">
            <v>US人力资源部美洲HRBP组德州区HR组</v>
          </cell>
          <cell r="H660" t="str">
            <v>Junior Recruitment Specialist 初级招聘专员</v>
          </cell>
          <cell r="I660" t="str">
            <v>TY_休息日</v>
          </cell>
        </row>
        <row r="660">
          <cell r="L660" t="str">
            <v>正确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str">
            <v>袁博闻(Bowen Yuan)</v>
          </cell>
        </row>
        <row r="661">
          <cell r="G661" t="str">
            <v>WE 美西大区LA揽收部揽收调度组</v>
          </cell>
          <cell r="H661" t="str">
            <v>Pickup Dispatcher 揽收调度员</v>
          </cell>
          <cell r="I661" t="str">
            <v>TY_休息日</v>
          </cell>
        </row>
        <row r="661">
          <cell r="L661" t="str">
            <v>正确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str">
            <v>王骞Ariel（Qian Wang）,叶秀芳Freya (Xiufang Ye)</v>
          </cell>
          <cell r="S661" t="str">
            <v>常哲</v>
          </cell>
        </row>
        <row r="662">
          <cell r="G662" t="str">
            <v>MS 中南大区ATL.H分拣组</v>
          </cell>
          <cell r="H662" t="str">
            <v>Sorting Lead 分拣组长</v>
          </cell>
          <cell r="I662" t="str">
            <v>TY_休息日</v>
          </cell>
        </row>
        <row r="662">
          <cell r="L662" t="str">
            <v>正确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str">
            <v>欧阳迎春Flower（Yingchun Ouyang）</v>
          </cell>
          <cell r="S662" t="str">
            <v>杨云飞</v>
          </cell>
          <cell r="T662" t="str">
            <v>张双甫(Shuangfu Zhang),明杰麟Jennie (Jielin Ming)</v>
          </cell>
          <cell r="U662" t="str">
            <v>文艳平</v>
          </cell>
        </row>
        <row r="663">
          <cell r="G663" t="str">
            <v>GL 大湖大区ORD01</v>
          </cell>
          <cell r="H663" t="str">
            <v>Station Operations Specialist 站点运营专员</v>
          </cell>
          <cell r="I663" t="str">
            <v>TY_05:00</v>
          </cell>
        </row>
        <row r="663">
          <cell r="L663" t="str">
            <v>/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str">
            <v>王晓丹 Jasmine（Xiaodan Wang）,周延舒Isabel（Yanshu Zhou）</v>
          </cell>
          <cell r="S663" t="str">
            <v>张骥Ji Zhang (Ji Zhang)</v>
          </cell>
        </row>
        <row r="664">
          <cell r="G664" t="str">
            <v>WE 美西大区CNO.H调度组</v>
          </cell>
          <cell r="H664" t="str">
            <v>Dispatcher 调度员</v>
          </cell>
          <cell r="I664" t="str">
            <v>TY_08:00</v>
          </cell>
          <cell r="J664" t="str">
            <v>06:21</v>
          </cell>
          <cell r="K664" t="str">
            <v>17:30</v>
          </cell>
          <cell r="L664" t="str">
            <v>不正确</v>
          </cell>
          <cell r="M664">
            <v>0</v>
          </cell>
          <cell r="N664">
            <v>10.65</v>
          </cell>
          <cell r="O664">
            <v>2.65</v>
          </cell>
          <cell r="P664">
            <v>50.42</v>
          </cell>
          <cell r="Q664">
            <v>10.42</v>
          </cell>
          <cell r="R664" t="str">
            <v>王骞Ariel（Qian Wang）,叶秀芳Freya (Xiufang Ye)</v>
          </cell>
          <cell r="S664" t="str">
            <v>常哲</v>
          </cell>
          <cell r="T664" t="str">
            <v>Minqing (Minqing Xu),罗煜雄 Mike (Yuxiong Luo)</v>
          </cell>
        </row>
        <row r="665">
          <cell r="G665" t="str">
            <v>NE 东北大区BOS01</v>
          </cell>
          <cell r="H665" t="str">
            <v>Station Operations Specialist 站点运营专员</v>
          </cell>
          <cell r="I665" t="str">
            <v>TY_06:00</v>
          </cell>
          <cell r="J665" t="str">
            <v>06:12</v>
          </cell>
          <cell r="K665" t="str">
            <v>14:52</v>
          </cell>
          <cell r="L665" t="str">
            <v>正确</v>
          </cell>
          <cell r="M665">
            <v>0</v>
          </cell>
          <cell r="N665">
            <v>8.17</v>
          </cell>
          <cell r="O665">
            <v>0.17</v>
          </cell>
          <cell r="P665">
            <v>40.8</v>
          </cell>
          <cell r="Q665">
            <v>0.8</v>
          </cell>
          <cell r="R665" t="str">
            <v>孙可君Monica（Kejun Sun）</v>
          </cell>
          <cell r="S665" t="str">
            <v>马聪Cong (Cong Ma)</v>
          </cell>
        </row>
        <row r="666">
          <cell r="G666" t="str">
            <v>MS 中南大区CLT.H分拣组</v>
          </cell>
          <cell r="H666" t="str">
            <v>Sorting Lead 分拣组长</v>
          </cell>
          <cell r="I666" t="str">
            <v>TY_休息日</v>
          </cell>
        </row>
        <row r="666">
          <cell r="L666" t="str">
            <v>正确</v>
          </cell>
          <cell r="M666">
            <v>0</v>
          </cell>
          <cell r="N666">
            <v>0</v>
          </cell>
          <cell r="O666">
            <v>0</v>
          </cell>
          <cell r="P666">
            <v>55.57</v>
          </cell>
          <cell r="Q666">
            <v>15.57</v>
          </cell>
          <cell r="R666" t="str">
            <v>欧阳迎春Flower（Yingchun Ouyang）</v>
          </cell>
          <cell r="S666" t="str">
            <v>杨云飞</v>
          </cell>
          <cell r="T666" t="str">
            <v>张双甫(Shuangfu Zhang)</v>
          </cell>
        </row>
        <row r="667">
          <cell r="G667" t="str">
            <v>WE 美西大区运营支持部区域支持组</v>
          </cell>
          <cell r="H667" t="str">
            <v>Regional Support Specialist 区域支持专员</v>
          </cell>
          <cell r="I667" t="str">
            <v>TY_休息日</v>
          </cell>
        </row>
        <row r="667">
          <cell r="L667" t="str">
            <v>正确</v>
          </cell>
          <cell r="M667">
            <v>0</v>
          </cell>
          <cell r="N667">
            <v>0</v>
          </cell>
          <cell r="O667">
            <v>0</v>
          </cell>
          <cell r="P667">
            <v>32.98</v>
          </cell>
          <cell r="Q667">
            <v>0</v>
          </cell>
          <cell r="R667" t="str">
            <v>王骞Ariel（Qian Wang）,叶秀芳Freya (Xiufang Ye)</v>
          </cell>
          <cell r="S667" t="str">
            <v>常哲</v>
          </cell>
        </row>
        <row r="668">
          <cell r="G668" t="str">
            <v>WE 美西大区LAV.H操作组</v>
          </cell>
          <cell r="H668" t="str">
            <v>Warehouse Operator 操作员</v>
          </cell>
          <cell r="I668" t="str">
            <v>TY_美国节假日（9点-18点）</v>
          </cell>
        </row>
        <row r="668">
          <cell r="L668" t="str">
            <v>正确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str">
            <v>王骞Ariel（Qian Wang）,叶秀芳Freya (Xiufang Ye)</v>
          </cell>
          <cell r="S668" t="str">
            <v>常哲</v>
          </cell>
          <cell r="T668" t="str">
            <v>Minqing (Minqing Xu),罗煜雄 Mike (Yuxiong Luo)</v>
          </cell>
        </row>
        <row r="669">
          <cell r="G669" t="str">
            <v>QC 质量控制部质量改善组</v>
          </cell>
          <cell r="H669" t="str">
            <v>Junior Quality Improvement Specialist 初级质量改善专员</v>
          </cell>
          <cell r="I669" t="str">
            <v>TY_休息日</v>
          </cell>
        </row>
        <row r="669">
          <cell r="L669" t="str">
            <v>正确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str">
            <v>袁博闻(Bowen Yuan)</v>
          </cell>
        </row>
        <row r="670">
          <cell r="G670" t="str">
            <v>NE 东北大区BUF01</v>
          </cell>
          <cell r="H670" t="str">
            <v>Station Operations Specialist 站点运营专员</v>
          </cell>
          <cell r="I670" t="str">
            <v>TY_06:00</v>
          </cell>
          <cell r="J670" t="str">
            <v>06:03</v>
          </cell>
          <cell r="K670" t="str">
            <v>18:59</v>
          </cell>
          <cell r="L670" t="str">
            <v>正确</v>
          </cell>
          <cell r="M670">
            <v>0</v>
          </cell>
          <cell r="N670">
            <v>12.43</v>
          </cell>
          <cell r="O670">
            <v>4.43</v>
          </cell>
          <cell r="P670">
            <v>0</v>
          </cell>
          <cell r="Q670">
            <v>0</v>
          </cell>
          <cell r="R670" t="str">
            <v>孙可君Monica（Kejun Sun）</v>
          </cell>
          <cell r="S670" t="str">
            <v>马聪Cong (Cong Ma)</v>
          </cell>
        </row>
        <row r="671">
          <cell r="G671" t="str">
            <v>MS 中南大区ATL.H调度组</v>
          </cell>
          <cell r="H671" t="str">
            <v>Dispatch Lead 调度组长</v>
          </cell>
          <cell r="I671" t="str">
            <v>TY_18:00</v>
          </cell>
          <cell r="J671" t="str">
            <v>18:26</v>
          </cell>
          <cell r="K671" t="str">
            <v>03:57</v>
          </cell>
          <cell r="L671" t="str">
            <v>正确</v>
          </cell>
          <cell r="M671">
            <v>0</v>
          </cell>
          <cell r="N671">
            <v>9.02</v>
          </cell>
          <cell r="O671">
            <v>1.02</v>
          </cell>
          <cell r="P671">
            <v>0</v>
          </cell>
          <cell r="Q671">
            <v>0</v>
          </cell>
          <cell r="R671" t="str">
            <v>欧阳迎春Flower（Yingchun Ouyang）</v>
          </cell>
          <cell r="S671" t="str">
            <v>杨云飞</v>
          </cell>
          <cell r="T671" t="str">
            <v>Minqing (Minqing Xu),罗煜雄 Mike (Yuxiong Luo),明杰麟Jennie (Jielin Ming)</v>
          </cell>
          <cell r="U671" t="str">
            <v>文艳平</v>
          </cell>
        </row>
        <row r="672">
          <cell r="G672" t="str">
            <v>OM 操作管理部精益改善组</v>
          </cell>
          <cell r="H672" t="str">
            <v>LI Supervisor 精益改善主管</v>
          </cell>
          <cell r="I672" t="str">
            <v>TY_休息日</v>
          </cell>
        </row>
        <row r="672">
          <cell r="L672" t="str">
            <v>正确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str">
            <v>袁博闻(Bowen Yuan)</v>
          </cell>
        </row>
        <row r="673">
          <cell r="G673" t="str">
            <v>NE 东北大区DC 华盛顿片区PHL01</v>
          </cell>
          <cell r="H673" t="str">
            <v>Station Head （Probation）站长（见习）</v>
          </cell>
          <cell r="I673" t="str">
            <v>TY_06:00</v>
          </cell>
          <cell r="J673" t="str">
            <v>05:04</v>
          </cell>
          <cell r="K673" t="str">
            <v>14:44</v>
          </cell>
          <cell r="L673" t="str">
            <v>正确</v>
          </cell>
          <cell r="M673">
            <v>0</v>
          </cell>
          <cell r="N673">
            <v>9.17</v>
          </cell>
          <cell r="O673">
            <v>1.17</v>
          </cell>
          <cell r="P673">
            <v>0</v>
          </cell>
          <cell r="Q673">
            <v>0</v>
          </cell>
          <cell r="R673" t="str">
            <v>孙可君Monica（Kejun Sun）</v>
          </cell>
          <cell r="S673" t="str">
            <v>马聪Cong (Cong Ma)</v>
          </cell>
          <cell r="T673" t="str">
            <v>朱晗宇 Peter (Hanyu Zhu)</v>
          </cell>
        </row>
        <row r="674">
          <cell r="G674" t="str">
            <v>WE 美西大区NC 北加片区SFO.H</v>
          </cell>
          <cell r="H674" t="str">
            <v>Warehouse Operator 操作员</v>
          </cell>
          <cell r="I674" t="str">
            <v>TY_休息日</v>
          </cell>
        </row>
        <row r="674">
          <cell r="L674" t="str">
            <v>正确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str">
            <v>王骞Ariel（Qian Wang）,叶秀芳Freya (Xiufang Ye)</v>
          </cell>
          <cell r="S674" t="str">
            <v>常哲</v>
          </cell>
          <cell r="T674" t="str">
            <v>林美浚（Meijun Lin）</v>
          </cell>
        </row>
        <row r="675">
          <cell r="G675" t="str">
            <v>MS 中南大区RE 北卡和东南海岸片区</v>
          </cell>
          <cell r="H675" t="str">
            <v>District Head 片区长</v>
          </cell>
          <cell r="I675" t="str">
            <v>TY_休息日</v>
          </cell>
        </row>
        <row r="675">
          <cell r="L675" t="str">
            <v>正确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str">
            <v>欧阳迎春Flower（Yingchun Ouyang）</v>
          </cell>
          <cell r="S675" t="str">
            <v>杨云飞</v>
          </cell>
        </row>
        <row r="676">
          <cell r="G676" t="str">
            <v>FL 佛州大区MIA.H调度组</v>
          </cell>
          <cell r="H676" t="str">
            <v>Dispatcher 调度员</v>
          </cell>
          <cell r="I676" t="str">
            <v>TY_休息日</v>
          </cell>
        </row>
        <row r="676">
          <cell r="L676" t="str">
            <v>正确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str">
            <v>Natalia (Natalia Padilla),孙婕 Jasmine（Sunjie）</v>
          </cell>
          <cell r="S676" t="str">
            <v>贺子强Jeff (Ziqiang He)</v>
          </cell>
          <cell r="T676" t="str">
            <v>Minqing (Minqing Xu),罗煜雄 Mike (Yuxiong Luo)</v>
          </cell>
        </row>
        <row r="677">
          <cell r="G677" t="str">
            <v>FL 佛州大区MF 中佛片区MCO01</v>
          </cell>
          <cell r="H677" t="str">
            <v>Station Head 站长</v>
          </cell>
          <cell r="I677" t="str">
            <v>TY_06:00</v>
          </cell>
        </row>
        <row r="677">
          <cell r="L677" t="str">
            <v>/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str">
            <v>Natalia (Natalia Padilla),孙婕 Jasmine（Sunjie）</v>
          </cell>
          <cell r="S677" t="str">
            <v>贺子强Jeff (Ziqiang He)</v>
          </cell>
          <cell r="T677" t="str">
            <v>朱家仡Andrew (Jiayi Zhu)</v>
          </cell>
        </row>
        <row r="678">
          <cell r="G678" t="str">
            <v>US人力资源部美洲HRBP组综合HRBP组</v>
          </cell>
          <cell r="H678" t="str">
            <v>HRBP Assistant HRBP助理</v>
          </cell>
          <cell r="I678" t="str">
            <v>TY_休息日</v>
          </cell>
        </row>
        <row r="678">
          <cell r="L678" t="str">
            <v>正确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str">
            <v>袁博闻(Bowen Yuan)</v>
          </cell>
        </row>
        <row r="679">
          <cell r="G679" t="str">
            <v>TX 德州大区DFW.H异常处理组</v>
          </cell>
          <cell r="H679" t="str">
            <v>Returns Specialist 退件员</v>
          </cell>
          <cell r="I679" t="str">
            <v>TY_09:00</v>
          </cell>
          <cell r="J679" t="str">
            <v>08:57</v>
          </cell>
          <cell r="K679" t="str">
            <v>18:30</v>
          </cell>
          <cell r="L679" t="str">
            <v>正确</v>
          </cell>
          <cell r="M679">
            <v>0</v>
          </cell>
          <cell r="N679">
            <v>9.05</v>
          </cell>
          <cell r="O679">
            <v>1.05</v>
          </cell>
          <cell r="P679">
            <v>0</v>
          </cell>
          <cell r="Q679">
            <v>0</v>
          </cell>
          <cell r="R679" t="str">
            <v>肖芦莉Lily (Luli Xiao)</v>
          </cell>
          <cell r="S679" t="str">
            <v>张骥Ji Zhang (Ji Zhang)</v>
          </cell>
          <cell r="T679" t="str">
            <v>Minqing (Minqing Xu),罗煜雄 Mike (Yuxiong Luo)</v>
          </cell>
        </row>
        <row r="680">
          <cell r="G680" t="str">
            <v>TX 德州大区DFW.H</v>
          </cell>
          <cell r="H680" t="str">
            <v>Deputy Hub Head 副仓长</v>
          </cell>
          <cell r="I680" t="str">
            <v>TY_休息日</v>
          </cell>
        </row>
        <row r="680">
          <cell r="L680" t="str">
            <v>正确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str">
            <v>肖芦莉Lily (Luli Xiao)</v>
          </cell>
          <cell r="S680" t="str">
            <v>张骥Ji Zhang (Ji Zhang)</v>
          </cell>
        </row>
        <row r="681">
          <cell r="G681" t="str">
            <v>TX 德州大区DFW.H分拣组</v>
          </cell>
          <cell r="H681" t="str">
            <v>Sorting Lead 分拣组长</v>
          </cell>
          <cell r="I681" t="str">
            <v>TY_08:00</v>
          </cell>
          <cell r="J681" t="str">
            <v>07:33</v>
          </cell>
          <cell r="K681" t="str">
            <v>17:07</v>
          </cell>
          <cell r="L681" t="str">
            <v>正确</v>
          </cell>
          <cell r="M681">
            <v>0</v>
          </cell>
          <cell r="N681">
            <v>9.07</v>
          </cell>
          <cell r="O681">
            <v>1.07</v>
          </cell>
          <cell r="P681">
            <v>0</v>
          </cell>
          <cell r="Q681">
            <v>0</v>
          </cell>
          <cell r="R681" t="str">
            <v>肖芦莉Lily (Luli Xiao)</v>
          </cell>
          <cell r="S681" t="str">
            <v>张骥Ji Zhang (Ji Zhang)</v>
          </cell>
          <cell r="T681" t="str">
            <v>张双甫(Shuangfu Zhang)</v>
          </cell>
        </row>
        <row r="682">
          <cell r="G682" t="str">
            <v>GL 大湖大区WG 西大湖片区MSN01</v>
          </cell>
          <cell r="H682" t="str">
            <v>Station Operations Specialist 站点运营专员</v>
          </cell>
          <cell r="I682" t="str">
            <v>TY_休息日</v>
          </cell>
        </row>
        <row r="682">
          <cell r="L682" t="str">
            <v>正确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str">
            <v>王晓丹 Jasmine（Xiaodan Wang）,周延舒Isabel（Yanshu Zhou）</v>
          </cell>
          <cell r="S682" t="str">
            <v>张骥Ji Zhang (Ji Zhang)</v>
          </cell>
          <cell r="T682" t="str">
            <v>易至聪Zac (Zhicong Yi),尚青蓓 Suki （Qingbei Shang）</v>
          </cell>
        </row>
        <row r="683">
          <cell r="G683" t="str">
            <v>US人力资源部美洲HRBP组综合HRBP组</v>
          </cell>
          <cell r="H683" t="str">
            <v>Junior HRBP Specialist 初级HRBP专员</v>
          </cell>
          <cell r="I683" t="str">
            <v>TY_休息日</v>
          </cell>
        </row>
        <row r="683">
          <cell r="L683" t="str">
            <v>正确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str">
            <v>袁博闻(Bowen Yuan)</v>
          </cell>
        </row>
        <row r="684">
          <cell r="G684" t="str">
            <v>WE 美西大区运营支持部区域支持组</v>
          </cell>
          <cell r="H684" t="str">
            <v>Regional Support Specialist 区域支持专员</v>
          </cell>
          <cell r="I684" t="str">
            <v>TY_休息日</v>
          </cell>
        </row>
        <row r="684">
          <cell r="L684" t="str">
            <v>正确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str">
            <v>王骞Ariel（Qian Wang）,叶秀芳Freya (Xiufang Ye)</v>
          </cell>
          <cell r="S684" t="str">
            <v>常哲</v>
          </cell>
        </row>
        <row r="685">
          <cell r="G685" t="str">
            <v>CM 运力管理部调度运营组</v>
          </cell>
          <cell r="H685" t="str">
            <v>Dispatching Operations Specialist 调度运营专员</v>
          </cell>
          <cell r="I685" t="str">
            <v>TY_休息日</v>
          </cell>
        </row>
        <row r="685">
          <cell r="L685" t="str">
            <v>正确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str">
            <v>袁博闻(Bowen Yuan)</v>
          </cell>
        </row>
        <row r="686">
          <cell r="G686" t="str">
            <v>NE 东北大区NY 纽约片区FRG01</v>
          </cell>
          <cell r="H686" t="str">
            <v>Station Operations Specialist 站点运营专员</v>
          </cell>
          <cell r="I686" t="str">
            <v>TY_05:00</v>
          </cell>
          <cell r="J686" t="str">
            <v>04:53</v>
          </cell>
          <cell r="K686" t="str">
            <v>13:31</v>
          </cell>
          <cell r="L686" t="str">
            <v>正确</v>
          </cell>
          <cell r="M686">
            <v>0</v>
          </cell>
          <cell r="N686">
            <v>8.13</v>
          </cell>
          <cell r="O686">
            <v>0.13</v>
          </cell>
          <cell r="P686">
            <v>0</v>
          </cell>
          <cell r="Q686">
            <v>0</v>
          </cell>
          <cell r="R686" t="str">
            <v>孙可君Monica（Kejun Sun）</v>
          </cell>
          <cell r="S686" t="str">
            <v>马聪Cong (Cong Ma)</v>
          </cell>
          <cell r="T686" t="str">
            <v>朱晗宇 Peter (Hanyu Zhu)</v>
          </cell>
        </row>
        <row r="687">
          <cell r="G687" t="str">
            <v>FL 佛州大区MCO.H调度组</v>
          </cell>
          <cell r="H687" t="str">
            <v>Dispatch Lead 调度组长</v>
          </cell>
          <cell r="I687" t="str">
            <v>TY_13:00</v>
          </cell>
          <cell r="J687" t="str">
            <v>11:49</v>
          </cell>
          <cell r="K687" t="str">
            <v>02:17</v>
          </cell>
          <cell r="L687" t="str">
            <v>不正确</v>
          </cell>
          <cell r="M687">
            <v>0</v>
          </cell>
          <cell r="N687">
            <v>13.97</v>
          </cell>
          <cell r="O687">
            <v>5.97</v>
          </cell>
          <cell r="P687">
            <v>0</v>
          </cell>
          <cell r="Q687">
            <v>0</v>
          </cell>
          <cell r="R687" t="str">
            <v>Natalia (Natalia Padilla),孙婕 Jasmine（Sunjie）</v>
          </cell>
          <cell r="S687" t="str">
            <v>贺子强Jeff (Ziqiang He)</v>
          </cell>
          <cell r="T687" t="str">
            <v>Minqing (Minqing Xu),罗煜雄 Mike (Yuxiong Luo)</v>
          </cell>
        </row>
        <row r="688">
          <cell r="G688" t="str">
            <v>OM 操作管理部实施运营组</v>
          </cell>
          <cell r="H688" t="str">
            <v>Implementation Operations Manager 实施运营组经理</v>
          </cell>
          <cell r="I688" t="str">
            <v>TY_休息日</v>
          </cell>
        </row>
        <row r="688">
          <cell r="L688" t="str">
            <v>正确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str">
            <v>袁博闻(Bowen Yuan)</v>
          </cell>
        </row>
        <row r="689">
          <cell r="G689" t="str">
            <v>WE 美西大区NC 北加片区SFO.H</v>
          </cell>
          <cell r="H689" t="str">
            <v>Warehouse Operator 操作员</v>
          </cell>
          <cell r="I689" t="str">
            <v>TY_07:00</v>
          </cell>
          <cell r="J689" t="str">
            <v>06:53</v>
          </cell>
          <cell r="K689" t="str">
            <v>16:06</v>
          </cell>
          <cell r="L689" t="str">
            <v>正确</v>
          </cell>
          <cell r="M689">
            <v>0</v>
          </cell>
          <cell r="N689">
            <v>8.72</v>
          </cell>
          <cell r="O689">
            <v>0.72</v>
          </cell>
          <cell r="P689">
            <v>41.89</v>
          </cell>
          <cell r="Q689">
            <v>1.89</v>
          </cell>
          <cell r="R689" t="str">
            <v>王骞Ariel（Qian Wang）,叶秀芳Freya (Xiufang Ye)</v>
          </cell>
          <cell r="S689" t="str">
            <v>常哲</v>
          </cell>
          <cell r="T689" t="str">
            <v>林美浚（Meijun Lin）</v>
          </cell>
        </row>
        <row r="690">
          <cell r="G690" t="str">
            <v>FL 佛州大区MIA.H</v>
          </cell>
          <cell r="H690" t="str">
            <v>Deputy Hub Head 副仓长</v>
          </cell>
          <cell r="I690" t="str">
            <v>TY_10:00</v>
          </cell>
        </row>
        <row r="690">
          <cell r="L690" t="str">
            <v>/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str">
            <v>Natalia (Natalia Padilla),孙婕 Jasmine（Sunjie）</v>
          </cell>
          <cell r="S690" t="str">
            <v>贺子强Jeff (Ziqiang He)</v>
          </cell>
        </row>
        <row r="691">
          <cell r="G691" t="str">
            <v>WE 美西大区车辆管理部</v>
          </cell>
          <cell r="H691" t="str">
            <v>Vehicle Management Specialist 车辆管理专员</v>
          </cell>
          <cell r="I691" t="str">
            <v>TY_休息日</v>
          </cell>
        </row>
        <row r="691">
          <cell r="L691" t="str">
            <v>正确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str">
            <v>王骞Ariel（Qian Wang）,叶秀芳Freya (Xiufang Ye)</v>
          </cell>
          <cell r="S691" t="str">
            <v>常哲</v>
          </cell>
        </row>
        <row r="692">
          <cell r="G692" t="str">
            <v>FL 佛州大区MIA01</v>
          </cell>
          <cell r="H692" t="str">
            <v>Station Operations Specialist 站点运营专员</v>
          </cell>
          <cell r="I692" t="str">
            <v>TY_04:00</v>
          </cell>
          <cell r="J692" t="str">
            <v>04:01</v>
          </cell>
          <cell r="K692" t="str">
            <v>13:23</v>
          </cell>
          <cell r="L692" t="str">
            <v>正确</v>
          </cell>
          <cell r="M692">
            <v>0</v>
          </cell>
          <cell r="N692">
            <v>8.87</v>
          </cell>
          <cell r="O692">
            <v>0.87</v>
          </cell>
          <cell r="P692">
            <v>0</v>
          </cell>
          <cell r="Q692">
            <v>0</v>
          </cell>
          <cell r="R692" t="str">
            <v>Natalia (Natalia Padilla),孙婕 Jasmine（Sunjie）</v>
          </cell>
          <cell r="S692" t="str">
            <v>贺子强Jeff (Ziqiang He)</v>
          </cell>
        </row>
        <row r="693">
          <cell r="G693" t="str">
            <v>TX 德州大区NT 北德州片区OKC01</v>
          </cell>
          <cell r="H693" t="str">
            <v>Station Head （Probation）站长（见习）</v>
          </cell>
          <cell r="I693" t="str">
            <v>TY_休息日</v>
          </cell>
        </row>
        <row r="693">
          <cell r="L693" t="str">
            <v>正确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str">
            <v>肖芦莉Lily (Luli Xiao)</v>
          </cell>
          <cell r="S693" t="str">
            <v>张骥Ji Zhang (Ji Zhang)</v>
          </cell>
          <cell r="T693" t="str">
            <v>何琼joan(Qiong He)</v>
          </cell>
        </row>
        <row r="694">
          <cell r="G694" t="str">
            <v>NE 东北大区DC 华盛顿片区PNE01</v>
          </cell>
          <cell r="H694" t="str">
            <v>Station Trainee 站点培训生</v>
          </cell>
          <cell r="I694" t="str">
            <v>TY_06:00</v>
          </cell>
        </row>
        <row r="694">
          <cell r="L694" t="str">
            <v>/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str">
            <v>孙可君Monica（Kejun Sun）</v>
          </cell>
          <cell r="S694" t="str">
            <v>马聪Cong (Cong Ma)</v>
          </cell>
          <cell r="T694" t="str">
            <v>朱晗宇 Peter (Hanyu Zhu)</v>
          </cell>
        </row>
        <row r="695">
          <cell r="G695" t="str">
            <v>NE 东北大区揽收部揽收调度组</v>
          </cell>
          <cell r="H695" t="str">
            <v>Pickup Dispatcher 揽收调度员</v>
          </cell>
          <cell r="I695" t="str">
            <v>TY_休息日</v>
          </cell>
        </row>
        <row r="695">
          <cell r="L695" t="str">
            <v>正确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str">
            <v>孙可君Monica（Kejun Sun）</v>
          </cell>
          <cell r="S695" t="str">
            <v>马聪Cong (Cong Ma)</v>
          </cell>
        </row>
        <row r="696">
          <cell r="G696" t="str">
            <v>WE 美西大区SC 南加片区LAX01</v>
          </cell>
          <cell r="H696" t="str">
            <v>Warehouse Operator 操作员</v>
          </cell>
          <cell r="I696" t="str">
            <v>TY_04:00</v>
          </cell>
          <cell r="J696" t="str">
            <v>04:10</v>
          </cell>
          <cell r="K696" t="str">
            <v>14:00</v>
          </cell>
          <cell r="L696" t="str">
            <v>正确</v>
          </cell>
          <cell r="M696">
            <v>0</v>
          </cell>
          <cell r="N696">
            <v>9.33</v>
          </cell>
          <cell r="O696">
            <v>1.33</v>
          </cell>
          <cell r="P696">
            <v>0</v>
          </cell>
          <cell r="Q696">
            <v>0</v>
          </cell>
          <cell r="R696" t="str">
            <v>王骞Ariel（Qian Wang）,叶秀芳Freya (Xiufang Ye)</v>
          </cell>
          <cell r="S696" t="str">
            <v>常哲</v>
          </cell>
          <cell r="T696" t="str">
            <v>尤梦楠Yuko（Mengnan You）</v>
          </cell>
        </row>
        <row r="697">
          <cell r="G697" t="str">
            <v>WE 美西大区LA揽收部揽收支持组</v>
          </cell>
          <cell r="H697" t="str">
            <v>Pickup Support Specialist 揽收支持专员</v>
          </cell>
          <cell r="I697" t="str">
            <v>TY_休息日</v>
          </cell>
        </row>
        <row r="697">
          <cell r="L697" t="str">
            <v>正确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str">
            <v>王骞Ariel（Qian Wang）,叶秀芳Freya (Xiufang Ye)</v>
          </cell>
          <cell r="S697" t="str">
            <v>常哲</v>
          </cell>
          <cell r="T697" t="str">
            <v>王姝涵Function（Shuhan Wang)</v>
          </cell>
        </row>
        <row r="698">
          <cell r="G698" t="str">
            <v>WE 美西大区SC 南加片区LAX01</v>
          </cell>
          <cell r="H698" t="str">
            <v>Warehouse Operator 操作员</v>
          </cell>
          <cell r="I698" t="str">
            <v>TY_休息日</v>
          </cell>
        </row>
        <row r="698">
          <cell r="L698" t="str">
            <v>正确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str">
            <v>王骞Ariel（Qian Wang）,叶秀芳Freya (Xiufang Ye)</v>
          </cell>
          <cell r="S698" t="str">
            <v>常哲</v>
          </cell>
          <cell r="T698" t="str">
            <v>尤梦楠Yuko（Mengnan You）</v>
          </cell>
        </row>
        <row r="699">
          <cell r="G699" t="str">
            <v>GL 大湖大区EG 东大湖片区</v>
          </cell>
          <cell r="H699" t="str">
            <v>District Head（Probation）片区长（见习）</v>
          </cell>
          <cell r="I699" t="str">
            <v>TY_06:00</v>
          </cell>
        </row>
        <row r="699">
          <cell r="L699" t="str">
            <v>/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str">
            <v>王晓丹 Jasmine（Xiaodan Wang）,周延舒Isabel（Yanshu Zhou）</v>
          </cell>
          <cell r="S699" t="str">
            <v>张骥Ji Zhang (Ji Zhang)</v>
          </cell>
        </row>
        <row r="700">
          <cell r="G700" t="str">
            <v>NE 东北大区揽收部揽收调度组</v>
          </cell>
          <cell r="H700" t="str">
            <v>Pickup Dispatcher 揽收调度员</v>
          </cell>
          <cell r="I700" t="str">
            <v>TY_08:00</v>
          </cell>
          <cell r="J700" t="str">
            <v>08:26</v>
          </cell>
          <cell r="K700" t="str">
            <v>19:37</v>
          </cell>
          <cell r="L700" t="str">
            <v>正确</v>
          </cell>
          <cell r="M700">
            <v>0</v>
          </cell>
          <cell r="N700">
            <v>10.68</v>
          </cell>
          <cell r="O700">
            <v>2.68</v>
          </cell>
          <cell r="P700">
            <v>0</v>
          </cell>
          <cell r="Q700">
            <v>0</v>
          </cell>
          <cell r="R700" t="str">
            <v>孙可君Monica（Kejun Sun）</v>
          </cell>
          <cell r="S700" t="str">
            <v>马聪Cong (Cong Ma)</v>
          </cell>
        </row>
        <row r="701">
          <cell r="G701" t="str">
            <v>US人力资源部美洲HRBP组德州区HR组</v>
          </cell>
          <cell r="H701" t="str">
            <v>HRBP Supervisor HRBP主管</v>
          </cell>
          <cell r="I701" t="str">
            <v>TY_休息日</v>
          </cell>
        </row>
        <row r="701">
          <cell r="L701" t="str">
            <v>正确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str">
            <v>袁博闻(Bowen Yuan)</v>
          </cell>
        </row>
        <row r="702">
          <cell r="G702" t="str">
            <v>GL 大湖大区车辆管理部</v>
          </cell>
          <cell r="H702" t="str">
            <v>Deputy Vehicle Management Supervisor 车辆管理部副主管</v>
          </cell>
          <cell r="I702" t="str">
            <v>TY_休息日</v>
          </cell>
        </row>
        <row r="702">
          <cell r="L702" t="str">
            <v>正确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str">
            <v>王晓丹 Jasmine（Xiaodan Wang）,周延舒Isabel（Yanshu Zhou）</v>
          </cell>
          <cell r="S702" t="str">
            <v>张骥Ji Zhang (Ji Zhang)</v>
          </cell>
        </row>
        <row r="703">
          <cell r="G703" t="str">
            <v>GL 大湖大区NM 中西部北片区MSP01</v>
          </cell>
          <cell r="H703" t="str">
            <v>Station Head （Probation）站长（见习）</v>
          </cell>
          <cell r="I703" t="str">
            <v>TY_05:30</v>
          </cell>
          <cell r="J703" t="str">
            <v>05:43</v>
          </cell>
          <cell r="K703" t="str">
            <v>15:54</v>
          </cell>
          <cell r="L703" t="str">
            <v>正确</v>
          </cell>
          <cell r="M703">
            <v>0</v>
          </cell>
          <cell r="N703">
            <v>9.68</v>
          </cell>
          <cell r="O703">
            <v>1.68</v>
          </cell>
          <cell r="P703">
            <v>0</v>
          </cell>
          <cell r="Q703">
            <v>0</v>
          </cell>
          <cell r="R703" t="str">
            <v>王晓丹 Jasmine（Xiaodan Wang）,周延舒Isabel（Yanshu Zhou）</v>
          </cell>
          <cell r="S703" t="str">
            <v>张骥Ji Zhang (Ji Zhang)</v>
          </cell>
          <cell r="T703" t="str">
            <v>武杰 Jay（Jie Wu）,尚青蓓 Suki （Qingbei Shang）</v>
          </cell>
        </row>
        <row r="704">
          <cell r="G704" t="str">
            <v>AD 行政部美中组</v>
          </cell>
          <cell r="H704" t="str">
            <v>Senior Admin Specialist 高级行政专员</v>
          </cell>
          <cell r="I704" t="str">
            <v>TY_休息日</v>
          </cell>
        </row>
        <row r="704">
          <cell r="L704" t="str">
            <v>正确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str">
            <v>袁博闻(Bowen Yuan)</v>
          </cell>
        </row>
        <row r="705">
          <cell r="G705" t="str">
            <v>Gofo财务部综合财务组美区核算组</v>
          </cell>
          <cell r="H705" t="str">
            <v>高级财务专员</v>
          </cell>
          <cell r="I705" t="str">
            <v>TY_休息日</v>
          </cell>
        </row>
        <row r="705">
          <cell r="L705" t="str">
            <v>正确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str">
            <v>袁博闻(Bowen Yuan)</v>
          </cell>
        </row>
        <row r="706">
          <cell r="G706" t="str">
            <v>TX 德州大区CT 中德州片区SAT01</v>
          </cell>
          <cell r="H706" t="str">
            <v>Station Operations Specialist 站点运营专员</v>
          </cell>
          <cell r="I706" t="str">
            <v>TY_休息日</v>
          </cell>
          <cell r="J706" t="str">
            <v>10:26</v>
          </cell>
          <cell r="K706" t="str">
            <v>10:34</v>
          </cell>
          <cell r="L706" t="str">
            <v>正确</v>
          </cell>
          <cell r="M706">
            <v>0</v>
          </cell>
          <cell r="N706">
            <v>0.13</v>
          </cell>
          <cell r="O706">
            <v>0</v>
          </cell>
          <cell r="P706">
            <v>40.66</v>
          </cell>
          <cell r="Q706">
            <v>0.66</v>
          </cell>
          <cell r="R706" t="str">
            <v>肖芦莉Lily (Luli Xiao)</v>
          </cell>
          <cell r="S706" t="str">
            <v>张骥Ji Zhang (Ji Zhang)</v>
          </cell>
          <cell r="T706" t="str">
            <v>陈潇剑Echo(Xiaojian Chen)</v>
          </cell>
        </row>
        <row r="707">
          <cell r="G707" t="str">
            <v>GL 大湖大区ORD.H调度组</v>
          </cell>
          <cell r="H707" t="str">
            <v>Dispatcher 调度员</v>
          </cell>
          <cell r="I707" t="str">
            <v>TY_休息日</v>
          </cell>
          <cell r="J707" t="str">
            <v>08:42</v>
          </cell>
        </row>
        <row r="707">
          <cell r="L707" t="str">
            <v>正确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str">
            <v>王晓丹 Jasmine（Xiaodan Wang）,周延舒Isabel（Yanshu Zhou）</v>
          </cell>
          <cell r="S707" t="str">
            <v>张骥Ji Zhang (Ji Zhang)</v>
          </cell>
          <cell r="T707" t="str">
            <v>Minqing (Minqing Xu),罗煜雄 Mike (Yuxiong Luo)</v>
          </cell>
        </row>
        <row r="708">
          <cell r="G708" t="str">
            <v>Ground项目部OG 美西区CNO.G</v>
          </cell>
          <cell r="H708" t="str">
            <v>Dispatcher 调度员</v>
          </cell>
          <cell r="I708" t="str">
            <v>TY_休息日</v>
          </cell>
        </row>
        <row r="708">
          <cell r="L708" t="str">
            <v>正确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str">
            <v>王安琪 (Anqi Wang),张朱同 Thomson（Zhutong Zhang）</v>
          </cell>
          <cell r="S708" t="str">
            <v>陈锦昭</v>
          </cell>
          <cell r="T708" t="str">
            <v>张弘毅 Hongyi （Hongyi Zhang）</v>
          </cell>
        </row>
        <row r="709">
          <cell r="G709" t="str">
            <v>NE 东北大区EWR.H分拣组</v>
          </cell>
          <cell r="H709" t="str">
            <v>Sorter 分拣员</v>
          </cell>
          <cell r="I709" t="str">
            <v>TY_休息日</v>
          </cell>
          <cell r="J709" t="str">
            <v>10:36</v>
          </cell>
          <cell r="K709" t="str">
            <v>11:59</v>
          </cell>
          <cell r="L709" t="str">
            <v>不正确</v>
          </cell>
          <cell r="M709">
            <v>0</v>
          </cell>
          <cell r="N709">
            <v>1.38</v>
          </cell>
          <cell r="O709">
            <v>0</v>
          </cell>
          <cell r="P709">
            <v>0</v>
          </cell>
          <cell r="Q709">
            <v>0</v>
          </cell>
          <cell r="R709" t="str">
            <v>孙可君Monica（Kejun Sun）</v>
          </cell>
          <cell r="S709" t="str">
            <v>马聪Cong (Cong Ma)</v>
          </cell>
          <cell r="T709" t="str">
            <v>张双甫(Shuangfu Zhang)</v>
          </cell>
        </row>
        <row r="710">
          <cell r="G710" t="str">
            <v>NE 东北大区DC 华盛顿片区ORF01</v>
          </cell>
          <cell r="H710" t="str">
            <v>Station Operations Specialist 站点运营专员</v>
          </cell>
          <cell r="I710" t="str">
            <v>TY_06:00</v>
          </cell>
          <cell r="J710" t="str">
            <v>05:55</v>
          </cell>
          <cell r="K710" t="str">
            <v>14:37</v>
          </cell>
          <cell r="L710" t="str">
            <v>正确</v>
          </cell>
          <cell r="M710">
            <v>0</v>
          </cell>
          <cell r="N710">
            <v>8.2</v>
          </cell>
          <cell r="O710">
            <v>0.2</v>
          </cell>
          <cell r="P710">
            <v>0</v>
          </cell>
          <cell r="Q710">
            <v>0</v>
          </cell>
          <cell r="R710" t="str">
            <v>孙可君Monica（Kejun Sun）</v>
          </cell>
          <cell r="S710" t="str">
            <v>马聪Cong (Cong Ma)</v>
          </cell>
          <cell r="T710" t="str">
            <v>朱晗宇 Peter (Hanyu Zhu)</v>
          </cell>
        </row>
        <row r="711">
          <cell r="G711" t="str">
            <v>FL 佛州大区MCO.H综办组</v>
          </cell>
          <cell r="H711" t="str">
            <v>Warehouse Clerk 仓库文员</v>
          </cell>
          <cell r="I711" t="str">
            <v>TY_09:00</v>
          </cell>
          <cell r="J711" t="str">
            <v>08:53</v>
          </cell>
          <cell r="K711" t="str">
            <v>18:32</v>
          </cell>
          <cell r="L711" t="str">
            <v>正确</v>
          </cell>
          <cell r="M711">
            <v>0</v>
          </cell>
          <cell r="N711">
            <v>9.15</v>
          </cell>
          <cell r="O711">
            <v>1.15</v>
          </cell>
          <cell r="P711">
            <v>0</v>
          </cell>
          <cell r="Q711">
            <v>0</v>
          </cell>
          <cell r="R711" t="str">
            <v>Natalia (Natalia Padilla),孙婕 Jasmine（Sunjie）</v>
          </cell>
          <cell r="S711" t="str">
            <v>贺子强Jeff (Ziqiang He)</v>
          </cell>
          <cell r="T711" t="str">
            <v>Minqing (Minqing Xu),罗煜雄 Mike (Yuxiong Luo)</v>
          </cell>
        </row>
        <row r="712">
          <cell r="G712" t="str">
            <v>NE 东北大区PIT01</v>
          </cell>
          <cell r="H712" t="str">
            <v>Station Operations Specialist 站点运营专员</v>
          </cell>
          <cell r="I712" t="str">
            <v>TY_休息日</v>
          </cell>
        </row>
        <row r="712">
          <cell r="L712" t="str">
            <v>正确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str">
            <v>孙可君Monica（Kejun Sun）</v>
          </cell>
          <cell r="S712" t="str">
            <v>马聪Cong (Cong Ma)</v>
          </cell>
        </row>
        <row r="713">
          <cell r="G713" t="str">
            <v>WE 美西大区NC 北加片区SFO.H</v>
          </cell>
          <cell r="H713" t="str">
            <v>Warehouse Operator 操作员</v>
          </cell>
          <cell r="I713" t="str">
            <v>TY_休息日</v>
          </cell>
        </row>
        <row r="713">
          <cell r="L713" t="str">
            <v>正确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str">
            <v>王骞Ariel（Qian Wang）,叶秀芳Freya (Xiufang Ye)</v>
          </cell>
          <cell r="S713" t="str">
            <v>常哲</v>
          </cell>
          <cell r="T713" t="str">
            <v>林美浚（Meijun Lin）</v>
          </cell>
        </row>
        <row r="714">
          <cell r="G714" t="str">
            <v>US人力资源部美洲HRBP组综合HRBP组</v>
          </cell>
          <cell r="H714" t="str">
            <v>HRBP Assistant HRBP助理</v>
          </cell>
          <cell r="I714" t="str">
            <v>TY_休息日</v>
          </cell>
        </row>
        <row r="714">
          <cell r="L714" t="str">
            <v>正确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str">
            <v>袁博闻(Bowen Yuan)</v>
          </cell>
        </row>
        <row r="715">
          <cell r="G715" t="str">
            <v>Ground项目部OG 美东区NY112</v>
          </cell>
          <cell r="H715" t="str">
            <v>Station Operations Specialist 站点运营专员</v>
          </cell>
          <cell r="I715" t="str">
            <v>TY_08:00</v>
          </cell>
          <cell r="J715" t="str">
            <v>08:03</v>
          </cell>
          <cell r="K715" t="str">
            <v>16:33</v>
          </cell>
          <cell r="L715" t="str">
            <v>正确</v>
          </cell>
          <cell r="M715">
            <v>0</v>
          </cell>
          <cell r="N715">
            <v>8</v>
          </cell>
          <cell r="O715">
            <v>0</v>
          </cell>
          <cell r="P715">
            <v>0</v>
          </cell>
          <cell r="Q715">
            <v>0</v>
          </cell>
          <cell r="R715" t="str">
            <v>王安琪 (Anqi Wang),张朱同 Thomson（Zhutong Zhang）</v>
          </cell>
          <cell r="S715" t="str">
            <v>陈锦昭</v>
          </cell>
          <cell r="T715" t="str">
            <v>欧和枫 Henry (HeFeng Ou)</v>
          </cell>
        </row>
        <row r="716">
          <cell r="G716" t="str">
            <v>FL 佛州大区MCO.H异常处理组</v>
          </cell>
          <cell r="H716" t="str">
            <v>Returns Specialist 退件员</v>
          </cell>
          <cell r="I716" t="str">
            <v>TY_09:00</v>
          </cell>
        </row>
        <row r="716">
          <cell r="L716" t="str">
            <v>/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str">
            <v>Natalia (Natalia Padilla),孙婕 Jasmine（Sunjie）</v>
          </cell>
          <cell r="S716" t="str">
            <v>贺子强Jeff (Ziqiang He)</v>
          </cell>
          <cell r="T716" t="str">
            <v>Minqing (Minqing Xu),罗煜雄 Mike (Yuxiong Luo)</v>
          </cell>
        </row>
        <row r="717">
          <cell r="G717" t="str">
            <v>WE 美西大区CNO.H调度组</v>
          </cell>
          <cell r="H717" t="str">
            <v>Dispatcher 调度员</v>
          </cell>
          <cell r="I717" t="str">
            <v>TY_休息日</v>
          </cell>
        </row>
        <row r="717">
          <cell r="L717" t="str">
            <v>正确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str">
            <v>王骞Ariel（Qian Wang）,叶秀芳Freya (Xiufang Ye)</v>
          </cell>
          <cell r="S717" t="str">
            <v>常哲</v>
          </cell>
          <cell r="T717" t="str">
            <v>Minqing (Minqing Xu),罗煜雄 Mike (Yuxiong Luo)</v>
          </cell>
        </row>
        <row r="718">
          <cell r="G718" t="str">
            <v>WE 美西大区LA揽收部揽收支持组</v>
          </cell>
          <cell r="H718" t="str">
            <v>Pickup Support Specialist 揽收支持专员</v>
          </cell>
          <cell r="I718" t="str">
            <v>TY_休息日</v>
          </cell>
        </row>
        <row r="718">
          <cell r="L718" t="str">
            <v>正确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str">
            <v>王骞Ariel（Qian Wang）,叶秀芳Freya (Xiufang Ye)</v>
          </cell>
          <cell r="S718" t="str">
            <v>常哲</v>
          </cell>
          <cell r="T718" t="str">
            <v>王姝涵Function（Shuhan Wang)</v>
          </cell>
        </row>
        <row r="719">
          <cell r="G719" t="str">
            <v>GL 大湖大区EG 东大湖片区DTW01</v>
          </cell>
          <cell r="H719" t="str">
            <v>Station Operations Specialist 站点运营专员</v>
          </cell>
          <cell r="I719" t="str">
            <v>TY_05:00</v>
          </cell>
          <cell r="J719" t="str">
            <v>05:54</v>
          </cell>
          <cell r="K719" t="str">
            <v>14:35</v>
          </cell>
          <cell r="L719" t="str">
            <v>正确</v>
          </cell>
          <cell r="M719">
            <v>0</v>
          </cell>
          <cell r="N719">
            <v>8.18</v>
          </cell>
          <cell r="O719">
            <v>0.18</v>
          </cell>
          <cell r="P719">
            <v>0</v>
          </cell>
          <cell r="Q719">
            <v>0</v>
          </cell>
          <cell r="R719" t="str">
            <v>王晓丹 Jasmine（Xiaodan Wang）,周延舒Isabel（Yanshu Zhou）</v>
          </cell>
          <cell r="S719" t="str">
            <v>张骥Ji Zhang (Ji Zhang)</v>
          </cell>
          <cell r="T719" t="str">
            <v>肖泓杰 Leo （hongjie Xiao）,尚青蓓 Suki （Qingbei Shang）</v>
          </cell>
        </row>
        <row r="720">
          <cell r="G720" t="str">
            <v>MS 中南大区RE 北卡和东南海岸片区FAY01</v>
          </cell>
          <cell r="H720" t="str">
            <v>Station Operations Specialist 站点运营专员</v>
          </cell>
          <cell r="I720" t="str">
            <v>TY_休息日</v>
          </cell>
          <cell r="J720" t="str">
            <v>08:04</v>
          </cell>
          <cell r="K720" t="str">
            <v>11:40</v>
          </cell>
          <cell r="L720" t="str">
            <v>不正确</v>
          </cell>
          <cell r="M720">
            <v>0</v>
          </cell>
          <cell r="N720">
            <v>3.6</v>
          </cell>
          <cell r="O720">
            <v>0</v>
          </cell>
          <cell r="P720">
            <v>0</v>
          </cell>
          <cell r="Q720">
            <v>0</v>
          </cell>
          <cell r="R720" t="str">
            <v>欧阳迎春Flower（Yingchun Ouyang）</v>
          </cell>
          <cell r="S720" t="str">
            <v>杨云飞</v>
          </cell>
          <cell r="T720" t="str">
            <v>苏政欣Sue（Zhengxin Su）</v>
          </cell>
        </row>
        <row r="721">
          <cell r="G721" t="str">
            <v>WE 美西大区NC 北加片区SFO.H</v>
          </cell>
          <cell r="H721" t="str">
            <v>Warehouse Operator 操作员</v>
          </cell>
          <cell r="I721" t="str">
            <v>TY_休息日</v>
          </cell>
        </row>
        <row r="721">
          <cell r="L721" t="str">
            <v>正确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str">
            <v>王骞Ariel（Qian Wang）,叶秀芳Freya (Xiufang Ye)</v>
          </cell>
          <cell r="S721" t="str">
            <v>常哲</v>
          </cell>
          <cell r="T721" t="str">
            <v>林美浚（Meijun Lin）</v>
          </cell>
        </row>
        <row r="722">
          <cell r="G722" t="str">
            <v>MS 中南大区BN 田纳西和北阿拉巴马片区BNA01</v>
          </cell>
          <cell r="H722" t="str">
            <v>Station Head （Probation）站长（见习）</v>
          </cell>
          <cell r="I722" t="str">
            <v>TY_04:30</v>
          </cell>
          <cell r="J722" t="str">
            <v>04:28</v>
          </cell>
          <cell r="K722" t="str">
            <v>15:05</v>
          </cell>
          <cell r="L722" t="str">
            <v>正确</v>
          </cell>
          <cell r="M722">
            <v>2</v>
          </cell>
          <cell r="N722">
            <v>12.12</v>
          </cell>
          <cell r="O722">
            <v>2.12</v>
          </cell>
          <cell r="P722">
            <v>0</v>
          </cell>
          <cell r="Q722">
            <v>0</v>
          </cell>
          <cell r="R722" t="str">
            <v>欧阳迎春Flower（Yingchun Ouyang）</v>
          </cell>
          <cell r="S722" t="str">
            <v>杨云飞</v>
          </cell>
          <cell r="T722" t="str">
            <v>苏盈如Sophie(Yingru Su)</v>
          </cell>
        </row>
        <row r="723">
          <cell r="G723" t="str">
            <v>US人力资源部美洲HRBP组德州区HR组</v>
          </cell>
          <cell r="H723" t="str">
            <v>HRBP Assistant HRBP助理</v>
          </cell>
          <cell r="I723" t="str">
            <v>TY_休息日</v>
          </cell>
        </row>
        <row r="723">
          <cell r="L723" t="str">
            <v>正确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str">
            <v>袁博闻(Bowen Yuan)</v>
          </cell>
        </row>
        <row r="724">
          <cell r="G724" t="str">
            <v>WE 美西大区SC 南加片区LAX01</v>
          </cell>
          <cell r="H724" t="str">
            <v>Warehouse Operator 操作员</v>
          </cell>
          <cell r="I724" t="str">
            <v>TY_休息日</v>
          </cell>
        </row>
        <row r="724">
          <cell r="L724" t="str">
            <v>正确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str">
            <v>王骞Ariel（Qian Wang）,叶秀芳Freya (Xiufang Ye)</v>
          </cell>
          <cell r="S724" t="str">
            <v>常哲</v>
          </cell>
          <cell r="T724" t="str">
            <v>尤梦楠Yuko（Mengnan You）</v>
          </cell>
        </row>
        <row r="725">
          <cell r="G725" t="str">
            <v>TX 德州大区DFW.H综办组</v>
          </cell>
          <cell r="H725" t="str">
            <v>Warehouse Clerk 仓库文员</v>
          </cell>
          <cell r="I725" t="str">
            <v>TY_09:00</v>
          </cell>
          <cell r="J725" t="str">
            <v>09:12</v>
          </cell>
          <cell r="K725" t="str">
            <v>18:25</v>
          </cell>
          <cell r="L725" t="str">
            <v>正确</v>
          </cell>
          <cell r="M725">
            <v>0</v>
          </cell>
          <cell r="N725">
            <v>8.72</v>
          </cell>
          <cell r="O725">
            <v>0.72</v>
          </cell>
          <cell r="P725">
            <v>0</v>
          </cell>
          <cell r="Q725">
            <v>0</v>
          </cell>
          <cell r="R725" t="str">
            <v>肖芦莉Lily (Luli Xiao)</v>
          </cell>
          <cell r="S725" t="str">
            <v>张骥Ji Zhang (Ji Zhang)</v>
          </cell>
          <cell r="T725" t="str">
            <v>Minqing (Minqing Xu),罗煜雄 Mike (Yuxiong Luo)</v>
          </cell>
        </row>
        <row r="726">
          <cell r="G726" t="str">
            <v>WE 美西大区运营支持部区域支持组</v>
          </cell>
          <cell r="H726" t="str">
            <v>Regional Support Specialist 区域支持专员</v>
          </cell>
          <cell r="I726" t="str">
            <v>TY_09:30</v>
          </cell>
        </row>
        <row r="726">
          <cell r="L726" t="str">
            <v>/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str">
            <v>王骞Ariel（Qian Wang）,叶秀芳Freya (Xiufang Ye)</v>
          </cell>
          <cell r="S726" t="str">
            <v>常哲</v>
          </cell>
        </row>
        <row r="727">
          <cell r="G727" t="str">
            <v>NE 东北大区PHL01</v>
          </cell>
          <cell r="H727" t="str">
            <v>Station Operations Specialist 站点运营专员</v>
          </cell>
          <cell r="I727" t="str">
            <v>TY_休息日</v>
          </cell>
        </row>
        <row r="727">
          <cell r="L727" t="str">
            <v>正确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str">
            <v>孙可君Monica（Kejun Sun）</v>
          </cell>
          <cell r="S727" t="str">
            <v>马聪Cong (Cong Ma)</v>
          </cell>
        </row>
        <row r="728">
          <cell r="G728" t="str">
            <v>DO 数字运营部美国技术支持组</v>
          </cell>
          <cell r="H728" t="str">
            <v>IT support 技术支持工程师</v>
          </cell>
          <cell r="I728" t="str">
            <v>TY_06:00</v>
          </cell>
        </row>
        <row r="728">
          <cell r="L728" t="str">
            <v>/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str">
            <v>袁博闻(Bowen Yuan)</v>
          </cell>
        </row>
        <row r="729">
          <cell r="G729" t="str">
            <v>OM 操作管理部实施运营组</v>
          </cell>
          <cell r="H729" t="str">
            <v>Implementation Operations Specialist 初级实施运营专员</v>
          </cell>
          <cell r="I729" t="str">
            <v>TY_休息日</v>
          </cell>
        </row>
        <row r="729">
          <cell r="L729" t="str">
            <v>正确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str">
            <v>袁博闻(Bowen Yuan)</v>
          </cell>
        </row>
        <row r="730">
          <cell r="G730" t="str">
            <v>GL 大湖大区WG 西大湖片区ORD01</v>
          </cell>
          <cell r="H730" t="str">
            <v>Station Operations Specialist 站点运营专员</v>
          </cell>
          <cell r="I730" t="str">
            <v>TY_05:00</v>
          </cell>
          <cell r="J730" t="str">
            <v>05:28</v>
          </cell>
          <cell r="K730" t="str">
            <v>14:50</v>
          </cell>
          <cell r="L730" t="str">
            <v>正确</v>
          </cell>
          <cell r="M730">
            <v>0</v>
          </cell>
          <cell r="N730">
            <v>8.87</v>
          </cell>
          <cell r="O730">
            <v>0.87</v>
          </cell>
          <cell r="P730">
            <v>0</v>
          </cell>
          <cell r="Q730">
            <v>0</v>
          </cell>
          <cell r="R730" t="str">
            <v>王晓丹 Jasmine（Xiaodan Wang）,周延舒Isabel（Yanshu Zhou）</v>
          </cell>
          <cell r="S730" t="str">
            <v>张骥Ji Zhang (Ji Zhang)</v>
          </cell>
          <cell r="T730" t="str">
            <v>易至聪Zac (Zhicong Yi),尚青蓓 Suki （Qingbei Shang）</v>
          </cell>
        </row>
        <row r="731">
          <cell r="G731" t="str">
            <v>Ground项目部派送管理部运力开发组</v>
          </cell>
          <cell r="H731" t="str">
            <v>Capacity Development Specialist 运力开发专员</v>
          </cell>
          <cell r="I731" t="str">
            <v>TY_休息日</v>
          </cell>
        </row>
        <row r="731">
          <cell r="L731" t="str">
            <v>正确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str">
            <v>王安琪 (Anqi Wang),张朱同 Thomson（Zhutong Zhang）</v>
          </cell>
          <cell r="S731" t="str">
            <v>陈锦昭</v>
          </cell>
        </row>
        <row r="732">
          <cell r="G732" t="str">
            <v>Ground项目部OG 美西区CNO.G</v>
          </cell>
          <cell r="H732" t="str">
            <v>Delivery Driver 司机</v>
          </cell>
          <cell r="I732" t="str">
            <v>TY_休息日</v>
          </cell>
        </row>
        <row r="732">
          <cell r="L732" t="str">
            <v>正确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str">
            <v>王安琪 (Anqi Wang),张朱同 Thomson（Zhutong Zhang）</v>
          </cell>
          <cell r="S732" t="str">
            <v>陈锦昭</v>
          </cell>
          <cell r="T732" t="str">
            <v>张弘毅 Hongyi （Hongyi Zhang）</v>
          </cell>
        </row>
        <row r="733">
          <cell r="G733" t="str">
            <v>TX 德州大区CT 中德州片区LIT01</v>
          </cell>
          <cell r="H733" t="str">
            <v>Station Head 站长</v>
          </cell>
          <cell r="I733" t="str">
            <v>TY_06:00</v>
          </cell>
          <cell r="J733" t="str">
            <v>06:00</v>
          </cell>
          <cell r="K733" t="str">
            <v>15:38</v>
          </cell>
          <cell r="L733" t="str">
            <v>正确</v>
          </cell>
          <cell r="M733">
            <v>0</v>
          </cell>
          <cell r="N733">
            <v>9.13</v>
          </cell>
          <cell r="O733">
            <v>1.13</v>
          </cell>
          <cell r="P733">
            <v>0</v>
          </cell>
          <cell r="Q733">
            <v>0</v>
          </cell>
          <cell r="R733" t="str">
            <v>肖芦莉Lily (Luli Xiao)</v>
          </cell>
          <cell r="S733" t="str">
            <v>张骥Ji Zhang (Ji Zhang)</v>
          </cell>
          <cell r="T733" t="str">
            <v>马铭 Ming (Ming Ma)</v>
          </cell>
        </row>
        <row r="734">
          <cell r="G734" t="str">
            <v>GL 大湖大区揽收部揽收支持组</v>
          </cell>
          <cell r="H734" t="str">
            <v>Pickup Support Specialist 揽收支持专员</v>
          </cell>
          <cell r="I734" t="str">
            <v>TY_休息日</v>
          </cell>
        </row>
        <row r="734">
          <cell r="L734" t="str">
            <v>正确</v>
          </cell>
          <cell r="M734">
            <v>0</v>
          </cell>
          <cell r="N734">
            <v>0</v>
          </cell>
          <cell r="O734">
            <v>0</v>
          </cell>
          <cell r="P734">
            <v>33.96</v>
          </cell>
          <cell r="Q734">
            <v>0</v>
          </cell>
          <cell r="R734" t="str">
            <v>王晓丹 Jasmine（Xiaodan Wang）,周延舒Isabel（Yanshu Zhou）</v>
          </cell>
          <cell r="S734" t="str">
            <v>张骥Ji Zhang (Ji Zhang)</v>
          </cell>
          <cell r="T734" t="str">
            <v>王姝涵Function（Shuhan Wang)</v>
          </cell>
        </row>
        <row r="735">
          <cell r="G735" t="str">
            <v>Ground项目部OG 美西区SFO.G</v>
          </cell>
          <cell r="H735" t="str">
            <v>Deputy Hub Head 副仓长</v>
          </cell>
          <cell r="I735" t="str">
            <v>TY_休息日</v>
          </cell>
        </row>
        <row r="735">
          <cell r="L735" t="str">
            <v>正确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str">
            <v>王安琪 (Anqi Wang),张朱同 Thomson（Zhutong Zhang）</v>
          </cell>
          <cell r="S735" t="str">
            <v>陈锦昭</v>
          </cell>
          <cell r="T735" t="str">
            <v>蒲奕霖Steven（Yilin Pu）</v>
          </cell>
        </row>
        <row r="736">
          <cell r="G736" t="str">
            <v>WE 美西大区SC 南加片区PHX01</v>
          </cell>
          <cell r="H736" t="str">
            <v>Station Operations Specialist 站点运营专员</v>
          </cell>
          <cell r="I736" t="str">
            <v>TY_13:00</v>
          </cell>
          <cell r="J736" t="str">
            <v>12:38</v>
          </cell>
          <cell r="K736" t="str">
            <v>21:25</v>
          </cell>
          <cell r="L736" t="str">
            <v>正确</v>
          </cell>
          <cell r="M736">
            <v>0</v>
          </cell>
          <cell r="N736">
            <v>8.28</v>
          </cell>
          <cell r="O736">
            <v>0.28</v>
          </cell>
          <cell r="P736">
            <v>55.8</v>
          </cell>
          <cell r="Q736">
            <v>15.8</v>
          </cell>
          <cell r="R736" t="str">
            <v>王骞Ariel（Qian Wang）,叶秀芳Freya (Xiufang Ye)</v>
          </cell>
          <cell r="S736" t="str">
            <v>常哲</v>
          </cell>
          <cell r="T736" t="str">
            <v>尤梦楠Yuko（Mengnan You）</v>
          </cell>
        </row>
        <row r="737">
          <cell r="G737" t="str">
            <v>GL 大湖大区WG 西大湖片区ORD01</v>
          </cell>
          <cell r="H737" t="str">
            <v>Station Head （Probation）站长（见习）</v>
          </cell>
          <cell r="I737" t="str">
            <v>TY_休息日</v>
          </cell>
        </row>
        <row r="737">
          <cell r="L737" t="str">
            <v>正确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str">
            <v>王晓丹 Jasmine（Xiaodan Wang）,周延舒Isabel（Yanshu Zhou）</v>
          </cell>
          <cell r="S737" t="str">
            <v>张骥Ji Zhang (Ji Zhang)</v>
          </cell>
          <cell r="T737" t="str">
            <v>易至聪Zac (Zhicong Yi),尚青蓓 Suki （Qingbei Shang）</v>
          </cell>
        </row>
        <row r="738">
          <cell r="G738" t="str">
            <v>FL 佛州大区NF 北佛片区TAL01</v>
          </cell>
          <cell r="H738" t="str">
            <v>Station Operations Specialist 站点运营专员</v>
          </cell>
          <cell r="I738" t="str">
            <v>TY_05:00</v>
          </cell>
          <cell r="J738" t="str">
            <v>05:07</v>
          </cell>
          <cell r="K738" t="str">
            <v>13:28</v>
          </cell>
          <cell r="L738" t="str">
            <v>正确</v>
          </cell>
          <cell r="M738">
            <v>0</v>
          </cell>
          <cell r="N738">
            <v>7.85</v>
          </cell>
          <cell r="O738">
            <v>0</v>
          </cell>
          <cell r="P738">
            <v>0</v>
          </cell>
          <cell r="Q738">
            <v>0</v>
          </cell>
          <cell r="R738" t="str">
            <v>Natalia (Natalia Padilla),孙婕 Jasmine（Sunjie）</v>
          </cell>
          <cell r="S738" t="str">
            <v>贺子强Jeff (Ziqiang He)</v>
          </cell>
          <cell r="T738" t="str">
            <v>黄燕娜 Nana (Yanna Huang)</v>
          </cell>
        </row>
        <row r="739">
          <cell r="G739" t="str">
            <v>US人力资源部美洲HRBP组综合HRBP组</v>
          </cell>
          <cell r="H739" t="str">
            <v>HRBP Specialist HRBP专员</v>
          </cell>
          <cell r="I739" t="str">
            <v>TY_休息日</v>
          </cell>
        </row>
        <row r="739">
          <cell r="L739" t="str">
            <v>正确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str">
            <v>袁博闻(Bowen Yuan)</v>
          </cell>
        </row>
        <row r="740">
          <cell r="G740" t="str">
            <v>CS 客户服务部</v>
          </cell>
          <cell r="H740" t="str">
            <v>Management Trainee 管培生</v>
          </cell>
          <cell r="I740" t="str">
            <v>TY_休息日</v>
          </cell>
        </row>
        <row r="740">
          <cell r="L740" t="str">
            <v>正确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str">
            <v>袁博闻(Bowen Yuan)</v>
          </cell>
        </row>
        <row r="741">
          <cell r="G741" t="str">
            <v>NE 东北大区揽收部揽收调度组</v>
          </cell>
          <cell r="H741" t="str">
            <v>Pickup Dispatcher 揽收调度员</v>
          </cell>
          <cell r="I741" t="str">
            <v>TY_08:00</v>
          </cell>
          <cell r="J741" t="str">
            <v>07:56</v>
          </cell>
          <cell r="K741" t="str">
            <v>20:07</v>
          </cell>
          <cell r="L741" t="str">
            <v>正确</v>
          </cell>
          <cell r="M741">
            <v>0</v>
          </cell>
          <cell r="N741">
            <v>11.68</v>
          </cell>
          <cell r="O741">
            <v>3.68</v>
          </cell>
          <cell r="P741">
            <v>28.81</v>
          </cell>
          <cell r="Q741">
            <v>0</v>
          </cell>
          <cell r="R741" t="str">
            <v>孙可君Monica（Kejun Sun）</v>
          </cell>
          <cell r="S741" t="str">
            <v>马聪Cong (Cong Ma)</v>
          </cell>
        </row>
        <row r="742">
          <cell r="G742" t="str">
            <v>TX 德州大区IAH.H分拣组</v>
          </cell>
          <cell r="H742" t="str">
            <v>Sorting Lead 分拣组长</v>
          </cell>
          <cell r="I742" t="str">
            <v>TY_休息日</v>
          </cell>
        </row>
        <row r="742">
          <cell r="L742" t="str">
            <v>正确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str">
            <v>肖芦莉Lily (Luli Xiao)</v>
          </cell>
          <cell r="S742" t="str">
            <v>张骥Ji Zhang (Ji Zhang)</v>
          </cell>
          <cell r="T742" t="str">
            <v>张双甫(Shuangfu Zhang)</v>
          </cell>
        </row>
        <row r="743">
          <cell r="G743" t="str">
            <v>GL 大湖大区揽收部揽收支持组</v>
          </cell>
          <cell r="H743" t="str">
            <v>Pickup Support Specialist 揽收支持专员</v>
          </cell>
          <cell r="I743" t="str">
            <v>TY_休息日</v>
          </cell>
        </row>
        <row r="743">
          <cell r="L743" t="str">
            <v>正确</v>
          </cell>
          <cell r="M743">
            <v>4</v>
          </cell>
          <cell r="N743">
            <v>4</v>
          </cell>
          <cell r="O743">
            <v>0</v>
          </cell>
          <cell r="P743">
            <v>0</v>
          </cell>
          <cell r="Q743">
            <v>0</v>
          </cell>
          <cell r="R743" t="str">
            <v>王晓丹 Jasmine（Xiaodan Wang）,周延舒Isabel（Yanshu Zhou）</v>
          </cell>
          <cell r="S743" t="str">
            <v>张骥Ji Zhang (Ji Zhang)</v>
          </cell>
          <cell r="T743" t="str">
            <v>王姝涵Function（Shuhan Wang)</v>
          </cell>
        </row>
        <row r="744">
          <cell r="G744" t="str">
            <v>WE 美西大区NC 北加片区SFO.H</v>
          </cell>
          <cell r="H744" t="str">
            <v>Sorter 分拣员</v>
          </cell>
          <cell r="I744" t="str">
            <v>TY_休息日</v>
          </cell>
        </row>
        <row r="744">
          <cell r="L744" t="str">
            <v>正确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str">
            <v>王骞Ariel（Qian Wang）,叶秀芳Freya (Xiufang Ye)</v>
          </cell>
          <cell r="S744" t="str">
            <v>常哲</v>
          </cell>
          <cell r="T744" t="str">
            <v>林美浚（Meijun Lin）</v>
          </cell>
        </row>
        <row r="745">
          <cell r="G745" t="str">
            <v>US人力资源部美洲HRBP组招聘组</v>
          </cell>
          <cell r="H745" t="str">
            <v>Senior HRBP Specialist 高级HRBP专员</v>
          </cell>
          <cell r="I745" t="str">
            <v>TY_休息日</v>
          </cell>
        </row>
        <row r="745">
          <cell r="L745" t="str">
            <v>正确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str">
            <v>袁博闻(Bowen Yuan)</v>
          </cell>
        </row>
        <row r="746">
          <cell r="G746" t="str">
            <v>TX 德州大区DFW.H</v>
          </cell>
          <cell r="H746" t="str">
            <v>Deputy Hub Head 副仓长</v>
          </cell>
          <cell r="I746" t="str">
            <v>TY_13:00</v>
          </cell>
          <cell r="J746" t="str">
            <v>12:20</v>
          </cell>
          <cell r="K746" t="str">
            <v>02:21</v>
          </cell>
          <cell r="L746" t="str">
            <v>正确</v>
          </cell>
          <cell r="M746">
            <v>0</v>
          </cell>
          <cell r="N746">
            <v>13.52</v>
          </cell>
          <cell r="O746">
            <v>5.52</v>
          </cell>
          <cell r="P746">
            <v>0</v>
          </cell>
          <cell r="Q746">
            <v>0</v>
          </cell>
          <cell r="R746" t="str">
            <v>肖芦莉Lily (Luli Xiao)</v>
          </cell>
          <cell r="S746" t="str">
            <v>张骥Ji Zhang (Ji Zhang)</v>
          </cell>
        </row>
        <row r="747">
          <cell r="G747" t="str">
            <v>NE 东北大区车辆管理部</v>
          </cell>
          <cell r="H747" t="str">
            <v>Fleet Support Specialist 车队支持专员</v>
          </cell>
          <cell r="I747" t="str">
            <v>TY_09:30</v>
          </cell>
        </row>
        <row r="747">
          <cell r="L747" t="str">
            <v>/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str">
            <v>孙可君Monica（Kejun Sun）</v>
          </cell>
          <cell r="S747" t="str">
            <v>马聪Cong (Cong Ma)</v>
          </cell>
        </row>
        <row r="748">
          <cell r="G748" t="str">
            <v>NE 东北大区DC 华盛顿片区DCA01</v>
          </cell>
          <cell r="H748" t="str">
            <v>Station Operations Specialist 站点运营专员</v>
          </cell>
          <cell r="I748" t="str">
            <v>TY_休息日</v>
          </cell>
        </row>
        <row r="748">
          <cell r="L748" t="str">
            <v>正确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str">
            <v>孙可君Monica（Kejun Sun）</v>
          </cell>
          <cell r="S748" t="str">
            <v>马聪Cong (Cong Ma)</v>
          </cell>
          <cell r="T748" t="str">
            <v>朱晗宇 Peter (Hanyu Zhu)</v>
          </cell>
        </row>
        <row r="749">
          <cell r="G749" t="str">
            <v>TX 德州大区IAH.H调度组</v>
          </cell>
          <cell r="H749" t="str">
            <v>Dispatcher 调度员</v>
          </cell>
          <cell r="I749" t="str">
            <v>TY_休息日</v>
          </cell>
        </row>
        <row r="749">
          <cell r="L749" t="str">
            <v>正确</v>
          </cell>
          <cell r="M749">
            <v>0</v>
          </cell>
          <cell r="N749">
            <v>0</v>
          </cell>
          <cell r="O749">
            <v>0</v>
          </cell>
          <cell r="P749">
            <v>44.67</v>
          </cell>
          <cell r="Q749">
            <v>4.67</v>
          </cell>
          <cell r="R749" t="str">
            <v>肖芦莉Lily (Luli Xiao)</v>
          </cell>
          <cell r="S749" t="str">
            <v>张骥Ji Zhang (Ji Zhang)</v>
          </cell>
          <cell r="T749" t="str">
            <v>Minqing (Minqing Xu),罗煜雄 Mike (Yuxiong Luo)</v>
          </cell>
        </row>
        <row r="750">
          <cell r="G750" t="str">
            <v>NE 东北大区MA 新英格兰片区BOS01</v>
          </cell>
          <cell r="H750" t="str">
            <v>Station Operations Specialist 站点运营专员</v>
          </cell>
          <cell r="I750" t="str">
            <v>TY_休息日</v>
          </cell>
        </row>
        <row r="750">
          <cell r="L750" t="str">
            <v>正确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str">
            <v>孙可君Monica（Kejun Sun）</v>
          </cell>
          <cell r="S750" t="str">
            <v>马聪Cong (Cong Ma)</v>
          </cell>
          <cell r="T750" t="str">
            <v>朱晗宇 Peter (Hanyu Zhu)</v>
          </cell>
        </row>
        <row r="751">
          <cell r="G751" t="str">
            <v>WE 美西大区LAV.H综办组</v>
          </cell>
          <cell r="H751" t="str">
            <v>Warehouse Clerk 仓库文员</v>
          </cell>
          <cell r="I751" t="str">
            <v>TY_美国节假日（9点-18点）</v>
          </cell>
        </row>
        <row r="751">
          <cell r="L751" t="str">
            <v>正确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str">
            <v>王骞Ariel（Qian Wang）,叶秀芳Freya (Xiufang Ye)</v>
          </cell>
          <cell r="S751" t="str">
            <v>常哲</v>
          </cell>
          <cell r="T751" t="str">
            <v>Minqing (Minqing Xu),罗煜雄 Mike (Yuxiong Luo)</v>
          </cell>
        </row>
        <row r="752">
          <cell r="G752" t="str">
            <v>OM 操作管理部仓库租赁组</v>
          </cell>
          <cell r="H752" t="str">
            <v>Senior Warehouse Leasing Specialist 高级仓库租赁专员</v>
          </cell>
          <cell r="I752" t="str">
            <v>TY_休息日</v>
          </cell>
        </row>
        <row r="752">
          <cell r="L752" t="str">
            <v>正确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str">
            <v>袁博闻(Bowen Yuan)</v>
          </cell>
        </row>
        <row r="753">
          <cell r="G753" t="str">
            <v>NE 东北大区BWI.H异常处理组</v>
          </cell>
          <cell r="H753" t="str">
            <v>Returns Specialist 退件员</v>
          </cell>
          <cell r="I753" t="str">
            <v>TY_09:00</v>
          </cell>
        </row>
        <row r="753">
          <cell r="K753" t="str">
            <v>17:10</v>
          </cell>
          <cell r="L753" t="str">
            <v>/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str">
            <v>孙可君Monica（Kejun Sun）</v>
          </cell>
          <cell r="S753" t="str">
            <v>马聪Cong (Cong Ma)</v>
          </cell>
          <cell r="T753" t="str">
            <v>Minqing (Minqing Xu),罗煜雄 Mike (Yuxiong Luo)</v>
          </cell>
        </row>
        <row r="754">
          <cell r="G754" t="str">
            <v>TX 德州大区DFW.H调度组</v>
          </cell>
          <cell r="H754" t="str">
            <v>Dispatcher 调度员</v>
          </cell>
          <cell r="I754" t="str">
            <v>TY_15:00</v>
          </cell>
          <cell r="J754" t="str">
            <v>14:44</v>
          </cell>
          <cell r="K754" t="str">
            <v>01:23</v>
          </cell>
          <cell r="L754" t="str">
            <v>正确</v>
          </cell>
          <cell r="M754">
            <v>0</v>
          </cell>
          <cell r="N754">
            <v>10.15</v>
          </cell>
          <cell r="O754">
            <v>2.15</v>
          </cell>
          <cell r="P754">
            <v>0</v>
          </cell>
          <cell r="Q754">
            <v>0</v>
          </cell>
          <cell r="R754" t="str">
            <v>肖芦莉Lily (Luli Xiao)</v>
          </cell>
          <cell r="S754" t="str">
            <v>张骥Ji Zhang (Ji Zhang)</v>
          </cell>
          <cell r="T754" t="str">
            <v>Minqing (Minqing Xu),罗煜雄 Mike (Yuxiong Luo)</v>
          </cell>
        </row>
        <row r="755">
          <cell r="G755" t="str">
            <v>WE 美西大区LAV.H合流合包组</v>
          </cell>
          <cell r="H755" t="str">
            <v>Warehouse Operator 操作员</v>
          </cell>
          <cell r="I755" t="str">
            <v>TY_13:30</v>
          </cell>
          <cell r="J755" t="str">
            <v>13:59</v>
          </cell>
          <cell r="K755" t="str">
            <v>22:30</v>
          </cell>
          <cell r="L755" t="str">
            <v>正确</v>
          </cell>
          <cell r="M755">
            <v>0</v>
          </cell>
          <cell r="N755">
            <v>8.02</v>
          </cell>
          <cell r="O755">
            <v>0.02</v>
          </cell>
          <cell r="P755">
            <v>41.31</v>
          </cell>
          <cell r="Q755">
            <v>1.31</v>
          </cell>
          <cell r="R755" t="str">
            <v>王骞Ariel（Qian Wang）,叶秀芳Freya (Xiufang Ye)</v>
          </cell>
          <cell r="S755" t="str">
            <v>常哲</v>
          </cell>
          <cell r="T755" t="str">
            <v>覃超群Jessica（Chaoqun Qin）</v>
          </cell>
        </row>
        <row r="756">
          <cell r="G756" t="str">
            <v>FL 佛州大区FTM01</v>
          </cell>
          <cell r="H756" t="str">
            <v>Station Operations Specialist 站点运营专员</v>
          </cell>
          <cell r="I756" t="str">
            <v>TY_04:00</v>
          </cell>
        </row>
        <row r="756">
          <cell r="L756" t="str">
            <v>/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str">
            <v>Natalia (Natalia Padilla),孙婕 Jasmine（Sunjie）</v>
          </cell>
          <cell r="S756" t="str">
            <v>贺子强Jeff (Ziqiang He)</v>
          </cell>
        </row>
        <row r="757">
          <cell r="G757" t="str">
            <v>TX 德州大区CT 中德州片区AUS01</v>
          </cell>
          <cell r="H757" t="str">
            <v>Station Head （Probation）站长（见习）</v>
          </cell>
          <cell r="I757" t="str">
            <v>TY_06:30</v>
          </cell>
          <cell r="J757" t="str">
            <v>05:51</v>
          </cell>
        </row>
        <row r="757">
          <cell r="L757" t="str">
            <v>正确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str">
            <v>肖芦莉Lily (Luli Xiao)</v>
          </cell>
          <cell r="S757" t="str">
            <v>张骥Ji Zhang (Ji Zhang)</v>
          </cell>
          <cell r="T757" t="str">
            <v>马铭 Ming (Ming Ma)</v>
          </cell>
        </row>
        <row r="758">
          <cell r="G758" t="str">
            <v>US人力资源部美洲HRBP组招聘组</v>
          </cell>
          <cell r="H758" t="str">
            <v>Recruitment Assistant 招聘助理</v>
          </cell>
          <cell r="I758" t="str">
            <v>TY_休息日</v>
          </cell>
        </row>
        <row r="758">
          <cell r="L758" t="str">
            <v>正确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str">
            <v>袁博闻(Bowen Yuan)</v>
          </cell>
        </row>
        <row r="759">
          <cell r="G759" t="str">
            <v>DO 数字运营部美国技术支持组</v>
          </cell>
          <cell r="H759" t="str">
            <v>IT support 技术支持工程师</v>
          </cell>
          <cell r="I759" t="str">
            <v>TY_14:30</v>
          </cell>
        </row>
        <row r="759">
          <cell r="L759" t="str">
            <v>/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str">
            <v>袁博闻(Bowen Yuan)</v>
          </cell>
        </row>
        <row r="760">
          <cell r="G760" t="str">
            <v>NE 东北大区车辆管理部</v>
          </cell>
          <cell r="H760" t="str">
            <v>Fleet Support Specialist 车队支持专员</v>
          </cell>
          <cell r="I760" t="str">
            <v>TY_休息日</v>
          </cell>
        </row>
        <row r="760">
          <cell r="L760" t="str">
            <v>正确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str">
            <v>孙可君Monica（Kejun Sun）</v>
          </cell>
          <cell r="S760" t="str">
            <v>马聪Cong (Cong Ma)</v>
          </cell>
        </row>
        <row r="761">
          <cell r="G761" t="str">
            <v>NE 东北大区NY 纽约片区JFK01</v>
          </cell>
          <cell r="H761" t="str">
            <v>Station Operations Specialist 站点运营专员</v>
          </cell>
          <cell r="I761" t="str">
            <v>TY_休息日</v>
          </cell>
          <cell r="J761" t="str">
            <v>13:44</v>
          </cell>
        </row>
        <row r="761">
          <cell r="L761" t="str">
            <v>不正确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str">
            <v>孙可君Monica（Kejun Sun）</v>
          </cell>
          <cell r="S761" t="str">
            <v>马聪Cong (Cong Ma)</v>
          </cell>
          <cell r="T761" t="str">
            <v>朱晗宇 Peter (Hanyu Zhu)</v>
          </cell>
        </row>
        <row r="762">
          <cell r="G762" t="str">
            <v>WE 美西大区SP 西雅图·波特兰片区SEA01</v>
          </cell>
          <cell r="H762" t="str">
            <v>Warehouse Operator 操作员</v>
          </cell>
          <cell r="I762" t="str">
            <v>TY_休息日</v>
          </cell>
        </row>
        <row r="762">
          <cell r="L762" t="str">
            <v>正确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str">
            <v>王骞Ariel（Qian Wang）,叶秀芳Freya (Xiufang Ye)</v>
          </cell>
          <cell r="S762" t="str">
            <v>常哲</v>
          </cell>
          <cell r="T762" t="str">
            <v>尤梦楠Yuko（Mengnan You）</v>
          </cell>
        </row>
        <row r="763">
          <cell r="G763" t="str">
            <v>WE 美西大区SC 南加片区FAT01</v>
          </cell>
          <cell r="H763" t="str">
            <v>Station Operations Specialist 站点运营专员</v>
          </cell>
          <cell r="I763" t="str">
            <v>TY_休息日</v>
          </cell>
          <cell r="J763" t="str">
            <v>08:00</v>
          </cell>
          <cell r="K763" t="str">
            <v>13:30</v>
          </cell>
          <cell r="L763" t="str">
            <v>不正确</v>
          </cell>
          <cell r="M763">
            <v>0</v>
          </cell>
          <cell r="N763">
            <v>5.5</v>
          </cell>
          <cell r="O763">
            <v>0</v>
          </cell>
          <cell r="P763">
            <v>0</v>
          </cell>
          <cell r="Q763">
            <v>0</v>
          </cell>
          <cell r="R763" t="str">
            <v>王骞Ariel（Qian Wang）,叶秀芳Freya (Xiufang Ye)</v>
          </cell>
          <cell r="S763" t="str">
            <v>常哲</v>
          </cell>
          <cell r="T763" t="str">
            <v>尤梦楠Yuko（Mengnan You）</v>
          </cell>
        </row>
        <row r="764">
          <cell r="G764" t="str">
            <v>TX 德州大区GC 墨湾片区CRP01</v>
          </cell>
          <cell r="H764" t="str">
            <v>Station Operations Specialist 站点运营专员</v>
          </cell>
          <cell r="I764" t="str">
            <v>TY_05:30</v>
          </cell>
          <cell r="J764" t="str">
            <v>05:30</v>
          </cell>
          <cell r="K764" t="str">
            <v>14:18</v>
          </cell>
          <cell r="L764" t="str">
            <v>正确</v>
          </cell>
          <cell r="M764">
            <v>0</v>
          </cell>
          <cell r="N764">
            <v>8.3</v>
          </cell>
          <cell r="O764">
            <v>0.3</v>
          </cell>
          <cell r="P764">
            <v>0</v>
          </cell>
          <cell r="Q764">
            <v>0</v>
          </cell>
          <cell r="R764" t="str">
            <v>肖芦莉Lily (Luli Xiao)</v>
          </cell>
          <cell r="S764" t="str">
            <v>张骥Ji Zhang (Ji Zhang)</v>
          </cell>
          <cell r="T764" t="str">
            <v>金磊Brian（LEI JIN）</v>
          </cell>
        </row>
        <row r="765">
          <cell r="G765" t="str">
            <v>GL 大湖大区运营支持部区域支持组</v>
          </cell>
          <cell r="H765" t="str">
            <v>Regional Support Specialist 区域支持专员</v>
          </cell>
          <cell r="I765" t="str">
            <v>TY_休息日</v>
          </cell>
        </row>
        <row r="765">
          <cell r="L765" t="str">
            <v>正确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str">
            <v>王晓丹 Jasmine（Xiaodan Wang）,周延舒Isabel（Yanshu Zhou）</v>
          </cell>
          <cell r="S765" t="str">
            <v>张骥Ji Zhang (Ji Zhang)</v>
          </cell>
        </row>
        <row r="766">
          <cell r="G766" t="str">
            <v>FL 佛州大区</v>
          </cell>
          <cell r="H766" t="str">
            <v>Regional Head 区长</v>
          </cell>
          <cell r="I766" t="str">
            <v>TY_10:00</v>
          </cell>
          <cell r="J766" t="str">
            <v>10:00</v>
          </cell>
          <cell r="K766" t="str">
            <v>18:30</v>
          </cell>
          <cell r="L766" t="str">
            <v>正确</v>
          </cell>
          <cell r="M766">
            <v>0</v>
          </cell>
          <cell r="N766">
            <v>8</v>
          </cell>
          <cell r="O766">
            <v>0</v>
          </cell>
          <cell r="P766">
            <v>0</v>
          </cell>
          <cell r="Q766">
            <v>0</v>
          </cell>
          <cell r="R766" t="str">
            <v>Natalia (Natalia Padilla),孙婕 Jasmine（Sunjie）</v>
          </cell>
          <cell r="S766" t="str">
            <v>贺子强Jeff (Ziqiang He)</v>
          </cell>
        </row>
        <row r="767">
          <cell r="G767" t="str">
            <v>MS 中南大区AS 亚特兰大和南阿拉巴马片区ATL01</v>
          </cell>
          <cell r="H767" t="str">
            <v>Station Operations Specialist 站点运营专员</v>
          </cell>
          <cell r="I767" t="str">
            <v>TY_06:00</v>
          </cell>
          <cell r="J767" t="str">
            <v>06:41</v>
          </cell>
          <cell r="K767" t="str">
            <v>12:19</v>
          </cell>
          <cell r="L767" t="str">
            <v>正确</v>
          </cell>
          <cell r="M767">
            <v>4.5</v>
          </cell>
          <cell r="N767">
            <v>9.63</v>
          </cell>
          <cell r="O767">
            <v>0</v>
          </cell>
          <cell r="P767">
            <v>0</v>
          </cell>
          <cell r="Q767">
            <v>0</v>
          </cell>
          <cell r="R767" t="str">
            <v>欧阳迎春Flower（Yingchun Ouyang）</v>
          </cell>
          <cell r="S767" t="str">
            <v>杨云飞</v>
          </cell>
          <cell r="T767" t="str">
            <v>李明峰Lucas(Mingfeng Li)</v>
          </cell>
        </row>
        <row r="768">
          <cell r="G768" t="str">
            <v>Ground项目部运营管理部</v>
          </cell>
          <cell r="H768" t="str">
            <v>Senior General Affairs Supervisor 高级综合事务主管</v>
          </cell>
          <cell r="I768" t="str">
            <v>TY_休息日</v>
          </cell>
        </row>
        <row r="768">
          <cell r="L768" t="str">
            <v>正确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str">
            <v>王安琪 (Anqi Wang),张朱同 Thomson（Zhutong Zhang）</v>
          </cell>
          <cell r="S768" t="str">
            <v>陈锦昭</v>
          </cell>
        </row>
        <row r="769">
          <cell r="G769" t="str">
            <v>CS 客户服务部运营分析组</v>
          </cell>
          <cell r="H769" t="str">
            <v>Junior Operations Analysis Specialist 初级运营分析专员</v>
          </cell>
          <cell r="I769" t="str">
            <v>TY_休息日</v>
          </cell>
        </row>
        <row r="769">
          <cell r="L769" t="str">
            <v>正确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str">
            <v>袁博闻(Bowen Yuan)</v>
          </cell>
        </row>
        <row r="770">
          <cell r="G770" t="str">
            <v>Ground项目部OG 美中区ORD.G</v>
          </cell>
          <cell r="H770" t="str">
            <v>Dispatcher 调度员</v>
          </cell>
          <cell r="I770" t="str">
            <v>TY_休息日</v>
          </cell>
        </row>
        <row r="770">
          <cell r="L770" t="str">
            <v>正确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str">
            <v>王安琪 (Anqi Wang),张朱同 Thomson（Zhutong Zhang）</v>
          </cell>
          <cell r="S770" t="str">
            <v>陈锦昭</v>
          </cell>
        </row>
        <row r="771">
          <cell r="G771" t="str">
            <v>TX 德州大区NT 北德州片区MAF01</v>
          </cell>
          <cell r="H771" t="str">
            <v>Station Head （Probation）站长（见习）(兼)</v>
          </cell>
          <cell r="I771" t="str">
            <v>TY_休息日</v>
          </cell>
        </row>
        <row r="771">
          <cell r="L771" t="str">
            <v>正确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str">
            <v>肖芦莉Lily (Luli Xiao)</v>
          </cell>
          <cell r="S771" t="str">
            <v>张骥Ji Zhang (Ji Zhang)</v>
          </cell>
          <cell r="T771" t="str">
            <v>何琼joan(Qiong He)</v>
          </cell>
        </row>
        <row r="772">
          <cell r="G772" t="str">
            <v>AD 行政部美中组</v>
          </cell>
          <cell r="H772" t="str">
            <v>Admin Specialist 行政专员</v>
          </cell>
          <cell r="I772" t="str">
            <v>TY_休息日</v>
          </cell>
        </row>
        <row r="772">
          <cell r="L772" t="str">
            <v>正确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str">
            <v>袁博闻(Bowen Yuan)</v>
          </cell>
        </row>
        <row r="773">
          <cell r="G773" t="str">
            <v>TX 德州大区CT 中德州片区SAT01</v>
          </cell>
          <cell r="H773" t="str">
            <v>Station Operations Specialist 站点运营专员</v>
          </cell>
          <cell r="I773" t="str">
            <v>TY_05:30</v>
          </cell>
          <cell r="J773" t="str">
            <v>05:14</v>
          </cell>
          <cell r="K773" t="str">
            <v>11:29</v>
          </cell>
          <cell r="L773" t="str">
            <v>正确</v>
          </cell>
          <cell r="M773">
            <v>0</v>
          </cell>
          <cell r="N773">
            <v>5.75</v>
          </cell>
          <cell r="O773">
            <v>0</v>
          </cell>
          <cell r="P773">
            <v>0</v>
          </cell>
          <cell r="Q773">
            <v>0</v>
          </cell>
          <cell r="R773" t="str">
            <v>肖芦莉Lily (Luli Xiao)</v>
          </cell>
          <cell r="S773" t="str">
            <v>张骥Ji Zhang (Ji Zhang)</v>
          </cell>
          <cell r="T773" t="str">
            <v>陈潇剑Echo(Xiaojian Chen)</v>
          </cell>
        </row>
        <row r="774">
          <cell r="G774" t="str">
            <v>FL 佛州大区NF 北佛片区JAX01</v>
          </cell>
          <cell r="H774" t="str">
            <v>Station Operations Specialist 站点运营专员</v>
          </cell>
          <cell r="I774" t="str">
            <v>TY_05:00</v>
          </cell>
          <cell r="J774" t="str">
            <v>05:04</v>
          </cell>
          <cell r="K774" t="str">
            <v>13:43</v>
          </cell>
          <cell r="L774" t="str">
            <v>正确</v>
          </cell>
          <cell r="M774">
            <v>0</v>
          </cell>
          <cell r="N774">
            <v>8.15</v>
          </cell>
          <cell r="O774">
            <v>0.15</v>
          </cell>
          <cell r="P774">
            <v>0</v>
          </cell>
          <cell r="Q774">
            <v>0</v>
          </cell>
          <cell r="R774" t="str">
            <v>Natalia (Natalia Padilla),孙婕 Jasmine（Sunjie）</v>
          </cell>
          <cell r="S774" t="str">
            <v>贺子强Jeff (Ziqiang He)</v>
          </cell>
          <cell r="T774" t="str">
            <v>黄燕娜 Nana (Yanna Huang)</v>
          </cell>
        </row>
        <row r="775">
          <cell r="G775" t="str">
            <v>FL 佛州大区MIA.H综办组</v>
          </cell>
          <cell r="H775" t="str">
            <v>EHS Specialist EHS专员</v>
          </cell>
          <cell r="I775" t="str">
            <v>TY_休息日</v>
          </cell>
        </row>
        <row r="775">
          <cell r="L775" t="str">
            <v>正确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str">
            <v>Natalia (Natalia Padilla),孙婕 Jasmine（Sunjie）</v>
          </cell>
          <cell r="S775" t="str">
            <v>贺子强Jeff (Ziqiang He)</v>
          </cell>
          <cell r="T775" t="str">
            <v>Minqing (Minqing Xu),罗煜雄 Mike (Yuxiong Luo)</v>
          </cell>
        </row>
        <row r="776">
          <cell r="G776" t="str">
            <v>TX 德州大区揽收部</v>
          </cell>
          <cell r="H776" t="str">
            <v>Pickup Support Specialist 揽收支持专员</v>
          </cell>
          <cell r="I776" t="str">
            <v>TY_09:30</v>
          </cell>
          <cell r="J776" t="str">
            <v>08:00</v>
          </cell>
          <cell r="K776" t="str">
            <v>16:41</v>
          </cell>
          <cell r="L776" t="str">
            <v>不正确</v>
          </cell>
          <cell r="M776">
            <v>0</v>
          </cell>
          <cell r="N776">
            <v>8.18</v>
          </cell>
          <cell r="O776">
            <v>0.18</v>
          </cell>
          <cell r="P776">
            <v>0</v>
          </cell>
          <cell r="Q776">
            <v>0</v>
          </cell>
          <cell r="R776" t="str">
            <v>肖芦莉Lily (Luli Xiao)</v>
          </cell>
          <cell r="S776" t="str">
            <v>张骥Ji Zhang (Ji Zhang)</v>
          </cell>
        </row>
        <row r="777">
          <cell r="G777" t="str">
            <v>WE 美西大区LAV.H综办组</v>
          </cell>
          <cell r="H777" t="str">
            <v>EHS Specialist EHS专员</v>
          </cell>
          <cell r="I777" t="str">
            <v>TY_美国节假日（9点-18点）</v>
          </cell>
        </row>
        <row r="777">
          <cell r="L777" t="str">
            <v>正确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str">
            <v>王骞Ariel（Qian Wang）,叶秀芳Freya (Xiufang Ye)</v>
          </cell>
          <cell r="S777" t="str">
            <v>常哲</v>
          </cell>
          <cell r="T777" t="str">
            <v>Minqing (Minqing Xu),罗煜雄 Mike (Yuxiong Luo)</v>
          </cell>
        </row>
        <row r="778">
          <cell r="G778" t="str">
            <v>Ground项目部OG 美东区</v>
          </cell>
          <cell r="H778" t="str">
            <v>Deputy Regional Head 副区长</v>
          </cell>
          <cell r="I778" t="str">
            <v>TY_休息日</v>
          </cell>
        </row>
        <row r="778">
          <cell r="L778" t="str">
            <v>正确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str">
            <v>王安琪 (Anqi Wang),张朱同 Thomson（Zhutong Zhang）</v>
          </cell>
          <cell r="S778" t="str">
            <v>陈锦昭</v>
          </cell>
        </row>
        <row r="779">
          <cell r="G779" t="str">
            <v>MS 中南大区ATL.H调度组</v>
          </cell>
          <cell r="H779" t="str">
            <v>Dispatch Lead 调度组长</v>
          </cell>
          <cell r="I779" t="str">
            <v>TY_休息日</v>
          </cell>
        </row>
        <row r="779">
          <cell r="L779" t="str">
            <v>正确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str">
            <v>欧阳迎春Flower（Yingchun Ouyang）</v>
          </cell>
          <cell r="S779" t="str">
            <v>杨云飞</v>
          </cell>
          <cell r="T779" t="str">
            <v>Minqing (Minqing Xu),罗煜雄 Mike (Yuxiong Luo),明杰麟Jennie (Jielin Ming)</v>
          </cell>
          <cell r="U779" t="str">
            <v>文艳平</v>
          </cell>
        </row>
        <row r="780">
          <cell r="G780" t="str">
            <v>MS 中南大区CS 夏洛特及周边片区CLT01</v>
          </cell>
          <cell r="H780" t="str">
            <v>Station Operations Specialist 站点运营专员</v>
          </cell>
          <cell r="I780" t="str">
            <v>TY_19:00</v>
          </cell>
          <cell r="J780" t="str">
            <v>18:58</v>
          </cell>
        </row>
        <row r="780">
          <cell r="L780" t="str">
            <v>正确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str">
            <v>欧阳迎春Flower（Yingchun Ouyang）</v>
          </cell>
          <cell r="S780" t="str">
            <v>杨云飞</v>
          </cell>
          <cell r="T780" t="str">
            <v>郭丞芸Lexie(Chengyun Kuo)</v>
          </cell>
        </row>
        <row r="781">
          <cell r="G781" t="str">
            <v>Ground项目部OG 美西区SD921</v>
          </cell>
          <cell r="H781" t="str">
            <v>Station Operations Specialist 站点运营专员</v>
          </cell>
          <cell r="I781" t="str">
            <v>TY_休息日</v>
          </cell>
        </row>
        <row r="781">
          <cell r="L781" t="str">
            <v>正确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str">
            <v>王安琪 (Anqi Wang),张朱同 Thomson（Zhutong Zhang）</v>
          </cell>
          <cell r="S781" t="str">
            <v>陈锦昭</v>
          </cell>
          <cell r="T781" t="str">
            <v>宋佳牧 Dorian (Jiamu Song)</v>
          </cell>
        </row>
        <row r="782">
          <cell r="G782" t="str">
            <v>Ground项目部OG 美西区PX850</v>
          </cell>
          <cell r="H782" t="str">
            <v>Station Operations Specialist 站点运营专员</v>
          </cell>
          <cell r="I782" t="str">
            <v>TY_休息日</v>
          </cell>
        </row>
        <row r="782">
          <cell r="L782" t="str">
            <v>正确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str">
            <v>王安琪 (Anqi Wang),张朱同 Thomson（Zhutong Zhang）</v>
          </cell>
          <cell r="S782" t="str">
            <v>陈锦昭</v>
          </cell>
          <cell r="T782" t="str">
            <v>宋佳牧 Dorian (Jiamu Song)</v>
          </cell>
        </row>
        <row r="783">
          <cell r="G783" t="str">
            <v>WE 美西大区NC 北加片区</v>
          </cell>
          <cell r="H783" t="str">
            <v>District Head（Probation）片区长（见习）</v>
          </cell>
          <cell r="I783" t="str">
            <v>TY_休息日</v>
          </cell>
        </row>
        <row r="783">
          <cell r="L783" t="str">
            <v>正确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str">
            <v>王骞Ariel（Qian Wang）,叶秀芳Freya (Xiufang Ye)</v>
          </cell>
          <cell r="S783" t="str">
            <v>常哲</v>
          </cell>
        </row>
        <row r="784">
          <cell r="G784" t="str">
            <v>WE 美西大区SC 南加片区LAS01</v>
          </cell>
          <cell r="H784" t="str">
            <v>Warehouse Operator 操作员</v>
          </cell>
          <cell r="I784" t="str">
            <v>TY_05:00</v>
          </cell>
          <cell r="J784" t="str">
            <v>05:22</v>
          </cell>
          <cell r="K784" t="str">
            <v>13:15</v>
          </cell>
          <cell r="L784" t="str">
            <v>正确</v>
          </cell>
          <cell r="M784">
            <v>0</v>
          </cell>
          <cell r="N784">
            <v>7.38</v>
          </cell>
          <cell r="O784">
            <v>0</v>
          </cell>
          <cell r="P784">
            <v>0</v>
          </cell>
          <cell r="Q784">
            <v>0</v>
          </cell>
          <cell r="R784" t="str">
            <v>王骞Ariel（Qian Wang）,叶秀芳Freya (Xiufang Ye)</v>
          </cell>
          <cell r="S784" t="str">
            <v>常哲</v>
          </cell>
          <cell r="T784" t="str">
            <v>尤梦楠Yuko（Mengnan You）</v>
          </cell>
        </row>
        <row r="785">
          <cell r="G785" t="str">
            <v>NE 东北大区DC 华盛顿片区BWI01</v>
          </cell>
          <cell r="H785" t="str">
            <v>Station Operations Specialist 站点运营专员</v>
          </cell>
          <cell r="I785" t="str">
            <v>TY_07:30</v>
          </cell>
          <cell r="J785" t="str">
            <v>07:48</v>
          </cell>
          <cell r="K785" t="str">
            <v>16:44</v>
          </cell>
          <cell r="L785" t="str">
            <v>正确</v>
          </cell>
          <cell r="M785">
            <v>0</v>
          </cell>
          <cell r="N785">
            <v>8.43</v>
          </cell>
          <cell r="O785">
            <v>0.43</v>
          </cell>
          <cell r="P785">
            <v>0</v>
          </cell>
          <cell r="Q785">
            <v>0</v>
          </cell>
          <cell r="R785" t="str">
            <v>孙可君Monica（Kejun Sun）</v>
          </cell>
          <cell r="S785" t="str">
            <v>马聪Cong (Cong Ma)</v>
          </cell>
          <cell r="T785" t="str">
            <v>朱晗宇 Peter (Hanyu Zhu)</v>
          </cell>
        </row>
        <row r="786">
          <cell r="G786" t="str">
            <v>NE 东北大区NY 纽约片区FRG01</v>
          </cell>
          <cell r="H786" t="str">
            <v>Station Operations Specialist 站点运营专员</v>
          </cell>
          <cell r="I786" t="str">
            <v>TY_休息日</v>
          </cell>
        </row>
        <row r="786">
          <cell r="L786" t="str">
            <v>正确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str">
            <v>孙可君Monica（Kejun Sun）</v>
          </cell>
          <cell r="S786" t="str">
            <v>马聪Cong (Cong Ma)</v>
          </cell>
          <cell r="T786" t="str">
            <v>朱晗宇 Peter (Hanyu Zhu)</v>
          </cell>
        </row>
        <row r="787">
          <cell r="G787" t="str">
            <v>WE 美西大区CNO.H综办组</v>
          </cell>
          <cell r="H787" t="str">
            <v>Warehouse Clerk 仓库文员</v>
          </cell>
          <cell r="I787" t="str">
            <v>TY_休息日</v>
          </cell>
        </row>
        <row r="787">
          <cell r="L787" t="str">
            <v>正确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str">
            <v>王骞Ariel（Qian Wang）,叶秀芳Freya (Xiufang Ye)</v>
          </cell>
          <cell r="S787" t="str">
            <v>常哲</v>
          </cell>
          <cell r="T787" t="str">
            <v>Minqing (Minqing Xu),罗煜雄 Mike (Yuxiong Luo)</v>
          </cell>
        </row>
        <row r="788">
          <cell r="G788" t="str">
            <v>FL 佛州大区MIA.H调度组</v>
          </cell>
          <cell r="H788" t="str">
            <v>Dispatch Lead 调度组长</v>
          </cell>
          <cell r="I788" t="str">
            <v>TY_08:00</v>
          </cell>
          <cell r="J788" t="str">
            <v>07:16</v>
          </cell>
          <cell r="K788" t="str">
            <v>16:27</v>
          </cell>
          <cell r="L788" t="str">
            <v>正确</v>
          </cell>
          <cell r="M788">
            <v>0</v>
          </cell>
          <cell r="N788">
            <v>8.68</v>
          </cell>
          <cell r="O788">
            <v>0.68</v>
          </cell>
          <cell r="P788">
            <v>0</v>
          </cell>
          <cell r="Q788">
            <v>0</v>
          </cell>
          <cell r="R788" t="str">
            <v>Natalia (Natalia Padilla),孙婕 Jasmine（Sunjie）</v>
          </cell>
          <cell r="S788" t="str">
            <v>贺子强Jeff (Ziqiang He)</v>
          </cell>
          <cell r="T788" t="str">
            <v>Minqing (Minqing Xu),罗煜雄 Mike (Yuxiong Luo)</v>
          </cell>
        </row>
        <row r="789">
          <cell r="G789" t="str">
            <v>Ground项目部OG 美东区BA210</v>
          </cell>
          <cell r="H789" t="str">
            <v>Station Operations Specialist 站点运营专员</v>
          </cell>
          <cell r="I789" t="str">
            <v>TY_07:00</v>
          </cell>
          <cell r="J789" t="str">
            <v>06:58</v>
          </cell>
          <cell r="K789" t="str">
            <v>15:39</v>
          </cell>
          <cell r="L789" t="str">
            <v>正确</v>
          </cell>
          <cell r="M789">
            <v>0</v>
          </cell>
          <cell r="N789">
            <v>8.18</v>
          </cell>
          <cell r="O789">
            <v>0.18</v>
          </cell>
          <cell r="P789">
            <v>0</v>
          </cell>
          <cell r="Q789">
            <v>0</v>
          </cell>
          <cell r="R789" t="str">
            <v>王安琪 (Anqi Wang),张朱同 Thomson（Zhutong Zhang）</v>
          </cell>
          <cell r="S789" t="str">
            <v>陈锦昭</v>
          </cell>
          <cell r="T789" t="str">
            <v>欧和枫 Henry (HeFeng Ou)</v>
          </cell>
        </row>
        <row r="790">
          <cell r="G790" t="str">
            <v>AS 审计监察部</v>
          </cell>
          <cell r="H790" t="str">
            <v>Senior Overseas Audit Specialist 高级海外审计专员</v>
          </cell>
          <cell r="I790" t="str">
            <v>TY_休息日</v>
          </cell>
        </row>
        <row r="790">
          <cell r="L790" t="str">
            <v>正确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str">
            <v>袁博闻(Bowen Yuan)</v>
          </cell>
        </row>
        <row r="791">
          <cell r="G791" t="str">
            <v>WE 美西大区DS 丹佛·盐湖城片区DEN.H</v>
          </cell>
          <cell r="H791" t="str">
            <v>Dispatcher 调度员</v>
          </cell>
          <cell r="I791" t="str">
            <v>TY_休息日</v>
          </cell>
        </row>
        <row r="791">
          <cell r="L791" t="str">
            <v>正确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str">
            <v>王骞Ariel（Qian Wang）,叶秀芳Freya (Xiufang Ye)</v>
          </cell>
          <cell r="S791" t="str">
            <v>常哲</v>
          </cell>
          <cell r="T791" t="str">
            <v>兰鹏Peng（Peng Lan）</v>
          </cell>
        </row>
        <row r="792">
          <cell r="G792" t="str">
            <v>WE 美西大区DS 丹佛·盐湖城片区DEN.H</v>
          </cell>
          <cell r="H792" t="str">
            <v>Dispatcher 调度员</v>
          </cell>
          <cell r="I792" t="str">
            <v>TY_15:00</v>
          </cell>
          <cell r="J792" t="str">
            <v>14:10</v>
          </cell>
          <cell r="K792" t="str">
            <v>02:00</v>
          </cell>
          <cell r="L792" t="str">
            <v>正确</v>
          </cell>
          <cell r="M792">
            <v>0</v>
          </cell>
          <cell r="N792">
            <v>11.33</v>
          </cell>
          <cell r="O792">
            <v>3.33</v>
          </cell>
          <cell r="P792">
            <v>57.06</v>
          </cell>
          <cell r="Q792">
            <v>17.06</v>
          </cell>
          <cell r="R792" t="str">
            <v>王骞Ariel（Qian Wang）,叶秀芳Freya (Xiufang Ye)</v>
          </cell>
          <cell r="S792" t="str">
            <v>常哲</v>
          </cell>
          <cell r="T792" t="str">
            <v>兰鹏Peng（Peng Lan）</v>
          </cell>
        </row>
        <row r="793">
          <cell r="G793" t="str">
            <v>DO 数字运营部美国项目交付组</v>
          </cell>
          <cell r="H793" t="str">
            <v>Product Manager 产品经理</v>
          </cell>
          <cell r="I793" t="str">
            <v>TY_休息日</v>
          </cell>
        </row>
        <row r="793">
          <cell r="L793" t="str">
            <v>正确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str">
            <v>袁博闻(Bowen Yuan)</v>
          </cell>
        </row>
        <row r="794">
          <cell r="G794" t="str">
            <v>NE 东北大区EWR.H调度组</v>
          </cell>
          <cell r="H794" t="str">
            <v>Dispatcher 调度员</v>
          </cell>
          <cell r="I794" t="str">
            <v>TY_13:30</v>
          </cell>
          <cell r="J794" t="str">
            <v>11:59</v>
          </cell>
          <cell r="K794" t="str">
            <v>22:00</v>
          </cell>
          <cell r="L794" t="str">
            <v>不正确</v>
          </cell>
          <cell r="M794">
            <v>0</v>
          </cell>
          <cell r="N794">
            <v>9.52</v>
          </cell>
          <cell r="O794">
            <v>1.52</v>
          </cell>
          <cell r="P794">
            <v>0</v>
          </cell>
          <cell r="Q794">
            <v>0</v>
          </cell>
          <cell r="R794" t="str">
            <v>孙可君Monica（Kejun Sun）</v>
          </cell>
          <cell r="S794" t="str">
            <v>马聪Cong (Cong Ma)</v>
          </cell>
          <cell r="T794" t="str">
            <v>Minqing (Minqing Xu),罗煜雄 Mike (Yuxiong Luo)</v>
          </cell>
        </row>
        <row r="795">
          <cell r="G795" t="str">
            <v>WE 美西大区DS 丹佛·盐湖城片区</v>
          </cell>
          <cell r="H795" t="str">
            <v>District Head（Probation）片区长（见习）</v>
          </cell>
          <cell r="I795" t="str">
            <v>TY_休息日</v>
          </cell>
        </row>
        <row r="795">
          <cell r="L795" t="str">
            <v>正确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str">
            <v>王骞Ariel（Qian Wang）,叶秀芳Freya (Xiufang Ye)</v>
          </cell>
          <cell r="S795" t="str">
            <v>常哲</v>
          </cell>
        </row>
        <row r="796">
          <cell r="G796" t="str">
            <v>MS 中南大区RE 北卡和东南海岸片区RDU01</v>
          </cell>
          <cell r="H796" t="str">
            <v>Station Operations Specialist 站点运营专员</v>
          </cell>
          <cell r="I796" t="str">
            <v>TY_05:00</v>
          </cell>
          <cell r="J796" t="str">
            <v>05:01</v>
          </cell>
          <cell r="K796" t="str">
            <v>14:58</v>
          </cell>
          <cell r="L796" t="str">
            <v>正确</v>
          </cell>
          <cell r="M796">
            <v>0</v>
          </cell>
          <cell r="N796">
            <v>9.45</v>
          </cell>
          <cell r="O796">
            <v>1.45</v>
          </cell>
          <cell r="P796">
            <v>0</v>
          </cell>
          <cell r="Q796">
            <v>0</v>
          </cell>
          <cell r="R796" t="str">
            <v>欧阳迎春Flower（Yingchun Ouyang）</v>
          </cell>
          <cell r="S796" t="str">
            <v>杨云飞</v>
          </cell>
          <cell r="T796" t="str">
            <v>张森 (Sen Zhang)</v>
          </cell>
        </row>
        <row r="797">
          <cell r="G797" t="str">
            <v>WE 美西大区LAV.H维保组</v>
          </cell>
          <cell r="H797" t="str">
            <v>Maintenance Specialist 维保员</v>
          </cell>
          <cell r="I797" t="str">
            <v>TY_16:30</v>
          </cell>
          <cell r="J797" t="str">
            <v>16:08</v>
          </cell>
          <cell r="K797" t="str">
            <v>01:55</v>
          </cell>
          <cell r="L797" t="str">
            <v>正确</v>
          </cell>
          <cell r="M797">
            <v>0</v>
          </cell>
          <cell r="N797">
            <v>9.28</v>
          </cell>
          <cell r="O797">
            <v>1.28</v>
          </cell>
          <cell r="P797">
            <v>0</v>
          </cell>
          <cell r="Q797">
            <v>0</v>
          </cell>
          <cell r="R797" t="str">
            <v>王骞Ariel（Qian Wang）,叶秀芳Freya (Xiufang Ye)</v>
          </cell>
          <cell r="S797" t="str">
            <v>常哲</v>
          </cell>
          <cell r="T797" t="str">
            <v>章峻铭 J (Junming Zhang)</v>
          </cell>
        </row>
        <row r="798">
          <cell r="G798" t="str">
            <v>NE 东北大区NY 纽约片区FRG01</v>
          </cell>
          <cell r="H798" t="str">
            <v>Station Operations Specialist 站点运营专员</v>
          </cell>
          <cell r="I798" t="str">
            <v>TY_05:00</v>
          </cell>
          <cell r="J798" t="str">
            <v>05:22</v>
          </cell>
          <cell r="K798" t="str">
            <v>13:31</v>
          </cell>
          <cell r="L798" t="str">
            <v>正确</v>
          </cell>
          <cell r="M798">
            <v>0</v>
          </cell>
          <cell r="N798">
            <v>7.65</v>
          </cell>
          <cell r="O798">
            <v>0</v>
          </cell>
          <cell r="P798">
            <v>0</v>
          </cell>
          <cell r="Q798">
            <v>0</v>
          </cell>
          <cell r="R798" t="str">
            <v>孙可君Monica（Kejun Sun）</v>
          </cell>
          <cell r="S798" t="str">
            <v>马聪Cong (Cong Ma)</v>
          </cell>
          <cell r="T798" t="str">
            <v>朱晗宇 Peter (Hanyu Zhu)</v>
          </cell>
        </row>
        <row r="799">
          <cell r="G799" t="str">
            <v>Ground项目部OG 美南区AT303</v>
          </cell>
          <cell r="H799" t="str">
            <v>Station Trainee 站点培训生</v>
          </cell>
          <cell r="I799" t="str">
            <v>TY_08:00</v>
          </cell>
        </row>
        <row r="799">
          <cell r="L799" t="str">
            <v>/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str">
            <v>王安琪 (Anqi Wang),张朱同 Thomson（Zhutong Zhang）</v>
          </cell>
          <cell r="S799" t="str">
            <v>陈锦昭</v>
          </cell>
          <cell r="T799" t="str">
            <v>金筱燕Sharon（Xiaoyan Jin）</v>
          </cell>
        </row>
        <row r="800">
          <cell r="G800" t="str">
            <v>Ground项目部OG 美西区</v>
          </cell>
          <cell r="H800" t="str">
            <v>Deputy Regional Head（Probation）副区长（见习）</v>
          </cell>
          <cell r="I800" t="str">
            <v>TY_休息日</v>
          </cell>
        </row>
        <row r="800">
          <cell r="L800" t="str">
            <v>正确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str">
            <v>王安琪 (Anqi Wang),张朱同 Thomson（Zhutong Zhang）</v>
          </cell>
          <cell r="S800" t="str">
            <v>陈锦昭</v>
          </cell>
        </row>
        <row r="801">
          <cell r="G801" t="str">
            <v>TX 德州大区NT 北德州片区DFW01</v>
          </cell>
          <cell r="H801" t="str">
            <v>Station Operations Specialist 站点运营专员</v>
          </cell>
          <cell r="I801" t="str">
            <v>TY_05:00</v>
          </cell>
          <cell r="J801" t="str">
            <v>04:56</v>
          </cell>
          <cell r="K801" t="str">
            <v>14:01</v>
          </cell>
          <cell r="L801" t="str">
            <v>正确</v>
          </cell>
          <cell r="M801">
            <v>0</v>
          </cell>
          <cell r="N801">
            <v>8.58</v>
          </cell>
          <cell r="O801">
            <v>0.58</v>
          </cell>
          <cell r="P801">
            <v>0</v>
          </cell>
          <cell r="Q801">
            <v>0</v>
          </cell>
          <cell r="R801" t="str">
            <v>肖芦莉Lily (Luli Xiao)</v>
          </cell>
          <cell r="S801" t="str">
            <v>张骥Ji Zhang (Ji Zhang)</v>
          </cell>
          <cell r="T801" t="str">
            <v>何琼joan(Qiong He)</v>
          </cell>
        </row>
        <row r="802">
          <cell r="G802" t="str">
            <v>WE 美西大区SC 南加片区CNO01</v>
          </cell>
          <cell r="H802" t="str">
            <v>Warehouse Operator 操作员</v>
          </cell>
          <cell r="I802" t="str">
            <v>TY_05:00</v>
          </cell>
          <cell r="J802" t="str">
            <v>04:53</v>
          </cell>
          <cell r="K802" t="str">
            <v>13:31</v>
          </cell>
          <cell r="L802" t="str">
            <v>正确</v>
          </cell>
          <cell r="M802">
            <v>0</v>
          </cell>
          <cell r="N802">
            <v>8.13</v>
          </cell>
          <cell r="O802">
            <v>0.13</v>
          </cell>
          <cell r="P802">
            <v>0</v>
          </cell>
          <cell r="Q802">
            <v>0</v>
          </cell>
          <cell r="R802" t="str">
            <v>王骞Ariel（Qian Wang）,叶秀芳Freya (Xiufang Ye)</v>
          </cell>
          <cell r="S802" t="str">
            <v>常哲</v>
          </cell>
          <cell r="T802" t="str">
            <v>尤梦楠Yuko（Mengnan You）</v>
          </cell>
        </row>
        <row r="803">
          <cell r="G803" t="str">
            <v>TX 德州大区GC 墨湾片区IAH01</v>
          </cell>
          <cell r="H803" t="str">
            <v>Station Operations Specialist 站点运营专员</v>
          </cell>
          <cell r="I803" t="str">
            <v>TY_休息日</v>
          </cell>
        </row>
        <row r="803">
          <cell r="L803" t="str">
            <v>正确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str">
            <v>肖芦莉Lily (Luli Xiao)</v>
          </cell>
          <cell r="S803" t="str">
            <v>张骥Ji Zhang (Ji Zhang)</v>
          </cell>
          <cell r="T803" t="str">
            <v>金磊Brian（LEI JIN）</v>
          </cell>
        </row>
        <row r="804">
          <cell r="G804" t="str">
            <v>TX 德州大区DFW.H调度组</v>
          </cell>
          <cell r="H804" t="str">
            <v>Dispatcher 调度员</v>
          </cell>
          <cell r="I804" t="str">
            <v>TY_07:00</v>
          </cell>
          <cell r="J804" t="str">
            <v>07:02</v>
          </cell>
          <cell r="K804" t="str">
            <v>16:52</v>
          </cell>
          <cell r="L804" t="str">
            <v>正确</v>
          </cell>
          <cell r="M804">
            <v>0</v>
          </cell>
          <cell r="N804">
            <v>9.33</v>
          </cell>
          <cell r="O804">
            <v>1.33</v>
          </cell>
          <cell r="P804">
            <v>0</v>
          </cell>
          <cell r="Q804">
            <v>0</v>
          </cell>
          <cell r="R804" t="str">
            <v>肖芦莉Lily (Luli Xiao)</v>
          </cell>
          <cell r="S804" t="str">
            <v>张骥Ji Zhang (Ji Zhang)</v>
          </cell>
          <cell r="T804" t="str">
            <v>Minqing (Minqing Xu),罗煜雄 Mike (Yuxiong Luo)</v>
          </cell>
        </row>
        <row r="805">
          <cell r="G805" t="str">
            <v>NE 东北大区PA 宾州片区TEB01</v>
          </cell>
          <cell r="H805" t="str">
            <v>Station Operations Specialist 站点运营专员</v>
          </cell>
          <cell r="I805" t="str">
            <v>TY_休息日</v>
          </cell>
        </row>
        <row r="805">
          <cell r="L805" t="str">
            <v>正确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str">
            <v>孙可君Monica（Kejun Sun）</v>
          </cell>
          <cell r="S805" t="str">
            <v>马聪Cong (Cong Ma)</v>
          </cell>
          <cell r="T805" t="str">
            <v>朱晗宇 Peter (Hanyu Zhu)</v>
          </cell>
        </row>
        <row r="806">
          <cell r="G806" t="str">
            <v>NE 东北大区PA 宾州片区LDJ01</v>
          </cell>
          <cell r="H806" t="str">
            <v>Station Head 站长</v>
          </cell>
          <cell r="I806" t="str">
            <v>TY_05:00</v>
          </cell>
          <cell r="J806" t="str">
            <v>04:34</v>
          </cell>
          <cell r="K806" t="str">
            <v>13:27</v>
          </cell>
          <cell r="L806" t="str">
            <v>正确</v>
          </cell>
          <cell r="M806">
            <v>0</v>
          </cell>
          <cell r="N806">
            <v>8.38</v>
          </cell>
          <cell r="O806">
            <v>0.38</v>
          </cell>
          <cell r="P806">
            <v>0</v>
          </cell>
          <cell r="Q806">
            <v>0</v>
          </cell>
          <cell r="R806" t="str">
            <v>孙可君Monica（Kejun Sun）</v>
          </cell>
          <cell r="S806" t="str">
            <v>马聪Cong (Cong Ma)</v>
          </cell>
          <cell r="T806" t="str">
            <v>朱晗宇 Peter (Hanyu Zhu)</v>
          </cell>
        </row>
        <row r="807">
          <cell r="G807" t="str">
            <v>TX 德州大区运营支持部区域支持组</v>
          </cell>
          <cell r="H807" t="str">
            <v>Regional Support Specialist 区域支持专员</v>
          </cell>
          <cell r="I807" t="str">
            <v>TY_休息日</v>
          </cell>
        </row>
        <row r="807">
          <cell r="L807" t="str">
            <v>正确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str">
            <v>肖芦莉Lily (Luli Xiao)</v>
          </cell>
          <cell r="S807" t="str">
            <v>张骥Ji Zhang (Ji Zhang)</v>
          </cell>
        </row>
        <row r="808">
          <cell r="G808" t="str">
            <v>WE 美西大区运营支持部区域支持组</v>
          </cell>
          <cell r="H808" t="str">
            <v>Regional Support Specialist 区域支持专员</v>
          </cell>
          <cell r="I808" t="str">
            <v>TY_休息日</v>
          </cell>
        </row>
        <row r="808">
          <cell r="L808" t="str">
            <v>正确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str">
            <v>王骞Ariel（Qian Wang）,叶秀芳Freya (Xiufang Ye)</v>
          </cell>
          <cell r="S808" t="str">
            <v>常哲</v>
          </cell>
        </row>
        <row r="809">
          <cell r="G809" t="str">
            <v>BM 品牌市场部</v>
          </cell>
          <cell r="H809" t="str">
            <v>Marketing Specialist 市场专员</v>
          </cell>
          <cell r="I809" t="str">
            <v>TY_休息日</v>
          </cell>
        </row>
        <row r="809">
          <cell r="L809" t="str">
            <v>正确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str">
            <v>袁博闻(Bowen Yuan)</v>
          </cell>
        </row>
        <row r="810">
          <cell r="G810" t="str">
            <v>Ground项目部OG 美南区ATL.G</v>
          </cell>
          <cell r="H810" t="str">
            <v>Deputy Hub Head 副仓长</v>
          </cell>
          <cell r="I810" t="str">
            <v>TY_休息日</v>
          </cell>
        </row>
        <row r="810">
          <cell r="L810" t="str">
            <v>正确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str">
            <v>王安琪 (Anqi Wang),张朱同 Thomson（Zhutong Zhang）</v>
          </cell>
          <cell r="S810" t="str">
            <v>陈锦昭</v>
          </cell>
          <cell r="T810" t="str">
            <v>金筱燕Sharon（Xiaoyan Jin）</v>
          </cell>
        </row>
        <row r="811">
          <cell r="G811" t="str">
            <v>FL 佛州大区MIA.H异常处理组</v>
          </cell>
          <cell r="H811" t="str">
            <v>Returns Specialist 退件员</v>
          </cell>
          <cell r="I811" t="str">
            <v>TY_休息日</v>
          </cell>
        </row>
        <row r="811">
          <cell r="L811" t="str">
            <v>正确</v>
          </cell>
          <cell r="M811">
            <v>0</v>
          </cell>
          <cell r="N811">
            <v>0</v>
          </cell>
          <cell r="O811">
            <v>0</v>
          </cell>
          <cell r="P811">
            <v>41.71</v>
          </cell>
          <cell r="Q811">
            <v>1.71</v>
          </cell>
          <cell r="R811" t="str">
            <v>Natalia (Natalia Padilla),孙婕 Jasmine（Sunjie）</v>
          </cell>
          <cell r="S811" t="str">
            <v>贺子强Jeff (Ziqiang He)</v>
          </cell>
          <cell r="T811" t="str">
            <v>Minqing (Minqing Xu),罗煜雄 Mike (Yuxiong Luo)</v>
          </cell>
        </row>
        <row r="812">
          <cell r="G812" t="str">
            <v>WE 美西大区CNO.H分拣组</v>
          </cell>
          <cell r="H812" t="str">
            <v>Sorter 分拣员</v>
          </cell>
          <cell r="I812" t="str">
            <v>TY_休息日</v>
          </cell>
        </row>
        <row r="812">
          <cell r="L812" t="str">
            <v>正确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str">
            <v>王骞Ariel（Qian Wang）,叶秀芳Freya (Xiufang Ye)</v>
          </cell>
          <cell r="S812" t="str">
            <v>常哲</v>
          </cell>
          <cell r="T812" t="str">
            <v>张双甫(Shuangfu Zhang)</v>
          </cell>
        </row>
        <row r="813">
          <cell r="G813" t="str">
            <v>WE 美西大区LAV.H分拣组</v>
          </cell>
          <cell r="H813" t="str">
            <v>Sorter 分拣员</v>
          </cell>
          <cell r="I813" t="str">
            <v>TY_美国节假日（9点-18点）</v>
          </cell>
        </row>
        <row r="813">
          <cell r="L813" t="str">
            <v>正确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str">
            <v>王骞Ariel（Qian Wang）,叶秀芳Freya (Xiufang Ye)</v>
          </cell>
          <cell r="S813" t="str">
            <v>常哲</v>
          </cell>
          <cell r="T813" t="str">
            <v>张双甫(Shuangfu Zhang)</v>
          </cell>
        </row>
        <row r="814">
          <cell r="G814" t="str">
            <v>DO 数字运营部美国技术支持组</v>
          </cell>
          <cell r="H814" t="str">
            <v>Senior Product Manager 高级产品经理</v>
          </cell>
          <cell r="I814" t="str">
            <v>TY_休息日</v>
          </cell>
        </row>
        <row r="814">
          <cell r="L814" t="str">
            <v>正确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str">
            <v>袁博闻(Bowen Yuan)</v>
          </cell>
        </row>
        <row r="815">
          <cell r="G815" t="str">
            <v>GL 大湖大区ORD.H综办组</v>
          </cell>
          <cell r="H815" t="str">
            <v>EHS Specialist EHS专员</v>
          </cell>
          <cell r="I815" t="str">
            <v>TY_休息日</v>
          </cell>
        </row>
        <row r="815">
          <cell r="L815" t="str">
            <v>正确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str">
            <v>王晓丹 Jasmine（Xiaodan Wang）,周延舒Isabel（Yanshu Zhou）</v>
          </cell>
          <cell r="S815" t="str">
            <v>张骥Ji Zhang (Ji Zhang)</v>
          </cell>
          <cell r="T815" t="str">
            <v>Minqing (Minqing Xu),罗煜雄 Mike (Yuxiong Luo)</v>
          </cell>
        </row>
        <row r="816">
          <cell r="G816" t="str">
            <v>US人力资源部美洲HRBP组招聘组</v>
          </cell>
          <cell r="H816" t="str">
            <v>Recruitment Assistant 招聘助理</v>
          </cell>
          <cell r="I816" t="str">
            <v>TY_休息日</v>
          </cell>
        </row>
        <row r="816">
          <cell r="L816" t="str">
            <v>正确</v>
          </cell>
          <cell r="M816">
            <v>0</v>
          </cell>
          <cell r="N816">
            <v>0</v>
          </cell>
          <cell r="O816">
            <v>0</v>
          </cell>
          <cell r="P816">
            <v>45.26</v>
          </cell>
          <cell r="Q816">
            <v>5.26</v>
          </cell>
          <cell r="R816" t="str">
            <v>袁博闻(Bowen Yuan)</v>
          </cell>
        </row>
        <row r="817">
          <cell r="G817" t="str">
            <v>Ground项目部OG 美西区CNO.G</v>
          </cell>
          <cell r="H817" t="str">
            <v>EHS Specialist EHS专员</v>
          </cell>
          <cell r="I817" t="str">
            <v>TY_休息日</v>
          </cell>
        </row>
        <row r="817">
          <cell r="L817" t="str">
            <v>正确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str">
            <v>王安琪 (Anqi Wang),张朱同 Thomson（Zhutong Zhang）</v>
          </cell>
          <cell r="S817" t="str">
            <v>陈锦昭</v>
          </cell>
          <cell r="T817" t="str">
            <v>张弘毅 Hongyi （Hongyi Zhang）</v>
          </cell>
        </row>
        <row r="818">
          <cell r="G818" t="str">
            <v>NE 东北大区BWI.H</v>
          </cell>
          <cell r="H818" t="str">
            <v>Hub Head（Probation） 仓长（见习）</v>
          </cell>
          <cell r="I818" t="str">
            <v>TY_休息日</v>
          </cell>
          <cell r="J818" t="str">
            <v>10:28</v>
          </cell>
        </row>
        <row r="818">
          <cell r="L818" t="str">
            <v>正确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str">
            <v>孙可君Monica（Kejun Sun）</v>
          </cell>
          <cell r="S818" t="str">
            <v>马聪Cong (Cong Ma)</v>
          </cell>
        </row>
        <row r="819">
          <cell r="G819" t="str">
            <v>GL 大湖大区ORD.H分拣组</v>
          </cell>
          <cell r="H819" t="str">
            <v>Sorter 分拣员</v>
          </cell>
          <cell r="I819" t="str">
            <v>TY_休息日</v>
          </cell>
        </row>
        <row r="819">
          <cell r="L819" t="str">
            <v>正确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str">
            <v>王晓丹 Jasmine（Xiaodan Wang）,周延舒Isabel（Yanshu Zhou）</v>
          </cell>
          <cell r="S819" t="str">
            <v>张骥Ji Zhang (Ji Zhang)</v>
          </cell>
          <cell r="T819" t="str">
            <v>张双甫(Shuangfu Zhang)</v>
          </cell>
        </row>
        <row r="820">
          <cell r="G820" t="str">
            <v>MS 中南大区AS 亚特兰大和南阿拉巴马片区MOB01</v>
          </cell>
          <cell r="H820" t="str">
            <v>Warehouse Operator 操作员</v>
          </cell>
          <cell r="I820" t="str">
            <v>TY_休息日</v>
          </cell>
        </row>
        <row r="820">
          <cell r="L820" t="str">
            <v>正确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str">
            <v>欧阳迎春Flower（Yingchun Ouyang）</v>
          </cell>
          <cell r="S820" t="str">
            <v>杨云飞</v>
          </cell>
          <cell r="T820" t="str">
            <v>曾令桓（Linghuan Zeng）</v>
          </cell>
        </row>
        <row r="821">
          <cell r="G821" t="str">
            <v>MS 中南大区CS 夏洛特及周边片区CLT01</v>
          </cell>
          <cell r="H821" t="str">
            <v>Station Head 站长</v>
          </cell>
          <cell r="I821" t="str">
            <v>TY_休息日</v>
          </cell>
        </row>
        <row r="821">
          <cell r="L821" t="str">
            <v>正确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str">
            <v>欧阳迎春Flower（Yingchun Ouyang）</v>
          </cell>
          <cell r="S821" t="str">
            <v>杨云飞</v>
          </cell>
          <cell r="T821" t="str">
            <v>郭丞芸Lexie(Chengyun Kuo)</v>
          </cell>
        </row>
        <row r="822">
          <cell r="G822" t="str">
            <v>GL 大湖大区ORD.H分拣组</v>
          </cell>
          <cell r="H822" t="str">
            <v>Sorting Lead 分拣组长</v>
          </cell>
          <cell r="I822" t="str">
            <v>TY_19:00</v>
          </cell>
        </row>
        <row r="822">
          <cell r="L822" t="str">
            <v>/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str">
            <v>王晓丹 Jasmine（Xiaodan Wang）,周延舒Isabel（Yanshu Zhou）</v>
          </cell>
          <cell r="S822" t="str">
            <v>张骥Ji Zhang (Ji Zhang)</v>
          </cell>
          <cell r="T822" t="str">
            <v>张双甫(Shuangfu Zhang)</v>
          </cell>
        </row>
        <row r="823">
          <cell r="G823" t="str">
            <v>WE 美西大区CNO.H维保组</v>
          </cell>
          <cell r="H823" t="str">
            <v>Maintenance Lead 维保组长</v>
          </cell>
          <cell r="I823" t="str">
            <v>TY_休息日</v>
          </cell>
        </row>
        <row r="823">
          <cell r="L823" t="str">
            <v>正确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str">
            <v>王骞Ariel（Qian Wang）,叶秀芳Freya (Xiufang Ye)</v>
          </cell>
          <cell r="S823" t="str">
            <v>常哲</v>
          </cell>
          <cell r="T823" t="str">
            <v>章峻铭 J (Junming Zhang)</v>
          </cell>
        </row>
        <row r="824">
          <cell r="G824" t="str">
            <v>Ground项目部运营管理部站点管理组</v>
          </cell>
          <cell r="H824" t="str">
            <v>Senior Station Support Specialist 高级站点支持专员</v>
          </cell>
          <cell r="I824" t="str">
            <v>TY_休息日</v>
          </cell>
        </row>
        <row r="824">
          <cell r="L824" t="str">
            <v>正确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str">
            <v>王安琪 (Anqi Wang),张朱同 Thomson（Zhutong Zhang）</v>
          </cell>
          <cell r="S824" t="str">
            <v>陈锦昭</v>
          </cell>
        </row>
        <row r="825">
          <cell r="G825" t="str">
            <v>NE 东北大区DC 华盛顿片区PNE01</v>
          </cell>
          <cell r="H825" t="str">
            <v>Station Operations Specialist 站点运营专员</v>
          </cell>
          <cell r="I825" t="str">
            <v>TY_06:00</v>
          </cell>
          <cell r="J825" t="str">
            <v>06:00</v>
          </cell>
          <cell r="K825" t="str">
            <v>15:23</v>
          </cell>
          <cell r="L825" t="str">
            <v>正确</v>
          </cell>
          <cell r="M825">
            <v>0</v>
          </cell>
          <cell r="N825">
            <v>8.88</v>
          </cell>
          <cell r="O825">
            <v>0.88</v>
          </cell>
          <cell r="P825">
            <v>0</v>
          </cell>
          <cell r="Q825">
            <v>0</v>
          </cell>
          <cell r="R825" t="str">
            <v>孙可君Monica（Kejun Sun）</v>
          </cell>
          <cell r="S825" t="str">
            <v>马聪Cong (Cong Ma)</v>
          </cell>
          <cell r="T825" t="str">
            <v>朱晗宇 Peter (Hanyu Zhu)</v>
          </cell>
        </row>
        <row r="826">
          <cell r="G826" t="str">
            <v>GL 大湖大区ORD.H操作组</v>
          </cell>
          <cell r="H826" t="str">
            <v>Warehouse Operator 操作员</v>
          </cell>
          <cell r="I826" t="str">
            <v>TY_休息日</v>
          </cell>
        </row>
        <row r="826">
          <cell r="L826" t="str">
            <v>正确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str">
            <v>王晓丹 Jasmine（Xiaodan Wang）,周延舒Isabel（Yanshu Zhou）</v>
          </cell>
          <cell r="S826" t="str">
            <v>张骥Ji Zhang (Ji Zhang)</v>
          </cell>
          <cell r="T826" t="str">
            <v>Minqing (Minqing Xu),罗煜雄 Mike (Yuxiong Luo)</v>
          </cell>
        </row>
        <row r="827">
          <cell r="G827" t="str">
            <v>WE 美西大区CNO.H维保组</v>
          </cell>
          <cell r="H827" t="str">
            <v>Maintenance Specialist 维保员</v>
          </cell>
          <cell r="I827" t="str">
            <v>TY_休息日</v>
          </cell>
        </row>
        <row r="827">
          <cell r="L827" t="str">
            <v>正确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str">
            <v>王骞Ariel（Qian Wang）,叶秀芳Freya (Xiufang Ye)</v>
          </cell>
          <cell r="S827" t="str">
            <v>常哲</v>
          </cell>
          <cell r="T827" t="str">
            <v>章峻铭 J (Junming Zhang)</v>
          </cell>
        </row>
        <row r="828">
          <cell r="G828" t="str">
            <v>NE 东北大区MA 新英格兰片区PVD01</v>
          </cell>
          <cell r="H828" t="str">
            <v>Station Operations Specialist 站点运营专员</v>
          </cell>
          <cell r="I828" t="str">
            <v>TY_05:30</v>
          </cell>
          <cell r="J828" t="str">
            <v>06:32</v>
          </cell>
        </row>
        <row r="828">
          <cell r="L828" t="str">
            <v>不正确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str">
            <v>孙可君Monica（Kejun Sun）</v>
          </cell>
          <cell r="S828" t="str">
            <v>马聪Cong (Cong Ma)</v>
          </cell>
          <cell r="T828" t="str">
            <v>朱晗宇 Peter (Hanyu Zhu)</v>
          </cell>
        </row>
        <row r="829">
          <cell r="G829" t="str">
            <v>NE 东北大区JFK.H综办组</v>
          </cell>
          <cell r="H829" t="str">
            <v>Warehouse Clerk 仓库文员</v>
          </cell>
          <cell r="I829" t="str">
            <v>TY_休息日</v>
          </cell>
        </row>
        <row r="829">
          <cell r="L829" t="str">
            <v>正确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str">
            <v>孙可君Monica（Kejun Sun）</v>
          </cell>
          <cell r="S829" t="str">
            <v>马聪Cong (Cong Ma)</v>
          </cell>
          <cell r="T829" t="str">
            <v>Minqing (Minqing Xu),罗煜雄 Mike (Yuxiong Luo)</v>
          </cell>
        </row>
        <row r="830">
          <cell r="G830" t="str">
            <v>WE 美西大区LAV.H操作组</v>
          </cell>
          <cell r="H830" t="str">
            <v>Warehouse Lead 操作组长</v>
          </cell>
          <cell r="I830" t="str">
            <v>TY_美国节假日（9点-18点）</v>
          </cell>
        </row>
        <row r="830">
          <cell r="L830" t="str">
            <v>正确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str">
            <v>王骞Ariel（Qian Wang）,叶秀芳Freya (Xiufang Ye)</v>
          </cell>
          <cell r="S830" t="str">
            <v>常哲</v>
          </cell>
          <cell r="T830" t="str">
            <v>Minqing (Minqing Xu),罗煜雄 Mike (Yuxiong Luo)</v>
          </cell>
        </row>
        <row r="831">
          <cell r="G831" t="str">
            <v>MS 中南大区AS 亚特兰大和南阿拉巴马片区BHM01</v>
          </cell>
          <cell r="H831" t="str">
            <v>Station Operations Specialist 站点运营专员</v>
          </cell>
          <cell r="I831" t="str">
            <v>TY_休息日</v>
          </cell>
        </row>
        <row r="831">
          <cell r="L831" t="str">
            <v>正确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str">
            <v>欧阳迎春Flower（Yingchun Ouyang）</v>
          </cell>
          <cell r="S831" t="str">
            <v>杨云飞</v>
          </cell>
          <cell r="T831" t="str">
            <v>鄧亦翔Sean (Yi-Hsiang Teng)</v>
          </cell>
        </row>
        <row r="832">
          <cell r="G832" t="str">
            <v>WE 美西大区LAV.H</v>
          </cell>
          <cell r="H832" t="str">
            <v>Deputy Hub Head 副仓长</v>
          </cell>
          <cell r="I832" t="str">
            <v>TY_美国节假日（9点-18点）</v>
          </cell>
        </row>
        <row r="832">
          <cell r="L832" t="str">
            <v>正确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str">
            <v>王骞Ariel（Qian Wang）,叶秀芳Freya (Xiufang Ye)</v>
          </cell>
          <cell r="S832" t="str">
            <v>常哲</v>
          </cell>
        </row>
        <row r="833">
          <cell r="G833" t="str">
            <v>WE 美西大区CNO.H分拣组</v>
          </cell>
          <cell r="H833" t="str">
            <v>Sorting Lead 分拣组长</v>
          </cell>
          <cell r="I833" t="str">
            <v>TY_17:00</v>
          </cell>
          <cell r="J833" t="str">
            <v>16:58</v>
          </cell>
          <cell r="K833" t="str">
            <v>03:29</v>
          </cell>
          <cell r="L833" t="str">
            <v>正确</v>
          </cell>
          <cell r="M833">
            <v>0</v>
          </cell>
          <cell r="N833">
            <v>10.02</v>
          </cell>
          <cell r="O833">
            <v>2.02</v>
          </cell>
          <cell r="P833">
            <v>0</v>
          </cell>
          <cell r="Q833">
            <v>0</v>
          </cell>
          <cell r="R833" t="str">
            <v>王骞Ariel（Qian Wang）,叶秀芳Freya (Xiufang Ye)</v>
          </cell>
          <cell r="S833" t="str">
            <v>常哲</v>
          </cell>
          <cell r="T833" t="str">
            <v>张双甫(Shuangfu Zhang)</v>
          </cell>
        </row>
        <row r="834">
          <cell r="G834" t="str">
            <v>TX 德州大区GC 墨湾片区</v>
          </cell>
          <cell r="H834" t="str">
            <v>District Head 片区长</v>
          </cell>
          <cell r="I834" t="str">
            <v>TY_休息日</v>
          </cell>
        </row>
        <row r="834">
          <cell r="L834" t="str">
            <v>正确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str">
            <v>肖芦莉Lily (Luli Xiao)</v>
          </cell>
          <cell r="S834" t="str">
            <v>张骥Ji Zhang (Ji Zhang)</v>
          </cell>
        </row>
        <row r="835">
          <cell r="G835" t="str">
            <v>Ground项目部OG 美南区运营支持组</v>
          </cell>
          <cell r="H835" t="str">
            <v>Operations Support Specialist 运营支持专员</v>
          </cell>
          <cell r="I835" t="str">
            <v>TY_10:00</v>
          </cell>
          <cell r="J835" t="str">
            <v>09:54</v>
          </cell>
        </row>
        <row r="835">
          <cell r="L835" t="str">
            <v>正确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str">
            <v>王安琪 (Anqi Wang),张朱同 Thomson（Zhutong Zhang）</v>
          </cell>
          <cell r="S835" t="str">
            <v>陈锦昭</v>
          </cell>
        </row>
        <row r="836">
          <cell r="G836" t="str">
            <v>TX 德州大区IAH.H</v>
          </cell>
          <cell r="H836" t="str">
            <v>Deputy Hub Head（Probation） 副仓长（见习）</v>
          </cell>
          <cell r="I836" t="str">
            <v>TY_休息日</v>
          </cell>
        </row>
        <row r="836">
          <cell r="L836" t="str">
            <v>正确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str">
            <v>肖芦莉Lily (Luli Xiao)</v>
          </cell>
          <cell r="S836" t="str">
            <v>张骥Ji Zhang (Ji Zhang)</v>
          </cell>
        </row>
        <row r="837">
          <cell r="G837" t="str">
            <v>WE 美西大区SC 南加片区LAX01</v>
          </cell>
          <cell r="H837" t="str">
            <v>Station Head （Probation）站长（见习）</v>
          </cell>
          <cell r="I837" t="str">
            <v>TY_04:30</v>
          </cell>
          <cell r="J837" t="str">
            <v>04:16</v>
          </cell>
          <cell r="K837" t="str">
            <v>12:14</v>
          </cell>
          <cell r="L837" t="str">
            <v>正确</v>
          </cell>
          <cell r="M837">
            <v>0</v>
          </cell>
          <cell r="N837">
            <v>7.47</v>
          </cell>
          <cell r="O837">
            <v>0</v>
          </cell>
          <cell r="P837">
            <v>0</v>
          </cell>
          <cell r="Q837">
            <v>0</v>
          </cell>
          <cell r="R837" t="str">
            <v>王骞Ariel（Qian Wang）,叶秀芳Freya (Xiufang Ye)</v>
          </cell>
          <cell r="S837" t="str">
            <v>常哲</v>
          </cell>
          <cell r="T837" t="str">
            <v>尤梦楠Yuko（Mengnan You）</v>
          </cell>
        </row>
        <row r="838">
          <cell r="G838" t="str">
            <v>MS 中南大区CLT.H异常处理组</v>
          </cell>
          <cell r="H838" t="str">
            <v>Returns Specialist 退件员</v>
          </cell>
          <cell r="I838" t="str">
            <v>TY_休息日</v>
          </cell>
        </row>
        <row r="838">
          <cell r="L838" t="str">
            <v>正确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str">
            <v>欧阳迎春Flower（Yingchun Ouyang）</v>
          </cell>
          <cell r="S838" t="str">
            <v>杨云飞</v>
          </cell>
          <cell r="T838" t="str">
            <v>Minqing (Minqing Xu),罗煜雄 Mike (Yuxiong Luo)</v>
          </cell>
        </row>
        <row r="839">
          <cell r="G839" t="str">
            <v>Gofo财务部美区财务组合规及本地支持组</v>
          </cell>
          <cell r="H839" t="str">
            <v>高级海外会计</v>
          </cell>
          <cell r="I839" t="str">
            <v>TY_休息日</v>
          </cell>
        </row>
        <row r="839">
          <cell r="L839" t="str">
            <v>正确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str">
            <v>袁博闻(Bowen Yuan)</v>
          </cell>
        </row>
        <row r="840">
          <cell r="G840" t="str">
            <v>US人力资源部美洲HRBP组招聘组</v>
          </cell>
          <cell r="H840" t="str">
            <v>Recruitment Assistant 招聘助理</v>
          </cell>
          <cell r="I840" t="str">
            <v>TY_休息日</v>
          </cell>
        </row>
        <row r="840">
          <cell r="L840" t="str">
            <v>正确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str">
            <v>袁博闻(Bowen Yuan)</v>
          </cell>
        </row>
        <row r="841">
          <cell r="G841" t="str">
            <v>AD 行政部美中组</v>
          </cell>
          <cell r="H841" t="str">
            <v>Junior Admin Specialist 初级行政专员</v>
          </cell>
          <cell r="I841" t="str">
            <v>TY_休息日</v>
          </cell>
        </row>
        <row r="841">
          <cell r="L841" t="str">
            <v>正确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str">
            <v>袁博闻(Bowen Yuan)</v>
          </cell>
        </row>
        <row r="842">
          <cell r="G842" t="str">
            <v>Ground项目部OG 美西区LV891</v>
          </cell>
          <cell r="H842" t="str">
            <v>Station Head 站长</v>
          </cell>
          <cell r="I842" t="str">
            <v>TY_休息日</v>
          </cell>
        </row>
        <row r="842">
          <cell r="L842" t="str">
            <v>正确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str">
            <v>王安琪 (Anqi Wang),张朱同 Thomson（Zhutong Zhang）</v>
          </cell>
          <cell r="S842" t="str">
            <v>陈锦昭</v>
          </cell>
          <cell r="T842" t="str">
            <v>宋佳牧 Dorian (Jiamu Song)</v>
          </cell>
        </row>
        <row r="843">
          <cell r="G843" t="str">
            <v>TX 德州大区运营支持部区域支持组</v>
          </cell>
          <cell r="H843" t="str">
            <v>Regional Support Specialist 区域支持专员</v>
          </cell>
          <cell r="I843" t="str">
            <v>TY_09:00</v>
          </cell>
          <cell r="J843" t="str">
            <v>08:47</v>
          </cell>
          <cell r="K843" t="str">
            <v>17:55</v>
          </cell>
          <cell r="L843" t="str">
            <v>正确</v>
          </cell>
          <cell r="M843">
            <v>0</v>
          </cell>
          <cell r="N843">
            <v>8.63</v>
          </cell>
          <cell r="O843">
            <v>0.63</v>
          </cell>
          <cell r="P843">
            <v>0</v>
          </cell>
          <cell r="Q843">
            <v>0</v>
          </cell>
          <cell r="R843" t="str">
            <v>肖芦莉Lily (Luli Xiao)</v>
          </cell>
          <cell r="S843" t="str">
            <v>张骥Ji Zhang (Ji Zhang)</v>
          </cell>
        </row>
        <row r="844">
          <cell r="G844" t="str">
            <v>NE 东北大区运营支持部区域支持组</v>
          </cell>
          <cell r="H844" t="str">
            <v>Station Trainee 站点培训生</v>
          </cell>
          <cell r="I844" t="str">
            <v>TY_09:30</v>
          </cell>
        </row>
        <row r="844">
          <cell r="L844" t="str">
            <v>/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str">
            <v>孙可君Monica（Kejun Sun）</v>
          </cell>
          <cell r="S844" t="str">
            <v>马聪Cong (Cong Ma)</v>
          </cell>
        </row>
        <row r="845">
          <cell r="G845" t="str">
            <v>NE 东北大区DC 华盛顿片区IAD01</v>
          </cell>
          <cell r="H845" t="str">
            <v>Station Operations Specialist 站点运营专员</v>
          </cell>
          <cell r="I845" t="str">
            <v>TY_06:00</v>
          </cell>
          <cell r="J845" t="str">
            <v>05:53</v>
          </cell>
          <cell r="K845" t="str">
            <v>18:30</v>
          </cell>
          <cell r="L845" t="str">
            <v>正确</v>
          </cell>
          <cell r="M845">
            <v>0</v>
          </cell>
          <cell r="N845">
            <v>12.12</v>
          </cell>
          <cell r="O845">
            <v>4.12</v>
          </cell>
          <cell r="P845">
            <v>0</v>
          </cell>
          <cell r="Q845">
            <v>0</v>
          </cell>
          <cell r="R845" t="str">
            <v>孙可君Monica（Kejun Sun）</v>
          </cell>
          <cell r="S845" t="str">
            <v>马聪Cong (Cong Ma)</v>
          </cell>
          <cell r="T845" t="str">
            <v>朱晗宇 Peter (Hanyu Zhu)</v>
          </cell>
        </row>
        <row r="846">
          <cell r="G846" t="str">
            <v>AD 行政部美西组</v>
          </cell>
          <cell r="H846" t="str">
            <v>Admin Assistant 行政助理</v>
          </cell>
          <cell r="I846" t="str">
            <v>TY_休息日</v>
          </cell>
        </row>
        <row r="846">
          <cell r="L846" t="str">
            <v>正确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str">
            <v>袁博闻(Bowen Yuan)</v>
          </cell>
        </row>
        <row r="847">
          <cell r="G847" t="str">
            <v>NE 东北大区BN 布法罗片区ROC01</v>
          </cell>
          <cell r="H847" t="str">
            <v>Station Operations Specialist 站点运营专员</v>
          </cell>
          <cell r="I847" t="str">
            <v>TY_06:00</v>
          </cell>
        </row>
        <row r="847">
          <cell r="L847" t="str">
            <v>/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str">
            <v>孙可君Monica（Kejun Sun）</v>
          </cell>
          <cell r="S847" t="str">
            <v>马聪Cong (Cong Ma)</v>
          </cell>
          <cell r="T847" t="str">
            <v>朱晗宇 Peter (Hanyu Zhu)</v>
          </cell>
        </row>
        <row r="848">
          <cell r="G848" t="str">
            <v>WE 美西大区LA揽收部揽收调度组</v>
          </cell>
          <cell r="H848" t="str">
            <v>Pickup Dispatch Lead 揽收调度组长</v>
          </cell>
          <cell r="I848" t="str">
            <v>TY_休息日</v>
          </cell>
        </row>
        <row r="848">
          <cell r="L848" t="str">
            <v>正确</v>
          </cell>
          <cell r="M848">
            <v>12</v>
          </cell>
          <cell r="N848">
            <v>12</v>
          </cell>
          <cell r="O848">
            <v>0</v>
          </cell>
          <cell r="P848">
            <v>0</v>
          </cell>
          <cell r="Q848">
            <v>0</v>
          </cell>
          <cell r="R848" t="str">
            <v>王骞Ariel（Qian Wang）,叶秀芳Freya (Xiufang Ye)</v>
          </cell>
          <cell r="S848" t="str">
            <v>常哲</v>
          </cell>
        </row>
        <row r="849">
          <cell r="G849" t="str">
            <v>FL 佛州大区MCO.H调度组</v>
          </cell>
          <cell r="H849" t="str">
            <v>Dispatcher 调度员</v>
          </cell>
          <cell r="I849" t="str">
            <v>TY_休息日</v>
          </cell>
        </row>
        <row r="849">
          <cell r="L849" t="str">
            <v>正确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str">
            <v>Natalia (Natalia Padilla),孙婕 Jasmine（Sunjie）</v>
          </cell>
          <cell r="S849" t="str">
            <v>贺子强Jeff (Ziqiang He)</v>
          </cell>
          <cell r="T849" t="str">
            <v>Minqing (Minqing Xu),罗煜雄 Mike (Yuxiong Luo)</v>
          </cell>
        </row>
        <row r="850">
          <cell r="G850" t="str">
            <v>GL 大湖大区EG 东大湖片区DTW01</v>
          </cell>
          <cell r="H850" t="str">
            <v>Station Head （Probation）站长（见习）</v>
          </cell>
          <cell r="I850" t="str">
            <v>TY_05:00</v>
          </cell>
          <cell r="J850" t="str">
            <v>05:09</v>
          </cell>
          <cell r="K850" t="str">
            <v>15:10</v>
          </cell>
          <cell r="L850" t="str">
            <v>正确</v>
          </cell>
          <cell r="M850">
            <v>0</v>
          </cell>
          <cell r="N850">
            <v>9.52</v>
          </cell>
          <cell r="O850">
            <v>1.52</v>
          </cell>
          <cell r="P850">
            <v>0</v>
          </cell>
          <cell r="Q850">
            <v>0</v>
          </cell>
          <cell r="R850" t="str">
            <v>王晓丹 Jasmine（Xiaodan Wang）,周延舒Isabel（Yanshu Zhou）</v>
          </cell>
          <cell r="S850" t="str">
            <v>张骥Ji Zhang (Ji Zhang)</v>
          </cell>
          <cell r="T850" t="str">
            <v>肖泓杰 Leo （hongjie Xiao）,尚青蓓 Suki （Qingbei Shang）</v>
          </cell>
        </row>
        <row r="851">
          <cell r="G851" t="str">
            <v>WE 美西大区NC 北加片区SFO01</v>
          </cell>
          <cell r="H851" t="str">
            <v>Station Head 站长</v>
          </cell>
          <cell r="I851" t="str">
            <v>TY_05:30</v>
          </cell>
          <cell r="J851" t="str">
            <v>05:24</v>
          </cell>
          <cell r="K851" t="str">
            <v>13:46</v>
          </cell>
          <cell r="L851" t="str">
            <v>正确</v>
          </cell>
          <cell r="M851">
            <v>0</v>
          </cell>
          <cell r="N851">
            <v>7.87</v>
          </cell>
          <cell r="O851">
            <v>0</v>
          </cell>
          <cell r="P851">
            <v>0</v>
          </cell>
          <cell r="Q851">
            <v>0</v>
          </cell>
          <cell r="R851" t="str">
            <v>王骞Ariel（Qian Wang）,叶秀芳Freya (Xiufang Ye)</v>
          </cell>
          <cell r="S851" t="str">
            <v>常哲</v>
          </cell>
          <cell r="T851" t="str">
            <v>林美浚（Meijun Lin）</v>
          </cell>
        </row>
        <row r="852">
          <cell r="G852" t="str">
            <v>NE 东北大区车辆管理部</v>
          </cell>
          <cell r="H852" t="str">
            <v>Fleet Support Specialist 车队支持专员</v>
          </cell>
          <cell r="I852" t="str">
            <v>TY_休息日</v>
          </cell>
        </row>
        <row r="852">
          <cell r="L852" t="str">
            <v>正确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str">
            <v>孙可君Monica（Kejun Sun）</v>
          </cell>
          <cell r="S852" t="str">
            <v>马聪Cong (Cong Ma)</v>
          </cell>
        </row>
        <row r="853">
          <cell r="G853" t="str">
            <v>FL 佛州大区SF 南佛片区MIA01</v>
          </cell>
          <cell r="H853" t="str">
            <v>Station Operations Specialist 站点运营专员</v>
          </cell>
          <cell r="I853" t="str">
            <v>TY_06:30</v>
          </cell>
          <cell r="J853" t="str">
            <v>06:26</v>
          </cell>
          <cell r="K853" t="str">
            <v>15:47</v>
          </cell>
          <cell r="L853" t="str">
            <v>正确</v>
          </cell>
          <cell r="M853">
            <v>0</v>
          </cell>
          <cell r="N853">
            <v>8.85</v>
          </cell>
          <cell r="O853">
            <v>0.85</v>
          </cell>
          <cell r="P853">
            <v>0</v>
          </cell>
          <cell r="Q853">
            <v>0</v>
          </cell>
          <cell r="R853" t="str">
            <v>Natalia (Natalia Padilla),孙婕 Jasmine（Sunjie）</v>
          </cell>
          <cell r="S853" t="str">
            <v>贺子强Jeff (Ziqiang He)</v>
          </cell>
          <cell r="T853" t="str">
            <v>王航 Hang (Hang Wang)</v>
          </cell>
        </row>
        <row r="854">
          <cell r="G854" t="str">
            <v>Ground项目部OG 美西区SFO.G</v>
          </cell>
          <cell r="H854" t="str">
            <v>Warehouse Operator 操作员</v>
          </cell>
          <cell r="I854" t="str">
            <v>TY_08:00</v>
          </cell>
          <cell r="J854" t="str">
            <v>07:49</v>
          </cell>
          <cell r="K854" t="str">
            <v>16:53</v>
          </cell>
          <cell r="L854" t="str">
            <v>正确</v>
          </cell>
          <cell r="M854">
            <v>0</v>
          </cell>
          <cell r="N854">
            <v>8.57</v>
          </cell>
          <cell r="O854">
            <v>0.57</v>
          </cell>
          <cell r="P854">
            <v>0</v>
          </cell>
          <cell r="Q854">
            <v>0</v>
          </cell>
          <cell r="R854" t="str">
            <v>王安琪 (Anqi Wang),张朱同 Thomson（Zhutong Zhang）</v>
          </cell>
          <cell r="S854" t="str">
            <v>陈锦昭</v>
          </cell>
          <cell r="T854" t="str">
            <v>蒲奕霖Steven（Yilin Pu）</v>
          </cell>
        </row>
        <row r="855">
          <cell r="G855" t="str">
            <v>WE 美西大区运营支持部区域支持组</v>
          </cell>
          <cell r="H855" t="str">
            <v>Regional Support Specialist 区域支持专员</v>
          </cell>
          <cell r="I855" t="str">
            <v>TY_休息日</v>
          </cell>
        </row>
        <row r="855">
          <cell r="L855" t="str">
            <v>正确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str">
            <v>王骞Ariel（Qian Wang）,叶秀芳Freya (Xiufang Ye)</v>
          </cell>
          <cell r="S855" t="str">
            <v>常哲</v>
          </cell>
        </row>
        <row r="856">
          <cell r="G856" t="str">
            <v>NE 东北大区EWR.H调度组</v>
          </cell>
          <cell r="H856" t="str">
            <v>Dispatcher 调度员</v>
          </cell>
          <cell r="I856" t="str">
            <v>TY_06:00</v>
          </cell>
          <cell r="J856" t="str">
            <v>05:58</v>
          </cell>
          <cell r="K856" t="str">
            <v>15:30</v>
          </cell>
          <cell r="L856" t="str">
            <v>正确</v>
          </cell>
          <cell r="M856">
            <v>0</v>
          </cell>
          <cell r="N856">
            <v>9.03</v>
          </cell>
          <cell r="O856">
            <v>1.03</v>
          </cell>
          <cell r="P856">
            <v>0</v>
          </cell>
          <cell r="Q856">
            <v>0</v>
          </cell>
          <cell r="R856" t="str">
            <v>孙可君Monica（Kejun Sun）</v>
          </cell>
          <cell r="S856" t="str">
            <v>马聪Cong (Cong Ma)</v>
          </cell>
          <cell r="T856" t="str">
            <v>Minqing (Minqing Xu),罗煜雄 Mike (Yuxiong Luo)</v>
          </cell>
        </row>
        <row r="857">
          <cell r="G857" t="str">
            <v>SM 站点管理部产品运营组</v>
          </cell>
          <cell r="H857" t="str">
            <v>Product Operation Specialist 产品运营专员</v>
          </cell>
          <cell r="I857" t="str">
            <v>TY_休息日</v>
          </cell>
        </row>
        <row r="857">
          <cell r="L857" t="str">
            <v>正确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 t="str">
            <v>袁博闻(Bowen Yuan)</v>
          </cell>
        </row>
        <row r="858">
          <cell r="G858" t="str">
            <v>Ground项目部OG 美西区ST958</v>
          </cell>
          <cell r="H858" t="str">
            <v>Station Head 站长</v>
          </cell>
          <cell r="I858" t="str">
            <v>TY_休息日</v>
          </cell>
        </row>
        <row r="858">
          <cell r="L858" t="str">
            <v>正确</v>
          </cell>
          <cell r="M858">
            <v>0</v>
          </cell>
          <cell r="N858">
            <v>0</v>
          </cell>
          <cell r="O858">
            <v>0</v>
          </cell>
          <cell r="P858">
            <v>41.14</v>
          </cell>
          <cell r="Q858">
            <v>1.14</v>
          </cell>
          <cell r="R858" t="str">
            <v>王安琪 (Anqi Wang),张朱同 Thomson（Zhutong Zhang）</v>
          </cell>
          <cell r="S858" t="str">
            <v>陈锦昭</v>
          </cell>
          <cell r="T858" t="str">
            <v>刘俊甜Verity（Juntian Liu）</v>
          </cell>
        </row>
        <row r="859">
          <cell r="G859" t="str">
            <v>NE 东北大区EWR01</v>
          </cell>
          <cell r="H859" t="str">
            <v>Station Operations Specialist 站点运营专员</v>
          </cell>
          <cell r="I859" t="str">
            <v>TY_05:00</v>
          </cell>
          <cell r="J859" t="str">
            <v>04:34</v>
          </cell>
          <cell r="K859" t="str">
            <v>13:28</v>
          </cell>
          <cell r="L859" t="str">
            <v>正确</v>
          </cell>
          <cell r="M859">
            <v>0</v>
          </cell>
          <cell r="N859">
            <v>8.4</v>
          </cell>
          <cell r="O859">
            <v>0.4</v>
          </cell>
          <cell r="P859">
            <v>0</v>
          </cell>
          <cell r="Q859">
            <v>0</v>
          </cell>
          <cell r="R859" t="str">
            <v>孙可君Monica（Kejun Sun）</v>
          </cell>
          <cell r="S859" t="str">
            <v>马聪Cong (Cong Ma)</v>
          </cell>
        </row>
        <row r="860">
          <cell r="G860" t="str">
            <v>Ground项目部OG 美中区CH600</v>
          </cell>
          <cell r="H860" t="str">
            <v>Station Operations Specialist 站点运营专员</v>
          </cell>
          <cell r="I860" t="str">
            <v>TY_06:30</v>
          </cell>
          <cell r="J860" t="str">
            <v>06:42</v>
          </cell>
          <cell r="K860" t="str">
            <v>15:09</v>
          </cell>
          <cell r="L860" t="str">
            <v>正确</v>
          </cell>
          <cell r="M860">
            <v>0</v>
          </cell>
          <cell r="N860">
            <v>7.95</v>
          </cell>
          <cell r="O860">
            <v>0</v>
          </cell>
          <cell r="P860">
            <v>0</v>
          </cell>
          <cell r="Q860">
            <v>0</v>
          </cell>
          <cell r="R860" t="str">
            <v>王安琪 (Anqi Wang),张朱同 Thomson（Zhutong Zhang）</v>
          </cell>
          <cell r="S860" t="str">
            <v>陈锦昭</v>
          </cell>
          <cell r="T860" t="str">
            <v>王佳昊 Jason (Jiahao Wang)</v>
          </cell>
        </row>
        <row r="861">
          <cell r="G861" t="str">
            <v>GL 大湖大区ORD.H调度组</v>
          </cell>
          <cell r="H861" t="str">
            <v>Dispatcher 调度员</v>
          </cell>
          <cell r="I861" t="str">
            <v>TY_22:30</v>
          </cell>
          <cell r="J861" t="str">
            <v>22:09</v>
          </cell>
          <cell r="K861" t="str">
            <v>07:04</v>
          </cell>
          <cell r="L861" t="str">
            <v>正确</v>
          </cell>
          <cell r="M861">
            <v>0</v>
          </cell>
          <cell r="N861">
            <v>8.42</v>
          </cell>
          <cell r="O861">
            <v>0.42</v>
          </cell>
          <cell r="P861">
            <v>0</v>
          </cell>
          <cell r="Q861">
            <v>0</v>
          </cell>
          <cell r="R861" t="str">
            <v>王晓丹 Jasmine（Xiaodan Wang）,周延舒Isabel（Yanshu Zhou）</v>
          </cell>
          <cell r="S861" t="str">
            <v>张骥Ji Zhang (Ji Zhang)</v>
          </cell>
          <cell r="T861" t="str">
            <v>Minqing (Minqing Xu),罗煜雄 Mike (Yuxiong Luo)</v>
          </cell>
        </row>
        <row r="862">
          <cell r="G862" t="str">
            <v>FL 佛州大区运营支持部区域支持组</v>
          </cell>
          <cell r="H862" t="str">
            <v>Regional Support Specialist 区域支持专员</v>
          </cell>
          <cell r="I862" t="str">
            <v>TY_08:00</v>
          </cell>
        </row>
        <row r="862">
          <cell r="L862" t="str">
            <v>/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 t="str">
            <v>Natalia (Natalia Padilla),孙婕 Jasmine（Sunjie）</v>
          </cell>
          <cell r="S862" t="str">
            <v>贺子强Jeff (Ziqiang He)</v>
          </cell>
        </row>
        <row r="863">
          <cell r="G863" t="str">
            <v>CM 运力管理部美中运力组</v>
          </cell>
          <cell r="H863" t="str">
            <v>Transportation Supervisor 运力主管</v>
          </cell>
          <cell r="I863" t="str">
            <v>TY_休息日</v>
          </cell>
        </row>
        <row r="863">
          <cell r="L863" t="str">
            <v>正确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 t="str">
            <v>袁博闻(Bowen Yuan)</v>
          </cell>
        </row>
        <row r="864">
          <cell r="G864" t="str">
            <v>MS 中南大区揽收部ATL揽收组</v>
          </cell>
          <cell r="H864" t="str">
            <v>Pickup Specialist 揽收专员</v>
          </cell>
          <cell r="I864" t="str">
            <v>TY_休息日</v>
          </cell>
        </row>
        <row r="864">
          <cell r="L864" t="str">
            <v>正确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 t="str">
            <v>欧阳迎春Flower（Yingchun Ouyang）</v>
          </cell>
          <cell r="S864" t="str">
            <v>杨云飞</v>
          </cell>
          <cell r="T864" t="str">
            <v>依丽旦娜·依明江Dana （Yilidanna Yimingjiang）</v>
          </cell>
        </row>
        <row r="865">
          <cell r="G865" t="str">
            <v>GL 大湖大区运营支持部区域支持组</v>
          </cell>
          <cell r="H865" t="str">
            <v>Regional Support Specialist 区域支持专员</v>
          </cell>
          <cell r="I865" t="str">
            <v>TY_休息日</v>
          </cell>
        </row>
        <row r="865">
          <cell r="L865" t="str">
            <v>正确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 t="str">
            <v>王晓丹 Jasmine（Xiaodan Wang）,周延舒Isabel（Yanshu Zhou）</v>
          </cell>
          <cell r="S865" t="str">
            <v>张骥Ji Zhang (Ji Zhang)</v>
          </cell>
        </row>
        <row r="866">
          <cell r="G866" t="str">
            <v>FL 佛州大区MF 中佛片区MCO01</v>
          </cell>
          <cell r="H866" t="str">
            <v>Station Operations Specialist 站点运营专员</v>
          </cell>
          <cell r="I866" t="str">
            <v>TY_休息日</v>
          </cell>
        </row>
        <row r="866">
          <cell r="L866" t="str">
            <v>正确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 t="str">
            <v>Natalia (Natalia Padilla),孙婕 Jasmine（Sunjie）</v>
          </cell>
          <cell r="S866" t="str">
            <v>贺子强Jeff (Ziqiang He)</v>
          </cell>
          <cell r="T866" t="str">
            <v>朱家仡Andrew (Jiayi Zhu)</v>
          </cell>
        </row>
        <row r="867">
          <cell r="G867" t="str">
            <v>CS 客户服务部运营分析组</v>
          </cell>
          <cell r="H867" t="str">
            <v>Operations Analysis Specialist 运营分析专员</v>
          </cell>
          <cell r="I867" t="str">
            <v>TY_休息日</v>
          </cell>
        </row>
        <row r="867">
          <cell r="L867" t="str">
            <v>正确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 t="str">
            <v>袁博闻(Bowen Yuan)</v>
          </cell>
        </row>
        <row r="868">
          <cell r="G868" t="str">
            <v>MS 中南大区AS 亚特兰大和南阿拉巴马片区ATL01</v>
          </cell>
          <cell r="H868" t="str">
            <v>Station Operations Specialist 站点运营专员</v>
          </cell>
          <cell r="I868" t="str">
            <v>TY_休息日</v>
          </cell>
        </row>
        <row r="868">
          <cell r="L868" t="str">
            <v>正确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 t="str">
            <v>欧阳迎春Flower（Yingchun Ouyang）</v>
          </cell>
          <cell r="S868" t="str">
            <v>杨云飞</v>
          </cell>
          <cell r="T868" t="str">
            <v>李明峰Lucas(Mingfeng Li)</v>
          </cell>
        </row>
        <row r="869">
          <cell r="G869" t="str">
            <v>NE 东北大区EWR.H分拣组</v>
          </cell>
          <cell r="H869" t="str">
            <v>Sorter 分拣员</v>
          </cell>
          <cell r="I869" t="str">
            <v>TY_10:00</v>
          </cell>
          <cell r="J869" t="str">
            <v>09:39</v>
          </cell>
          <cell r="K869" t="str">
            <v>15:49</v>
          </cell>
          <cell r="L869" t="str">
            <v>正确</v>
          </cell>
          <cell r="M869">
            <v>0</v>
          </cell>
          <cell r="N869">
            <v>5.67</v>
          </cell>
          <cell r="O869">
            <v>0</v>
          </cell>
          <cell r="P869">
            <v>50.54</v>
          </cell>
          <cell r="Q869">
            <v>10.54</v>
          </cell>
          <cell r="R869" t="str">
            <v>孙可君Monica（Kejun Sun）</v>
          </cell>
          <cell r="S869" t="str">
            <v>马聪Cong (Cong Ma)</v>
          </cell>
          <cell r="T869" t="str">
            <v>张双甫(Shuangfu Zhang)</v>
          </cell>
        </row>
        <row r="870">
          <cell r="G870" t="str">
            <v>Ground项目部OG 美西区LA900</v>
          </cell>
          <cell r="H870" t="str">
            <v>Station Head 站长</v>
          </cell>
          <cell r="I870" t="str">
            <v>TY_15:30</v>
          </cell>
          <cell r="J870" t="str">
            <v>14:44</v>
          </cell>
          <cell r="K870" t="str">
            <v>23:47</v>
          </cell>
          <cell r="L870" t="str">
            <v>正确</v>
          </cell>
          <cell r="M870">
            <v>0</v>
          </cell>
          <cell r="N870">
            <v>8.55</v>
          </cell>
          <cell r="O870">
            <v>0.55</v>
          </cell>
          <cell r="P870">
            <v>0</v>
          </cell>
          <cell r="Q870">
            <v>0</v>
          </cell>
          <cell r="R870" t="str">
            <v>王安琪 (Anqi Wang),张朱同 Thomson（Zhutong Zhang）</v>
          </cell>
          <cell r="S870" t="str">
            <v>陈锦昭</v>
          </cell>
          <cell r="T870" t="str">
            <v>刘俊甜Verity（Juntian Liu）</v>
          </cell>
        </row>
        <row r="871">
          <cell r="G871" t="str">
            <v>NE 东北大区EWR.H调度组</v>
          </cell>
          <cell r="H871" t="str">
            <v>Dispatcher 调度员</v>
          </cell>
          <cell r="I871" t="str">
            <v>TY_06:00</v>
          </cell>
          <cell r="J871" t="str">
            <v>04:36</v>
          </cell>
          <cell r="K871" t="str">
            <v>16:39</v>
          </cell>
          <cell r="L871" t="str">
            <v>不正确</v>
          </cell>
          <cell r="M871">
            <v>0</v>
          </cell>
          <cell r="N871">
            <v>11.55</v>
          </cell>
          <cell r="O871">
            <v>3.55</v>
          </cell>
          <cell r="P871">
            <v>0</v>
          </cell>
          <cell r="Q871">
            <v>0</v>
          </cell>
          <cell r="R871" t="str">
            <v>孙可君Monica（Kejun Sun）</v>
          </cell>
          <cell r="S871" t="str">
            <v>马聪Cong (Cong Ma)</v>
          </cell>
          <cell r="T871" t="str">
            <v>Minqing (Minqing Xu),罗煜雄 Mike (Yuxiong Luo)</v>
          </cell>
        </row>
        <row r="872">
          <cell r="G872" t="str">
            <v>NE 东北大区EWR.H综办组</v>
          </cell>
          <cell r="H872" t="str">
            <v>Warehouse Clerk 仓库文员</v>
          </cell>
          <cell r="I872" t="str">
            <v>TY_休息日</v>
          </cell>
        </row>
        <row r="872">
          <cell r="L872" t="str">
            <v>正确</v>
          </cell>
          <cell r="M872">
            <v>0</v>
          </cell>
          <cell r="N872">
            <v>0</v>
          </cell>
          <cell r="O872">
            <v>0</v>
          </cell>
          <cell r="P872">
            <v>36.41</v>
          </cell>
          <cell r="Q872">
            <v>0</v>
          </cell>
          <cell r="R872" t="str">
            <v>孙可君Monica（Kejun Sun）</v>
          </cell>
          <cell r="S872" t="str">
            <v>马聪Cong (Cong Ma)</v>
          </cell>
          <cell r="T872" t="str">
            <v>Minqing (Minqing Xu),罗煜雄 Mike (Yuxiong Luo)</v>
          </cell>
        </row>
        <row r="873">
          <cell r="G873" t="str">
            <v>MS 中南大区ATL.H调度组</v>
          </cell>
          <cell r="H873" t="str">
            <v>Dispatcher 调度员</v>
          </cell>
          <cell r="I873" t="str">
            <v>TY_休息日</v>
          </cell>
        </row>
        <row r="873">
          <cell r="L873" t="str">
            <v>正确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 t="str">
            <v>欧阳迎春Flower（Yingchun Ouyang）</v>
          </cell>
          <cell r="S873" t="str">
            <v>杨云飞</v>
          </cell>
          <cell r="T873" t="str">
            <v>Minqing (Minqing Xu),罗煜雄 Mike (Yuxiong Luo),明杰麟Jennie (Jielin Ming)</v>
          </cell>
          <cell r="U873" t="str">
            <v>文艳平</v>
          </cell>
        </row>
        <row r="874">
          <cell r="G874" t="str">
            <v>GL 大湖大区ORD.H调度组</v>
          </cell>
          <cell r="H874" t="str">
            <v>Dispatcher 调度员</v>
          </cell>
          <cell r="I874" t="str">
            <v>TY_16:00</v>
          </cell>
          <cell r="J874" t="str">
            <v>15:50</v>
          </cell>
          <cell r="K874" t="str">
            <v>00:32</v>
          </cell>
          <cell r="L874" t="str">
            <v>正确</v>
          </cell>
          <cell r="M874">
            <v>0</v>
          </cell>
          <cell r="N874">
            <v>8.2</v>
          </cell>
          <cell r="O874">
            <v>0.2</v>
          </cell>
          <cell r="P874">
            <v>0</v>
          </cell>
          <cell r="Q874">
            <v>0</v>
          </cell>
          <cell r="R874" t="str">
            <v>王晓丹 Jasmine（Xiaodan Wang）,周延舒Isabel（Yanshu Zhou）</v>
          </cell>
          <cell r="S874" t="str">
            <v>张骥Ji Zhang (Ji Zhang)</v>
          </cell>
          <cell r="T874" t="str">
            <v>Minqing (Minqing Xu),罗煜雄 Mike (Yuxiong Luo)</v>
          </cell>
        </row>
        <row r="875">
          <cell r="G875" t="str">
            <v>WE 美西大区DS 丹佛·盐湖城片区DEN.H</v>
          </cell>
          <cell r="H875" t="str">
            <v>Warehouse Operator 操作员</v>
          </cell>
          <cell r="I875" t="str">
            <v>TY_15:00</v>
          </cell>
          <cell r="J875" t="str">
            <v>14:15</v>
          </cell>
          <cell r="K875" t="str">
            <v>01:23</v>
          </cell>
          <cell r="L875" t="str">
            <v>正确</v>
          </cell>
          <cell r="M875">
            <v>0</v>
          </cell>
          <cell r="N875">
            <v>10.63</v>
          </cell>
          <cell r="O875">
            <v>2.63</v>
          </cell>
          <cell r="P875">
            <v>0</v>
          </cell>
          <cell r="Q875">
            <v>0</v>
          </cell>
          <cell r="R875" t="str">
            <v>王骞Ariel（Qian Wang）,叶秀芳Freya (Xiufang Ye)</v>
          </cell>
          <cell r="S875" t="str">
            <v>常哲</v>
          </cell>
          <cell r="T875" t="str">
            <v>兰鹏Peng（Peng Lan）</v>
          </cell>
        </row>
        <row r="876">
          <cell r="G876" t="str">
            <v>GL 大湖大区WG 西大湖片区ORD01</v>
          </cell>
          <cell r="H876" t="str">
            <v>Station Operations Specialist 站点运营专员</v>
          </cell>
          <cell r="I876" t="str">
            <v>TY_05:00</v>
          </cell>
          <cell r="J876" t="str">
            <v>05:10</v>
          </cell>
          <cell r="K876" t="str">
            <v>14:30</v>
          </cell>
          <cell r="L876" t="str">
            <v>正确</v>
          </cell>
          <cell r="M876">
            <v>0</v>
          </cell>
          <cell r="N876">
            <v>8.83</v>
          </cell>
          <cell r="O876">
            <v>0.83</v>
          </cell>
          <cell r="P876">
            <v>0</v>
          </cell>
          <cell r="Q876">
            <v>0</v>
          </cell>
          <cell r="R876" t="str">
            <v>王晓丹 Jasmine（Xiaodan Wang）,周延舒Isabel（Yanshu Zhou）</v>
          </cell>
          <cell r="S876" t="str">
            <v>张骥Ji Zhang (Ji Zhang)</v>
          </cell>
          <cell r="T876" t="str">
            <v>易至聪Zac (Zhicong Yi),尚青蓓 Suki （Qingbei Shang）</v>
          </cell>
        </row>
        <row r="877">
          <cell r="G877" t="str">
            <v>NE 东北大区揽收部揽收调度组</v>
          </cell>
          <cell r="H877" t="str">
            <v>Pickup Dispatcher 揽收调度员</v>
          </cell>
          <cell r="I877" t="str">
            <v>TY_休息日</v>
          </cell>
        </row>
        <row r="877">
          <cell r="L877" t="str">
            <v>正确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 t="str">
            <v>孙可君Monica（Kejun Sun）</v>
          </cell>
          <cell r="S877" t="str">
            <v>马聪Cong (Cong Ma)</v>
          </cell>
        </row>
        <row r="878">
          <cell r="G878" t="str">
            <v>FL 佛州大区MIA01</v>
          </cell>
          <cell r="H878" t="str">
            <v>Station Operations Specialist 站点运营专员</v>
          </cell>
          <cell r="I878" t="str">
            <v>TY_休息日</v>
          </cell>
        </row>
        <row r="878">
          <cell r="L878" t="str">
            <v>正确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 t="str">
            <v>Natalia (Natalia Padilla),孙婕 Jasmine（Sunjie）</v>
          </cell>
          <cell r="S878" t="str">
            <v>贺子强Jeff (Ziqiang He)</v>
          </cell>
        </row>
        <row r="879">
          <cell r="G879" t="str">
            <v>WE 美西大区CNO.H操作组</v>
          </cell>
          <cell r="H879" t="str">
            <v>Warehouse Operator 操作员</v>
          </cell>
          <cell r="I879" t="str">
            <v>TY_休息日</v>
          </cell>
        </row>
        <row r="879">
          <cell r="L879" t="str">
            <v>正确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 t="str">
            <v>王骞Ariel（Qian Wang）,叶秀芳Freya (Xiufang Ye)</v>
          </cell>
          <cell r="S879" t="str">
            <v>常哲</v>
          </cell>
          <cell r="T879" t="str">
            <v>Minqing (Minqing Xu),罗煜雄 Mike (Yuxiong Luo)</v>
          </cell>
        </row>
        <row r="880">
          <cell r="G880" t="str">
            <v>NE 东北大区JFK.H分拣组</v>
          </cell>
          <cell r="H880" t="str">
            <v>Sorting Lead 分拣组长</v>
          </cell>
          <cell r="I880" t="str">
            <v>TY_休息日</v>
          </cell>
        </row>
        <row r="880">
          <cell r="L880" t="str">
            <v>正确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 t="str">
            <v>孙可君Monica（Kejun Sun）</v>
          </cell>
          <cell r="S880" t="str">
            <v>马聪Cong (Cong Ma)</v>
          </cell>
          <cell r="T880" t="str">
            <v>张双甫(Shuangfu Zhang)</v>
          </cell>
        </row>
        <row r="881">
          <cell r="G881" t="str">
            <v>NE 东北大区EWR.H异常处理组</v>
          </cell>
          <cell r="H881" t="str">
            <v>Returns Specialist 退件员</v>
          </cell>
          <cell r="I881" t="str">
            <v>TY_09:00</v>
          </cell>
          <cell r="J881" t="str">
            <v>10:05</v>
          </cell>
          <cell r="K881" t="str">
            <v>18:53</v>
          </cell>
          <cell r="L881" t="str">
            <v>不正确</v>
          </cell>
          <cell r="M881">
            <v>0</v>
          </cell>
          <cell r="N881">
            <v>8.3</v>
          </cell>
          <cell r="O881">
            <v>0.3</v>
          </cell>
          <cell r="P881">
            <v>0</v>
          </cell>
          <cell r="Q881">
            <v>0</v>
          </cell>
          <cell r="R881" t="str">
            <v>孙可君Monica（Kejun Sun）</v>
          </cell>
          <cell r="S881" t="str">
            <v>马聪Cong (Cong Ma)</v>
          </cell>
          <cell r="T881" t="str">
            <v>Minqing (Minqing Xu),罗煜雄 Mike (Yuxiong Luo)</v>
          </cell>
        </row>
        <row r="882">
          <cell r="G882" t="str">
            <v>SM 站点管理部站点实施组</v>
          </cell>
          <cell r="H882" t="str">
            <v>Station Implementation  Assistant 站点实施助理</v>
          </cell>
          <cell r="I882" t="str">
            <v>TY_休息日</v>
          </cell>
        </row>
        <row r="882">
          <cell r="L882" t="str">
            <v>正确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 t="str">
            <v>袁博闻(Bowen Yuan)</v>
          </cell>
        </row>
        <row r="883">
          <cell r="G883" t="str">
            <v>DO 数字运营部美国项目交付组</v>
          </cell>
          <cell r="H883" t="str">
            <v>Product Manager 产品经理</v>
          </cell>
          <cell r="I883" t="str">
            <v>TY_休息日</v>
          </cell>
        </row>
        <row r="883">
          <cell r="L883" t="str">
            <v>正确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 t="str">
            <v>袁博闻(Bowen Yuan)</v>
          </cell>
        </row>
        <row r="884">
          <cell r="G884" t="str">
            <v>US人力资源部美洲HRBP组佛州区HR组</v>
          </cell>
          <cell r="H884" t="str">
            <v>Recruitment Specialist 招聘专员</v>
          </cell>
          <cell r="I884" t="str">
            <v>TY_休息日</v>
          </cell>
        </row>
        <row r="884">
          <cell r="L884" t="str">
            <v>正确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 t="str">
            <v>袁博闻(Bowen Yuan)</v>
          </cell>
        </row>
        <row r="885">
          <cell r="G885" t="str">
            <v>BM 品牌市场部</v>
          </cell>
          <cell r="H885" t="str">
            <v>Marketing Specialist 市场专员</v>
          </cell>
          <cell r="I885" t="str">
            <v>TY_休息日</v>
          </cell>
        </row>
        <row r="885">
          <cell r="L885" t="str">
            <v>正确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 t="str">
            <v>袁博闻(Bowen Yuan)</v>
          </cell>
        </row>
        <row r="886">
          <cell r="G886" t="str">
            <v>FL 佛州大区运营支持部区域支持组</v>
          </cell>
          <cell r="H886" t="str">
            <v>Regional Support Specialist 区域支持专员</v>
          </cell>
          <cell r="I886" t="str">
            <v>TY_08:00</v>
          </cell>
        </row>
        <row r="886">
          <cell r="L886" t="str">
            <v>/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 t="str">
            <v>Natalia (Natalia Padilla),孙婕 Jasmine（Sunjie）</v>
          </cell>
          <cell r="S886" t="str">
            <v>贺子强Jeff (Ziqiang He)</v>
          </cell>
        </row>
        <row r="887">
          <cell r="G887" t="str">
            <v>MS 中南大区ATL.H调度组</v>
          </cell>
          <cell r="H887" t="str">
            <v>Dispatcher 调度员</v>
          </cell>
          <cell r="I887" t="str">
            <v>TY_休息日</v>
          </cell>
        </row>
        <row r="887">
          <cell r="L887" t="str">
            <v>正确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 t="str">
            <v>欧阳迎春Flower（Yingchun Ouyang）</v>
          </cell>
          <cell r="S887" t="str">
            <v>杨云飞</v>
          </cell>
          <cell r="T887" t="str">
            <v>Minqing (Minqing Xu),罗煜雄 Mike (Yuxiong Luo),明杰麟Jennie (Jielin Ming)</v>
          </cell>
          <cell r="U887" t="str">
            <v>文艳平</v>
          </cell>
        </row>
        <row r="888">
          <cell r="G888" t="str">
            <v>MS 中南大区车辆管理部</v>
          </cell>
          <cell r="H888" t="str">
            <v>Vehicle Management Specialist 车辆管理专员</v>
          </cell>
          <cell r="I888" t="str">
            <v>TY_休息日</v>
          </cell>
        </row>
        <row r="888">
          <cell r="L888" t="str">
            <v>正确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 t="str">
            <v>欧阳迎春Flower（Yingchun Ouyang）</v>
          </cell>
          <cell r="S888" t="str">
            <v>杨云飞</v>
          </cell>
        </row>
        <row r="889">
          <cell r="G889" t="str">
            <v>Ground项目部OG 美东区EWR.G</v>
          </cell>
          <cell r="H889" t="str">
            <v>Dispatch Lead 调度组长</v>
          </cell>
          <cell r="I889" t="str">
            <v>TY_休息日</v>
          </cell>
        </row>
        <row r="889">
          <cell r="L889" t="str">
            <v>正确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 t="str">
            <v>王安琪 (Anqi Wang),张朱同 Thomson（Zhutong Zhang）</v>
          </cell>
          <cell r="S889" t="str">
            <v>陈锦昭</v>
          </cell>
          <cell r="T889" t="str">
            <v>王兵 Allen (Bing Wang)</v>
          </cell>
        </row>
        <row r="890">
          <cell r="G890" t="str">
            <v>MS 中南大区CS 夏洛特及周边片区CLT02</v>
          </cell>
          <cell r="H890" t="str">
            <v>Station Operations Specialist 站点运营专员</v>
          </cell>
          <cell r="I890" t="str">
            <v>TY_06:30</v>
          </cell>
          <cell r="J890" t="str">
            <v>06:47</v>
          </cell>
        </row>
        <row r="890">
          <cell r="L890" t="str">
            <v>正确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 t="str">
            <v>欧阳迎春Flower（Yingchun Ouyang）</v>
          </cell>
          <cell r="S890" t="str">
            <v>杨云飞</v>
          </cell>
          <cell r="T890" t="str">
            <v>郭丞芸Lexie(Chengyun Kuo)</v>
          </cell>
        </row>
        <row r="891">
          <cell r="G891" t="str">
            <v>TX 德州大区CT 中德州片区SAT01</v>
          </cell>
          <cell r="H891" t="str">
            <v>Station Head 站长</v>
          </cell>
          <cell r="I891" t="str">
            <v>TY_05:30</v>
          </cell>
          <cell r="J891" t="str">
            <v>05:14</v>
          </cell>
          <cell r="K891" t="str">
            <v>11:29</v>
          </cell>
          <cell r="L891" t="str">
            <v>正确</v>
          </cell>
          <cell r="M891">
            <v>0</v>
          </cell>
          <cell r="N891">
            <v>5.75</v>
          </cell>
          <cell r="O891">
            <v>0</v>
          </cell>
          <cell r="P891">
            <v>0</v>
          </cell>
          <cell r="Q891">
            <v>0</v>
          </cell>
          <cell r="R891" t="str">
            <v>肖芦莉Lily (Luli Xiao)</v>
          </cell>
          <cell r="S891" t="str">
            <v>张骥Ji Zhang (Ji Zhang)</v>
          </cell>
          <cell r="T891" t="str">
            <v>陈潇剑Echo(Xiaojian Chen)</v>
          </cell>
        </row>
        <row r="892">
          <cell r="G892" t="str">
            <v>GL 大湖大区IND01</v>
          </cell>
          <cell r="H892" t="str">
            <v>Station Operations Specialist 站点运营专员</v>
          </cell>
          <cell r="I892" t="str">
            <v>TY_休息日</v>
          </cell>
        </row>
        <row r="892">
          <cell r="L892" t="str">
            <v>正确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 t="str">
            <v>王晓丹 Jasmine（Xiaodan Wang）,周延舒Isabel（Yanshu Zhou）</v>
          </cell>
          <cell r="S892" t="str">
            <v>张骥Ji Zhang (Ji Zhang)</v>
          </cell>
        </row>
        <row r="893">
          <cell r="G893" t="str">
            <v>FL 佛州大区MIA.H调度组</v>
          </cell>
          <cell r="H893" t="str">
            <v>Dispatcher 调度员</v>
          </cell>
          <cell r="I893" t="str">
            <v>TY_休息日</v>
          </cell>
        </row>
        <row r="893">
          <cell r="L893" t="str">
            <v>正确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 t="str">
            <v>Natalia (Natalia Padilla),孙婕 Jasmine（Sunjie）</v>
          </cell>
          <cell r="S893" t="str">
            <v>贺子强Jeff (Ziqiang He)</v>
          </cell>
          <cell r="T893" t="str">
            <v>Minqing (Minqing Xu),罗煜雄 Mike (Yuxiong Luo)</v>
          </cell>
        </row>
        <row r="894">
          <cell r="G894" t="str">
            <v>NE 东北大区揽收部揽收调度组</v>
          </cell>
          <cell r="H894" t="str">
            <v>Pickup Dispatcher 揽收调度员</v>
          </cell>
          <cell r="I894" t="str">
            <v>TY_09:00</v>
          </cell>
          <cell r="J894" t="str">
            <v>09:01</v>
          </cell>
          <cell r="K894" t="str">
            <v>18:36</v>
          </cell>
          <cell r="L894" t="str">
            <v>正确</v>
          </cell>
          <cell r="M894">
            <v>0</v>
          </cell>
          <cell r="N894">
            <v>9.08</v>
          </cell>
          <cell r="O894">
            <v>1.08</v>
          </cell>
          <cell r="P894">
            <v>0</v>
          </cell>
          <cell r="Q894">
            <v>0</v>
          </cell>
          <cell r="R894" t="str">
            <v>孙可君Monica（Kejun Sun）</v>
          </cell>
          <cell r="S894" t="str">
            <v>马聪Cong (Cong Ma)</v>
          </cell>
        </row>
        <row r="895">
          <cell r="G895" t="str">
            <v>AD 行政部美东组</v>
          </cell>
          <cell r="H895" t="str">
            <v>Junior Admin Specialist 初级行政专员</v>
          </cell>
          <cell r="I895" t="str">
            <v>TY_休息日</v>
          </cell>
        </row>
        <row r="895">
          <cell r="L895" t="str">
            <v>正确</v>
          </cell>
          <cell r="M895">
            <v>0</v>
          </cell>
          <cell r="N895">
            <v>0</v>
          </cell>
          <cell r="O895">
            <v>0</v>
          </cell>
          <cell r="P895">
            <v>40.98</v>
          </cell>
          <cell r="Q895">
            <v>0.98</v>
          </cell>
          <cell r="R895" t="str">
            <v>袁博闻(Bowen Yuan)</v>
          </cell>
        </row>
        <row r="896">
          <cell r="G896" t="str">
            <v>TX 德州大区揽收部</v>
          </cell>
          <cell r="H896" t="str">
            <v>Pickup Support Specialist 揽收支持专员</v>
          </cell>
          <cell r="I896" t="str">
            <v>TY_休息日</v>
          </cell>
        </row>
        <row r="896">
          <cell r="L896" t="str">
            <v>正确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 t="str">
            <v>肖芦莉Lily (Luli Xiao)</v>
          </cell>
          <cell r="S896" t="str">
            <v>张骥Ji Zhang (Ji Zhang)</v>
          </cell>
        </row>
        <row r="897">
          <cell r="G897" t="str">
            <v>NE 东北大区JFK.H</v>
          </cell>
          <cell r="H897" t="str">
            <v>Deputy Hub Head 副仓长</v>
          </cell>
          <cell r="I897" t="str">
            <v>TY_09:00</v>
          </cell>
          <cell r="J897" t="str">
            <v>08:53</v>
          </cell>
          <cell r="K897" t="str">
            <v>22:15</v>
          </cell>
          <cell r="L897" t="str">
            <v>正确</v>
          </cell>
          <cell r="M897">
            <v>0</v>
          </cell>
          <cell r="N897">
            <v>12.87</v>
          </cell>
          <cell r="O897">
            <v>4.87</v>
          </cell>
          <cell r="P897">
            <v>0</v>
          </cell>
          <cell r="Q897">
            <v>0</v>
          </cell>
          <cell r="R897" t="str">
            <v>孙可君Monica（Kejun Sun）</v>
          </cell>
          <cell r="S897" t="str">
            <v>马聪Cong (Cong Ma)</v>
          </cell>
        </row>
        <row r="898">
          <cell r="G898" t="str">
            <v>NE 东北大区EWR.H</v>
          </cell>
          <cell r="H898" t="str">
            <v>Deputy Hub Head 副仓长</v>
          </cell>
          <cell r="I898" t="str">
            <v>TY_休息日</v>
          </cell>
          <cell r="J898" t="str">
            <v>10:38</v>
          </cell>
          <cell r="K898" t="str">
            <v>11:52</v>
          </cell>
          <cell r="L898" t="str">
            <v>不正确</v>
          </cell>
          <cell r="M898">
            <v>0</v>
          </cell>
          <cell r="N898">
            <v>1.23</v>
          </cell>
          <cell r="O898">
            <v>0</v>
          </cell>
          <cell r="P898">
            <v>0</v>
          </cell>
          <cell r="Q898">
            <v>0</v>
          </cell>
          <cell r="R898" t="str">
            <v>孙可君Monica（Kejun Sun）</v>
          </cell>
          <cell r="S898" t="str">
            <v>马聪Cong (Cong Ma)</v>
          </cell>
        </row>
        <row r="899">
          <cell r="G899" t="str">
            <v>GL 大湖大区NM 中西部北片区OMA01</v>
          </cell>
          <cell r="H899" t="str">
            <v>Station Operations Specialist 站点运营专员</v>
          </cell>
          <cell r="I899" t="str">
            <v>TY_休息日</v>
          </cell>
        </row>
        <row r="899">
          <cell r="L899" t="str">
            <v>正确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 t="str">
            <v>王晓丹 Jasmine（Xiaodan Wang）,周延舒Isabel（Yanshu Zhou）</v>
          </cell>
          <cell r="S899" t="str">
            <v>张骥Ji Zhang (Ji Zhang)</v>
          </cell>
        </row>
        <row r="900">
          <cell r="G900" t="str">
            <v>NE 东北大区DC 华盛顿片区DCA01</v>
          </cell>
          <cell r="H900" t="str">
            <v>Station Operations Specialist 站点运营专员</v>
          </cell>
          <cell r="I900" t="str">
            <v>TY_13:00</v>
          </cell>
          <cell r="J900" t="str">
            <v>12:20</v>
          </cell>
          <cell r="K900" t="str">
            <v>22:08</v>
          </cell>
          <cell r="L900" t="str">
            <v>正确</v>
          </cell>
          <cell r="M900">
            <v>0</v>
          </cell>
          <cell r="N900">
            <v>9.3</v>
          </cell>
          <cell r="O900">
            <v>1.3</v>
          </cell>
          <cell r="P900">
            <v>0</v>
          </cell>
          <cell r="Q900">
            <v>0</v>
          </cell>
          <cell r="R900" t="str">
            <v>孙可君Monica（Kejun Sun）</v>
          </cell>
          <cell r="S900" t="str">
            <v>马聪Cong (Cong Ma)</v>
          </cell>
          <cell r="T900" t="str">
            <v>朱晗宇 Peter (Hanyu Zhu)</v>
          </cell>
        </row>
        <row r="901">
          <cell r="G901" t="str">
            <v>NE 东北大区BN 布法罗片区ROC01</v>
          </cell>
          <cell r="H901" t="str">
            <v>Station Operations Specialist 站点运营专员</v>
          </cell>
          <cell r="I901" t="str">
            <v>TY_休息日</v>
          </cell>
        </row>
        <row r="901">
          <cell r="L901" t="str">
            <v>正确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 t="str">
            <v>孙可君Monica（Kejun Sun）</v>
          </cell>
          <cell r="S901" t="str">
            <v>马聪Cong (Cong Ma)</v>
          </cell>
          <cell r="T901" t="str">
            <v>朱晗宇 Peter (Hanyu Zhu)</v>
          </cell>
        </row>
        <row r="902">
          <cell r="G902" t="str">
            <v>TX 德州大区CT 中德州片区MEM01</v>
          </cell>
          <cell r="H902" t="str">
            <v>Station Head 站长</v>
          </cell>
          <cell r="I902" t="str">
            <v>TY_休息日</v>
          </cell>
        </row>
        <row r="902">
          <cell r="L902" t="str">
            <v>正确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 t="str">
            <v>肖芦莉Lily (Luli Xiao)</v>
          </cell>
          <cell r="S902" t="str">
            <v>张骥Ji Zhang (Ji Zhang)</v>
          </cell>
          <cell r="T902" t="str">
            <v>马铭 Ming (Ming Ma)</v>
          </cell>
        </row>
        <row r="903">
          <cell r="G903" t="str">
            <v>GL 大湖大区ORD.H调度组</v>
          </cell>
          <cell r="H903" t="str">
            <v>Dispatch Lead 调度组长</v>
          </cell>
          <cell r="I903" t="str">
            <v>TY_14:00</v>
          </cell>
          <cell r="J903" t="str">
            <v>14:18</v>
          </cell>
          <cell r="K903" t="str">
            <v>02:22</v>
          </cell>
          <cell r="L903" t="str">
            <v>正确</v>
          </cell>
          <cell r="M903">
            <v>0</v>
          </cell>
          <cell r="N903">
            <v>11.57</v>
          </cell>
          <cell r="O903">
            <v>3.57</v>
          </cell>
          <cell r="P903">
            <v>50.89</v>
          </cell>
          <cell r="Q903">
            <v>10.89</v>
          </cell>
          <cell r="R903" t="str">
            <v>王晓丹 Jasmine（Xiaodan Wang）,周延舒Isabel（Yanshu Zhou）</v>
          </cell>
          <cell r="S903" t="str">
            <v>张骥Ji Zhang (Ji Zhang)</v>
          </cell>
          <cell r="T903" t="str">
            <v>Minqing (Minqing Xu),罗煜雄 Mike (Yuxiong Luo)</v>
          </cell>
        </row>
        <row r="904">
          <cell r="G904" t="str">
            <v>TX 德州大区运营支持部区域支持组</v>
          </cell>
          <cell r="H904" t="str">
            <v>Regional Support Specialist 区域支持专员</v>
          </cell>
          <cell r="I904" t="str">
            <v>TY_09:00</v>
          </cell>
          <cell r="J904" t="str">
            <v>09:05</v>
          </cell>
        </row>
        <row r="904">
          <cell r="L904" t="str">
            <v>正确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 t="str">
            <v>肖芦莉Lily (Luli Xiao)</v>
          </cell>
          <cell r="S904" t="str">
            <v>张骥Ji Zhang (Ji Zhang)</v>
          </cell>
        </row>
        <row r="905">
          <cell r="G905" t="str">
            <v>FL 佛州大区MF 中佛片区OCF01</v>
          </cell>
          <cell r="H905" t="str">
            <v>Station Operations Specialist 站点运营专员</v>
          </cell>
          <cell r="I905" t="str">
            <v>TY_05:00</v>
          </cell>
          <cell r="J905" t="str">
            <v>05:00</v>
          </cell>
          <cell r="K905" t="str">
            <v>14:22</v>
          </cell>
          <cell r="L905" t="str">
            <v>正确</v>
          </cell>
          <cell r="M905">
            <v>0</v>
          </cell>
          <cell r="N905">
            <v>8.87</v>
          </cell>
          <cell r="O905">
            <v>0.87</v>
          </cell>
          <cell r="P905">
            <v>49.6</v>
          </cell>
          <cell r="Q905">
            <v>9.6</v>
          </cell>
          <cell r="R905" t="str">
            <v>Natalia (Natalia Padilla),孙婕 Jasmine（Sunjie）</v>
          </cell>
          <cell r="S905" t="str">
            <v>贺子强Jeff (Ziqiang He)</v>
          </cell>
          <cell r="T905" t="str">
            <v>朱家仡Andrew (Jiayi Zhu)</v>
          </cell>
        </row>
        <row r="906">
          <cell r="G906" t="str">
            <v>NE 东北大区EWR.H综办组</v>
          </cell>
          <cell r="H906" t="str">
            <v>EHS Specialist EHS专员</v>
          </cell>
          <cell r="I906" t="str">
            <v>TY_休息日</v>
          </cell>
        </row>
        <row r="906">
          <cell r="L906" t="str">
            <v>正确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 t="str">
            <v>孙可君Monica（Kejun Sun）</v>
          </cell>
          <cell r="S906" t="str">
            <v>马聪Cong (Cong Ma)</v>
          </cell>
          <cell r="T906" t="str">
            <v>Minqing (Minqing Xu),罗煜雄 Mike (Yuxiong Luo)</v>
          </cell>
        </row>
        <row r="907">
          <cell r="G907" t="str">
            <v>GL 大湖大区ORD.H异常处理组</v>
          </cell>
          <cell r="H907" t="str">
            <v>Returns Specialist 退件员</v>
          </cell>
          <cell r="I907" t="str">
            <v>TY_09:00</v>
          </cell>
          <cell r="J907" t="str">
            <v>08:53</v>
          </cell>
          <cell r="K907" t="str">
            <v>17:40</v>
          </cell>
          <cell r="L907" t="str">
            <v>正确</v>
          </cell>
          <cell r="M907">
            <v>0</v>
          </cell>
          <cell r="N907">
            <v>8.28</v>
          </cell>
          <cell r="O907">
            <v>0.28</v>
          </cell>
          <cell r="P907">
            <v>0</v>
          </cell>
          <cell r="Q907">
            <v>0</v>
          </cell>
          <cell r="R907" t="str">
            <v>王晓丹 Jasmine（Xiaodan Wang）,周延舒Isabel（Yanshu Zhou）</v>
          </cell>
          <cell r="S907" t="str">
            <v>张骥Ji Zhang (Ji Zhang)</v>
          </cell>
          <cell r="T907" t="str">
            <v>Minqing (Minqing Xu),罗煜雄 Mike (Yuxiong Luo)</v>
          </cell>
        </row>
        <row r="908">
          <cell r="G908" t="str">
            <v>FL 佛州大区MCO.H综办组</v>
          </cell>
          <cell r="H908" t="str">
            <v>Warehouse Clerk 仓库文员</v>
          </cell>
          <cell r="I908" t="str">
            <v>TY_休息日</v>
          </cell>
        </row>
        <row r="908">
          <cell r="L908" t="str">
            <v>正确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 t="str">
            <v>Natalia (Natalia Padilla),孙婕 Jasmine（Sunjie）</v>
          </cell>
          <cell r="S908" t="str">
            <v>贺子强Jeff (Ziqiang He)</v>
          </cell>
          <cell r="T908" t="str">
            <v>Minqing (Minqing Xu),罗煜雄 Mike (Yuxiong Luo)</v>
          </cell>
        </row>
        <row r="909">
          <cell r="G909" t="str">
            <v>GL 大湖大区运营支持部区域支持组</v>
          </cell>
          <cell r="H909" t="str">
            <v>Regional Support Specialist 区域支持专员</v>
          </cell>
          <cell r="I909" t="str">
            <v>TY_休息日</v>
          </cell>
        </row>
        <row r="909">
          <cell r="L909" t="str">
            <v>正确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 t="str">
            <v>王晓丹 Jasmine（Xiaodan Wang）,周延舒Isabel（Yanshu Zhou）</v>
          </cell>
          <cell r="S909" t="str">
            <v>张骥Ji Zhang (Ji Zhang)</v>
          </cell>
        </row>
        <row r="910">
          <cell r="G910" t="str">
            <v>CM 运力管理部自营运力组</v>
          </cell>
          <cell r="H910" t="str">
            <v>Junior In-house Capacity Specialist 初级自营运力专员</v>
          </cell>
          <cell r="I910" t="str">
            <v>TY_休息日</v>
          </cell>
        </row>
        <row r="910">
          <cell r="L910" t="str">
            <v>正确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 t="str">
            <v>袁博闻(Bowen Yuan)</v>
          </cell>
        </row>
        <row r="911">
          <cell r="G911" t="str">
            <v>TX 德州大区GC 墨湾片区BPT01</v>
          </cell>
          <cell r="H911" t="str">
            <v>Station Operations Specialist 站点运营专员</v>
          </cell>
          <cell r="I911" t="str">
            <v>TY_06:00</v>
          </cell>
        </row>
        <row r="911">
          <cell r="L911" t="str">
            <v>/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 t="str">
            <v>肖芦莉Lily (Luli Xiao)</v>
          </cell>
          <cell r="S911" t="str">
            <v>张骥Ji Zhang (Ji Zhang)</v>
          </cell>
          <cell r="T911" t="str">
            <v>金磊Brian（LEI JIN）</v>
          </cell>
        </row>
        <row r="912">
          <cell r="G912" t="str">
            <v>CM 运力管理部美西运力组</v>
          </cell>
          <cell r="H912" t="str">
            <v>Junior transportation Specialist 初级运力专员</v>
          </cell>
          <cell r="I912" t="str">
            <v>TY_休息日</v>
          </cell>
        </row>
        <row r="912">
          <cell r="L912" t="str">
            <v>正确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 t="str">
            <v>袁博闻(Bowen Yuan)</v>
          </cell>
        </row>
        <row r="913">
          <cell r="G913" t="str">
            <v>FL 佛州大区SF 南佛片区MIA01</v>
          </cell>
          <cell r="H913" t="str">
            <v>Station Head （Probation）站长（见习）</v>
          </cell>
          <cell r="I913" t="str">
            <v>TY_08:30</v>
          </cell>
          <cell r="J913" t="str">
            <v>08:08</v>
          </cell>
          <cell r="K913" t="str">
            <v>18:17</v>
          </cell>
          <cell r="L913" t="str">
            <v>正确</v>
          </cell>
          <cell r="M913">
            <v>0</v>
          </cell>
          <cell r="N913">
            <v>9.65</v>
          </cell>
          <cell r="O913">
            <v>1.65</v>
          </cell>
          <cell r="P913">
            <v>45.77</v>
          </cell>
          <cell r="Q913">
            <v>5.77</v>
          </cell>
          <cell r="R913" t="str">
            <v>Natalia (Natalia Padilla),孙婕 Jasmine（Sunjie）</v>
          </cell>
          <cell r="S913" t="str">
            <v>贺子强Jeff (Ziqiang He)</v>
          </cell>
          <cell r="T913" t="str">
            <v>王航 Hang (Hang Wang)</v>
          </cell>
        </row>
        <row r="914">
          <cell r="G914" t="str">
            <v>NE 东北大区DC 华盛顿片区BWI01</v>
          </cell>
          <cell r="H914" t="str">
            <v>Station Head 站长</v>
          </cell>
          <cell r="I914" t="str">
            <v>TY_09:30</v>
          </cell>
        </row>
        <row r="914">
          <cell r="L914" t="str">
            <v>/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 t="str">
            <v>孙可君Monica（Kejun Sun）</v>
          </cell>
          <cell r="S914" t="str">
            <v>马聪Cong (Cong Ma)</v>
          </cell>
          <cell r="T914" t="str">
            <v>朱晗宇 Peter (Hanyu Zhu)</v>
          </cell>
        </row>
        <row r="915">
          <cell r="G915" t="str">
            <v>NE 东北大区EWR.H分拣组</v>
          </cell>
          <cell r="H915" t="str">
            <v>Sorter 分拣员</v>
          </cell>
          <cell r="I915" t="str">
            <v>TY_10:00</v>
          </cell>
          <cell r="J915" t="str">
            <v>07:33</v>
          </cell>
          <cell r="K915" t="str">
            <v>19:15</v>
          </cell>
          <cell r="L915" t="str">
            <v>不正确</v>
          </cell>
          <cell r="M915">
            <v>0</v>
          </cell>
          <cell r="N915">
            <v>11.2</v>
          </cell>
          <cell r="O915">
            <v>3.2</v>
          </cell>
          <cell r="P915">
            <v>0</v>
          </cell>
          <cell r="Q915">
            <v>0</v>
          </cell>
          <cell r="R915" t="str">
            <v>孙可君Monica（Kejun Sun）</v>
          </cell>
          <cell r="S915" t="str">
            <v>马聪Cong (Cong Ma)</v>
          </cell>
          <cell r="T915" t="str">
            <v>张双甫(Shuangfu Zhang)</v>
          </cell>
        </row>
        <row r="916">
          <cell r="G916" t="str">
            <v>NE 东北大区EWR.H分拣组</v>
          </cell>
          <cell r="H916" t="str">
            <v>Sorter 分拣员</v>
          </cell>
          <cell r="I916" t="str">
            <v>TY_休息日</v>
          </cell>
        </row>
        <row r="916">
          <cell r="L916" t="str">
            <v>正确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 t="str">
            <v>孙可君Monica（Kejun Sun）</v>
          </cell>
          <cell r="S916" t="str">
            <v>马聪Cong (Cong Ma)</v>
          </cell>
          <cell r="T916" t="str">
            <v>张双甫(Shuangfu Zhang)</v>
          </cell>
        </row>
        <row r="917">
          <cell r="G917" t="str">
            <v>GL 大湖大区ORD.H综办组</v>
          </cell>
          <cell r="H917" t="str">
            <v>Warehouse Clerk 仓库文员</v>
          </cell>
          <cell r="I917" t="str">
            <v>TY_07:30</v>
          </cell>
          <cell r="J917" t="str">
            <v>07:07</v>
          </cell>
          <cell r="K917" t="str">
            <v>16:44</v>
          </cell>
          <cell r="L917" t="str">
            <v>正确</v>
          </cell>
          <cell r="M917">
            <v>0</v>
          </cell>
          <cell r="N917">
            <v>9.12</v>
          </cell>
          <cell r="O917">
            <v>1.12</v>
          </cell>
          <cell r="P917">
            <v>0</v>
          </cell>
          <cell r="Q917">
            <v>0</v>
          </cell>
          <cell r="R917" t="str">
            <v>王晓丹 Jasmine（Xiaodan Wang）,周延舒Isabel（Yanshu Zhou）</v>
          </cell>
          <cell r="S917" t="str">
            <v>张骥Ji Zhang (Ji Zhang)</v>
          </cell>
          <cell r="T917" t="str">
            <v>Minqing (Minqing Xu),罗煜雄 Mike (Yuxiong Luo)</v>
          </cell>
        </row>
        <row r="918">
          <cell r="G918" t="str">
            <v>Ground项目部OG 美西区ST958</v>
          </cell>
          <cell r="H918" t="str">
            <v>Station Operations Specialist 站点运营专员</v>
          </cell>
          <cell r="I918" t="str">
            <v>TY_14:00</v>
          </cell>
          <cell r="J918" t="str">
            <v>13:52</v>
          </cell>
          <cell r="K918" t="str">
            <v>22:33</v>
          </cell>
          <cell r="L918" t="str">
            <v>正确</v>
          </cell>
          <cell r="M918">
            <v>0</v>
          </cell>
          <cell r="N918">
            <v>8.18</v>
          </cell>
          <cell r="O918">
            <v>0.18</v>
          </cell>
          <cell r="P918">
            <v>0</v>
          </cell>
          <cell r="Q918">
            <v>0</v>
          </cell>
          <cell r="R918" t="str">
            <v>王安琪 (Anqi Wang),张朱同 Thomson（Zhutong Zhang）</v>
          </cell>
          <cell r="S918" t="str">
            <v>陈锦昭</v>
          </cell>
          <cell r="T918" t="str">
            <v>刘俊甜Verity（Juntian Liu）</v>
          </cell>
        </row>
        <row r="919">
          <cell r="G919" t="str">
            <v>WE 美西大区SP 西雅图·波特兰片区SEA.H</v>
          </cell>
          <cell r="H919" t="str">
            <v>Dispatcher 调度员</v>
          </cell>
          <cell r="I919" t="str">
            <v>TY_18:00</v>
          </cell>
          <cell r="J919" t="str">
            <v>18:16</v>
          </cell>
          <cell r="K919" t="str">
            <v>00:55</v>
          </cell>
          <cell r="L919" t="str">
            <v>正确</v>
          </cell>
          <cell r="M919">
            <v>0</v>
          </cell>
          <cell r="N919">
            <v>6.15</v>
          </cell>
          <cell r="O919">
            <v>0</v>
          </cell>
          <cell r="P919">
            <v>0</v>
          </cell>
          <cell r="Q919">
            <v>0</v>
          </cell>
          <cell r="R919" t="str">
            <v>王骞Ariel（Qian Wang）,叶秀芳Freya (Xiufang Ye)</v>
          </cell>
          <cell r="S919" t="str">
            <v>常哲</v>
          </cell>
          <cell r="T919" t="str">
            <v>尤梦楠Yuko（Mengnan You）</v>
          </cell>
        </row>
        <row r="920">
          <cell r="G920" t="str">
            <v>NE 东北大区EWR.H异常处理组</v>
          </cell>
          <cell r="H920" t="str">
            <v>Returns Lead 退件组长</v>
          </cell>
          <cell r="I920" t="str">
            <v>TY_休息日</v>
          </cell>
        </row>
        <row r="920">
          <cell r="L920" t="str">
            <v>正确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 t="str">
            <v>孙可君Monica（Kejun Sun）</v>
          </cell>
          <cell r="S920" t="str">
            <v>马聪Cong (Cong Ma)</v>
          </cell>
          <cell r="T920" t="str">
            <v>Minqing (Minqing Xu),罗煜雄 Mike (Yuxiong Luo)</v>
          </cell>
        </row>
        <row r="921">
          <cell r="G921" t="str">
            <v>TX 德州大区NT 北德州片区TUL01</v>
          </cell>
          <cell r="H921" t="str">
            <v>Station Operations Specialist 站点运营专员</v>
          </cell>
          <cell r="I921" t="str">
            <v>TY_06:00</v>
          </cell>
          <cell r="J921" t="str">
            <v>06:30</v>
          </cell>
        </row>
        <row r="921">
          <cell r="L921" t="str">
            <v>正确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 t="str">
            <v>肖芦莉Lily (Luli Xiao)</v>
          </cell>
          <cell r="S921" t="str">
            <v>张骥Ji Zhang (Ji Zhang)</v>
          </cell>
          <cell r="T921" t="str">
            <v>何琼joan(Qiong He)</v>
          </cell>
        </row>
        <row r="922">
          <cell r="G922" t="str">
            <v>NE 东北大区DC 华盛顿片区GED01</v>
          </cell>
          <cell r="H922" t="str">
            <v>Station Trainee 站点培训生</v>
          </cell>
          <cell r="I922" t="str">
            <v>TY_休息日</v>
          </cell>
        </row>
        <row r="922">
          <cell r="L922" t="str">
            <v>正确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 t="str">
            <v>孙可君Monica（Kejun Sun）</v>
          </cell>
          <cell r="S922" t="str">
            <v>马聪Cong (Cong Ma)</v>
          </cell>
          <cell r="T922" t="str">
            <v>朱晗宇 Peter (Hanyu Zhu)</v>
          </cell>
        </row>
        <row r="923">
          <cell r="G923" t="str">
            <v>WE 美西大区运营支持部区域支持组</v>
          </cell>
          <cell r="H923" t="str">
            <v>Regional Support Specialist 区域支持专员</v>
          </cell>
          <cell r="I923" t="str">
            <v>TY_休息日</v>
          </cell>
        </row>
        <row r="923">
          <cell r="L923" t="str">
            <v>正确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 t="str">
            <v>王骞Ariel（Qian Wang）,叶秀芳Freya (Xiufang Ye)</v>
          </cell>
          <cell r="S923" t="str">
            <v>常哲</v>
          </cell>
        </row>
        <row r="924">
          <cell r="G924" t="str">
            <v>US人力资源部美洲HRBP组东北区HR组</v>
          </cell>
          <cell r="H924" t="str">
            <v>Recruitment Assistant 招聘助理</v>
          </cell>
          <cell r="I924" t="str">
            <v>TY_休息日</v>
          </cell>
        </row>
        <row r="924">
          <cell r="L924" t="str">
            <v>正确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 t="str">
            <v>袁博闻(Bowen Yuan)</v>
          </cell>
        </row>
        <row r="925">
          <cell r="G925" t="str">
            <v>FL 佛州大区MIA.H综办组</v>
          </cell>
          <cell r="H925" t="str">
            <v>Warehouse Clerk 仓库文员</v>
          </cell>
          <cell r="I925" t="str">
            <v>TY_11:00</v>
          </cell>
          <cell r="J925" t="str">
            <v>10:54</v>
          </cell>
          <cell r="K925" t="str">
            <v>20:40</v>
          </cell>
          <cell r="L925" t="str">
            <v>正确</v>
          </cell>
          <cell r="M925">
            <v>0</v>
          </cell>
          <cell r="N925">
            <v>9.27</v>
          </cell>
          <cell r="O925">
            <v>1.27</v>
          </cell>
          <cell r="P925">
            <v>0</v>
          </cell>
          <cell r="Q925">
            <v>0</v>
          </cell>
          <cell r="R925" t="str">
            <v>Natalia (Natalia Padilla),孙婕 Jasmine（Sunjie）</v>
          </cell>
          <cell r="S925" t="str">
            <v>贺子强Jeff (Ziqiang He)</v>
          </cell>
          <cell r="T925" t="str">
            <v>Minqing (Minqing Xu),罗煜雄 Mike (Yuxiong Luo)</v>
          </cell>
        </row>
        <row r="926">
          <cell r="G926" t="str">
            <v>WE 美西大区CNO.H维保组</v>
          </cell>
          <cell r="H926" t="str">
            <v>Maintenance Specialist 维保员</v>
          </cell>
          <cell r="I926" t="str">
            <v>TY_16:00</v>
          </cell>
          <cell r="J926" t="str">
            <v>15:32</v>
          </cell>
          <cell r="K926" t="str">
            <v>02:33</v>
          </cell>
          <cell r="L926" t="str">
            <v>正确</v>
          </cell>
          <cell r="M926">
            <v>0</v>
          </cell>
          <cell r="N926">
            <v>10.52</v>
          </cell>
          <cell r="O926">
            <v>2.52</v>
          </cell>
          <cell r="P926">
            <v>0</v>
          </cell>
          <cell r="Q926">
            <v>0</v>
          </cell>
          <cell r="R926" t="str">
            <v>王骞Ariel（Qian Wang）,叶秀芳Freya (Xiufang Ye)</v>
          </cell>
          <cell r="S926" t="str">
            <v>常哲</v>
          </cell>
          <cell r="T926" t="str">
            <v>章峻铭 J (Junming Zhang)</v>
          </cell>
        </row>
        <row r="927">
          <cell r="G927" t="str">
            <v>US人力资源部美洲HRBP组东北区HR组</v>
          </cell>
          <cell r="H927" t="str">
            <v>HRBP Assistant HRBP助理</v>
          </cell>
          <cell r="I927" t="str">
            <v>TY_休息日</v>
          </cell>
        </row>
        <row r="927">
          <cell r="L927" t="str">
            <v>正确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 t="str">
            <v>袁博闻(Bowen Yuan)</v>
          </cell>
        </row>
        <row r="928">
          <cell r="G928" t="str">
            <v>DO 数字运营部美国技术支持组</v>
          </cell>
          <cell r="H928" t="str">
            <v>IT support 技术支持工程师</v>
          </cell>
          <cell r="I928" t="str">
            <v>TY_05:00</v>
          </cell>
          <cell r="J928" t="str">
            <v>05:00</v>
          </cell>
          <cell r="K928" t="str">
            <v>14:10</v>
          </cell>
          <cell r="L928" t="str">
            <v>正确</v>
          </cell>
          <cell r="M928">
            <v>0</v>
          </cell>
          <cell r="N928">
            <v>8.67</v>
          </cell>
          <cell r="O928">
            <v>0.67</v>
          </cell>
          <cell r="P928">
            <v>0</v>
          </cell>
          <cell r="Q928">
            <v>0</v>
          </cell>
          <cell r="R928" t="str">
            <v>袁博闻(Bowen Yuan)</v>
          </cell>
        </row>
        <row r="929">
          <cell r="G929" t="str">
            <v>WE 美西大区LAV.H维保组</v>
          </cell>
          <cell r="H929" t="str">
            <v>Maintenance Lead 维保组长</v>
          </cell>
          <cell r="I929" t="str">
            <v>TY_06:00</v>
          </cell>
          <cell r="J929" t="str">
            <v>08:14</v>
          </cell>
          <cell r="K929" t="str">
            <v>12:32</v>
          </cell>
          <cell r="L929" t="str">
            <v>不正确</v>
          </cell>
          <cell r="M929">
            <v>0</v>
          </cell>
          <cell r="N929">
            <v>3.8</v>
          </cell>
          <cell r="O929">
            <v>0</v>
          </cell>
          <cell r="P929">
            <v>0</v>
          </cell>
          <cell r="Q929">
            <v>0</v>
          </cell>
          <cell r="R929" t="str">
            <v>王骞Ariel（Qian Wang）,叶秀芳Freya (Xiufang Ye)</v>
          </cell>
          <cell r="S929" t="str">
            <v>常哲</v>
          </cell>
          <cell r="T929" t="str">
            <v>章峻铭 J (Junming Zhang)</v>
          </cell>
        </row>
        <row r="930">
          <cell r="G930" t="str">
            <v>WE 美西大区车辆管理部</v>
          </cell>
          <cell r="H930" t="str">
            <v>Vehicle Management Specialist 车辆管理专员</v>
          </cell>
          <cell r="I930" t="str">
            <v>TY_休息日</v>
          </cell>
        </row>
        <row r="930">
          <cell r="L930" t="str">
            <v>正确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 t="str">
            <v>王骞Ariel（Qian Wang）,叶秀芳Freya (Xiufang Ye)</v>
          </cell>
          <cell r="S930" t="str">
            <v>常哲</v>
          </cell>
        </row>
        <row r="931">
          <cell r="G931" t="str">
            <v>Ground项目部OG 美西区LA900</v>
          </cell>
          <cell r="H931" t="str">
            <v>Station Operations Specialist 站点运营专员</v>
          </cell>
          <cell r="I931" t="str">
            <v>TY_05:30</v>
          </cell>
          <cell r="J931" t="str">
            <v>05:21</v>
          </cell>
          <cell r="K931" t="str">
            <v>14:49</v>
          </cell>
          <cell r="L931" t="str">
            <v>正确</v>
          </cell>
          <cell r="M931">
            <v>0</v>
          </cell>
          <cell r="N931">
            <v>8.97</v>
          </cell>
          <cell r="O931">
            <v>0.97</v>
          </cell>
          <cell r="P931">
            <v>0</v>
          </cell>
          <cell r="Q931">
            <v>0</v>
          </cell>
          <cell r="R931" t="str">
            <v>王安琪 (Anqi Wang),张朱同 Thomson（Zhutong Zhang）</v>
          </cell>
          <cell r="S931" t="str">
            <v>陈锦昭</v>
          </cell>
          <cell r="T931" t="str">
            <v>刘俊甜Verity（Juntian Liu）</v>
          </cell>
        </row>
        <row r="932">
          <cell r="G932" t="str">
            <v>WE 美西大区LAV.H合流合包组</v>
          </cell>
          <cell r="H932" t="str">
            <v>Warehouse Operator 操作员</v>
          </cell>
          <cell r="I932" t="str">
            <v>TY_美国节假日（9点-18点）</v>
          </cell>
        </row>
        <row r="932">
          <cell r="L932" t="str">
            <v>正确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 t="str">
            <v>王骞Ariel（Qian Wang）,叶秀芳Freya (Xiufang Ye)</v>
          </cell>
          <cell r="S932" t="str">
            <v>常哲</v>
          </cell>
          <cell r="T932" t="str">
            <v>覃超群Jessica（Chaoqun Qin）</v>
          </cell>
        </row>
        <row r="933">
          <cell r="G933" t="str">
            <v>NE 东北大区BWI.H调度组</v>
          </cell>
          <cell r="H933" t="str">
            <v>Dispatcher 调度员</v>
          </cell>
          <cell r="I933" t="str">
            <v>TY_休息日</v>
          </cell>
        </row>
        <row r="933">
          <cell r="L933" t="str">
            <v>正确</v>
          </cell>
          <cell r="M933">
            <v>0</v>
          </cell>
          <cell r="N933">
            <v>0</v>
          </cell>
          <cell r="O933">
            <v>0</v>
          </cell>
          <cell r="P933">
            <v>30.35</v>
          </cell>
          <cell r="Q933">
            <v>0</v>
          </cell>
          <cell r="R933" t="str">
            <v>孙可君Monica（Kejun Sun）</v>
          </cell>
          <cell r="S933" t="str">
            <v>马聪Cong (Cong Ma)</v>
          </cell>
          <cell r="T933" t="str">
            <v>Minqing (Minqing Xu),罗煜雄 Mike (Yuxiong Luo)</v>
          </cell>
        </row>
        <row r="934">
          <cell r="G934" t="str">
            <v>NE 东北大区RIC01</v>
          </cell>
          <cell r="H934" t="str">
            <v>Station Operations Specialist 站点运营专员</v>
          </cell>
          <cell r="I934" t="str">
            <v>TY_休息日</v>
          </cell>
        </row>
        <row r="934">
          <cell r="L934" t="str">
            <v>正确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 t="str">
            <v>孙可君Monica（Kejun Sun）</v>
          </cell>
          <cell r="S934" t="str">
            <v>马聪Cong (Cong Ma)</v>
          </cell>
        </row>
        <row r="935">
          <cell r="G935" t="str">
            <v>GL 大湖大区CM 中西部中心片区CMH01</v>
          </cell>
          <cell r="H935" t="str">
            <v>Station Head （Probation）站长（见习）</v>
          </cell>
          <cell r="I935" t="str">
            <v>TY_05:00</v>
          </cell>
          <cell r="J935" t="str">
            <v>05:48</v>
          </cell>
          <cell r="K935" t="str">
            <v>12:37</v>
          </cell>
          <cell r="L935" t="str">
            <v>正确</v>
          </cell>
          <cell r="M935">
            <v>0</v>
          </cell>
          <cell r="N935">
            <v>6.32</v>
          </cell>
          <cell r="O935">
            <v>0</v>
          </cell>
          <cell r="P935">
            <v>0</v>
          </cell>
          <cell r="Q935">
            <v>0</v>
          </cell>
          <cell r="R935" t="str">
            <v>王晓丹 Jasmine（Xiaodan Wang）,周延舒Isabel（Yanshu Zhou）</v>
          </cell>
          <cell r="S935" t="str">
            <v>张骥Ji Zhang (Ji Zhang)</v>
          </cell>
          <cell r="T935" t="str">
            <v>欧阳溢巍 Nathan (Yiwei Ouyang),尚青蓓 Suki （Qingbei Shang）</v>
          </cell>
        </row>
        <row r="936">
          <cell r="G936" t="str">
            <v>AD 行政部美东组</v>
          </cell>
          <cell r="H936" t="str">
            <v>Junior Admin Specialist 初级行政专员</v>
          </cell>
          <cell r="I936" t="str">
            <v>TY_休息日</v>
          </cell>
        </row>
        <row r="936">
          <cell r="L936" t="str">
            <v>正确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 t="str">
            <v>袁博闻(Bowen Yuan)</v>
          </cell>
        </row>
        <row r="937">
          <cell r="G937" t="str">
            <v>WE 美西大区NC 北加片区SFO.H</v>
          </cell>
          <cell r="H937" t="str">
            <v>Warehouse Operator 操作员</v>
          </cell>
          <cell r="I937" t="str">
            <v>TY_16:00</v>
          </cell>
          <cell r="J937" t="str">
            <v>15:49</v>
          </cell>
          <cell r="K937" t="str">
            <v>01:53</v>
          </cell>
          <cell r="L937" t="str">
            <v>正确</v>
          </cell>
          <cell r="M937">
            <v>0</v>
          </cell>
          <cell r="N937">
            <v>9.57</v>
          </cell>
          <cell r="O937">
            <v>1.57</v>
          </cell>
          <cell r="P937">
            <v>0</v>
          </cell>
          <cell r="Q937">
            <v>0</v>
          </cell>
          <cell r="R937" t="str">
            <v>王骞Ariel（Qian Wang）,叶秀芳Freya (Xiufang Ye)</v>
          </cell>
          <cell r="S937" t="str">
            <v>常哲</v>
          </cell>
          <cell r="T937" t="str">
            <v>林美浚（Meijun Lin）</v>
          </cell>
        </row>
        <row r="938">
          <cell r="G938" t="str">
            <v>NE 东北大区EWR.H操作组</v>
          </cell>
          <cell r="H938" t="str">
            <v>Warehouse Operator 操作员</v>
          </cell>
          <cell r="I938" t="str">
            <v>TY_休息日</v>
          </cell>
        </row>
        <row r="938">
          <cell r="L938" t="str">
            <v>正确</v>
          </cell>
          <cell r="M938">
            <v>0</v>
          </cell>
          <cell r="N938">
            <v>0</v>
          </cell>
          <cell r="O938">
            <v>0</v>
          </cell>
          <cell r="P938">
            <v>50.89</v>
          </cell>
          <cell r="Q938">
            <v>10.89</v>
          </cell>
          <cell r="R938" t="str">
            <v>孙可君Monica（Kejun Sun）</v>
          </cell>
          <cell r="S938" t="str">
            <v>马聪Cong (Cong Ma)</v>
          </cell>
          <cell r="T938" t="str">
            <v>Minqing (Minqing Xu),罗煜雄 Mike (Yuxiong Luo)</v>
          </cell>
        </row>
        <row r="939">
          <cell r="G939" t="str">
            <v>NE 东北大区</v>
          </cell>
          <cell r="H939" t="str">
            <v>Regional Head 区长</v>
          </cell>
          <cell r="I939" t="str">
            <v>TY_09:30</v>
          </cell>
          <cell r="J939" t="str">
            <v>09:30</v>
          </cell>
          <cell r="K939" t="str">
            <v>18:00</v>
          </cell>
          <cell r="L939" t="str">
            <v>正确</v>
          </cell>
          <cell r="M939">
            <v>0</v>
          </cell>
          <cell r="N939">
            <v>8</v>
          </cell>
          <cell r="O939">
            <v>0</v>
          </cell>
          <cell r="P939">
            <v>0</v>
          </cell>
          <cell r="Q939">
            <v>0</v>
          </cell>
          <cell r="R939" t="str">
            <v>孙可君Monica（Kejun Sun）</v>
          </cell>
          <cell r="S939" t="str">
            <v>马聪Cong (Cong Ma)</v>
          </cell>
        </row>
        <row r="940">
          <cell r="G940" t="str">
            <v>NE 东北大区BN 布法罗片区SYR01</v>
          </cell>
          <cell r="H940" t="str">
            <v>Station Head （Probation）站长（见习）</v>
          </cell>
          <cell r="I940" t="str">
            <v>TY_休息日</v>
          </cell>
        </row>
        <row r="940">
          <cell r="L940" t="str">
            <v>正确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 t="str">
            <v>孙可君Monica（Kejun Sun）</v>
          </cell>
          <cell r="S940" t="str">
            <v>马聪Cong (Cong Ma)</v>
          </cell>
          <cell r="T940" t="str">
            <v>朱晗宇 Peter (Hanyu Zhu)</v>
          </cell>
        </row>
        <row r="941">
          <cell r="G941" t="str">
            <v>TX 德州大区CT 中德州片区</v>
          </cell>
          <cell r="H941" t="str">
            <v>District Head 片区长</v>
          </cell>
          <cell r="I941" t="str">
            <v>TY_06:30</v>
          </cell>
        </row>
        <row r="941">
          <cell r="L941" t="str">
            <v>/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 t="str">
            <v>肖芦莉Lily (Luli Xiao)</v>
          </cell>
          <cell r="S941" t="str">
            <v>张骥Ji Zhang (Ji Zhang)</v>
          </cell>
        </row>
        <row r="942">
          <cell r="G942" t="str">
            <v>WE 美西大区CNO.H分拣组</v>
          </cell>
          <cell r="H942" t="str">
            <v>Sorter 分拣员</v>
          </cell>
          <cell r="I942" t="str">
            <v>TY_休息日</v>
          </cell>
        </row>
        <row r="942">
          <cell r="L942" t="str">
            <v>正确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 t="str">
            <v>王骞Ariel（Qian Wang）,叶秀芳Freya (Xiufang Ye)</v>
          </cell>
          <cell r="S942" t="str">
            <v>常哲</v>
          </cell>
          <cell r="T942" t="str">
            <v>张双甫(Shuangfu Zhang)</v>
          </cell>
        </row>
        <row r="943">
          <cell r="G943" t="str">
            <v>NE 东北大区JFK01</v>
          </cell>
          <cell r="H943" t="str">
            <v>Station Operations Specialist 站点运营专员</v>
          </cell>
          <cell r="I943" t="str">
            <v>TY_休息日</v>
          </cell>
        </row>
        <row r="943">
          <cell r="L943" t="str">
            <v>正确</v>
          </cell>
          <cell r="M943">
            <v>0</v>
          </cell>
          <cell r="N943">
            <v>0</v>
          </cell>
          <cell r="O943">
            <v>0</v>
          </cell>
          <cell r="P943">
            <v>23.85</v>
          </cell>
          <cell r="Q943">
            <v>0</v>
          </cell>
          <cell r="R943" t="str">
            <v>孙可君Monica（Kejun Sun）</v>
          </cell>
          <cell r="S943" t="str">
            <v>马聪Cong (Cong Ma)</v>
          </cell>
        </row>
        <row r="944">
          <cell r="G944" t="str">
            <v>Ground项目部OG 美西区CNO.G</v>
          </cell>
          <cell r="H944" t="str">
            <v>Exception Handling Specialist 异常处理专员</v>
          </cell>
          <cell r="I944" t="str">
            <v>TY_休息日</v>
          </cell>
        </row>
        <row r="944">
          <cell r="L944" t="str">
            <v>正确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 t="str">
            <v>王安琪 (Anqi Wang),张朱同 Thomson（Zhutong Zhang）</v>
          </cell>
          <cell r="S944" t="str">
            <v>陈锦昭</v>
          </cell>
          <cell r="T944" t="str">
            <v>张弘毅 Hongyi （Hongyi Zhang）</v>
          </cell>
        </row>
        <row r="945">
          <cell r="G945" t="str">
            <v>NE 东北大区BWI.H综办组</v>
          </cell>
          <cell r="H945" t="str">
            <v>Warehouse Clerk 仓库文员</v>
          </cell>
          <cell r="I945" t="str">
            <v>TY_休息日</v>
          </cell>
        </row>
        <row r="945">
          <cell r="L945" t="str">
            <v>正确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 t="str">
            <v>孙可君Monica（Kejun Sun）</v>
          </cell>
          <cell r="S945" t="str">
            <v>马聪Cong (Cong Ma)</v>
          </cell>
          <cell r="T945" t="str">
            <v>Minqing (Minqing Xu),罗煜雄 Mike (Yuxiong Luo)</v>
          </cell>
        </row>
        <row r="946">
          <cell r="G946" t="str">
            <v>Ground项目部OG 美西区CNO.G</v>
          </cell>
          <cell r="H946" t="str">
            <v>Sorting Lead 分拣组长</v>
          </cell>
          <cell r="I946" t="str">
            <v>TY_休息日</v>
          </cell>
        </row>
        <row r="946">
          <cell r="L946" t="str">
            <v>正确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 t="str">
            <v>王安琪 (Anqi Wang),张朱同 Thomson（Zhutong Zhang）</v>
          </cell>
          <cell r="S946" t="str">
            <v>陈锦昭</v>
          </cell>
          <cell r="T946" t="str">
            <v>张弘毅 Hongyi （Hongyi Zhang）</v>
          </cell>
        </row>
        <row r="947">
          <cell r="G947" t="str">
            <v>TX 德州大区揽收部</v>
          </cell>
          <cell r="H947" t="str">
            <v>Pickup Dispatcher 揽收调度员</v>
          </cell>
          <cell r="I947" t="str">
            <v>TY_休息日</v>
          </cell>
        </row>
        <row r="947">
          <cell r="L947" t="str">
            <v>正确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 t="str">
            <v>肖芦莉Lily (Luli Xiao)</v>
          </cell>
          <cell r="S947" t="str">
            <v>张骥Ji Zhang (Ji Zhang)</v>
          </cell>
        </row>
        <row r="948">
          <cell r="G948" t="str">
            <v>GL 大湖大区CM 中西部中心片区CVG01</v>
          </cell>
          <cell r="H948" t="str">
            <v>Station Operations Specialist 站点运营专员</v>
          </cell>
          <cell r="I948" t="str">
            <v>TY_休息日</v>
          </cell>
        </row>
        <row r="948">
          <cell r="L948" t="str">
            <v>正确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 t="str">
            <v>王晓丹 Jasmine（Xiaodan Wang）,周延舒Isabel（Yanshu Zhou）</v>
          </cell>
          <cell r="S948" t="str">
            <v>张骥Ji Zhang (Ji Zhang)</v>
          </cell>
          <cell r="T948" t="str">
            <v>欧阳溢巍 Nathan (Yiwei Ouyang),尚青蓓 Suki （Qingbei Shang）</v>
          </cell>
        </row>
        <row r="949">
          <cell r="G949" t="str">
            <v>NE 东北大区PA 宾州片区TEB01</v>
          </cell>
          <cell r="H949" t="str">
            <v>Station Head 站长</v>
          </cell>
          <cell r="I949" t="str">
            <v>TY_休息日</v>
          </cell>
        </row>
        <row r="949">
          <cell r="L949" t="str">
            <v>正确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 t="str">
            <v>孙可君Monica（Kejun Sun）</v>
          </cell>
          <cell r="S949" t="str">
            <v>马聪Cong (Cong Ma)</v>
          </cell>
          <cell r="T949" t="str">
            <v>朱晗宇 Peter (Hanyu Zhu)</v>
          </cell>
        </row>
        <row r="950">
          <cell r="G950" t="str">
            <v>MS 中南大区ATL.H操作组</v>
          </cell>
          <cell r="H950" t="str">
            <v>Warehouse Lead 操作组长</v>
          </cell>
          <cell r="I950" t="str">
            <v>TY_18:00</v>
          </cell>
          <cell r="J950" t="str">
            <v>17:48</v>
          </cell>
          <cell r="K950" t="str">
            <v>03:11</v>
          </cell>
          <cell r="L950" t="str">
            <v>正确</v>
          </cell>
          <cell r="M950">
            <v>0</v>
          </cell>
          <cell r="N950">
            <v>8.88</v>
          </cell>
          <cell r="O950">
            <v>0.88</v>
          </cell>
          <cell r="P950">
            <v>0</v>
          </cell>
          <cell r="Q950">
            <v>0</v>
          </cell>
          <cell r="R950" t="str">
            <v>欧阳迎春Flower（Yingchun Ouyang）</v>
          </cell>
          <cell r="S950" t="str">
            <v>杨云飞</v>
          </cell>
          <cell r="T950" t="str">
            <v>Minqing (Minqing Xu),罗煜雄 Mike (Yuxiong Luo),明杰麟Jennie (Jielin Ming)</v>
          </cell>
          <cell r="U950" t="str">
            <v>文艳平</v>
          </cell>
        </row>
        <row r="951">
          <cell r="G951" t="str">
            <v>Ground项目部OG 美西区SE981</v>
          </cell>
          <cell r="H951" t="str">
            <v>Station Operations Specialist 站点运营专员</v>
          </cell>
          <cell r="I951" t="str">
            <v>TY_06:30</v>
          </cell>
          <cell r="J951" t="str">
            <v>06:53</v>
          </cell>
          <cell r="K951" t="str">
            <v>15:16</v>
          </cell>
          <cell r="L951" t="str">
            <v>正确</v>
          </cell>
          <cell r="M951">
            <v>0</v>
          </cell>
          <cell r="N951">
            <v>7.88</v>
          </cell>
          <cell r="O951">
            <v>0</v>
          </cell>
          <cell r="P951">
            <v>0</v>
          </cell>
          <cell r="Q951">
            <v>0</v>
          </cell>
          <cell r="R951" t="str">
            <v>王安琪 (Anqi Wang),张朱同 Thomson（Zhutong Zhang）</v>
          </cell>
          <cell r="S951" t="str">
            <v>陈锦昭</v>
          </cell>
          <cell r="T951" t="str">
            <v>张潇予（Angelia）Xiaoyu Zhang</v>
          </cell>
        </row>
        <row r="952">
          <cell r="G952" t="str">
            <v>NE 东北大区BOS01</v>
          </cell>
          <cell r="H952" t="str">
            <v>Station Operations Specialist 站点运营专员</v>
          </cell>
          <cell r="I952" t="str">
            <v>TY_06:00</v>
          </cell>
          <cell r="J952" t="str">
            <v>06:12</v>
          </cell>
          <cell r="K952" t="str">
            <v>14:54</v>
          </cell>
          <cell r="L952" t="str">
            <v>正确</v>
          </cell>
          <cell r="M952">
            <v>0</v>
          </cell>
          <cell r="N952">
            <v>8.2</v>
          </cell>
          <cell r="O952">
            <v>0.2</v>
          </cell>
          <cell r="P952">
            <v>0</v>
          </cell>
          <cell r="Q952">
            <v>0</v>
          </cell>
          <cell r="R952" t="str">
            <v>孙可君Monica（Kejun Sun）</v>
          </cell>
          <cell r="S952" t="str">
            <v>马聪Cong (Cong Ma)</v>
          </cell>
        </row>
        <row r="953">
          <cell r="G953" t="str">
            <v>WE 美西大区NC 北加片区SFO01</v>
          </cell>
          <cell r="H953" t="str">
            <v>Station Operations Specialist 站点运营专员</v>
          </cell>
          <cell r="I953" t="str">
            <v>TY_07:00</v>
          </cell>
          <cell r="J953" t="str">
            <v>06:50</v>
          </cell>
          <cell r="K953" t="str">
            <v>15:26</v>
          </cell>
          <cell r="L953" t="str">
            <v>正确</v>
          </cell>
          <cell r="M953">
            <v>0</v>
          </cell>
          <cell r="N953">
            <v>8.1</v>
          </cell>
          <cell r="O953">
            <v>0.1</v>
          </cell>
          <cell r="P953">
            <v>0</v>
          </cell>
          <cell r="Q953">
            <v>0</v>
          </cell>
          <cell r="R953" t="str">
            <v>王骞Ariel（Qian Wang）,叶秀芳Freya (Xiufang Ye)</v>
          </cell>
          <cell r="S953" t="str">
            <v>常哲</v>
          </cell>
          <cell r="T953" t="str">
            <v>林美浚（Meijun Lin）</v>
          </cell>
        </row>
        <row r="954">
          <cell r="G954" t="str">
            <v>WE 美西大区NC 北加片区SFO.H</v>
          </cell>
          <cell r="H954" t="str">
            <v>Warehouse Operator 操作员</v>
          </cell>
          <cell r="I954" t="str">
            <v>TY_14:00</v>
          </cell>
          <cell r="J954" t="str">
            <v>14:36</v>
          </cell>
          <cell r="K954" t="str">
            <v>23:39</v>
          </cell>
          <cell r="L954" t="str">
            <v>正确</v>
          </cell>
          <cell r="M954">
            <v>0</v>
          </cell>
          <cell r="N954">
            <v>8.55</v>
          </cell>
          <cell r="O954">
            <v>0.55</v>
          </cell>
          <cell r="P954">
            <v>60.41</v>
          </cell>
          <cell r="Q954">
            <v>20.41</v>
          </cell>
          <cell r="R954" t="str">
            <v>王骞Ariel（Qian Wang）,叶秀芳Freya (Xiufang Ye)</v>
          </cell>
          <cell r="S954" t="str">
            <v>常哲</v>
          </cell>
          <cell r="T954" t="str">
            <v>林美浚（Meijun Lin）</v>
          </cell>
        </row>
        <row r="955">
          <cell r="G955" t="str">
            <v>Ground项目部OG 美西区CNO.G</v>
          </cell>
          <cell r="H955" t="str">
            <v>Dispatcher 调度员</v>
          </cell>
          <cell r="I955" t="str">
            <v>TY_09:00</v>
          </cell>
        </row>
        <row r="955">
          <cell r="L955" t="str">
            <v>/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 t="str">
            <v>王安琪 (Anqi Wang),张朱同 Thomson（Zhutong Zhang）</v>
          </cell>
          <cell r="S955" t="str">
            <v>陈锦昭</v>
          </cell>
          <cell r="T955" t="str">
            <v>张弘毅 Hongyi （Hongyi Zhang）</v>
          </cell>
        </row>
        <row r="956">
          <cell r="G956" t="str">
            <v>MS 中南大区CLT.H调度组</v>
          </cell>
          <cell r="H956" t="str">
            <v>Dispatch Lead 调度组长</v>
          </cell>
          <cell r="I956" t="str">
            <v>TY_13:30</v>
          </cell>
          <cell r="J956" t="str">
            <v>13:19</v>
          </cell>
          <cell r="K956" t="str">
            <v>22:42</v>
          </cell>
          <cell r="L956" t="str">
            <v>正确</v>
          </cell>
          <cell r="M956">
            <v>0</v>
          </cell>
          <cell r="N956">
            <v>8.88</v>
          </cell>
          <cell r="O956">
            <v>0.88</v>
          </cell>
          <cell r="P956">
            <v>0</v>
          </cell>
          <cell r="Q956">
            <v>0</v>
          </cell>
          <cell r="R956" t="str">
            <v>欧阳迎春Flower（Yingchun Ouyang）</v>
          </cell>
          <cell r="S956" t="str">
            <v>杨云飞</v>
          </cell>
          <cell r="T956" t="str">
            <v>Minqing (Minqing Xu),罗煜雄 Mike (Yuxiong Luo)</v>
          </cell>
        </row>
        <row r="957">
          <cell r="G957" t="str">
            <v>WE 美西大区NC 北加片区SFO.H</v>
          </cell>
          <cell r="H957" t="str">
            <v>Dispatcher 调度员</v>
          </cell>
          <cell r="I957" t="str">
            <v>TY_14:00</v>
          </cell>
          <cell r="J957" t="str">
            <v>14:08</v>
          </cell>
          <cell r="K957" t="str">
            <v>23:00</v>
          </cell>
          <cell r="L957" t="str">
            <v>正确</v>
          </cell>
          <cell r="M957">
            <v>0</v>
          </cell>
          <cell r="N957">
            <v>8.37</v>
          </cell>
          <cell r="O957">
            <v>0.37</v>
          </cell>
          <cell r="P957">
            <v>0</v>
          </cell>
          <cell r="Q957">
            <v>0</v>
          </cell>
          <cell r="R957" t="str">
            <v>王骞Ariel（Qian Wang）,叶秀芳Freya (Xiufang Ye)</v>
          </cell>
          <cell r="S957" t="str">
            <v>常哲</v>
          </cell>
          <cell r="T957" t="str">
            <v>林美浚（Meijun Lin）</v>
          </cell>
        </row>
        <row r="958">
          <cell r="G958" t="str">
            <v>WE 美西大区CNO.H操作组</v>
          </cell>
          <cell r="H958" t="str">
            <v>Warehouse Lead 操作组长</v>
          </cell>
          <cell r="I958" t="str">
            <v>TY_11:00</v>
          </cell>
          <cell r="J958" t="str">
            <v>10:28</v>
          </cell>
          <cell r="K958" t="str">
            <v>00:31</v>
          </cell>
          <cell r="L958" t="str">
            <v>正确</v>
          </cell>
          <cell r="M958">
            <v>0</v>
          </cell>
          <cell r="N958">
            <v>13.55</v>
          </cell>
          <cell r="O958">
            <v>5.55</v>
          </cell>
          <cell r="P958">
            <v>0</v>
          </cell>
          <cell r="Q958">
            <v>0</v>
          </cell>
          <cell r="R958" t="str">
            <v>王骞Ariel（Qian Wang）,叶秀芳Freya (Xiufang Ye)</v>
          </cell>
          <cell r="S958" t="str">
            <v>常哲</v>
          </cell>
          <cell r="T958" t="str">
            <v>Minqing (Minqing Xu),罗煜雄 Mike (Yuxiong Luo)</v>
          </cell>
        </row>
        <row r="959">
          <cell r="G959" t="str">
            <v>QC 质量控制部全链路组</v>
          </cell>
          <cell r="H959" t="str">
            <v>Junior End-to-End QC Specialist 初级全链路质控专员</v>
          </cell>
          <cell r="I959" t="str">
            <v>TY_休息日</v>
          </cell>
        </row>
        <row r="959">
          <cell r="L959" t="str">
            <v>正确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 t="str">
            <v>袁博闻(Bowen Yuan)</v>
          </cell>
        </row>
        <row r="960">
          <cell r="G960" t="str">
            <v>NE 东北大区EWR.H分拣组</v>
          </cell>
          <cell r="H960" t="str">
            <v>Sorter 分拣员</v>
          </cell>
          <cell r="I960" t="str">
            <v>TY_18:00</v>
          </cell>
          <cell r="J960" t="str">
            <v>19:07</v>
          </cell>
          <cell r="K960" t="str">
            <v>07:57</v>
          </cell>
          <cell r="L960" t="str">
            <v>不正确</v>
          </cell>
          <cell r="M960">
            <v>0</v>
          </cell>
          <cell r="N960">
            <v>12.33</v>
          </cell>
          <cell r="O960">
            <v>4.33</v>
          </cell>
          <cell r="P960">
            <v>0</v>
          </cell>
          <cell r="Q960">
            <v>0</v>
          </cell>
          <cell r="R960" t="str">
            <v>孙可君Monica（Kejun Sun）</v>
          </cell>
          <cell r="S960" t="str">
            <v>马聪Cong (Cong Ma)</v>
          </cell>
          <cell r="T960" t="str">
            <v>张双甫(Shuangfu Zhang)</v>
          </cell>
        </row>
        <row r="961">
          <cell r="G961" t="str">
            <v>NE 东北大区揽收部揽收调度组</v>
          </cell>
          <cell r="H961" t="str">
            <v>Pickup Dispatcher 揽收调度员</v>
          </cell>
          <cell r="I961" t="str">
            <v>TY_休息日</v>
          </cell>
        </row>
        <row r="961">
          <cell r="L961" t="str">
            <v>正确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 t="str">
            <v>孙可君Monica（Kejun Sun）</v>
          </cell>
          <cell r="S961" t="str">
            <v>马聪Cong (Cong Ma)</v>
          </cell>
        </row>
        <row r="962">
          <cell r="G962" t="str">
            <v>GL 大湖大区EG 东大湖片区DTW01</v>
          </cell>
          <cell r="H962" t="str">
            <v>Station Operations Specialist 站点运营专员</v>
          </cell>
          <cell r="I962" t="str">
            <v>TY_休息日</v>
          </cell>
        </row>
        <row r="962">
          <cell r="L962" t="str">
            <v>正确</v>
          </cell>
          <cell r="M962">
            <v>0</v>
          </cell>
          <cell r="N962">
            <v>0</v>
          </cell>
          <cell r="O962">
            <v>0</v>
          </cell>
          <cell r="P962">
            <v>40.72</v>
          </cell>
          <cell r="Q962">
            <v>0.72</v>
          </cell>
          <cell r="R962" t="str">
            <v>王晓丹 Jasmine（Xiaodan Wang）,周延舒Isabel（Yanshu Zhou）</v>
          </cell>
          <cell r="S962" t="str">
            <v>张骥Ji Zhang (Ji Zhang)</v>
          </cell>
          <cell r="T962" t="str">
            <v>肖泓杰 Leo （hongjie Xiao）,尚青蓓 Suki （Qingbei Shang）</v>
          </cell>
        </row>
        <row r="963">
          <cell r="G963" t="str">
            <v>TX 德州大区IAH.H异常处理组</v>
          </cell>
          <cell r="H963" t="str">
            <v>Returns Specialist 退件员</v>
          </cell>
          <cell r="I963" t="str">
            <v>TY_08:00</v>
          </cell>
          <cell r="J963" t="str">
            <v>07:54</v>
          </cell>
          <cell r="K963" t="str">
            <v>17:17</v>
          </cell>
          <cell r="L963" t="str">
            <v>正确</v>
          </cell>
          <cell r="M963">
            <v>0</v>
          </cell>
          <cell r="N963">
            <v>8.88</v>
          </cell>
          <cell r="O963">
            <v>0.88</v>
          </cell>
          <cell r="P963">
            <v>0</v>
          </cell>
          <cell r="Q963">
            <v>0</v>
          </cell>
          <cell r="R963" t="str">
            <v>肖芦莉Lily (Luli Xiao)</v>
          </cell>
          <cell r="S963" t="str">
            <v>张骥Ji Zhang (Ji Zhang)</v>
          </cell>
          <cell r="T963" t="str">
            <v>Minqing (Minqing Xu),罗煜雄 Mike (Yuxiong Luo)</v>
          </cell>
        </row>
        <row r="964">
          <cell r="G964" t="str">
            <v>NE 东北大区EWR.H综办组</v>
          </cell>
          <cell r="H964" t="str">
            <v>Warehouse Clerk 仓库文员</v>
          </cell>
          <cell r="I964" t="str">
            <v>TY_11:30</v>
          </cell>
          <cell r="J964" t="str">
            <v>11:39</v>
          </cell>
          <cell r="K964" t="str">
            <v>20:52</v>
          </cell>
          <cell r="L964" t="str">
            <v>正确</v>
          </cell>
          <cell r="M964">
            <v>0</v>
          </cell>
          <cell r="N964">
            <v>8.72</v>
          </cell>
          <cell r="O964">
            <v>0.72</v>
          </cell>
          <cell r="P964">
            <v>0</v>
          </cell>
          <cell r="Q964">
            <v>0</v>
          </cell>
          <cell r="R964" t="str">
            <v>孙可君Monica（Kejun Sun）</v>
          </cell>
          <cell r="S964" t="str">
            <v>马聪Cong (Cong Ma)</v>
          </cell>
          <cell r="T964" t="str">
            <v>Minqing (Minqing Xu),罗煜雄 Mike (Yuxiong Luo)</v>
          </cell>
        </row>
        <row r="965">
          <cell r="G965" t="str">
            <v>TX 德州大区CT 中德州片区AUS01</v>
          </cell>
          <cell r="H965" t="str">
            <v>Station Operations Specialist 站点运营专员</v>
          </cell>
          <cell r="I965" t="str">
            <v>TY_休息日</v>
          </cell>
        </row>
        <row r="965">
          <cell r="L965" t="str">
            <v>正确</v>
          </cell>
          <cell r="M965">
            <v>0</v>
          </cell>
          <cell r="N965">
            <v>0</v>
          </cell>
          <cell r="O965">
            <v>0</v>
          </cell>
          <cell r="P965">
            <v>11</v>
          </cell>
          <cell r="Q965">
            <v>0</v>
          </cell>
          <cell r="R965" t="str">
            <v>肖芦莉Lily (Luli Xiao)</v>
          </cell>
          <cell r="S965" t="str">
            <v>张骥Ji Zhang (Ji Zhang)</v>
          </cell>
          <cell r="T965" t="str">
            <v>马铭 Ming (Ming Ma)</v>
          </cell>
        </row>
        <row r="966">
          <cell r="G966" t="str">
            <v>NE 东北大区DC 华盛顿片区PNE01</v>
          </cell>
          <cell r="H966" t="str">
            <v>Station Operations Specialist 站点运营专员</v>
          </cell>
          <cell r="I966" t="str">
            <v>TY_06:00</v>
          </cell>
          <cell r="J966" t="str">
            <v>05:49</v>
          </cell>
          <cell r="K966" t="str">
            <v>15:52</v>
          </cell>
          <cell r="L966" t="str">
            <v>正确</v>
          </cell>
          <cell r="M966">
            <v>0</v>
          </cell>
          <cell r="N966">
            <v>9.55</v>
          </cell>
          <cell r="O966">
            <v>1.55</v>
          </cell>
          <cell r="P966">
            <v>0</v>
          </cell>
          <cell r="Q966">
            <v>0</v>
          </cell>
          <cell r="R966" t="str">
            <v>孙可君Monica（Kejun Sun）</v>
          </cell>
          <cell r="S966" t="str">
            <v>马聪Cong (Cong Ma)</v>
          </cell>
          <cell r="T966" t="str">
            <v>朱晗宇 Peter (Hanyu Zhu)</v>
          </cell>
        </row>
        <row r="967">
          <cell r="G967" t="str">
            <v>TX 德州大区运营支持部区域支持组</v>
          </cell>
          <cell r="H967" t="str">
            <v>Regional Support Specialist 区域支持专员</v>
          </cell>
          <cell r="I967" t="str">
            <v>TY_休息日</v>
          </cell>
        </row>
        <row r="967">
          <cell r="L967" t="str">
            <v>正确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 t="str">
            <v>肖芦莉Lily (Luli Xiao)</v>
          </cell>
          <cell r="S967" t="str">
            <v>张骥Ji Zhang (Ji Zhang)</v>
          </cell>
        </row>
        <row r="968">
          <cell r="G968" t="str">
            <v>Ground项目部OG 美中区ORD.G</v>
          </cell>
          <cell r="H968" t="str">
            <v>Warehouse Clerk 仓库文员</v>
          </cell>
          <cell r="I968" t="str">
            <v>TY_休息日</v>
          </cell>
        </row>
        <row r="968">
          <cell r="L968" t="str">
            <v>正确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 t="str">
            <v>王安琪 (Anqi Wang),张朱同 Thomson（Zhutong Zhang）</v>
          </cell>
          <cell r="S968" t="str">
            <v>陈锦昭</v>
          </cell>
        </row>
        <row r="969">
          <cell r="G969" t="str">
            <v>WE 美西大区NC 北加片区SFO.H</v>
          </cell>
          <cell r="H969" t="str">
            <v>Sorter 分拣员</v>
          </cell>
          <cell r="I969" t="str">
            <v>TY_15:00</v>
          </cell>
          <cell r="J969" t="str">
            <v>14:56</v>
          </cell>
          <cell r="K969" t="str">
            <v>23:31</v>
          </cell>
          <cell r="L969" t="str">
            <v>正确</v>
          </cell>
          <cell r="M969">
            <v>0</v>
          </cell>
          <cell r="N969">
            <v>8.08</v>
          </cell>
          <cell r="O969">
            <v>0.08</v>
          </cell>
          <cell r="P969">
            <v>0</v>
          </cell>
          <cell r="Q969">
            <v>0</v>
          </cell>
          <cell r="R969" t="str">
            <v>王骞Ariel（Qian Wang）,叶秀芳Freya (Xiufang Ye)</v>
          </cell>
          <cell r="S969" t="str">
            <v>常哲</v>
          </cell>
          <cell r="T969" t="str">
            <v>林美浚（Meijun Lin）</v>
          </cell>
        </row>
        <row r="970">
          <cell r="G970" t="str">
            <v>WE 美西大区NC 北加片区SMF01</v>
          </cell>
          <cell r="H970" t="str">
            <v>Station Operations Specialist 站点运营专员(兼)</v>
          </cell>
          <cell r="I970" t="str">
            <v>TY_05:00</v>
          </cell>
          <cell r="J970" t="str">
            <v>04:40</v>
          </cell>
          <cell r="K970" t="str">
            <v>14:03</v>
          </cell>
          <cell r="L970" t="str">
            <v>正确</v>
          </cell>
          <cell r="M970">
            <v>0</v>
          </cell>
          <cell r="N970">
            <v>8.88</v>
          </cell>
          <cell r="O970">
            <v>0.88</v>
          </cell>
          <cell r="P970">
            <v>0</v>
          </cell>
          <cell r="Q970">
            <v>0</v>
          </cell>
          <cell r="R970" t="str">
            <v>王骞Ariel（Qian Wang）,叶秀芳Freya (Xiufang Ye)</v>
          </cell>
          <cell r="S970" t="str">
            <v>常哲</v>
          </cell>
          <cell r="T970" t="str">
            <v>林美浚（Meijun Lin）</v>
          </cell>
        </row>
        <row r="971">
          <cell r="G971" t="str">
            <v>FL 佛州大区NF 北佛片区JAX01</v>
          </cell>
          <cell r="H971" t="str">
            <v>Station Head 站长</v>
          </cell>
          <cell r="I971" t="str">
            <v>TY_05:00</v>
          </cell>
          <cell r="J971" t="str">
            <v>05:42</v>
          </cell>
          <cell r="K971" t="str">
            <v>10:31</v>
          </cell>
          <cell r="L971" t="str">
            <v>正确</v>
          </cell>
          <cell r="M971">
            <v>0</v>
          </cell>
          <cell r="N971">
            <v>4.32</v>
          </cell>
          <cell r="O971">
            <v>0</v>
          </cell>
          <cell r="P971">
            <v>0</v>
          </cell>
          <cell r="Q971">
            <v>0</v>
          </cell>
          <cell r="R971" t="str">
            <v>Natalia (Natalia Padilla),孙婕 Jasmine（Sunjie）</v>
          </cell>
          <cell r="S971" t="str">
            <v>贺子强Jeff (Ziqiang He)</v>
          </cell>
          <cell r="T971" t="str">
            <v>黄燕娜 Nana (Yanna Huang)</v>
          </cell>
        </row>
        <row r="972">
          <cell r="G972" t="str">
            <v>GL 大湖大区CM 中西部中心片区CVG01</v>
          </cell>
          <cell r="H972" t="str">
            <v>Station Operations Specialist 站点运营专员</v>
          </cell>
          <cell r="I972" t="str">
            <v>TY_05:30</v>
          </cell>
          <cell r="J972" t="str">
            <v>05:34</v>
          </cell>
          <cell r="K972" t="str">
            <v>14:14</v>
          </cell>
          <cell r="L972" t="str">
            <v>正确</v>
          </cell>
          <cell r="M972">
            <v>0</v>
          </cell>
          <cell r="N972">
            <v>8.17</v>
          </cell>
          <cell r="O972">
            <v>0.17</v>
          </cell>
          <cell r="P972">
            <v>0</v>
          </cell>
          <cell r="Q972">
            <v>0</v>
          </cell>
          <cell r="R972" t="str">
            <v>王晓丹 Jasmine（Xiaodan Wang）,周延舒Isabel（Yanshu Zhou）</v>
          </cell>
          <cell r="S972" t="str">
            <v>张骥Ji Zhang (Ji Zhang)</v>
          </cell>
          <cell r="T972" t="str">
            <v>欧阳溢巍 Nathan (Yiwei Ouyang),尚青蓓 Suki （Qingbei Shang）</v>
          </cell>
        </row>
        <row r="973">
          <cell r="G973" t="str">
            <v>WE 美西大区CNO.H操作组</v>
          </cell>
          <cell r="H973" t="str">
            <v>Warehouse Operator 操作员</v>
          </cell>
          <cell r="I973" t="str">
            <v>TY_12:00</v>
          </cell>
          <cell r="J973" t="str">
            <v>09:55</v>
          </cell>
          <cell r="K973" t="str">
            <v>22:24</v>
          </cell>
          <cell r="L973" t="str">
            <v>不正确</v>
          </cell>
          <cell r="M973">
            <v>0</v>
          </cell>
          <cell r="N973">
            <v>11.98</v>
          </cell>
          <cell r="O973">
            <v>3.98</v>
          </cell>
          <cell r="P973">
            <v>0</v>
          </cell>
          <cell r="Q973">
            <v>0</v>
          </cell>
          <cell r="R973" t="str">
            <v>王骞Ariel（Qian Wang）,叶秀芳Freya (Xiufang Ye)</v>
          </cell>
          <cell r="S973" t="str">
            <v>常哲</v>
          </cell>
          <cell r="T973" t="str">
            <v>Minqing (Minqing Xu),罗煜雄 Mike (Yuxiong Luo)</v>
          </cell>
        </row>
        <row r="974">
          <cell r="G974" t="str">
            <v>GL 大湖大区MKE01</v>
          </cell>
          <cell r="H974" t="str">
            <v>Station Head 站长</v>
          </cell>
          <cell r="I974" t="str">
            <v>TY_休息日</v>
          </cell>
        </row>
        <row r="974">
          <cell r="L974" t="str">
            <v>正确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 t="str">
            <v>王晓丹 Jasmine（Xiaodan Wang）,周延舒Isabel（Yanshu Zhou）</v>
          </cell>
          <cell r="S974" t="str">
            <v>张骥Ji Zhang (Ji Zhang)</v>
          </cell>
        </row>
        <row r="975">
          <cell r="G975" t="str">
            <v>US人力资源部美洲HRBP组东北区HR组</v>
          </cell>
          <cell r="H975" t="str">
            <v>Junior Recruitment Specialist 初级招聘专员</v>
          </cell>
          <cell r="I975" t="str">
            <v>TY_休息日</v>
          </cell>
        </row>
        <row r="975">
          <cell r="L975" t="str">
            <v>正确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 t="str">
            <v>袁博闻(Bowen Yuan)</v>
          </cell>
        </row>
        <row r="976">
          <cell r="G976" t="str">
            <v>MS 中南大区CS 夏洛特及周边片区TRI01</v>
          </cell>
          <cell r="H976" t="str">
            <v>Station Operations Specialist 站点运营专员</v>
          </cell>
          <cell r="I976" t="str">
            <v>TY_06:00</v>
          </cell>
          <cell r="J976" t="str">
            <v>06:05</v>
          </cell>
        </row>
        <row r="976">
          <cell r="L976" t="str">
            <v>正确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 t="str">
            <v>欧阳迎春Flower（Yingchun Ouyang）</v>
          </cell>
          <cell r="S976" t="str">
            <v>杨云飞</v>
          </cell>
          <cell r="T976" t="str">
            <v>唐浩Thomas(Hao Tang)</v>
          </cell>
        </row>
        <row r="977">
          <cell r="G977" t="str">
            <v>TX 德州大区IAH.H分拣组</v>
          </cell>
          <cell r="H977" t="str">
            <v>Sorter 分拣员</v>
          </cell>
          <cell r="I977" t="str">
            <v>TY_11:00</v>
          </cell>
          <cell r="J977" t="str">
            <v>10:34</v>
          </cell>
          <cell r="K977" t="str">
            <v>20:15</v>
          </cell>
          <cell r="L977" t="str">
            <v>正确</v>
          </cell>
          <cell r="M977">
            <v>0</v>
          </cell>
          <cell r="N977">
            <v>9.18</v>
          </cell>
          <cell r="O977">
            <v>1.18</v>
          </cell>
          <cell r="P977">
            <v>25.58</v>
          </cell>
          <cell r="Q977">
            <v>0</v>
          </cell>
          <cell r="R977" t="str">
            <v>肖芦莉Lily (Luli Xiao)</v>
          </cell>
          <cell r="S977" t="str">
            <v>张骥Ji Zhang (Ji Zhang)</v>
          </cell>
          <cell r="T977" t="str">
            <v>张双甫(Shuangfu Zhang)</v>
          </cell>
        </row>
        <row r="978">
          <cell r="G978" t="str">
            <v>WE 美西大区SC 南加片区LA揽收部</v>
          </cell>
          <cell r="H978" t="str">
            <v>Pickup Dispatcher 揽收调度员</v>
          </cell>
          <cell r="I978" t="str">
            <v>TY_休息日</v>
          </cell>
        </row>
        <row r="978">
          <cell r="L978" t="str">
            <v>正确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 t="str">
            <v>王骞Ariel（Qian Wang）,叶秀芳Freya (Xiufang Ye)</v>
          </cell>
          <cell r="S978" t="str">
            <v>常哲</v>
          </cell>
          <cell r="T978" t="str">
            <v>尤梦楠Yuko（Mengnan You）</v>
          </cell>
        </row>
        <row r="979">
          <cell r="G979" t="str">
            <v>WE 美西大区NC 北加片区SFO.H</v>
          </cell>
          <cell r="H979" t="str">
            <v>Warehouse Lead 操作组长</v>
          </cell>
          <cell r="I979" t="str">
            <v>TY_休息日</v>
          </cell>
        </row>
        <row r="979">
          <cell r="L979" t="str">
            <v>正确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 t="str">
            <v>王骞Ariel（Qian Wang）,叶秀芳Freya (Xiufang Ye)</v>
          </cell>
          <cell r="S979" t="str">
            <v>常哲</v>
          </cell>
          <cell r="T979" t="str">
            <v>林美浚（Meijun Lin）</v>
          </cell>
        </row>
        <row r="980">
          <cell r="G980" t="str">
            <v>WE 美西大区运营支持部区域支持组</v>
          </cell>
          <cell r="H980" t="str">
            <v>Regional Support Specialist 区域支持专员</v>
          </cell>
          <cell r="I980" t="str">
            <v>TY_休息日</v>
          </cell>
        </row>
        <row r="980">
          <cell r="L980" t="str">
            <v>正确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 t="str">
            <v>王骞Ariel（Qian Wang）,叶秀芳Freya (Xiufang Ye)</v>
          </cell>
          <cell r="S980" t="str">
            <v>常哲</v>
          </cell>
        </row>
        <row r="981">
          <cell r="G981" t="str">
            <v>MS 中南大区CS 夏洛特及周边片区BNA01</v>
          </cell>
          <cell r="H981" t="str">
            <v>Station Operations Specialist 站点运营专员</v>
          </cell>
          <cell r="I981" t="str">
            <v>TY_休息日</v>
          </cell>
        </row>
        <row r="981">
          <cell r="L981" t="str">
            <v>正确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 t="str">
            <v>欧阳迎春Flower（Yingchun Ouyang）</v>
          </cell>
          <cell r="S981" t="str">
            <v>杨云飞</v>
          </cell>
          <cell r="T981" t="str">
            <v>苏盈如Sophie(Yingru Su)</v>
          </cell>
        </row>
        <row r="982">
          <cell r="G982" t="str">
            <v>DO 数字运营部美国技术支持组</v>
          </cell>
          <cell r="H982" t="str">
            <v>System Training Specialist 系统培训专员</v>
          </cell>
          <cell r="I982" t="str">
            <v>TY_06:00</v>
          </cell>
          <cell r="J982" t="str">
            <v>06:00</v>
          </cell>
          <cell r="K982" t="str">
            <v>15:00</v>
          </cell>
          <cell r="L982" t="str">
            <v>正确</v>
          </cell>
          <cell r="M982">
            <v>0</v>
          </cell>
          <cell r="N982">
            <v>8.5</v>
          </cell>
          <cell r="O982">
            <v>0.5</v>
          </cell>
          <cell r="P982">
            <v>0</v>
          </cell>
          <cell r="Q982">
            <v>0</v>
          </cell>
          <cell r="R982" t="str">
            <v>袁博闻(Bowen Yuan)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美区签字报表"/>
      <sheetName val="Sheet1"/>
    </sheetNames>
    <sheetDataSet>
      <sheetData sheetId="0"/>
      <sheetData sheetId="1">
        <row r="1">
          <cell r="B1" t="str">
            <v>工号</v>
          </cell>
          <cell r="C1" t="str">
            <v>三级部门</v>
          </cell>
          <cell r="D1" t="str">
            <v>四级部门</v>
          </cell>
          <cell r="E1" t="str">
            <v>五级部门</v>
          </cell>
          <cell r="F1" t="str">
            <v>考勤日期</v>
          </cell>
          <cell r="G1" t="str">
            <v>星期（week）</v>
          </cell>
          <cell r="H1" t="str">
            <v>班次属性</v>
          </cell>
          <cell r="I1" t="str">
            <v>班次上班时间</v>
          </cell>
          <cell r="J1" t="str">
            <v>班次下班时间</v>
          </cell>
          <cell r="K1" t="str">
            <v>首打卡时间</v>
          </cell>
          <cell r="L1" t="str">
            <v>打卡时间2</v>
          </cell>
          <cell r="M1" t="str">
            <v>打卡时间3</v>
          </cell>
          <cell r="N1" t="str">
            <v>打卡时间4</v>
          </cell>
          <cell r="O1" t="str">
            <v>打卡时间5</v>
          </cell>
          <cell r="P1" t="str">
            <v>打卡时间6</v>
          </cell>
          <cell r="Q1" t="str">
            <v>打卡时间7</v>
          </cell>
          <cell r="R1" t="str">
            <v>末打卡时间</v>
          </cell>
          <cell r="S1" t="str">
            <v>加班时间段开始1</v>
          </cell>
          <cell r="T1" t="str">
            <v>加班时间段结束1</v>
          </cell>
          <cell r="U1" t="str">
            <v>加班时间段开始2</v>
          </cell>
          <cell r="V1" t="str">
            <v>加班时间段结束2</v>
          </cell>
          <cell r="W1" t="str">
            <v>加班合计</v>
          </cell>
          <cell r="X1" t="str">
            <v>居家办公时间段开始1（完成）</v>
          </cell>
          <cell r="Y1" t="str">
            <v>居家办公时间段结束1（完成）</v>
          </cell>
          <cell r="Z1" t="str">
            <v>居家办公时间段开始2（完成）</v>
          </cell>
          <cell r="AA1" t="str">
            <v>居家办公时间段结束2（完成）</v>
          </cell>
          <cell r="AB1" t="str">
            <v>居家办公合计</v>
          </cell>
          <cell r="AC1" t="str">
            <v>居家办公时间段开始1（审批中）</v>
          </cell>
          <cell r="AD1" t="str">
            <v>居家办公时间段结束1（审批中）</v>
          </cell>
          <cell r="AE1" t="str">
            <v>居家办公时间段开始2（审批中）</v>
          </cell>
          <cell r="AF1" t="str">
            <v>居家办公时间段结束2（审批中）</v>
          </cell>
          <cell r="AG1" t="str">
            <v>居家办公合计（审批中）</v>
          </cell>
          <cell r="AH1" t="str">
            <v>公出开始时间段1</v>
          </cell>
          <cell r="AI1" t="str">
            <v>公出结束时间段1</v>
          </cell>
          <cell r="AJ1" t="str">
            <v>公出时间合计</v>
          </cell>
          <cell r="AK1" t="str">
            <v>出差开始时间1</v>
          </cell>
          <cell r="AL1" t="str">
            <v>出差结束时间1</v>
          </cell>
          <cell r="AM1" t="str">
            <v>出差时长</v>
          </cell>
          <cell r="AN1" t="str">
            <v>每日总工时(公式：末打卡-首打卡-班次午休时间+居家办公时长)</v>
          </cell>
        </row>
        <row r="2">
          <cell r="B2" t="str">
            <v>工号</v>
          </cell>
          <cell r="C2" t="str">
            <v>三级部门</v>
          </cell>
          <cell r="D2" t="str">
            <v>四级部门</v>
          </cell>
          <cell r="E2" t="str">
            <v>五级部门</v>
          </cell>
          <cell r="F2" t="str">
            <v>考勤日期</v>
          </cell>
          <cell r="G2" t="str">
            <v>星期（week）</v>
          </cell>
          <cell r="H2" t="str">
            <v>班次属性</v>
          </cell>
          <cell r="I2" t="str">
            <v>班次上班时间</v>
          </cell>
          <cell r="J2" t="str">
            <v>班次下班时间</v>
          </cell>
          <cell r="K2" t="str">
            <v>首打卡时间</v>
          </cell>
          <cell r="L2" t="str">
            <v>打卡时间2</v>
          </cell>
          <cell r="M2" t="str">
            <v>打卡时间3</v>
          </cell>
          <cell r="N2" t="str">
            <v>打卡时间4</v>
          </cell>
          <cell r="O2" t="str">
            <v>打卡时间5</v>
          </cell>
          <cell r="P2" t="str">
            <v>打卡时间6</v>
          </cell>
          <cell r="Q2" t="str">
            <v>打卡时间7</v>
          </cell>
          <cell r="R2" t="str">
            <v>末打卡时间</v>
          </cell>
          <cell r="S2" t="str">
            <v>加班时间段开始1</v>
          </cell>
          <cell r="T2" t="str">
            <v>加班时间段结束1</v>
          </cell>
          <cell r="U2" t="str">
            <v>加班时间段开始2</v>
          </cell>
          <cell r="V2" t="str">
            <v>加班时间段结束2</v>
          </cell>
          <cell r="W2" t="str">
            <v>加班合计</v>
          </cell>
          <cell r="X2" t="str">
            <v>居家办公时间段开始1（完成）</v>
          </cell>
          <cell r="Y2" t="str">
            <v>居家办公时间段结束1（完成）</v>
          </cell>
          <cell r="Z2" t="str">
            <v>居家办公时间段开始2（完成）</v>
          </cell>
          <cell r="AA2" t="str">
            <v>居家办公时间段结束2（完成）</v>
          </cell>
          <cell r="AB2" t="str">
            <v>居家办公合计</v>
          </cell>
          <cell r="AC2" t="str">
            <v>居家办公时间段开始1（审批中）</v>
          </cell>
          <cell r="AD2" t="str">
            <v>居家办公时间段结束1（审批中）</v>
          </cell>
          <cell r="AE2" t="str">
            <v>居家办公时间段开始2（审批中）</v>
          </cell>
          <cell r="AF2" t="str">
            <v>居家办公时间段结束2（审批中）</v>
          </cell>
          <cell r="AG2" t="str">
            <v>居家办公合计（审批中）</v>
          </cell>
          <cell r="AH2" t="str">
            <v>公出开始时间段1</v>
          </cell>
          <cell r="AI2" t="str">
            <v>公出结束时间段1</v>
          </cell>
          <cell r="AJ2" t="str">
            <v>公出时间合计</v>
          </cell>
          <cell r="AK2" t="str">
            <v>出差开始时间1</v>
          </cell>
          <cell r="AL2" t="str">
            <v>出差结束时间1</v>
          </cell>
          <cell r="AM2" t="str">
            <v>出差时长</v>
          </cell>
          <cell r="AN2" t="str">
            <v>每日总工时(公式：末打卡-首打卡-班次午休时间+居家办公时长)</v>
          </cell>
        </row>
        <row r="3">
          <cell r="B3" t="str">
            <v>GL500672</v>
          </cell>
          <cell r="C3" t="str">
            <v>FL 佛州大区</v>
          </cell>
          <cell r="D3" t="str">
            <v>WPB01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>
            <v>0</v>
          </cell>
        </row>
        <row r="4">
          <cell r="B4" t="str">
            <v>GL501448</v>
          </cell>
          <cell r="C4" t="str">
            <v>FL 佛州大区</v>
          </cell>
          <cell r="D4" t="str">
            <v>TPA01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/>
          </cell>
          <cell r="AM4" t="str">
            <v/>
          </cell>
          <cell r="AN4">
            <v>6.52</v>
          </cell>
        </row>
        <row r="5">
          <cell r="B5" t="str">
            <v>GL501793</v>
          </cell>
          <cell r="C5" t="str">
            <v>WE 美西大区</v>
          </cell>
          <cell r="D5" t="str">
            <v>CNO.H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/>
          </cell>
          <cell r="AM5" t="str">
            <v/>
          </cell>
          <cell r="AN5">
            <v>0</v>
          </cell>
        </row>
        <row r="6">
          <cell r="B6" t="str">
            <v>GL502870</v>
          </cell>
          <cell r="C6" t="str">
            <v>MS 中南大区</v>
          </cell>
          <cell r="D6" t="str">
            <v>RE 北卡和东南海岸片区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>
            <v>0</v>
          </cell>
        </row>
        <row r="7">
          <cell r="B7" t="str">
            <v>GL502454</v>
          </cell>
          <cell r="C7" t="str">
            <v>FL 佛州大区</v>
          </cell>
          <cell r="D7" t="str">
            <v>MIA.H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>
            <v>16.05</v>
          </cell>
        </row>
        <row r="8">
          <cell r="B8" t="str">
            <v>GL502827</v>
          </cell>
          <cell r="C8" t="str">
            <v>TX 德州大区</v>
          </cell>
          <cell r="D8" t="str">
            <v>GC 墨湾片区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>
            <v>0</v>
          </cell>
        </row>
        <row r="9">
          <cell r="B9" t="str">
            <v>GL500434</v>
          </cell>
          <cell r="C9" t="str">
            <v>WE 美西大区</v>
          </cell>
          <cell r="D9" t="str">
            <v>LAV.H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>
            <v>0</v>
          </cell>
        </row>
        <row r="10">
          <cell r="B10" t="str">
            <v>GL501635</v>
          </cell>
          <cell r="C10" t="str">
            <v>FL 佛州大区</v>
          </cell>
          <cell r="D10" t="str">
            <v>MIA.H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>
            <v>0</v>
          </cell>
        </row>
        <row r="11">
          <cell r="B11" t="str">
            <v>GL500972</v>
          </cell>
          <cell r="C11" t="str">
            <v>MS 中南大区</v>
          </cell>
          <cell r="D11" t="str">
            <v>AS 亚特兰大和南阿拉巴马片区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>
            <v>15.97</v>
          </cell>
        </row>
        <row r="12">
          <cell r="B12" t="str">
            <v>GL502227</v>
          </cell>
          <cell r="C12" t="str">
            <v>BD 本地客户部</v>
          </cell>
          <cell r="D12" t="str">
            <v>客服组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>
            <v>0</v>
          </cell>
        </row>
        <row r="13">
          <cell r="B13" t="str">
            <v>GL502535</v>
          </cell>
          <cell r="C13" t="str">
            <v>US人力资源部</v>
          </cell>
          <cell r="D13" t="str">
            <v>美洲HRBP组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>
            <v>0</v>
          </cell>
        </row>
        <row r="14">
          <cell r="B14" t="str">
            <v>GL501231</v>
          </cell>
          <cell r="C14" t="str">
            <v>AS 审计监察部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>
            <v>16</v>
          </cell>
        </row>
        <row r="15">
          <cell r="B15" t="str">
            <v>GL502356</v>
          </cell>
          <cell r="C15" t="str">
            <v>FL 佛州大区</v>
          </cell>
          <cell r="D15" t="str">
            <v>MIA.H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>
            <v>9.78</v>
          </cell>
        </row>
        <row r="16">
          <cell r="B16" t="str">
            <v>GL500334</v>
          </cell>
          <cell r="C16" t="str">
            <v>FL 佛州大区</v>
          </cell>
          <cell r="D16" t="str">
            <v>MIA.H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>
            <v>20.25</v>
          </cell>
        </row>
        <row r="17">
          <cell r="B17" t="str">
            <v>GL502559</v>
          </cell>
          <cell r="C17" t="str">
            <v>MS 中南大区</v>
          </cell>
          <cell r="D17" t="str">
            <v>CLT.H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>
            <v>17.42</v>
          </cell>
        </row>
        <row r="18">
          <cell r="B18" t="str">
            <v>GL502177</v>
          </cell>
          <cell r="C18" t="str">
            <v>WE 美西大区</v>
          </cell>
          <cell r="D18" t="str">
            <v>SC 南加片区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16.07</v>
          </cell>
        </row>
        <row r="19">
          <cell r="B19" t="str">
            <v>GL502562</v>
          </cell>
          <cell r="C19" t="str">
            <v>TX 德州大区</v>
          </cell>
          <cell r="D19" t="str">
            <v>NT 北德州片区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0</v>
          </cell>
        </row>
        <row r="20">
          <cell r="B20" t="str">
            <v>GL502239</v>
          </cell>
          <cell r="C20" t="str">
            <v>BD 本地客户部</v>
          </cell>
          <cell r="D20" t="str">
            <v>北美销售组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0</v>
          </cell>
        </row>
        <row r="21">
          <cell r="B21" t="str">
            <v>GL502898</v>
          </cell>
          <cell r="C21" t="str">
            <v>MS 中南大区</v>
          </cell>
          <cell r="D21" t="str">
            <v>AS 亚特兰大和南阿拉巴马片区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0</v>
          </cell>
        </row>
        <row r="22">
          <cell r="B22" t="str">
            <v>GL502241</v>
          </cell>
          <cell r="C22" t="str">
            <v>BD 本地客户部</v>
          </cell>
          <cell r="D22" t="str">
            <v>北美销售组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0</v>
          </cell>
        </row>
        <row r="23">
          <cell r="B23" t="str">
            <v>GL502245</v>
          </cell>
          <cell r="C23" t="str">
            <v>BD 本地客户部</v>
          </cell>
          <cell r="D23" t="str">
            <v>加拿大运营组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0</v>
          </cell>
        </row>
        <row r="24">
          <cell r="B24" t="str">
            <v>GL500938</v>
          </cell>
          <cell r="C24" t="str">
            <v>FL 佛州大区</v>
          </cell>
          <cell r="D24" t="str">
            <v>MCO.H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>
            <v>15.75</v>
          </cell>
        </row>
        <row r="25">
          <cell r="B25" t="str">
            <v>GL501806</v>
          </cell>
          <cell r="C25" t="str">
            <v>FL 佛州大区</v>
          </cell>
          <cell r="D25" t="str">
            <v>SRQ01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>
            <v>0</v>
          </cell>
        </row>
        <row r="26">
          <cell r="B26" t="str">
            <v>GL502240</v>
          </cell>
          <cell r="C26" t="str">
            <v>BD 本地客户部</v>
          </cell>
          <cell r="D26" t="str">
            <v>北美销售组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>
            <v>0</v>
          </cell>
        </row>
        <row r="27">
          <cell r="B27" t="str">
            <v>GL500500</v>
          </cell>
          <cell r="C27" t="str">
            <v>WE 美西大区</v>
          </cell>
          <cell r="D27" t="str">
            <v>LAV.H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>
            <v>0</v>
          </cell>
        </row>
        <row r="28">
          <cell r="B28" t="str">
            <v>GL502172</v>
          </cell>
          <cell r="C28" t="str">
            <v>WE 美西大区</v>
          </cell>
          <cell r="D28" t="str">
            <v>DS 丹佛·盐湖城片区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>
            <v>22.75</v>
          </cell>
        </row>
        <row r="29">
          <cell r="B29" t="str">
            <v>GL502586</v>
          </cell>
          <cell r="C29" t="str">
            <v>NE 东北大区</v>
          </cell>
          <cell r="D29" t="str">
            <v>运营支持部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>
            <v>0</v>
          </cell>
        </row>
        <row r="30">
          <cell r="B30" t="str">
            <v>GL500389</v>
          </cell>
          <cell r="C30" t="str">
            <v>WE 美西大区</v>
          </cell>
          <cell r="D30" t="str">
            <v>SC 南加片区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>
            <v>0</v>
          </cell>
        </row>
        <row r="31">
          <cell r="B31" t="str">
            <v>GL501561</v>
          </cell>
          <cell r="C31" t="str">
            <v>FL 佛州大区</v>
          </cell>
          <cell r="D31" t="str">
            <v>MCO.H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>
            <v>0</v>
          </cell>
        </row>
        <row r="32">
          <cell r="B32" t="str">
            <v>GL502560</v>
          </cell>
          <cell r="C32" t="str">
            <v>MS 中南大区</v>
          </cell>
          <cell r="D32" t="str">
            <v>CLT.H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>
            <v>18.34</v>
          </cell>
        </row>
        <row r="33">
          <cell r="B33" t="str">
            <v>GL502788</v>
          </cell>
          <cell r="C33" t="str">
            <v>TX 德州大区</v>
          </cell>
          <cell r="D33" t="str">
            <v>IAH.H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>
            <v>22.04</v>
          </cell>
        </row>
        <row r="34">
          <cell r="B34" t="str">
            <v>GL500309</v>
          </cell>
          <cell r="C34" t="str">
            <v>FL 佛州大区</v>
          </cell>
          <cell r="D34" t="str">
            <v>MCO01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>
            <v>8.7</v>
          </cell>
        </row>
        <row r="35">
          <cell r="B35" t="str">
            <v>GL500354</v>
          </cell>
          <cell r="C35" t="str">
            <v>FL 佛州大区</v>
          </cell>
          <cell r="D35" t="str">
            <v>MIA.H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>
            <v>8.53</v>
          </cell>
        </row>
        <row r="36">
          <cell r="B36" t="str">
            <v>GL500461</v>
          </cell>
          <cell r="C36" t="str">
            <v>FL 佛州大区</v>
          </cell>
          <cell r="D36" t="str">
            <v>MIA.H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>
            <v>9.53</v>
          </cell>
        </row>
        <row r="37">
          <cell r="B37" t="str">
            <v>GL501860</v>
          </cell>
          <cell r="C37" t="str">
            <v>BD 本地客户部</v>
          </cell>
          <cell r="D37" t="str">
            <v>北美销售组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>
            <v>0</v>
          </cell>
        </row>
        <row r="38">
          <cell r="B38" t="str">
            <v>GL501516</v>
          </cell>
          <cell r="C38" t="str">
            <v>MS 中南大区</v>
          </cell>
          <cell r="D38" t="str">
            <v>AS 亚特兰大和南阿拉巴马片区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>
            <v>15.97</v>
          </cell>
        </row>
        <row r="39">
          <cell r="B39" t="str">
            <v>GL501246</v>
          </cell>
          <cell r="C39" t="str">
            <v>FL 佛州大区</v>
          </cell>
          <cell r="D39" t="str">
            <v>MCO.H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>
            <v>8.23</v>
          </cell>
        </row>
        <row r="40">
          <cell r="B40" t="str">
            <v>GL502235</v>
          </cell>
          <cell r="C40" t="str">
            <v>BD 本地客户部</v>
          </cell>
          <cell r="D40" t="str">
            <v>加拿大运营组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>
            <v>0</v>
          </cell>
        </row>
        <row r="41">
          <cell r="B41" t="str">
            <v>GL502747</v>
          </cell>
          <cell r="C41" t="str">
            <v>Ground项目部</v>
          </cell>
          <cell r="D41" t="str">
            <v>OG 美中区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>
            <v>0</v>
          </cell>
        </row>
        <row r="42">
          <cell r="B42" t="str">
            <v>GL502234</v>
          </cell>
          <cell r="C42" t="str">
            <v>BD 本地客户部</v>
          </cell>
          <cell r="D42" t="str">
            <v>定价分析组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>
            <v>0</v>
          </cell>
        </row>
        <row r="43">
          <cell r="B43" t="str">
            <v>GL502467</v>
          </cell>
          <cell r="C43" t="str">
            <v>BD 本地客户部</v>
          </cell>
          <cell r="D43" t="str">
            <v>北美销售组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>
            <v>0</v>
          </cell>
        </row>
        <row r="44">
          <cell r="B44" t="str">
            <v>GL501568</v>
          </cell>
          <cell r="C44" t="str">
            <v>MS 中南大区</v>
          </cell>
          <cell r="D44" t="str">
            <v>CS 夏洛特及周边片区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>
            <v>4.92</v>
          </cell>
        </row>
        <row r="45">
          <cell r="B45" t="str">
            <v>GL501002</v>
          </cell>
          <cell r="C45" t="str">
            <v>FL 佛州大区</v>
          </cell>
          <cell r="D45" t="str">
            <v>MCO.H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22.07</v>
          </cell>
        </row>
        <row r="46">
          <cell r="B46" t="str">
            <v>GL502741</v>
          </cell>
          <cell r="C46" t="str">
            <v>TX 德州大区</v>
          </cell>
          <cell r="D46" t="str">
            <v>DFW.H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>
            <v>9.23</v>
          </cell>
        </row>
        <row r="47">
          <cell r="B47" t="str">
            <v>GL501546</v>
          </cell>
          <cell r="C47" t="str">
            <v>FL 佛州大区</v>
          </cell>
          <cell r="D47" t="str">
            <v>MIA.H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>
            <v>9.07</v>
          </cell>
        </row>
        <row r="48">
          <cell r="B48" t="str">
            <v>GL502087</v>
          </cell>
          <cell r="C48" t="str">
            <v>WE 美西大区</v>
          </cell>
          <cell r="D48" t="str">
            <v>DS 丹佛·盐湖城片区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>
            <v>16.58</v>
          </cell>
        </row>
        <row r="49">
          <cell r="B49" t="str">
            <v>GL502226</v>
          </cell>
          <cell r="C49" t="str">
            <v>BD 本地客户部</v>
          </cell>
          <cell r="D49" t="str">
            <v>定价分析组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>
            <v>0</v>
          </cell>
        </row>
        <row r="50">
          <cell r="B50" t="str">
            <v>GL500295</v>
          </cell>
          <cell r="C50" t="str">
            <v>FL 佛州大区</v>
          </cell>
          <cell r="D50" t="str">
            <v>MIA.H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>
            <v>5</v>
          </cell>
        </row>
        <row r="51">
          <cell r="B51" t="str">
            <v>GL502624</v>
          </cell>
          <cell r="C51" t="str">
            <v>FL 佛州大区</v>
          </cell>
          <cell r="D51" t="str">
            <v>NF 北佛片区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>
            <v>16.13</v>
          </cell>
        </row>
        <row r="52">
          <cell r="B52" t="str">
            <v>GL501201</v>
          </cell>
          <cell r="C52" t="str">
            <v>WE 美西大区</v>
          </cell>
          <cell r="D52" t="str">
            <v>CNO.H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>
            <v>17.38</v>
          </cell>
        </row>
        <row r="53">
          <cell r="B53" t="str">
            <v>GL501659</v>
          </cell>
          <cell r="C53" t="str">
            <v>Ground项目部</v>
          </cell>
          <cell r="D53" t="str">
            <v>OG 美南区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>
            <v>8.1</v>
          </cell>
        </row>
        <row r="54">
          <cell r="B54" t="str">
            <v>GL501380</v>
          </cell>
          <cell r="C54" t="str">
            <v>MS 中南大区</v>
          </cell>
          <cell r="D54" t="str">
            <v>ATL.H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>
            <v>8.85</v>
          </cell>
        </row>
        <row r="55">
          <cell r="B55" t="str">
            <v>GL500499</v>
          </cell>
          <cell r="C55" t="str">
            <v>WE 美西大区</v>
          </cell>
          <cell r="D55" t="str">
            <v>LAV.H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>
            <v>0</v>
          </cell>
        </row>
        <row r="56">
          <cell r="B56" t="str">
            <v>GL502812</v>
          </cell>
          <cell r="C56" t="str">
            <v>WE 美西大区</v>
          </cell>
          <cell r="D56" t="str">
            <v>LAV.H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>
            <v>11.55</v>
          </cell>
        </row>
        <row r="57">
          <cell r="B57" t="str">
            <v>GL501678</v>
          </cell>
          <cell r="C57" t="str">
            <v>MS 中南大区</v>
          </cell>
          <cell r="D57" t="str">
            <v>ATL.H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>
            <v>9.98</v>
          </cell>
        </row>
        <row r="58">
          <cell r="B58" t="str">
            <v>GL501581</v>
          </cell>
          <cell r="C58" t="str">
            <v>FL 佛州大区</v>
          </cell>
          <cell r="D58" t="str">
            <v>OCF01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>
            <v>17.49</v>
          </cell>
        </row>
        <row r="59">
          <cell r="B59" t="str">
            <v>GL501004</v>
          </cell>
          <cell r="C59" t="str">
            <v>FL 佛州大区</v>
          </cell>
          <cell r="D59" t="str">
            <v>MCO.H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>
            <v>0</v>
          </cell>
        </row>
        <row r="60">
          <cell r="B60" t="str">
            <v>GL502299</v>
          </cell>
          <cell r="C60" t="str">
            <v>TX 德州大区</v>
          </cell>
          <cell r="D60" t="str">
            <v>GC 墨湾片区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>
            <v>8</v>
          </cell>
        </row>
        <row r="61">
          <cell r="B61" t="str">
            <v>GL500508</v>
          </cell>
          <cell r="C61" t="str">
            <v>NE 东北大区</v>
          </cell>
          <cell r="D61" t="str">
            <v>JFK.H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>
            <v>20.07</v>
          </cell>
        </row>
        <row r="62">
          <cell r="B62" t="str">
            <v>GL502597</v>
          </cell>
          <cell r="C62" t="str">
            <v>TX 德州大区</v>
          </cell>
          <cell r="D62" t="str">
            <v>CT 中德州片区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>
            <v>0</v>
          </cell>
        </row>
        <row r="63">
          <cell r="B63" t="str">
            <v>GL501646</v>
          </cell>
          <cell r="C63" t="str">
            <v>Ground项目部</v>
          </cell>
          <cell r="D63" t="str">
            <v>OG 美中区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>
            <v>24.18</v>
          </cell>
        </row>
        <row r="64">
          <cell r="B64" t="str">
            <v>GL501909</v>
          </cell>
          <cell r="C64" t="str">
            <v>TX 德州大区</v>
          </cell>
          <cell r="D64" t="str">
            <v>GC 墨湾片区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>
            <v>0</v>
          </cell>
        </row>
        <row r="65">
          <cell r="B65" t="str">
            <v>GL502488</v>
          </cell>
          <cell r="C65" t="str">
            <v>FL 佛州大区</v>
          </cell>
          <cell r="D65" t="str">
            <v>MIA.H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>
            <v>7.63</v>
          </cell>
        </row>
        <row r="66">
          <cell r="B66" t="str">
            <v>GL500551</v>
          </cell>
          <cell r="C66" t="str">
            <v>FL 佛州大区</v>
          </cell>
          <cell r="D66" t="str">
            <v>MIA.H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>
            <v>5</v>
          </cell>
        </row>
        <row r="67">
          <cell r="B67" t="str">
            <v>GL501000</v>
          </cell>
          <cell r="C67" t="str">
            <v>FL 佛州大区</v>
          </cell>
          <cell r="D67" t="str">
            <v>MCO.H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>
            <v>0</v>
          </cell>
        </row>
        <row r="68">
          <cell r="B68" t="str">
            <v>GL502840</v>
          </cell>
          <cell r="C68" t="str">
            <v>WE 美西大区</v>
          </cell>
          <cell r="D68" t="str">
            <v>CNO.H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>
            <v>10.55</v>
          </cell>
        </row>
        <row r="69">
          <cell r="B69" t="str">
            <v>GL501761</v>
          </cell>
          <cell r="C69" t="str">
            <v>WE 美西大区</v>
          </cell>
          <cell r="D69" t="str">
            <v>LAV.H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>
            <v>11.03</v>
          </cell>
        </row>
        <row r="70">
          <cell r="B70" t="str">
            <v>GL501250</v>
          </cell>
          <cell r="C70" t="str">
            <v>FL 佛州大区</v>
          </cell>
          <cell r="D70" t="str">
            <v>MCO.H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>
            <v>16.25</v>
          </cell>
        </row>
        <row r="71">
          <cell r="B71" t="str">
            <v>GL500262</v>
          </cell>
          <cell r="C71" t="str">
            <v>WE 美西大区</v>
          </cell>
          <cell r="D71" t="str">
            <v>运营支持部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>
            <v>0</v>
          </cell>
        </row>
        <row r="72">
          <cell r="B72" t="str">
            <v>GL502218</v>
          </cell>
          <cell r="C72" t="str">
            <v>Ground项目部</v>
          </cell>
          <cell r="D72" t="str">
            <v>OG 美南区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>
            <v>16.31</v>
          </cell>
        </row>
        <row r="73">
          <cell r="B73" t="str">
            <v>GL501966</v>
          </cell>
          <cell r="C73" t="str">
            <v>NE 东北大区</v>
          </cell>
          <cell r="D73" t="str">
            <v>EWR.H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>
            <v>0</v>
          </cell>
        </row>
        <row r="74">
          <cell r="B74" t="str">
            <v>GL502514</v>
          </cell>
          <cell r="C74" t="str">
            <v>GL 大湖大区</v>
          </cell>
          <cell r="D74" t="str">
            <v>CM 中西部中心片区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>
            <v>7.98</v>
          </cell>
        </row>
        <row r="75">
          <cell r="B75" t="str">
            <v>GL500462</v>
          </cell>
          <cell r="C75" t="str">
            <v>MS 中南大区</v>
          </cell>
          <cell r="D75" t="str">
            <v>ATL.H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>
            <v>17.86</v>
          </cell>
        </row>
        <row r="76">
          <cell r="B76" t="str">
            <v>GL501249</v>
          </cell>
          <cell r="C76" t="str">
            <v>FL 佛州大区</v>
          </cell>
          <cell r="D76" t="str">
            <v>MCO.H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>
            <v>12.63</v>
          </cell>
        </row>
        <row r="77">
          <cell r="B77" t="str">
            <v>GL501488</v>
          </cell>
          <cell r="C77" t="str">
            <v>FL 佛州大区</v>
          </cell>
          <cell r="D77" t="str">
            <v>SF 南佛片区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>
            <v>0</v>
          </cell>
        </row>
        <row r="78">
          <cell r="B78" t="str">
            <v>GL501103</v>
          </cell>
          <cell r="C78" t="str">
            <v>WE 美西大区</v>
          </cell>
          <cell r="D78" t="str">
            <v>CNO.H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>
            <v>14.95</v>
          </cell>
        </row>
        <row r="79">
          <cell r="B79" t="str">
            <v>GL500997</v>
          </cell>
          <cell r="C79" t="str">
            <v>FL 佛州大区</v>
          </cell>
          <cell r="D79" t="str">
            <v>MIA.H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>
            <v>8.32</v>
          </cell>
        </row>
        <row r="80">
          <cell r="B80" t="str">
            <v>GL501916</v>
          </cell>
          <cell r="C80" t="str">
            <v>WE 美西大区</v>
          </cell>
          <cell r="D80" t="str">
            <v>CNO.H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>
            <v>8.12</v>
          </cell>
        </row>
        <row r="81">
          <cell r="B81" t="str">
            <v>GL500080</v>
          </cell>
          <cell r="C81" t="str">
            <v>FL 佛州大区</v>
          </cell>
          <cell r="D81" t="str">
            <v>MIA.H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>
            <v>8.85</v>
          </cell>
        </row>
        <row r="82">
          <cell r="B82" t="str">
            <v>GL502368</v>
          </cell>
          <cell r="C82" t="str">
            <v>FL 佛州大区</v>
          </cell>
          <cell r="D82" t="str">
            <v>MIA.H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>
            <v>0</v>
          </cell>
        </row>
        <row r="83">
          <cell r="B83" t="str">
            <v>GL500498</v>
          </cell>
          <cell r="C83" t="str">
            <v>WE 美西大区</v>
          </cell>
          <cell r="D83" t="str">
            <v>LAV.H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>
            <v>21.75</v>
          </cell>
        </row>
        <row r="84">
          <cell r="B84" t="str">
            <v>GL501929</v>
          </cell>
          <cell r="C84" t="str">
            <v>NE 东北大区</v>
          </cell>
          <cell r="D84" t="str">
            <v>EWR.H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>
            <v>8.25</v>
          </cell>
        </row>
        <row r="85">
          <cell r="B85" t="str">
            <v>GL502486</v>
          </cell>
          <cell r="C85" t="str">
            <v>FL 佛州大区</v>
          </cell>
          <cell r="D85" t="str">
            <v>MIA.H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>
            <v>0</v>
          </cell>
        </row>
        <row r="86">
          <cell r="B86" t="str">
            <v>GL502718</v>
          </cell>
          <cell r="C86" t="str">
            <v>Ground项目部</v>
          </cell>
          <cell r="D86" t="str">
            <v>OG 美南区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>
            <v>0</v>
          </cell>
        </row>
        <row r="87">
          <cell r="B87" t="str">
            <v>GL500226</v>
          </cell>
          <cell r="C87" t="str">
            <v>WE 美西大区</v>
          </cell>
          <cell r="D87" t="str">
            <v>SC 南加片区</v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>
            <v>0</v>
          </cell>
        </row>
        <row r="88">
          <cell r="B88" t="str">
            <v>GL501547</v>
          </cell>
          <cell r="C88" t="str">
            <v>FL 佛州大区</v>
          </cell>
          <cell r="D88" t="str">
            <v>MIA.H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>
            <v>17.97</v>
          </cell>
        </row>
        <row r="89">
          <cell r="B89" t="str">
            <v>GL502015</v>
          </cell>
          <cell r="C89" t="str">
            <v>TX 德州大区</v>
          </cell>
          <cell r="D89" t="str">
            <v>CT 中德州片区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>
            <v>0</v>
          </cell>
        </row>
        <row r="90">
          <cell r="B90" t="str">
            <v>GL502369</v>
          </cell>
          <cell r="C90" t="str">
            <v>FL 佛州大区</v>
          </cell>
          <cell r="D90" t="str">
            <v>WF 西佛片区</v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>
            <v>6.33</v>
          </cell>
        </row>
        <row r="91">
          <cell r="B91" t="str">
            <v>GL500506</v>
          </cell>
          <cell r="C91" t="str">
            <v>NE 东北大区</v>
          </cell>
          <cell r="D91" t="str">
            <v>JFK.H</v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>
            <v>18.47</v>
          </cell>
        </row>
        <row r="92">
          <cell r="B92" t="str">
            <v>GL500254</v>
          </cell>
          <cell r="C92" t="str">
            <v>FL 佛州大区</v>
          </cell>
          <cell r="D92" t="str">
            <v>TPA01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>
            <v>8.58</v>
          </cell>
        </row>
        <row r="93">
          <cell r="B93" t="str">
            <v>GL502740</v>
          </cell>
          <cell r="C93" t="str">
            <v>GL 大湖大区</v>
          </cell>
          <cell r="D93" t="str">
            <v>WG 西大湖片区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>
            <v>8.22</v>
          </cell>
        </row>
        <row r="94">
          <cell r="B94" t="str">
            <v>GL500342</v>
          </cell>
          <cell r="C94" t="str">
            <v>FL 佛州大区</v>
          </cell>
          <cell r="D94" t="str">
            <v>MIA.H</v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>
            <v>13.58</v>
          </cell>
        </row>
        <row r="95">
          <cell r="B95" t="str">
            <v>GL500505</v>
          </cell>
          <cell r="C95" t="str">
            <v>NE 东北大区</v>
          </cell>
          <cell r="D95" t="str">
            <v>JFK.H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>
            <v>9.5</v>
          </cell>
        </row>
        <row r="96">
          <cell r="B96" t="str">
            <v>GL502381</v>
          </cell>
          <cell r="C96" t="str">
            <v>BD 本地客户部</v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>
            <v>0</v>
          </cell>
        </row>
        <row r="97">
          <cell r="B97" t="str">
            <v>GL500504</v>
          </cell>
          <cell r="C97" t="str">
            <v>NE 东北大区</v>
          </cell>
          <cell r="D97" t="str">
            <v>JFK.H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>
            <v>0</v>
          </cell>
        </row>
        <row r="98">
          <cell r="B98" t="str">
            <v>GL500612</v>
          </cell>
          <cell r="C98" t="str">
            <v>NE 东北大区</v>
          </cell>
          <cell r="D98" t="str">
            <v>JFK.H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>
            <v>0</v>
          </cell>
        </row>
        <row r="99">
          <cell r="B99" t="str">
            <v>GL502246</v>
          </cell>
          <cell r="C99" t="str">
            <v>BD 本地客户部</v>
          </cell>
          <cell r="D99" t="str">
            <v>销售支持组</v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>
            <v>0</v>
          </cell>
        </row>
        <row r="100">
          <cell r="B100" t="str">
            <v>GL501896</v>
          </cell>
          <cell r="C100" t="str">
            <v>NE 东北大区</v>
          </cell>
          <cell r="D100" t="str">
            <v>NY 纽约片区</v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/>
          </cell>
          <cell r="AN100">
            <v>8.12</v>
          </cell>
        </row>
        <row r="101">
          <cell r="B101" t="str">
            <v>GL500603</v>
          </cell>
          <cell r="C101" t="str">
            <v>WE 美西大区</v>
          </cell>
          <cell r="D101" t="str">
            <v>LAV.H</v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/>
          </cell>
          <cell r="AN101">
            <v>0</v>
          </cell>
        </row>
        <row r="102">
          <cell r="B102" t="str">
            <v>GL502510</v>
          </cell>
          <cell r="C102" t="str">
            <v>MS 中南大区</v>
          </cell>
          <cell r="D102" t="str">
            <v>BN 田纳西和北阿拉巴马片区</v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/>
          </cell>
          <cell r="AN102">
            <v>15.01</v>
          </cell>
        </row>
        <row r="103">
          <cell r="B103" t="str">
            <v>GL502229</v>
          </cell>
          <cell r="C103" t="str">
            <v>BD 本地客户部</v>
          </cell>
          <cell r="D103" t="str">
            <v>北美销售组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/>
          </cell>
          <cell r="AN103">
            <v>0</v>
          </cell>
        </row>
        <row r="104">
          <cell r="B104" t="str">
            <v>GL502244</v>
          </cell>
          <cell r="C104" t="str">
            <v>BD 本地客户部</v>
          </cell>
          <cell r="D104" t="str">
            <v>定价分析组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>
            <v>0</v>
          </cell>
        </row>
        <row r="105">
          <cell r="B105" t="str">
            <v>GL502633</v>
          </cell>
          <cell r="C105" t="str">
            <v>CS 客户服务部</v>
          </cell>
          <cell r="D105" t="str">
            <v>消费者客服组</v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/>
          </cell>
          <cell r="AN105">
            <v>0</v>
          </cell>
        </row>
        <row r="106">
          <cell r="B106" t="str">
            <v>GL501850</v>
          </cell>
          <cell r="C106" t="str">
            <v>WE 美西大区</v>
          </cell>
          <cell r="D106" t="str">
            <v>DS 丹佛·盐湖城片区</v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/>
          </cell>
          <cell r="AN106">
            <v>0</v>
          </cell>
        </row>
        <row r="107">
          <cell r="B107" t="str">
            <v>GL502237</v>
          </cell>
          <cell r="C107" t="str">
            <v>BD 本地客户部</v>
          </cell>
          <cell r="D107" t="str">
            <v>北美销售组</v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/>
          </cell>
          <cell r="AN107">
            <v>0</v>
          </cell>
        </row>
        <row r="108">
          <cell r="B108" t="str">
            <v>GL502175</v>
          </cell>
          <cell r="C108" t="str">
            <v>Ground项目部</v>
          </cell>
          <cell r="D108" t="str">
            <v>OG 美南区</v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/>
          </cell>
          <cell r="AN108">
            <v>10.83</v>
          </cell>
        </row>
        <row r="109">
          <cell r="B109" t="str">
            <v>GL501913</v>
          </cell>
          <cell r="C109" t="str">
            <v>Ground项目部</v>
          </cell>
          <cell r="D109" t="str">
            <v>OG 美东区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/>
          </cell>
          <cell r="AN109">
            <v>15.9</v>
          </cell>
        </row>
        <row r="110">
          <cell r="B110" t="str">
            <v>GL502416</v>
          </cell>
          <cell r="C110" t="str">
            <v>WE 美西大区</v>
          </cell>
          <cell r="D110" t="str">
            <v>运营支持部</v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>
            <v>16.02</v>
          </cell>
        </row>
        <row r="111">
          <cell r="B111" t="str">
            <v>GL501077</v>
          </cell>
          <cell r="C111" t="str">
            <v>FL 佛州大区</v>
          </cell>
          <cell r="D111" t="str">
            <v>MIA.H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>
            <v>16.85</v>
          </cell>
        </row>
        <row r="112">
          <cell r="B112" t="str">
            <v>GL502778</v>
          </cell>
          <cell r="C112" t="str">
            <v>WE 美西大区</v>
          </cell>
          <cell r="D112" t="str">
            <v>DS 丹佛·盐湖城片区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>
            <v>19.2</v>
          </cell>
        </row>
        <row r="113">
          <cell r="B113" t="str">
            <v>GL501505</v>
          </cell>
          <cell r="C113" t="str">
            <v>MS 中南大区</v>
          </cell>
          <cell r="D113" t="str">
            <v>ATL.H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/>
          </cell>
          <cell r="AN113">
            <v>8.48</v>
          </cell>
        </row>
        <row r="114">
          <cell r="B114" t="str">
            <v>GL502599</v>
          </cell>
          <cell r="C114" t="str">
            <v>NE 东北大区</v>
          </cell>
          <cell r="D114" t="str">
            <v>EWR.H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/>
          </cell>
          <cell r="AN114">
            <v>0</v>
          </cell>
        </row>
        <row r="115">
          <cell r="B115" t="str">
            <v>GL502707</v>
          </cell>
          <cell r="C115" t="str">
            <v>MS 中南大区</v>
          </cell>
          <cell r="D115" t="str">
            <v>CLT.H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/>
          </cell>
          <cell r="AN115">
            <v>19.12</v>
          </cell>
        </row>
        <row r="116">
          <cell r="B116" t="str">
            <v>GL501247</v>
          </cell>
          <cell r="C116" t="str">
            <v>FL 佛州大区</v>
          </cell>
          <cell r="D116" t="str">
            <v>MCO.H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/>
          </cell>
          <cell r="AN116">
            <v>0</v>
          </cell>
        </row>
        <row r="117">
          <cell r="B117" t="str">
            <v>GL501820</v>
          </cell>
          <cell r="C117" t="str">
            <v>NE 东北大区</v>
          </cell>
          <cell r="D117" t="str">
            <v>MA 新英格兰片区</v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>
            <v>8.05</v>
          </cell>
        </row>
        <row r="118">
          <cell r="B118" t="str">
            <v>GL502328</v>
          </cell>
          <cell r="C118" t="str">
            <v>TX 德州大区</v>
          </cell>
          <cell r="D118" t="str">
            <v>GC 墨湾片区</v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>
            <v>7.15</v>
          </cell>
        </row>
        <row r="119">
          <cell r="B119" t="str">
            <v>GL501807</v>
          </cell>
          <cell r="C119" t="str">
            <v>WE 美西大区</v>
          </cell>
          <cell r="D119" t="str">
            <v>CNO.H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>
            <v>6.32</v>
          </cell>
        </row>
        <row r="120">
          <cell r="B120" t="str">
            <v>GL501862</v>
          </cell>
          <cell r="C120" t="str">
            <v>MS 中南大区</v>
          </cell>
          <cell r="D120" t="str">
            <v>BN 田纳西和北阿拉巴马片区</v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>
            <v>9.38</v>
          </cell>
        </row>
        <row r="121">
          <cell r="B121" t="str">
            <v>GL502620</v>
          </cell>
          <cell r="C121" t="str">
            <v>GL 大湖大区</v>
          </cell>
          <cell r="D121" t="str">
            <v>ORD.H</v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/>
          </cell>
          <cell r="AN121">
            <v>16.67</v>
          </cell>
        </row>
        <row r="122">
          <cell r="B122" t="str">
            <v>GL502492</v>
          </cell>
          <cell r="C122" t="str">
            <v>Ground项目部</v>
          </cell>
          <cell r="D122" t="str">
            <v>OG 美西区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/>
          </cell>
          <cell r="AN122">
            <v>0</v>
          </cell>
        </row>
        <row r="123">
          <cell r="B123" t="str">
            <v>GL502491</v>
          </cell>
          <cell r="C123" t="str">
            <v>Ground项目部</v>
          </cell>
          <cell r="D123" t="str">
            <v>OG 美西区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/>
          </cell>
          <cell r="AN123">
            <v>0</v>
          </cell>
        </row>
        <row r="124">
          <cell r="B124" t="str">
            <v>GL502428</v>
          </cell>
          <cell r="C124" t="str">
            <v>TX 德州大区</v>
          </cell>
          <cell r="D124" t="str">
            <v>DFW.H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/>
          </cell>
          <cell r="AN124">
            <v>19.05</v>
          </cell>
        </row>
        <row r="125">
          <cell r="B125" t="str">
            <v>GL502451</v>
          </cell>
          <cell r="C125" t="str">
            <v>GL 大湖大区</v>
          </cell>
          <cell r="D125" t="str">
            <v>WG 西大湖片区</v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/>
          </cell>
          <cell r="AN125">
            <v>17.37</v>
          </cell>
        </row>
        <row r="126">
          <cell r="B126" t="str">
            <v>GL500509</v>
          </cell>
          <cell r="C126" t="str">
            <v>WE 美西大区</v>
          </cell>
          <cell r="D126" t="str">
            <v>LAV.H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/>
          </cell>
          <cell r="AN126">
            <v>19.53</v>
          </cell>
        </row>
        <row r="127">
          <cell r="B127" t="str">
            <v>GL502404</v>
          </cell>
          <cell r="C127" t="str">
            <v>MS 中南大区</v>
          </cell>
          <cell r="D127" t="str">
            <v>BN 田纳西和北阿拉巴马片区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H127" t="str">
            <v/>
          </cell>
          <cell r="AI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/>
          </cell>
          <cell r="AN127">
            <v>18.19</v>
          </cell>
        </row>
        <row r="128">
          <cell r="B128" t="str">
            <v>GL502660</v>
          </cell>
          <cell r="C128" t="str">
            <v>FL 佛州大区</v>
          </cell>
          <cell r="D128" t="str">
            <v>MCO.H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/>
          </cell>
          <cell r="AN128">
            <v>17.27</v>
          </cell>
        </row>
        <row r="129">
          <cell r="B129" t="str">
            <v>GL501259</v>
          </cell>
          <cell r="C129" t="str">
            <v>FL 佛州大区</v>
          </cell>
          <cell r="D129" t="str">
            <v>MCO.H</v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H129" t="str">
            <v/>
          </cell>
          <cell r="AI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/>
          </cell>
          <cell r="AN129">
            <v>10.22</v>
          </cell>
        </row>
        <row r="130">
          <cell r="B130" t="str">
            <v>GL501500</v>
          </cell>
          <cell r="C130" t="str">
            <v>WE 美西大区</v>
          </cell>
          <cell r="D130" t="str">
            <v>CNO.H</v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/>
          </cell>
          <cell r="AN130">
            <v>10.35</v>
          </cell>
        </row>
        <row r="131">
          <cell r="B131" t="str">
            <v>GL502662</v>
          </cell>
          <cell r="C131" t="str">
            <v>FL 佛州大区</v>
          </cell>
          <cell r="D131" t="str">
            <v>MF 中佛片区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/>
          </cell>
          <cell r="AN131">
            <v>17.24</v>
          </cell>
        </row>
        <row r="132">
          <cell r="B132" t="str">
            <v>GL501640</v>
          </cell>
          <cell r="C132" t="str">
            <v>FL 佛州大区</v>
          </cell>
          <cell r="D132" t="str">
            <v>MIA.H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/>
          </cell>
          <cell r="AN132">
            <v>0</v>
          </cell>
        </row>
        <row r="133">
          <cell r="B133" t="str">
            <v>GL502417</v>
          </cell>
          <cell r="C133" t="str">
            <v>Ground项目部</v>
          </cell>
          <cell r="D133" t="str">
            <v>OG 美西区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/>
          </cell>
          <cell r="AN133">
            <v>0</v>
          </cell>
        </row>
        <row r="134">
          <cell r="B134" t="str">
            <v>GL502781</v>
          </cell>
          <cell r="C134" t="str">
            <v>TX 德州大区</v>
          </cell>
          <cell r="D134" t="str">
            <v>GC 墨湾片区</v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/>
          </cell>
          <cell r="AN134">
            <v>0</v>
          </cell>
        </row>
        <row r="135">
          <cell r="B135" t="str">
            <v>GL502845</v>
          </cell>
          <cell r="C135" t="str">
            <v>NE 东北大区</v>
          </cell>
          <cell r="D135" t="str">
            <v>运营支持部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/>
          </cell>
          <cell r="AN135">
            <v>7.87</v>
          </cell>
        </row>
        <row r="136">
          <cell r="B136" t="str">
            <v>GL502592</v>
          </cell>
          <cell r="C136" t="str">
            <v>TX 德州大区</v>
          </cell>
          <cell r="D136" t="str">
            <v>揽收部</v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>
            <v>7.03</v>
          </cell>
        </row>
        <row r="137">
          <cell r="B137" t="str">
            <v>GL500497</v>
          </cell>
          <cell r="C137" t="str">
            <v>WE 美西大区</v>
          </cell>
          <cell r="D137" t="str">
            <v>LAV.H</v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>
            <v>11.62</v>
          </cell>
        </row>
        <row r="138">
          <cell r="B138" t="str">
            <v>GL502332</v>
          </cell>
          <cell r="C138" t="str">
            <v>CS 客户服务部</v>
          </cell>
          <cell r="D138" t="str">
            <v>消费者客服组</v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/>
          </cell>
          <cell r="AN138">
            <v>17.34</v>
          </cell>
        </row>
        <row r="139">
          <cell r="B139" t="str">
            <v>GL500974</v>
          </cell>
          <cell r="C139" t="str">
            <v>FL 佛州大区</v>
          </cell>
          <cell r="D139" t="str">
            <v>MCO.H</v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/>
          </cell>
          <cell r="AN139">
            <v>8.7</v>
          </cell>
        </row>
        <row r="140">
          <cell r="B140" t="str">
            <v>GL502233</v>
          </cell>
          <cell r="C140" t="str">
            <v>BD 本地客户部</v>
          </cell>
          <cell r="D140" t="str">
            <v>加拿大运营组</v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  <cell r="AN140">
            <v>0</v>
          </cell>
        </row>
        <row r="141">
          <cell r="B141" t="str">
            <v>GL502546</v>
          </cell>
          <cell r="C141" t="str">
            <v>Ground项目部</v>
          </cell>
          <cell r="D141" t="str">
            <v>OG 美西区</v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/>
          </cell>
          <cell r="AN141">
            <v>8.48</v>
          </cell>
        </row>
        <row r="142">
          <cell r="B142" t="str">
            <v>GL502231</v>
          </cell>
          <cell r="C142" t="str">
            <v>BD 本地客户部</v>
          </cell>
          <cell r="D142" t="str">
            <v>定价分析组</v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/>
          </cell>
          <cell r="AN142">
            <v>0</v>
          </cell>
        </row>
        <row r="143">
          <cell r="B143" t="str">
            <v>GL502547</v>
          </cell>
          <cell r="C143" t="str">
            <v>Ground项目部</v>
          </cell>
          <cell r="D143" t="str">
            <v>OG 美南区</v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/>
          </cell>
          <cell r="AN143">
            <v>8.13</v>
          </cell>
        </row>
        <row r="144">
          <cell r="B144" t="str">
            <v>GL502869</v>
          </cell>
          <cell r="C144" t="str">
            <v>MS 中南大区</v>
          </cell>
          <cell r="D144" t="str">
            <v>RE 北卡和东南海岸片区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/>
          </cell>
          <cell r="AN144">
            <v>0</v>
          </cell>
        </row>
        <row r="145">
          <cell r="B145" t="str">
            <v>GL500514</v>
          </cell>
          <cell r="C145" t="str">
            <v>OM 操作管理部</v>
          </cell>
          <cell r="D145" t="str">
            <v>实施运营组</v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/>
          </cell>
          <cell r="AN145">
            <v>14.76</v>
          </cell>
        </row>
        <row r="146">
          <cell r="B146" t="str">
            <v>GL502816</v>
          </cell>
          <cell r="C146" t="str">
            <v>MS 中南大区</v>
          </cell>
          <cell r="D146" t="str">
            <v>CS 夏洛特及周边片区</v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/>
          </cell>
          <cell r="AN146">
            <v>19.7</v>
          </cell>
        </row>
        <row r="147">
          <cell r="B147" t="str">
            <v>GL501456</v>
          </cell>
          <cell r="C147" t="str">
            <v>FL 佛州大区</v>
          </cell>
          <cell r="D147" t="str">
            <v>FTM01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/>
          </cell>
          <cell r="AN147">
            <v>12.65</v>
          </cell>
        </row>
        <row r="148">
          <cell r="B148" t="str">
            <v>GL502671</v>
          </cell>
          <cell r="C148" t="str">
            <v>FL 佛州大区</v>
          </cell>
          <cell r="D148" t="str">
            <v>WF 西佛片区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/>
          </cell>
          <cell r="AN148">
            <v>12.75</v>
          </cell>
        </row>
        <row r="149">
          <cell r="B149" t="str">
            <v>GL500275</v>
          </cell>
          <cell r="C149" t="str">
            <v>DO 数字运营部</v>
          </cell>
          <cell r="D149" t="str">
            <v>美国技术支持组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/>
          </cell>
          <cell r="AN149">
            <v>22.82</v>
          </cell>
        </row>
        <row r="150">
          <cell r="B150" t="str">
            <v>GL501586</v>
          </cell>
          <cell r="C150" t="str">
            <v>WE 美西大区</v>
          </cell>
          <cell r="D150" t="str">
            <v>CNO.H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/>
          </cell>
          <cell r="AN150">
            <v>13.43</v>
          </cell>
        </row>
        <row r="151">
          <cell r="B151" t="str">
            <v>GL501627</v>
          </cell>
          <cell r="C151" t="str">
            <v>MS 中南大区</v>
          </cell>
          <cell r="D151" t="str">
            <v>ATL.H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/>
          </cell>
          <cell r="AN151">
            <v>6.7</v>
          </cell>
        </row>
        <row r="152">
          <cell r="B152" t="str">
            <v>GL501905</v>
          </cell>
          <cell r="C152" t="str">
            <v>WE 美西大区</v>
          </cell>
          <cell r="D152" t="str">
            <v>CNO.H</v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/>
          </cell>
          <cell r="AN152">
            <v>0</v>
          </cell>
        </row>
        <row r="153">
          <cell r="B153" t="str">
            <v>GL500810</v>
          </cell>
          <cell r="C153" t="str">
            <v>WE 美西大区</v>
          </cell>
          <cell r="D153" t="str">
            <v>CNO.H</v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/>
          </cell>
          <cell r="AN153">
            <v>9.6</v>
          </cell>
        </row>
        <row r="154">
          <cell r="B154" t="str">
            <v>GL501685</v>
          </cell>
          <cell r="C154" t="str">
            <v>FL 佛州大区</v>
          </cell>
          <cell r="D154" t="str">
            <v>MIA.H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/>
          </cell>
          <cell r="AN154">
            <v>0</v>
          </cell>
        </row>
        <row r="155">
          <cell r="B155" t="str">
            <v>GL500503</v>
          </cell>
          <cell r="C155" t="str">
            <v>NE 东北大区</v>
          </cell>
          <cell r="D155" t="str">
            <v>JFK.H</v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/>
          </cell>
          <cell r="AN155">
            <v>17.27</v>
          </cell>
        </row>
        <row r="156">
          <cell r="B156" t="str">
            <v>GL502564</v>
          </cell>
          <cell r="C156" t="str">
            <v>NE 东北大区</v>
          </cell>
          <cell r="D156" t="str">
            <v>EWR.H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/>
          </cell>
          <cell r="AN156">
            <v>19.8</v>
          </cell>
        </row>
        <row r="157">
          <cell r="B157" t="str">
            <v>GL502355</v>
          </cell>
          <cell r="C157" t="str">
            <v>FL 佛州大区</v>
          </cell>
          <cell r="D157" t="str">
            <v>MIA.H</v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/>
          </cell>
          <cell r="AN157">
            <v>16.97</v>
          </cell>
        </row>
        <row r="158">
          <cell r="B158" t="str">
            <v>GL501510</v>
          </cell>
          <cell r="C158" t="str">
            <v>FL 佛州大区</v>
          </cell>
          <cell r="D158" t="str">
            <v>MCO.H</v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/>
          </cell>
          <cell r="AN158">
            <v>7.97</v>
          </cell>
        </row>
        <row r="159">
          <cell r="B159" t="str">
            <v>GL500501</v>
          </cell>
          <cell r="C159" t="str">
            <v>NE 东北大区</v>
          </cell>
          <cell r="D159" t="str">
            <v>JFK.H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/>
          </cell>
          <cell r="AN159">
            <v>0</v>
          </cell>
        </row>
        <row r="160">
          <cell r="B160" t="str">
            <v>GL501560</v>
          </cell>
          <cell r="C160" t="str">
            <v>NE 东北大区</v>
          </cell>
          <cell r="D160" t="str">
            <v>PA 宾州片区</v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/>
          </cell>
          <cell r="AN160">
            <v>8.12</v>
          </cell>
        </row>
        <row r="161">
          <cell r="B161" t="str">
            <v>GL501135</v>
          </cell>
          <cell r="C161" t="str">
            <v>US人力资源部</v>
          </cell>
          <cell r="D161" t="str">
            <v>美洲HRBP组</v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/>
          </cell>
          <cell r="AN161">
            <v>7.88</v>
          </cell>
        </row>
        <row r="162">
          <cell r="B162" t="str">
            <v>GL500387</v>
          </cell>
          <cell r="C162" t="str">
            <v>WE 美西大区</v>
          </cell>
          <cell r="D162" t="str">
            <v>SC 南加片区</v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/>
          </cell>
          <cell r="AN162">
            <v>8.3</v>
          </cell>
        </row>
        <row r="163">
          <cell r="B163" t="str">
            <v>GL501720</v>
          </cell>
          <cell r="C163" t="str">
            <v>Ground项目部</v>
          </cell>
          <cell r="D163" t="str">
            <v>OG 美东区</v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/>
          </cell>
          <cell r="AN163">
            <v>16.94</v>
          </cell>
        </row>
        <row r="164">
          <cell r="B164" t="str">
            <v>GL500069</v>
          </cell>
          <cell r="C164" t="str">
            <v>WE 美西大区</v>
          </cell>
          <cell r="D164" t="str">
            <v>LAV.H</v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/>
          </cell>
          <cell r="AN164">
            <v>0</v>
          </cell>
        </row>
        <row r="165">
          <cell r="B165" t="str">
            <v>GL500204</v>
          </cell>
          <cell r="C165" t="str">
            <v>FL 佛州大区</v>
          </cell>
          <cell r="D165" t="str">
            <v>WF 西佛片区</v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>
            <v>0</v>
          </cell>
        </row>
        <row r="166">
          <cell r="B166" t="str">
            <v>GL502538</v>
          </cell>
          <cell r="C166" t="str">
            <v>FL 佛州大区</v>
          </cell>
          <cell r="D166" t="str">
            <v>SF 南佛片区</v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>
            <v>16.02</v>
          </cell>
        </row>
        <row r="167">
          <cell r="B167" t="str">
            <v>GL501265</v>
          </cell>
          <cell r="C167" t="str">
            <v>WE 美西大区</v>
          </cell>
          <cell r="D167" t="str">
            <v>CNO.H</v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/>
          </cell>
          <cell r="AN167">
            <v>17.77</v>
          </cell>
        </row>
        <row r="168">
          <cell r="B168" t="str">
            <v>GL502646</v>
          </cell>
          <cell r="C168" t="str">
            <v>NE 东北大区</v>
          </cell>
          <cell r="D168" t="str">
            <v>BWI.H</v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/>
          </cell>
          <cell r="AN168">
            <v>0</v>
          </cell>
        </row>
        <row r="169">
          <cell r="B169" t="str">
            <v>GL501567</v>
          </cell>
          <cell r="C169" t="str">
            <v>GL 大湖大区</v>
          </cell>
          <cell r="D169" t="str">
            <v>NM 中西部北片区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/>
          </cell>
          <cell r="AN169">
            <v>0</v>
          </cell>
        </row>
        <row r="170">
          <cell r="B170" t="str">
            <v>GL502069</v>
          </cell>
          <cell r="C170" t="str">
            <v>NE 东北大区</v>
          </cell>
          <cell r="D170" t="str">
            <v>EWR.H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>
            <v>8.12</v>
          </cell>
        </row>
        <row r="171">
          <cell r="B171" t="str">
            <v>GL500040</v>
          </cell>
          <cell r="C171" t="str">
            <v>WE 美西大区</v>
          </cell>
          <cell r="D171" t="str">
            <v>SP 西雅图·波特兰片区</v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>
            <v>0</v>
          </cell>
        </row>
        <row r="172">
          <cell r="B172" t="str">
            <v>GL502892</v>
          </cell>
          <cell r="C172" t="str">
            <v>US人力资源部</v>
          </cell>
          <cell r="D172" t="str">
            <v>美洲HRBP组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>
            <v>0</v>
          </cell>
        </row>
        <row r="173">
          <cell r="B173" t="str">
            <v>GL502065</v>
          </cell>
          <cell r="C173" t="str">
            <v>FL 佛州大区</v>
          </cell>
          <cell r="D173" t="str">
            <v>MIA.H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/>
          </cell>
          <cell r="AN173">
            <v>8.67</v>
          </cell>
        </row>
        <row r="174">
          <cell r="B174" t="str">
            <v>GL501468</v>
          </cell>
          <cell r="C174" t="str">
            <v>MS 中南大区</v>
          </cell>
          <cell r="D174" t="str">
            <v>AS 奥萨查沿海片区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/>
          </cell>
          <cell r="AN174">
            <v>26.25</v>
          </cell>
        </row>
        <row r="175">
          <cell r="B175" t="str">
            <v>GL502508</v>
          </cell>
          <cell r="C175" t="str">
            <v>NE 东北大区</v>
          </cell>
          <cell r="D175" t="str">
            <v>DC 华盛顿片区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/>
          </cell>
          <cell r="AN175">
            <v>8.07</v>
          </cell>
        </row>
        <row r="176">
          <cell r="B176" t="str">
            <v>GL502652</v>
          </cell>
          <cell r="C176" t="str">
            <v>WE 美西大区</v>
          </cell>
          <cell r="D176" t="str">
            <v>SP 西雅图·波特兰片区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/>
          </cell>
          <cell r="AN176">
            <v>21.19</v>
          </cell>
        </row>
        <row r="177">
          <cell r="B177" t="str">
            <v>GL500158</v>
          </cell>
          <cell r="C177" t="str">
            <v>WE 美西大区</v>
          </cell>
          <cell r="D177" t="str">
            <v>DS 丹佛·盐湖城片区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/>
          </cell>
          <cell r="AN177">
            <v>6.48</v>
          </cell>
        </row>
        <row r="178">
          <cell r="B178" t="str">
            <v>GL500618</v>
          </cell>
          <cell r="C178" t="str">
            <v>NE 东北大区</v>
          </cell>
          <cell r="D178" t="str">
            <v>JFK.H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/>
          </cell>
          <cell r="AN178">
            <v>0</v>
          </cell>
        </row>
        <row r="179">
          <cell r="B179" t="str">
            <v>GL501948</v>
          </cell>
          <cell r="C179" t="str">
            <v>QC 质量控制部</v>
          </cell>
          <cell r="D179" t="str">
            <v>质量改善组</v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/>
          </cell>
          <cell r="AN179">
            <v>17.18</v>
          </cell>
        </row>
        <row r="180">
          <cell r="B180" t="str">
            <v>GL502386</v>
          </cell>
          <cell r="C180" t="str">
            <v>NE 东北大区</v>
          </cell>
          <cell r="D180" t="str">
            <v>BN 布法罗片区</v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/>
          </cell>
          <cell r="AN180">
            <v>10.93</v>
          </cell>
        </row>
        <row r="181">
          <cell r="B181" t="str">
            <v>GL501290</v>
          </cell>
          <cell r="C181" t="str">
            <v>WE 美西大区</v>
          </cell>
          <cell r="D181" t="str">
            <v>LA揽收部</v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/>
          </cell>
          <cell r="AN181">
            <v>21.55</v>
          </cell>
        </row>
        <row r="182">
          <cell r="B182" t="str">
            <v>GL501400</v>
          </cell>
          <cell r="C182" t="str">
            <v>WE 美西大区</v>
          </cell>
          <cell r="D182" t="str">
            <v>NC 北加片区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>
            <v>19.57</v>
          </cell>
        </row>
        <row r="183">
          <cell r="B183" t="str">
            <v>GL500270</v>
          </cell>
          <cell r="C183" t="str">
            <v>TX 德州大区</v>
          </cell>
          <cell r="D183" t="str">
            <v>NT 北德州片区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>
            <v>0</v>
          </cell>
        </row>
        <row r="184">
          <cell r="B184" t="str">
            <v>GL502387</v>
          </cell>
          <cell r="C184" t="str">
            <v>NE 东北大区</v>
          </cell>
          <cell r="D184" t="str">
            <v>BN 布法罗片区</v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>
            <v>20.76</v>
          </cell>
        </row>
        <row r="185">
          <cell r="B185" t="str">
            <v>GL501790</v>
          </cell>
          <cell r="C185" t="str">
            <v>WE 美西大区</v>
          </cell>
          <cell r="D185" t="str">
            <v>NC 北加片区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/>
          </cell>
          <cell r="AN185">
            <v>7.92</v>
          </cell>
        </row>
        <row r="186">
          <cell r="B186" t="str">
            <v>GL500795</v>
          </cell>
          <cell r="C186" t="str">
            <v>WE 美西大区</v>
          </cell>
          <cell r="D186" t="str">
            <v>NC 北加片区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>
            <v>8.6</v>
          </cell>
        </row>
        <row r="187">
          <cell r="B187" t="str">
            <v>GL501607</v>
          </cell>
          <cell r="C187" t="str">
            <v>FL 佛州大区</v>
          </cell>
          <cell r="D187" t="str">
            <v>MIA.H</v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>
            <v>8.78</v>
          </cell>
        </row>
        <row r="188">
          <cell r="B188" t="str">
            <v>GL501734</v>
          </cell>
          <cell r="C188" t="str">
            <v>MS 中南大区</v>
          </cell>
          <cell r="D188" t="str">
            <v>车辆管理部</v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>
            <v>11.05</v>
          </cell>
        </row>
        <row r="189">
          <cell r="B189" t="str">
            <v>GL500621</v>
          </cell>
          <cell r="C189" t="str">
            <v>Ground项目部</v>
          </cell>
          <cell r="D189" t="str">
            <v>OG 美西区</v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>
            <v>16.31</v>
          </cell>
        </row>
        <row r="190">
          <cell r="B190" t="str">
            <v>GL000434</v>
          </cell>
          <cell r="C190" t="str">
            <v>NE 东北大区</v>
          </cell>
          <cell r="D190" t="str">
            <v>EWR.H</v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>
            <v>0</v>
          </cell>
        </row>
        <row r="191">
          <cell r="B191" t="str">
            <v>GL501579</v>
          </cell>
          <cell r="C191" t="str">
            <v>FL 佛州大区</v>
          </cell>
          <cell r="D191" t="str">
            <v>MCO.H</v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>
            <v>0</v>
          </cell>
        </row>
        <row r="192">
          <cell r="B192" t="str">
            <v>GL501897</v>
          </cell>
          <cell r="C192" t="str">
            <v>MS 中南大区</v>
          </cell>
          <cell r="D192" t="str">
            <v>揽收部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>
            <v>11.07</v>
          </cell>
        </row>
        <row r="193">
          <cell r="B193" t="str">
            <v>GL502679</v>
          </cell>
          <cell r="C193" t="str">
            <v>NE 东北大区</v>
          </cell>
          <cell r="D193" t="str">
            <v>运营支持部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/>
          </cell>
          <cell r="AN193">
            <v>0</v>
          </cell>
        </row>
        <row r="194">
          <cell r="B194" t="str">
            <v>GL500013</v>
          </cell>
          <cell r="C194" t="str">
            <v>WE 美西大区</v>
          </cell>
          <cell r="D194" t="str">
            <v>LAV.H</v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/>
          </cell>
          <cell r="AN194">
            <v>17.87</v>
          </cell>
        </row>
        <row r="195">
          <cell r="B195" t="str">
            <v>GL502867</v>
          </cell>
          <cell r="C195" t="str">
            <v>GL 大湖大区</v>
          </cell>
          <cell r="D195" t="str">
            <v>ORD.H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/>
          </cell>
          <cell r="AN195">
            <v>0</v>
          </cell>
        </row>
        <row r="196">
          <cell r="B196" t="str">
            <v>GL502301</v>
          </cell>
          <cell r="C196" t="str">
            <v>WE 美西大区</v>
          </cell>
          <cell r="D196" t="str">
            <v>LAV.H</v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>
            <v>10.92</v>
          </cell>
        </row>
        <row r="197">
          <cell r="B197" t="str">
            <v>GL500130</v>
          </cell>
          <cell r="C197" t="str">
            <v>NE 东北大区</v>
          </cell>
          <cell r="D197" t="str">
            <v>NY 纽约片区</v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>
            <v>0</v>
          </cell>
        </row>
        <row r="198">
          <cell r="B198" t="str">
            <v>GL502271</v>
          </cell>
          <cell r="C198" t="str">
            <v>WE 美西大区</v>
          </cell>
          <cell r="D198" t="str">
            <v>DS 丹佛·盐湖城片区</v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/>
          </cell>
          <cell r="AN198">
            <v>18.35</v>
          </cell>
        </row>
        <row r="199">
          <cell r="B199" t="str">
            <v>GL502317</v>
          </cell>
          <cell r="C199" t="str">
            <v>TX 德州大区</v>
          </cell>
          <cell r="D199" t="str">
            <v>GC 墨湾片区</v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/>
          </cell>
          <cell r="AN199">
            <v>4.38</v>
          </cell>
        </row>
        <row r="200">
          <cell r="B200" t="str">
            <v>GL502100</v>
          </cell>
          <cell r="C200" t="str">
            <v>Ground项目部</v>
          </cell>
          <cell r="D200" t="str">
            <v>OG 美东区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/>
          </cell>
          <cell r="AN200">
            <v>8.37</v>
          </cell>
        </row>
        <row r="201">
          <cell r="B201" t="str">
            <v>GL502375</v>
          </cell>
          <cell r="C201" t="str">
            <v>Ground项目部</v>
          </cell>
          <cell r="D201" t="str">
            <v>OG 美西区</v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/>
          </cell>
          <cell r="AN201">
            <v>16.72</v>
          </cell>
        </row>
        <row r="202">
          <cell r="B202" t="str">
            <v>GL500252</v>
          </cell>
          <cell r="C202" t="str">
            <v>MS 中南大区</v>
          </cell>
          <cell r="D202" t="str">
            <v>AS 亚特兰大和南阿拉巴马片区</v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/>
          </cell>
          <cell r="AN202">
            <v>16</v>
          </cell>
        </row>
        <row r="203">
          <cell r="B203" t="str">
            <v>GL501753</v>
          </cell>
          <cell r="C203" t="str">
            <v>FL 佛州大区</v>
          </cell>
          <cell r="D203" t="str">
            <v>NF 北佛片区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/>
          </cell>
          <cell r="AN203">
            <v>12.13</v>
          </cell>
        </row>
        <row r="204">
          <cell r="B204" t="str">
            <v>GL502727</v>
          </cell>
          <cell r="C204" t="str">
            <v>MS 中南大区</v>
          </cell>
          <cell r="D204" t="str">
            <v>ATL.H</v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/>
          </cell>
          <cell r="AN204">
            <v>20.35</v>
          </cell>
        </row>
        <row r="205">
          <cell r="B205" t="str">
            <v>GL501082</v>
          </cell>
          <cell r="C205" t="str">
            <v>MS 中南大区</v>
          </cell>
          <cell r="D205" t="str">
            <v>运营支持部</v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/>
          </cell>
          <cell r="AN205">
            <v>0</v>
          </cell>
        </row>
        <row r="206">
          <cell r="B206" t="str">
            <v>GL500896</v>
          </cell>
          <cell r="C206" t="str">
            <v>FL 佛州大区</v>
          </cell>
          <cell r="D206" t="str">
            <v>WPB01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/>
          </cell>
          <cell r="AN206">
            <v>0</v>
          </cell>
        </row>
        <row r="207">
          <cell r="B207" t="str">
            <v>GL500912</v>
          </cell>
          <cell r="C207" t="str">
            <v>FL 佛州大区</v>
          </cell>
          <cell r="D207" t="str">
            <v>MCO.H</v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/>
          </cell>
          <cell r="AN207">
            <v>16.35</v>
          </cell>
        </row>
        <row r="208">
          <cell r="B208" t="str">
            <v>GL501777</v>
          </cell>
          <cell r="C208" t="str">
            <v>Ground项目部</v>
          </cell>
          <cell r="D208" t="str">
            <v>OG 美东区</v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/>
          </cell>
          <cell r="AN208">
            <v>19.92</v>
          </cell>
        </row>
        <row r="209">
          <cell r="B209" t="str">
            <v>GL501910</v>
          </cell>
          <cell r="C209" t="str">
            <v>Ground项目部</v>
          </cell>
          <cell r="D209" t="str">
            <v>OG 美西区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/>
          </cell>
          <cell r="AN209">
            <v>0</v>
          </cell>
        </row>
        <row r="210">
          <cell r="B210" t="str">
            <v>GL502019</v>
          </cell>
          <cell r="C210" t="str">
            <v>WE 美西大区</v>
          </cell>
          <cell r="D210" t="str">
            <v>LAV.H</v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/>
          </cell>
          <cell r="AN210">
            <v>12</v>
          </cell>
        </row>
        <row r="211">
          <cell r="B211" t="str">
            <v>GL500717</v>
          </cell>
          <cell r="C211" t="str">
            <v>FL 佛州大区</v>
          </cell>
          <cell r="D211" t="str">
            <v>MCO.H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>
            <v>22.77</v>
          </cell>
        </row>
        <row r="212">
          <cell r="B212" t="str">
            <v>GL502054</v>
          </cell>
          <cell r="C212" t="str">
            <v>TX 德州大区</v>
          </cell>
          <cell r="D212" t="str">
            <v>NT 北德州片区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>
            <v>18</v>
          </cell>
        </row>
        <row r="213">
          <cell r="B213" t="str">
            <v>GL501495</v>
          </cell>
          <cell r="C213" t="str">
            <v>GL 大湖大区</v>
          </cell>
          <cell r="D213" t="str">
            <v>运营支持部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>
            <v>17.99</v>
          </cell>
        </row>
        <row r="214">
          <cell r="B214" t="str">
            <v>GL502475</v>
          </cell>
          <cell r="C214" t="str">
            <v>Ground项目部</v>
          </cell>
          <cell r="D214" t="str">
            <v>OG 美西区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>
            <v>16.97</v>
          </cell>
        </row>
        <row r="215">
          <cell r="B215" t="str">
            <v>GL502784</v>
          </cell>
          <cell r="C215" t="str">
            <v>CS 客户服务部</v>
          </cell>
          <cell r="D215" t="str">
            <v>消费者客服组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>
            <v>16.24</v>
          </cell>
        </row>
        <row r="216">
          <cell r="B216" t="str">
            <v>GL502339</v>
          </cell>
          <cell r="C216" t="str">
            <v>NE 东北大区</v>
          </cell>
          <cell r="D216" t="str">
            <v>DC 华盛顿片区</v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/>
          </cell>
          <cell r="AN216">
            <v>0</v>
          </cell>
        </row>
        <row r="217">
          <cell r="B217" t="str">
            <v>GL502352</v>
          </cell>
          <cell r="C217" t="str">
            <v>OM 操作管理部</v>
          </cell>
          <cell r="D217" t="str">
            <v>仓库租赁组</v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>
            <v>7.42</v>
          </cell>
        </row>
        <row r="218">
          <cell r="B218" t="str">
            <v>GL502699</v>
          </cell>
          <cell r="C218" t="str">
            <v>TX 德州大区</v>
          </cell>
          <cell r="D218" t="str">
            <v>IAH.H</v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>
            <v>16.77</v>
          </cell>
        </row>
        <row r="219">
          <cell r="B219" t="str">
            <v>GL500397</v>
          </cell>
          <cell r="C219" t="str">
            <v>US人力资源部</v>
          </cell>
          <cell r="D219" t="str">
            <v>美洲HRBP组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>
            <v>16</v>
          </cell>
        </row>
        <row r="220">
          <cell r="B220" t="str">
            <v>GL502303</v>
          </cell>
          <cell r="C220" t="str">
            <v>NE 东北大区</v>
          </cell>
          <cell r="D220" t="str">
            <v>NY 纽约片区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>
            <v>8.73</v>
          </cell>
        </row>
        <row r="221">
          <cell r="B221" t="str">
            <v>GL502693</v>
          </cell>
          <cell r="C221" t="str">
            <v>Ground项目部</v>
          </cell>
          <cell r="D221" t="str">
            <v>OG 美东区</v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>
            <v>16.35</v>
          </cell>
        </row>
        <row r="222">
          <cell r="B222" t="str">
            <v>GL502487</v>
          </cell>
          <cell r="C222" t="str">
            <v>US人力资源部</v>
          </cell>
          <cell r="D222" t="str">
            <v>美洲HRBP组</v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>
            <v>16.49</v>
          </cell>
        </row>
        <row r="223">
          <cell r="B223" t="str">
            <v>GL500338</v>
          </cell>
          <cell r="C223" t="str">
            <v>WE 美西大区</v>
          </cell>
          <cell r="D223" t="str">
            <v>SC 南加片区</v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>
            <v>13.75</v>
          </cell>
        </row>
        <row r="224">
          <cell r="B224" t="str">
            <v>GL501570</v>
          </cell>
          <cell r="C224" t="str">
            <v>MS 中南大区</v>
          </cell>
          <cell r="D224" t="str">
            <v>BN 田纳西和北阿拉巴马片区</v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/>
          </cell>
          <cell r="AN224">
            <v>12.55</v>
          </cell>
        </row>
        <row r="225">
          <cell r="B225" t="str">
            <v>GL502441</v>
          </cell>
          <cell r="C225" t="str">
            <v>TX 德州大区</v>
          </cell>
          <cell r="D225" t="str">
            <v>IAH.H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 t="str">
            <v/>
          </cell>
          <cell r="AN225">
            <v>12.97</v>
          </cell>
        </row>
        <row r="226">
          <cell r="B226" t="str">
            <v>GL502839</v>
          </cell>
          <cell r="C226" t="str">
            <v>Ground项目部</v>
          </cell>
          <cell r="D226" t="str">
            <v>OG 美西区</v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  <cell r="AL226" t="str">
            <v/>
          </cell>
          <cell r="AM226" t="str">
            <v/>
          </cell>
          <cell r="AN226">
            <v>16.51</v>
          </cell>
        </row>
        <row r="227">
          <cell r="B227" t="str">
            <v>GL502516</v>
          </cell>
          <cell r="C227" t="str">
            <v>WE 美西大区</v>
          </cell>
          <cell r="D227" t="str">
            <v>SC 南加片区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  <cell r="AL227" t="str">
            <v/>
          </cell>
          <cell r="AM227" t="str">
            <v/>
          </cell>
          <cell r="AN227">
            <v>0</v>
          </cell>
        </row>
        <row r="228">
          <cell r="B228" t="str">
            <v>GL502571</v>
          </cell>
          <cell r="C228" t="str">
            <v>MS 中南大区</v>
          </cell>
          <cell r="D228" t="str">
            <v>CLT.H</v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>
            <v>17.2</v>
          </cell>
        </row>
        <row r="229">
          <cell r="B229" t="str">
            <v>GL502829</v>
          </cell>
          <cell r="C229" t="str">
            <v>FL 佛州大区</v>
          </cell>
          <cell r="D229" t="str">
            <v>MIA.H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>
            <v>0</v>
          </cell>
        </row>
        <row r="230">
          <cell r="B230" t="str">
            <v>GL501485</v>
          </cell>
          <cell r="C230" t="str">
            <v>GL 大湖大区</v>
          </cell>
          <cell r="D230" t="str">
            <v>NM 中西部北片区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/>
          </cell>
          <cell r="AK230" t="str">
            <v/>
          </cell>
          <cell r="AL230" t="str">
            <v/>
          </cell>
          <cell r="AM230" t="str">
            <v/>
          </cell>
          <cell r="AN230">
            <v>0</v>
          </cell>
        </row>
        <row r="231">
          <cell r="B231" t="str">
            <v>GL502190</v>
          </cell>
          <cell r="C231" t="str">
            <v>NE 东北大区</v>
          </cell>
          <cell r="D231" t="str">
            <v>车辆管理部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/>
          </cell>
          <cell r="AN231">
            <v>0</v>
          </cell>
        </row>
        <row r="232">
          <cell r="B232" t="str">
            <v>GL501642</v>
          </cell>
          <cell r="C232" t="str">
            <v>NE 东北大区</v>
          </cell>
          <cell r="D232" t="str">
            <v>DC 华盛顿片区</v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>
            <v>10.2</v>
          </cell>
        </row>
        <row r="233">
          <cell r="B233" t="str">
            <v>GL501507</v>
          </cell>
          <cell r="C233" t="str">
            <v>US人力资源部</v>
          </cell>
          <cell r="D233" t="str">
            <v>美洲HRBP组</v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>
            <v>17.17</v>
          </cell>
        </row>
        <row r="234">
          <cell r="B234" t="str">
            <v>GL502458</v>
          </cell>
          <cell r="C234" t="str">
            <v>WE 美西大区</v>
          </cell>
          <cell r="D234" t="str">
            <v>CNO.H</v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>
            <v>8.95</v>
          </cell>
        </row>
        <row r="235">
          <cell r="B235" t="str">
            <v>GL502804</v>
          </cell>
          <cell r="C235" t="str">
            <v>TX 德州大区</v>
          </cell>
          <cell r="D235" t="str">
            <v>DFW.H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>
            <v>15.87</v>
          </cell>
        </row>
        <row r="236">
          <cell r="B236" t="str">
            <v>GL502435</v>
          </cell>
          <cell r="C236" t="str">
            <v>TX 德州大区</v>
          </cell>
          <cell r="D236" t="str">
            <v>DFW.H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>
            <v>17.18</v>
          </cell>
        </row>
        <row r="237">
          <cell r="B237" t="str">
            <v>GL501464</v>
          </cell>
          <cell r="C237" t="str">
            <v>FL 佛州大区</v>
          </cell>
          <cell r="D237" t="str">
            <v>WF 西佛片区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/>
          </cell>
          <cell r="AN237">
            <v>7.82</v>
          </cell>
        </row>
        <row r="238">
          <cell r="B238" t="str">
            <v>GL502082</v>
          </cell>
          <cell r="C238" t="str">
            <v>TX 德州大区</v>
          </cell>
          <cell r="D238" t="str">
            <v>NT 北德州片区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>
            <v>0</v>
          </cell>
        </row>
        <row r="239">
          <cell r="B239" t="str">
            <v>GL501029</v>
          </cell>
          <cell r="C239" t="str">
            <v>WE 美西大区</v>
          </cell>
          <cell r="D239" t="str">
            <v>LAV.H</v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>
            <v>11.93</v>
          </cell>
        </row>
        <row r="240">
          <cell r="B240" t="str">
            <v>GL500866</v>
          </cell>
          <cell r="C240" t="str">
            <v>GL 大湖大区</v>
          </cell>
          <cell r="D240" t="str">
            <v>ORD.H</v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>
            <v>0</v>
          </cell>
        </row>
        <row r="241">
          <cell r="B241" t="str">
            <v>GL500770</v>
          </cell>
          <cell r="C241" t="str">
            <v>IC 跨境客户部</v>
          </cell>
          <cell r="D241" t="str">
            <v>海外客户组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>
            <v>8.1</v>
          </cell>
        </row>
        <row r="242">
          <cell r="B242" t="str">
            <v>GL500882</v>
          </cell>
          <cell r="C242" t="str">
            <v>FL 佛州大区</v>
          </cell>
          <cell r="D242" t="str">
            <v>MCO.H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>
            <v>14.05</v>
          </cell>
        </row>
        <row r="243">
          <cell r="B243" t="str">
            <v>GL501859</v>
          </cell>
          <cell r="C243" t="str">
            <v>TX 德州大区</v>
          </cell>
          <cell r="D243" t="str">
            <v>DFW.H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>
            <v>0</v>
          </cell>
        </row>
        <row r="244">
          <cell r="B244" t="str">
            <v>GL500249</v>
          </cell>
          <cell r="C244" t="str">
            <v>TX 德州大区</v>
          </cell>
          <cell r="D244" t="str">
            <v>运营支持部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>
            <v>16.2</v>
          </cell>
        </row>
        <row r="245">
          <cell r="B245" t="str">
            <v>GL501718</v>
          </cell>
          <cell r="C245" t="str">
            <v>Ground项目部</v>
          </cell>
          <cell r="D245" t="str">
            <v>OG 美东区</v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 t="str">
            <v/>
          </cell>
          <cell r="AN245">
            <v>0</v>
          </cell>
        </row>
        <row r="246">
          <cell r="B246" t="str">
            <v>GL500009</v>
          </cell>
          <cell r="C246" t="str">
            <v>NE 东北大区</v>
          </cell>
          <cell r="D246" t="str">
            <v>揽收部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/>
          </cell>
          <cell r="AN246">
            <v>22.56</v>
          </cell>
        </row>
        <row r="247">
          <cell r="B247" t="str">
            <v>GL501411</v>
          </cell>
          <cell r="C247" t="str">
            <v>TX 德州大区</v>
          </cell>
          <cell r="D247" t="str">
            <v>IAH.H</v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/>
          </cell>
          <cell r="AN247">
            <v>10.78</v>
          </cell>
        </row>
        <row r="248">
          <cell r="B248" t="str">
            <v>GL501257</v>
          </cell>
          <cell r="C248" t="str">
            <v>GL 大湖大区</v>
          </cell>
          <cell r="D248" t="str">
            <v>MCI01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/>
          </cell>
          <cell r="AN248">
            <v>8.37</v>
          </cell>
        </row>
        <row r="249">
          <cell r="B249" t="str">
            <v>GL501223</v>
          </cell>
          <cell r="C249" t="str">
            <v>NE 东北大区</v>
          </cell>
          <cell r="D249" t="str">
            <v>运营支持部</v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>
            <v>0</v>
          </cell>
        </row>
        <row r="250">
          <cell r="B250" t="str">
            <v>GL500836</v>
          </cell>
          <cell r="C250" t="str">
            <v>NP 网络规划部</v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>
            <v>0</v>
          </cell>
        </row>
        <row r="251">
          <cell r="B251" t="str">
            <v>GL502622</v>
          </cell>
          <cell r="C251" t="str">
            <v>OM 操作管理部</v>
          </cell>
          <cell r="D251" t="str">
            <v>设备规划组</v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/>
          </cell>
          <cell r="AN251">
            <v>0</v>
          </cell>
        </row>
        <row r="252">
          <cell r="B252" t="str">
            <v>GL500135</v>
          </cell>
          <cell r="C252" t="str">
            <v>NE 东北大区</v>
          </cell>
          <cell r="D252" t="str">
            <v>NY 纽约片区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/>
          </cell>
          <cell r="AN252">
            <v>0</v>
          </cell>
        </row>
        <row r="253">
          <cell r="B253" t="str">
            <v>GL502329</v>
          </cell>
          <cell r="C253" t="str">
            <v>NE 东北大区</v>
          </cell>
          <cell r="D253" t="str">
            <v>运营支持部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>
            <v>15.88</v>
          </cell>
        </row>
        <row r="254">
          <cell r="B254" t="str">
            <v>GL500925</v>
          </cell>
          <cell r="C254" t="str">
            <v>OM 操作管理部</v>
          </cell>
          <cell r="D254" t="str">
            <v>设备规划组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>
            <v>16.7</v>
          </cell>
        </row>
        <row r="255">
          <cell r="B255" t="str">
            <v>GL500824</v>
          </cell>
          <cell r="C255" t="str">
            <v>MS 中南大区</v>
          </cell>
          <cell r="D255" t="str">
            <v>CLT.H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>
            <v>15.95</v>
          </cell>
        </row>
        <row r="256">
          <cell r="B256" t="str">
            <v>GL502277</v>
          </cell>
          <cell r="C256" t="str">
            <v>CM 运力管理部</v>
          </cell>
          <cell r="D256" t="str">
            <v>调度运营组</v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>
            <v>0</v>
          </cell>
        </row>
        <row r="257">
          <cell r="B257" t="str">
            <v>GL502091</v>
          </cell>
          <cell r="C257" t="str">
            <v>GL 大湖大区</v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>
            <v>0</v>
          </cell>
        </row>
        <row r="258">
          <cell r="B258" t="str">
            <v>GL500998</v>
          </cell>
          <cell r="C258" t="str">
            <v>WE 美西大区</v>
          </cell>
          <cell r="D258" t="str">
            <v>CNO.H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/>
          </cell>
          <cell r="AN258">
            <v>11.73</v>
          </cell>
        </row>
        <row r="259">
          <cell r="B259" t="str">
            <v>GL500236</v>
          </cell>
          <cell r="C259" t="str">
            <v>WE 美西大区</v>
          </cell>
          <cell r="D259" t="str">
            <v>SP 西雅图·波特兰片区</v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>
            <v>5.18</v>
          </cell>
        </row>
        <row r="260">
          <cell r="B260" t="str">
            <v>GL500914</v>
          </cell>
          <cell r="C260" t="str">
            <v>WE 美西大区</v>
          </cell>
          <cell r="D260" t="str">
            <v>SP 西雅图·波特兰片区</v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>
            <v>10.57</v>
          </cell>
        </row>
        <row r="261">
          <cell r="B261" t="str">
            <v>GL500184</v>
          </cell>
          <cell r="C261" t="str">
            <v>GL 大湖大区</v>
          </cell>
          <cell r="D261" t="str">
            <v>ORD.H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>
            <v>0</v>
          </cell>
        </row>
        <row r="262">
          <cell r="B262" t="str">
            <v>GL500548</v>
          </cell>
          <cell r="C262" t="str">
            <v>NE 东北大区</v>
          </cell>
          <cell r="D262" t="str">
            <v>车辆管理部</v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>
            <v>11.12</v>
          </cell>
        </row>
        <row r="263">
          <cell r="B263" t="str">
            <v>GL501078</v>
          </cell>
          <cell r="C263" t="str">
            <v>NE 东北大区</v>
          </cell>
          <cell r="D263" t="str">
            <v>BN 布法罗片区</v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>
            <v>20.82</v>
          </cell>
        </row>
        <row r="264">
          <cell r="B264" t="str">
            <v>GL501169</v>
          </cell>
          <cell r="C264" t="str">
            <v>MS 中南大区</v>
          </cell>
          <cell r="D264" t="str">
            <v>CS 夏洛特及周边片区</v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>
            <v>0</v>
          </cell>
        </row>
        <row r="265">
          <cell r="B265" t="str">
            <v>GL500502</v>
          </cell>
          <cell r="C265" t="str">
            <v>NE 东北大区</v>
          </cell>
          <cell r="D265" t="str">
            <v>JFK.H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>
            <v>10.57</v>
          </cell>
        </row>
        <row r="266">
          <cell r="B266" t="str">
            <v>GL502090</v>
          </cell>
          <cell r="C266" t="str">
            <v>WE 美西大区</v>
          </cell>
          <cell r="D266" t="str">
            <v>LAV.H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  <cell r="AL266" t="str">
            <v/>
          </cell>
          <cell r="AM266" t="str">
            <v/>
          </cell>
          <cell r="AN266">
            <v>13.27</v>
          </cell>
        </row>
        <row r="267">
          <cell r="B267" t="str">
            <v>GL502131</v>
          </cell>
          <cell r="C267" t="str">
            <v>MS 中南大区</v>
          </cell>
          <cell r="D267" t="str">
            <v>AS 奥萨查沿海片区</v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  <cell r="AL267" t="str">
            <v/>
          </cell>
          <cell r="AM267" t="str">
            <v/>
          </cell>
          <cell r="AN267">
            <v>14.66</v>
          </cell>
        </row>
        <row r="268">
          <cell r="B268" t="str">
            <v>GL502092</v>
          </cell>
          <cell r="C268" t="str">
            <v>US人力资源部</v>
          </cell>
          <cell r="D268" t="str">
            <v>美洲HRBP组</v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  <cell r="AL268" t="str">
            <v/>
          </cell>
          <cell r="AM268" t="str">
            <v/>
          </cell>
          <cell r="AN268">
            <v>17.89</v>
          </cell>
        </row>
        <row r="269">
          <cell r="B269" t="str">
            <v>GL501198</v>
          </cell>
          <cell r="C269" t="str">
            <v>SM 站点管理部</v>
          </cell>
          <cell r="D269" t="str">
            <v>站点实施组</v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  <cell r="AL269" t="str">
            <v/>
          </cell>
          <cell r="AM269" t="str">
            <v/>
          </cell>
          <cell r="AN269">
            <v>0</v>
          </cell>
        </row>
        <row r="270">
          <cell r="B270" t="str">
            <v>GL500517</v>
          </cell>
          <cell r="C270" t="str">
            <v>WE 美西大区</v>
          </cell>
          <cell r="D270" t="str">
            <v>LAV.H</v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>
            <v>11.62</v>
          </cell>
        </row>
        <row r="271">
          <cell r="B271" t="str">
            <v>GL502525</v>
          </cell>
          <cell r="C271" t="str">
            <v>TX 德州大区</v>
          </cell>
          <cell r="D271" t="str">
            <v>DFW.H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  <cell r="AL271" t="str">
            <v/>
          </cell>
          <cell r="AM271" t="str">
            <v/>
          </cell>
          <cell r="AN271">
            <v>9.5</v>
          </cell>
        </row>
        <row r="272">
          <cell r="B272" t="str">
            <v>GL000700</v>
          </cell>
          <cell r="C272" t="str">
            <v>EU人力资源部</v>
          </cell>
          <cell r="D272" t="str">
            <v>欧洲支持组</v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  <cell r="AL272" t="str">
            <v/>
          </cell>
          <cell r="AM272" t="str">
            <v/>
          </cell>
          <cell r="AN272">
            <v>0</v>
          </cell>
        </row>
        <row r="273">
          <cell r="B273" t="str">
            <v>GL501344</v>
          </cell>
          <cell r="C273" t="str">
            <v>MS 中南大区</v>
          </cell>
          <cell r="D273" t="str">
            <v>ATL.H</v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  <cell r="AL273" t="str">
            <v/>
          </cell>
          <cell r="AM273" t="str">
            <v/>
          </cell>
          <cell r="AN273">
            <v>11</v>
          </cell>
        </row>
        <row r="274">
          <cell r="B274" t="str">
            <v>GL501762</v>
          </cell>
          <cell r="C274" t="str">
            <v>NE 东北大区</v>
          </cell>
          <cell r="D274" t="str">
            <v>MA 新英格兰片区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  <cell r="AL274" t="str">
            <v/>
          </cell>
          <cell r="AM274" t="str">
            <v/>
          </cell>
          <cell r="AN274">
            <v>16.25</v>
          </cell>
        </row>
        <row r="275">
          <cell r="B275" t="str">
            <v>GL502587</v>
          </cell>
          <cell r="C275" t="str">
            <v>WE 美西大区</v>
          </cell>
          <cell r="D275" t="str">
            <v>SP 西雅图·波特兰片区</v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  <cell r="AL275" t="str">
            <v/>
          </cell>
          <cell r="AM275" t="str">
            <v/>
          </cell>
          <cell r="AN275">
            <v>17.75</v>
          </cell>
        </row>
        <row r="276">
          <cell r="B276" t="str">
            <v>GL502067</v>
          </cell>
          <cell r="C276" t="str">
            <v>NE 东北大区</v>
          </cell>
          <cell r="D276" t="str">
            <v>揽收部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  <cell r="AL276" t="str">
            <v/>
          </cell>
          <cell r="AM276" t="str">
            <v/>
          </cell>
          <cell r="AN276">
            <v>17.64</v>
          </cell>
        </row>
        <row r="277">
          <cell r="B277" t="str">
            <v>GL500136</v>
          </cell>
          <cell r="C277" t="str">
            <v>CM 运力管理部</v>
          </cell>
          <cell r="D277" t="str">
            <v>美西运力组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  <cell r="AL277" t="str">
            <v/>
          </cell>
          <cell r="AM277" t="str">
            <v/>
          </cell>
          <cell r="AN277">
            <v>0</v>
          </cell>
        </row>
        <row r="278">
          <cell r="B278" t="str">
            <v>GL500586</v>
          </cell>
          <cell r="C278" t="str">
            <v>Ground项目部</v>
          </cell>
          <cell r="D278" t="str">
            <v>OG 美西区</v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  <cell r="AL278" t="str">
            <v/>
          </cell>
          <cell r="AM278" t="str">
            <v/>
          </cell>
          <cell r="AN278">
            <v>8.32</v>
          </cell>
        </row>
        <row r="279">
          <cell r="B279" t="str">
            <v>GL501719</v>
          </cell>
          <cell r="C279" t="str">
            <v>MS 中南大区</v>
          </cell>
          <cell r="D279" t="str">
            <v>ATL.H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  <cell r="AL279" t="str">
            <v/>
          </cell>
          <cell r="AM279" t="str">
            <v/>
          </cell>
          <cell r="AN279">
            <v>19.59</v>
          </cell>
        </row>
        <row r="280">
          <cell r="B280" t="str">
            <v>GL500163</v>
          </cell>
          <cell r="C280" t="str">
            <v>FL 佛州大区</v>
          </cell>
          <cell r="D280" t="str">
            <v>FTM01</v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  <cell r="AL280" t="str">
            <v/>
          </cell>
          <cell r="AM280" t="str">
            <v/>
          </cell>
          <cell r="AN280">
            <v>0</v>
          </cell>
        </row>
        <row r="281">
          <cell r="B281" t="str">
            <v>GL502490</v>
          </cell>
          <cell r="C281" t="str">
            <v>WE 美西大区</v>
          </cell>
          <cell r="D281" t="str">
            <v>SP 西雅图·波特兰片区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  <cell r="AL281" t="str">
            <v/>
          </cell>
          <cell r="AM281" t="str">
            <v/>
          </cell>
          <cell r="AN281">
            <v>18.13</v>
          </cell>
        </row>
        <row r="282">
          <cell r="B282" t="str">
            <v>GL502533</v>
          </cell>
          <cell r="C282" t="str">
            <v>DO 数字运营部</v>
          </cell>
          <cell r="D282" t="str">
            <v>美国技术支持组</v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  <cell r="AL282" t="str">
            <v/>
          </cell>
          <cell r="AM282" t="str">
            <v/>
          </cell>
          <cell r="AN282">
            <v>16.74</v>
          </cell>
        </row>
        <row r="283">
          <cell r="B283" t="str">
            <v>GL502481</v>
          </cell>
          <cell r="C283" t="str">
            <v>NE 东北大区</v>
          </cell>
          <cell r="D283" t="str">
            <v>NY 纽约片区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  <cell r="AL283" t="str">
            <v/>
          </cell>
          <cell r="AM283" t="str">
            <v/>
          </cell>
          <cell r="AN283">
            <v>0</v>
          </cell>
        </row>
        <row r="284">
          <cell r="B284" t="str">
            <v>GL502760</v>
          </cell>
          <cell r="C284" t="str">
            <v>DO 数字运营部</v>
          </cell>
          <cell r="D284" t="str">
            <v>美国技术支持组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  <cell r="AL284" t="str">
            <v/>
          </cell>
          <cell r="AM284" t="str">
            <v/>
          </cell>
          <cell r="AN284">
            <v>16.42</v>
          </cell>
        </row>
        <row r="285">
          <cell r="B285" t="str">
            <v>GL500670</v>
          </cell>
          <cell r="C285" t="str">
            <v>FL 佛州大区</v>
          </cell>
          <cell r="D285" t="str">
            <v>SF 南佛片区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  <cell r="AL285" t="str">
            <v/>
          </cell>
          <cell r="AM285" t="str">
            <v/>
          </cell>
          <cell r="AN285">
            <v>0</v>
          </cell>
        </row>
        <row r="286">
          <cell r="B286" t="str">
            <v>GL501470</v>
          </cell>
          <cell r="C286" t="str">
            <v>TX 德州大区</v>
          </cell>
          <cell r="D286" t="str">
            <v>NT 北德州片区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  <cell r="AL286" t="str">
            <v/>
          </cell>
          <cell r="AM286" t="str">
            <v/>
          </cell>
          <cell r="AN286">
            <v>15.02</v>
          </cell>
        </row>
        <row r="287">
          <cell r="B287" t="str">
            <v>GL500727</v>
          </cell>
          <cell r="C287" t="str">
            <v>NE 东北大区</v>
          </cell>
          <cell r="D287" t="str">
            <v>揽收部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  <cell r="AL287" t="str">
            <v/>
          </cell>
          <cell r="AM287" t="str">
            <v/>
          </cell>
          <cell r="AN287">
            <v>24.92</v>
          </cell>
        </row>
        <row r="288">
          <cell r="B288" t="str">
            <v>GL501460</v>
          </cell>
          <cell r="C288" t="str">
            <v>Ground项目部</v>
          </cell>
          <cell r="D288" t="str">
            <v>OG 美西区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  <cell r="AG288" t="str">
            <v/>
          </cell>
          <cell r="AH288" t="str">
            <v/>
          </cell>
          <cell r="AI288" t="str">
            <v/>
          </cell>
          <cell r="AJ288" t="str">
            <v/>
          </cell>
          <cell r="AK288" t="str">
            <v/>
          </cell>
          <cell r="AL288" t="str">
            <v/>
          </cell>
          <cell r="AM288" t="str">
            <v/>
          </cell>
          <cell r="AN288">
            <v>17.9</v>
          </cell>
        </row>
        <row r="289">
          <cell r="B289" t="str">
            <v>GL502581</v>
          </cell>
          <cell r="C289" t="str">
            <v>NE 东北大区</v>
          </cell>
          <cell r="D289" t="str">
            <v>EWR.H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/>
          </cell>
          <cell r="AK289" t="str">
            <v/>
          </cell>
          <cell r="AL289" t="str">
            <v/>
          </cell>
          <cell r="AM289" t="str">
            <v/>
          </cell>
          <cell r="AN289">
            <v>16.1</v>
          </cell>
        </row>
        <row r="290">
          <cell r="B290" t="str">
            <v>GL502536</v>
          </cell>
          <cell r="C290" t="str">
            <v>OM 操作管理部</v>
          </cell>
          <cell r="D290" t="str">
            <v>仓库租赁组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  <cell r="AL290" t="str">
            <v/>
          </cell>
          <cell r="AM290" t="str">
            <v/>
          </cell>
          <cell r="AN290">
            <v>17.46</v>
          </cell>
        </row>
        <row r="291">
          <cell r="B291" t="str">
            <v>GL502066</v>
          </cell>
          <cell r="C291" t="str">
            <v>MS 中南大区</v>
          </cell>
          <cell r="D291" t="str">
            <v>RE 北卡和东南海岸片区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  <cell r="AL291" t="str">
            <v/>
          </cell>
          <cell r="AM291" t="str">
            <v/>
          </cell>
          <cell r="AN291">
            <v>6.13</v>
          </cell>
        </row>
        <row r="292">
          <cell r="B292" t="str">
            <v>GL501804</v>
          </cell>
          <cell r="C292" t="str">
            <v>US人力资源部</v>
          </cell>
          <cell r="D292" t="str">
            <v>美洲HRBP组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/>
          </cell>
          <cell r="AN292">
            <v>17.24</v>
          </cell>
        </row>
        <row r="293">
          <cell r="B293" t="str">
            <v>GL502348</v>
          </cell>
          <cell r="C293" t="str">
            <v>TX 德州大区</v>
          </cell>
          <cell r="D293" t="str">
            <v>运营支持部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/>
          </cell>
          <cell r="AN293">
            <v>3</v>
          </cell>
        </row>
        <row r="294">
          <cell r="B294" t="str">
            <v>GL500915</v>
          </cell>
          <cell r="C294" t="str">
            <v>Ground项目部</v>
          </cell>
          <cell r="D294" t="str">
            <v>OG 美东区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  <cell r="AL294" t="str">
            <v/>
          </cell>
          <cell r="AM294" t="str">
            <v/>
          </cell>
          <cell r="AN294">
            <v>18.49</v>
          </cell>
        </row>
        <row r="295">
          <cell r="B295" t="str">
            <v>GL501888</v>
          </cell>
          <cell r="C295" t="str">
            <v>NE 东北大区</v>
          </cell>
          <cell r="D295" t="str">
            <v>EWR.H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  <cell r="AL295" t="str">
            <v/>
          </cell>
          <cell r="AM295" t="str">
            <v/>
          </cell>
          <cell r="AN295">
            <v>9.6</v>
          </cell>
        </row>
        <row r="296">
          <cell r="B296" t="str">
            <v>GL502775</v>
          </cell>
          <cell r="C296" t="str">
            <v>US人力资源部</v>
          </cell>
          <cell r="D296" t="str">
            <v>美洲HRBP组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  <cell r="AL296" t="str">
            <v/>
          </cell>
          <cell r="AM296" t="str">
            <v/>
          </cell>
          <cell r="AN296">
            <v>19.9</v>
          </cell>
        </row>
        <row r="297">
          <cell r="B297" t="str">
            <v>GL501175</v>
          </cell>
          <cell r="C297" t="str">
            <v>BM 品牌市场部</v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/>
          </cell>
          <cell r="AN297">
            <v>16.38</v>
          </cell>
        </row>
        <row r="298">
          <cell r="B298" t="str">
            <v>GL500378</v>
          </cell>
          <cell r="C298" t="str">
            <v>SM 站点管理部</v>
          </cell>
          <cell r="D298" t="str">
            <v>站点实施组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/>
          </cell>
          <cell r="AN298">
            <v>0</v>
          </cell>
        </row>
        <row r="299">
          <cell r="B299" t="str">
            <v>GL500323</v>
          </cell>
          <cell r="C299" t="str">
            <v>SM 战略管理部</v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/>
          </cell>
          <cell r="AN299">
            <v>0</v>
          </cell>
        </row>
        <row r="300">
          <cell r="B300" t="str">
            <v>GL502040</v>
          </cell>
          <cell r="C300" t="str">
            <v>MS 中南大区</v>
          </cell>
          <cell r="D300" t="str">
            <v>CLT.H</v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/>
          </cell>
          <cell r="AN300">
            <v>20.62</v>
          </cell>
        </row>
        <row r="301">
          <cell r="B301" t="str">
            <v>GL500785</v>
          </cell>
          <cell r="C301" t="str">
            <v>Ground项目部</v>
          </cell>
          <cell r="D301" t="str">
            <v>OG 美西区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/>
          </cell>
          <cell r="AN301">
            <v>0</v>
          </cell>
        </row>
        <row r="302">
          <cell r="B302" t="str">
            <v>GL502187</v>
          </cell>
          <cell r="C302" t="str">
            <v>US人力资源部</v>
          </cell>
          <cell r="D302" t="str">
            <v>美洲HRBP组</v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/>
          </cell>
          <cell r="AN302">
            <v>17.16</v>
          </cell>
        </row>
        <row r="303">
          <cell r="B303" t="str">
            <v>GL501521</v>
          </cell>
          <cell r="C303" t="str">
            <v>MS 中南大区</v>
          </cell>
          <cell r="D303" t="str">
            <v>CS 夏洛特及周边片区</v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/>
          </cell>
          <cell r="AN303">
            <v>0</v>
          </cell>
        </row>
        <row r="304">
          <cell r="B304" t="str">
            <v>GL501327</v>
          </cell>
          <cell r="C304" t="str">
            <v>GL 大湖大区</v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/>
          </cell>
          <cell r="AN304">
            <v>17.72</v>
          </cell>
        </row>
        <row r="305">
          <cell r="B305" t="str">
            <v>GL501835</v>
          </cell>
          <cell r="C305" t="str">
            <v>QC 质量控制部</v>
          </cell>
          <cell r="D305" t="str">
            <v>质量改善组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/>
          </cell>
          <cell r="AN305">
            <v>20.51</v>
          </cell>
        </row>
        <row r="306">
          <cell r="B306" t="str">
            <v>GL502457</v>
          </cell>
          <cell r="C306" t="str">
            <v>WE 美西大区</v>
          </cell>
          <cell r="D306" t="str">
            <v>NC 北加片区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/>
          </cell>
          <cell r="AN306">
            <v>11.48</v>
          </cell>
        </row>
        <row r="307">
          <cell r="B307" t="str">
            <v>GL501756</v>
          </cell>
          <cell r="C307" t="str">
            <v>Ground项目部</v>
          </cell>
          <cell r="D307" t="str">
            <v>派送管理部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/>
          </cell>
          <cell r="AN307">
            <v>0</v>
          </cell>
        </row>
        <row r="308">
          <cell r="B308" t="str">
            <v>GL501418</v>
          </cell>
          <cell r="C308" t="str">
            <v>TX 德州大区</v>
          </cell>
          <cell r="D308" t="str">
            <v>DFW.H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/>
          </cell>
          <cell r="AN308">
            <v>0</v>
          </cell>
        </row>
        <row r="309">
          <cell r="B309" t="str">
            <v>GL502419</v>
          </cell>
          <cell r="C309" t="str">
            <v>GL 大湖大区</v>
          </cell>
          <cell r="D309" t="str">
            <v>CVG.H</v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  <cell r="AG309" t="str">
            <v/>
          </cell>
          <cell r="AH309" t="str">
            <v/>
          </cell>
          <cell r="AI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/>
          </cell>
          <cell r="AN309">
            <v>9.68</v>
          </cell>
        </row>
        <row r="310">
          <cell r="B310" t="str">
            <v>GL502155</v>
          </cell>
          <cell r="C310" t="str">
            <v>NE 东北大区</v>
          </cell>
          <cell r="D310" t="str">
            <v>PA 宾州片区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  <cell r="AL310" t="str">
            <v/>
          </cell>
          <cell r="AM310" t="str">
            <v/>
          </cell>
          <cell r="AN310">
            <v>9.05</v>
          </cell>
        </row>
        <row r="311">
          <cell r="B311" t="str">
            <v>GL500954</v>
          </cell>
          <cell r="C311" t="str">
            <v>WE 美西大区</v>
          </cell>
          <cell r="D311" t="str">
            <v>CNO.H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/>
          </cell>
          <cell r="AN311">
            <v>14.68</v>
          </cell>
        </row>
        <row r="312">
          <cell r="B312" t="str">
            <v>GL500155</v>
          </cell>
          <cell r="C312" t="str">
            <v>WE 美西大区</v>
          </cell>
          <cell r="D312" t="str">
            <v>SC 南加片区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  <cell r="AL312" t="str">
            <v/>
          </cell>
          <cell r="AM312" t="str">
            <v/>
          </cell>
          <cell r="AN312">
            <v>0</v>
          </cell>
        </row>
        <row r="313">
          <cell r="B313" t="str">
            <v>GL500786</v>
          </cell>
          <cell r="C313" t="str">
            <v>AD 行政部</v>
          </cell>
          <cell r="D313" t="str">
            <v>美西组</v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  <cell r="AL313" t="str">
            <v/>
          </cell>
          <cell r="AM313" t="str">
            <v/>
          </cell>
          <cell r="AN313">
            <v>0</v>
          </cell>
        </row>
        <row r="314">
          <cell r="B314" t="str">
            <v>GL500833</v>
          </cell>
          <cell r="C314" t="str">
            <v>WE 美西大区</v>
          </cell>
          <cell r="D314" t="str">
            <v>CNO.H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  <cell r="AL314" t="str">
            <v/>
          </cell>
          <cell r="AM314" t="str">
            <v/>
          </cell>
          <cell r="AN314">
            <v>19.17</v>
          </cell>
        </row>
        <row r="315">
          <cell r="B315" t="str">
            <v>GL500694</v>
          </cell>
          <cell r="C315" t="str">
            <v>NE 东北大区</v>
          </cell>
          <cell r="D315" t="str">
            <v>BWI01</v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  <cell r="AL315" t="str">
            <v/>
          </cell>
          <cell r="AM315" t="str">
            <v/>
          </cell>
          <cell r="AN315">
            <v>16.8</v>
          </cell>
        </row>
        <row r="316">
          <cell r="B316" t="str">
            <v>GL500190</v>
          </cell>
          <cell r="C316" t="str">
            <v>CM 运力管理部</v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  <cell r="AL316" t="str">
            <v/>
          </cell>
          <cell r="AM316" t="str">
            <v/>
          </cell>
          <cell r="AN316">
            <v>0</v>
          </cell>
        </row>
        <row r="317">
          <cell r="B317" t="str">
            <v>GL501717</v>
          </cell>
          <cell r="C317" t="str">
            <v>NE 东北大区</v>
          </cell>
          <cell r="D317" t="str">
            <v>EWR.H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  <cell r="AG317" t="str">
            <v/>
          </cell>
          <cell r="AH317" t="str">
            <v/>
          </cell>
          <cell r="AI317" t="str">
            <v/>
          </cell>
          <cell r="AJ317" t="str">
            <v/>
          </cell>
          <cell r="AK317" t="str">
            <v/>
          </cell>
          <cell r="AL317" t="str">
            <v/>
          </cell>
          <cell r="AM317" t="str">
            <v/>
          </cell>
          <cell r="AN317">
            <v>18.58</v>
          </cell>
        </row>
        <row r="318">
          <cell r="B318" t="str">
            <v>GL502579</v>
          </cell>
          <cell r="C318" t="str">
            <v>NE 东北大区</v>
          </cell>
          <cell r="D318" t="str">
            <v>DC 华盛顿片区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  <cell r="AA318" t="str">
            <v/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  <cell r="AL318" t="str">
            <v/>
          </cell>
          <cell r="AM318" t="str">
            <v/>
          </cell>
          <cell r="AN318">
            <v>8.05</v>
          </cell>
        </row>
        <row r="319">
          <cell r="B319" t="str">
            <v>GL502628</v>
          </cell>
          <cell r="C319" t="str">
            <v>WE 美西大区</v>
          </cell>
          <cell r="D319" t="str">
            <v>CNO.H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  <cell r="AL319" t="str">
            <v/>
          </cell>
          <cell r="AM319" t="str">
            <v/>
          </cell>
          <cell r="AN319">
            <v>10.32</v>
          </cell>
        </row>
        <row r="320">
          <cell r="B320" t="str">
            <v>GL500787</v>
          </cell>
          <cell r="C320" t="str">
            <v>IC 跨境客户部</v>
          </cell>
          <cell r="D320" t="str">
            <v>海外客户组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  <cell r="AL320" t="str">
            <v/>
          </cell>
          <cell r="AM320" t="str">
            <v/>
          </cell>
          <cell r="AN320">
            <v>17.5</v>
          </cell>
        </row>
        <row r="321">
          <cell r="B321" t="str">
            <v>GL502434</v>
          </cell>
          <cell r="C321" t="str">
            <v>NE 东北大区</v>
          </cell>
          <cell r="D321" t="str">
            <v>DC 华盛顿片区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  <cell r="AL321" t="str">
            <v/>
          </cell>
          <cell r="AM321" t="str">
            <v/>
          </cell>
          <cell r="AN321">
            <v>18.49</v>
          </cell>
        </row>
        <row r="322">
          <cell r="B322" t="str">
            <v>GL501310</v>
          </cell>
          <cell r="C322" t="str">
            <v>GL 大湖大区</v>
          </cell>
          <cell r="D322" t="str">
            <v>IND01</v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  <cell r="AL322" t="str">
            <v/>
          </cell>
          <cell r="AM322" t="str">
            <v/>
          </cell>
          <cell r="AN322">
            <v>8.45</v>
          </cell>
        </row>
        <row r="323">
          <cell r="B323" t="str">
            <v>GL500140</v>
          </cell>
          <cell r="C323" t="str">
            <v>US人力资源部</v>
          </cell>
          <cell r="D323" t="str">
            <v>美洲HRBP组</v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  <cell r="AL323" t="str">
            <v/>
          </cell>
          <cell r="AM323" t="str">
            <v/>
          </cell>
          <cell r="AN323">
            <v>7.82</v>
          </cell>
        </row>
        <row r="324">
          <cell r="B324" t="str">
            <v>GL502217</v>
          </cell>
          <cell r="C324" t="str">
            <v>Ground项目部</v>
          </cell>
          <cell r="D324" t="str">
            <v>OG 美西区</v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  <cell r="AL324" t="str">
            <v/>
          </cell>
          <cell r="AM324" t="str">
            <v/>
          </cell>
          <cell r="AN324">
            <v>9.08</v>
          </cell>
        </row>
        <row r="325">
          <cell r="B325" t="str">
            <v>GL501031</v>
          </cell>
          <cell r="C325" t="str">
            <v>WE 美西大区</v>
          </cell>
          <cell r="D325" t="str">
            <v>CNO.H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/>
          </cell>
          <cell r="AN325">
            <v>9.18</v>
          </cell>
        </row>
        <row r="326">
          <cell r="B326" t="str">
            <v>GL501298</v>
          </cell>
          <cell r="C326" t="str">
            <v>WE 美西大区</v>
          </cell>
          <cell r="D326" t="str">
            <v>LAV.H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/>
          </cell>
          <cell r="AN326">
            <v>0</v>
          </cell>
        </row>
        <row r="327">
          <cell r="B327" t="str">
            <v>GL501296</v>
          </cell>
          <cell r="C327" t="str">
            <v>US人力资源部</v>
          </cell>
          <cell r="D327" t="str">
            <v>美洲HRBP组</v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/>
          </cell>
          <cell r="AN327">
            <v>7.68</v>
          </cell>
        </row>
        <row r="328">
          <cell r="B328" t="str">
            <v>GL502199</v>
          </cell>
          <cell r="C328" t="str">
            <v>SM 站点管理部</v>
          </cell>
          <cell r="D328" t="str">
            <v>站点实施组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  <cell r="AL328" t="str">
            <v/>
          </cell>
          <cell r="AM328" t="str">
            <v/>
          </cell>
          <cell r="AN328">
            <v>0</v>
          </cell>
        </row>
        <row r="329">
          <cell r="B329" t="str">
            <v>GL502121</v>
          </cell>
          <cell r="C329" t="str">
            <v>US人力资源部</v>
          </cell>
          <cell r="D329" t="str">
            <v>美洲HRBP组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/>
          </cell>
          <cell r="AN329">
            <v>0</v>
          </cell>
        </row>
        <row r="330">
          <cell r="B330" t="str">
            <v>GL502372</v>
          </cell>
          <cell r="C330" t="str">
            <v>WE 美西大区</v>
          </cell>
          <cell r="D330" t="str">
            <v>DS 丹佛·盐湖城片区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/>
          </cell>
          <cell r="AN330">
            <v>20.8</v>
          </cell>
        </row>
        <row r="331">
          <cell r="B331" t="str">
            <v>GL502846</v>
          </cell>
          <cell r="C331" t="str">
            <v>MS 中南大区</v>
          </cell>
          <cell r="D331" t="str">
            <v>AS 亚特兰大和南阿拉巴马片区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/>
          </cell>
          <cell r="AN331">
            <v>24.7</v>
          </cell>
        </row>
        <row r="332">
          <cell r="B332" t="str">
            <v>GL500872</v>
          </cell>
          <cell r="C332" t="str">
            <v>WE 美西大区</v>
          </cell>
          <cell r="D332" t="str">
            <v>运营支持部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/>
          </cell>
          <cell r="AN332">
            <v>16.35</v>
          </cell>
        </row>
        <row r="333">
          <cell r="B333" t="str">
            <v>GL500523</v>
          </cell>
          <cell r="C333" t="str">
            <v>DO 数字运营部</v>
          </cell>
          <cell r="D333" t="str">
            <v>美国技术支持组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/>
          </cell>
          <cell r="AN333">
            <v>0</v>
          </cell>
        </row>
        <row r="334">
          <cell r="B334" t="str">
            <v>GL500118</v>
          </cell>
          <cell r="C334" t="str">
            <v>TX 德州大区</v>
          </cell>
          <cell r="D334" t="str">
            <v>揽收部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/>
          </cell>
          <cell r="AN334">
            <v>17.3</v>
          </cell>
        </row>
        <row r="335">
          <cell r="B335" t="str">
            <v>GL502028</v>
          </cell>
          <cell r="C335" t="str">
            <v>NE 东北大区</v>
          </cell>
          <cell r="D335" t="str">
            <v>EWR.H</v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/>
          </cell>
          <cell r="AN335">
            <v>5.07</v>
          </cell>
        </row>
        <row r="336">
          <cell r="B336" t="str">
            <v>GL502261</v>
          </cell>
          <cell r="C336" t="str">
            <v>WE 美西大区</v>
          </cell>
          <cell r="D336" t="str">
            <v>NC 北加片区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/>
          </cell>
          <cell r="AN336">
            <v>16.35</v>
          </cell>
        </row>
        <row r="337">
          <cell r="B337" t="str">
            <v>GL001268</v>
          </cell>
          <cell r="C337" t="str">
            <v>EU人力资源部</v>
          </cell>
          <cell r="D337" t="str">
            <v>欧洲支持组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/>
          </cell>
          <cell r="AN337">
            <v>0</v>
          </cell>
        </row>
        <row r="338">
          <cell r="B338" t="str">
            <v>GL500849</v>
          </cell>
          <cell r="C338" t="str">
            <v>Ground项目部</v>
          </cell>
          <cell r="D338" t="str">
            <v>OG 美西区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/>
          </cell>
          <cell r="AN338">
            <v>17.8</v>
          </cell>
        </row>
        <row r="339">
          <cell r="B339" t="str">
            <v>GL502580</v>
          </cell>
          <cell r="C339" t="str">
            <v>NE 东北大区</v>
          </cell>
          <cell r="D339" t="str">
            <v>EWR.H</v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/>
          </cell>
          <cell r="AN339">
            <v>13.17</v>
          </cell>
        </row>
        <row r="340">
          <cell r="B340" t="str">
            <v>GL501163</v>
          </cell>
          <cell r="C340" t="str">
            <v>TX 德州大区</v>
          </cell>
          <cell r="D340" t="str">
            <v>GC 墨湾片区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  <cell r="AL340" t="str">
            <v/>
          </cell>
          <cell r="AM340" t="str">
            <v/>
          </cell>
          <cell r="AN340">
            <v>9.25</v>
          </cell>
        </row>
        <row r="341">
          <cell r="B341" t="str">
            <v>GL500264</v>
          </cell>
          <cell r="C341" t="str">
            <v>DO 数字运营部</v>
          </cell>
          <cell r="D341" t="str">
            <v>美国技术支持组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  <cell r="AL341" t="str">
            <v/>
          </cell>
          <cell r="AM341" t="str">
            <v/>
          </cell>
          <cell r="AN341">
            <v>0</v>
          </cell>
        </row>
        <row r="342">
          <cell r="B342" t="str">
            <v>GL500898</v>
          </cell>
          <cell r="C342" t="str">
            <v>MS 中南大区</v>
          </cell>
          <cell r="D342" t="str">
            <v>AS 奥萨查沿海片区</v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  <cell r="AL342" t="str">
            <v/>
          </cell>
          <cell r="AM342" t="str">
            <v/>
          </cell>
          <cell r="AN342">
            <v>21.67</v>
          </cell>
        </row>
        <row r="343">
          <cell r="B343" t="str">
            <v>GL500390</v>
          </cell>
          <cell r="C343" t="str">
            <v>WE 美西大区</v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  <cell r="AL343" t="str">
            <v/>
          </cell>
          <cell r="AM343" t="str">
            <v/>
          </cell>
          <cell r="AN343">
            <v>0</v>
          </cell>
        </row>
        <row r="344">
          <cell r="B344" t="str">
            <v>GL500128</v>
          </cell>
          <cell r="C344" t="str">
            <v>WE 美西大区</v>
          </cell>
          <cell r="D344" t="str">
            <v>NC 北加片区</v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/>
          </cell>
          <cell r="AN344">
            <v>16.75</v>
          </cell>
        </row>
        <row r="345">
          <cell r="B345" t="str">
            <v>GL501817</v>
          </cell>
          <cell r="C345" t="str">
            <v>MS 中南大区</v>
          </cell>
          <cell r="D345" t="str">
            <v>BN 田纳西和北阿拉巴马片区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/>
          </cell>
          <cell r="AN345">
            <v>0</v>
          </cell>
        </row>
        <row r="346">
          <cell r="B346" t="str">
            <v>GL502509</v>
          </cell>
          <cell r="C346" t="str">
            <v>TX 德州大区</v>
          </cell>
          <cell r="D346" t="str">
            <v>DFW.H</v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/>
          </cell>
          <cell r="AN346">
            <v>19.09</v>
          </cell>
        </row>
        <row r="347">
          <cell r="B347" t="str">
            <v>GL501614</v>
          </cell>
          <cell r="C347" t="str">
            <v>GL 大湖大区</v>
          </cell>
          <cell r="D347" t="str">
            <v>ORD.H</v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/>
          </cell>
          <cell r="AN347">
            <v>20.46</v>
          </cell>
        </row>
        <row r="348">
          <cell r="B348" t="str">
            <v>GL500317</v>
          </cell>
          <cell r="C348" t="str">
            <v>WE 美西大区</v>
          </cell>
          <cell r="D348" t="str">
            <v>运营支持部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  <cell r="AG348" t="str">
            <v/>
          </cell>
          <cell r="AH348" t="str">
            <v/>
          </cell>
          <cell r="AI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/>
          </cell>
          <cell r="AN348">
            <v>17.89</v>
          </cell>
        </row>
        <row r="349">
          <cell r="B349" t="str">
            <v>GL501759</v>
          </cell>
          <cell r="C349" t="str">
            <v>Ground项目部</v>
          </cell>
          <cell r="D349" t="str">
            <v>OG 美东区</v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/>
          </cell>
          <cell r="AN349">
            <v>16.35</v>
          </cell>
        </row>
        <row r="350">
          <cell r="B350" t="str">
            <v>GL501269</v>
          </cell>
          <cell r="C350" t="str">
            <v>AD 行政部</v>
          </cell>
          <cell r="D350" t="str">
            <v>美东组</v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/>
          </cell>
          <cell r="AN350">
            <v>18.28</v>
          </cell>
        </row>
        <row r="351">
          <cell r="B351" t="str">
            <v>GL501208</v>
          </cell>
          <cell r="C351" t="str">
            <v>TX 德州大区</v>
          </cell>
          <cell r="D351" t="str">
            <v>NT 北德州片区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/>
          </cell>
          <cell r="AN351">
            <v>10.22</v>
          </cell>
        </row>
        <row r="352">
          <cell r="B352" t="str">
            <v>GL501081</v>
          </cell>
          <cell r="C352" t="str">
            <v>Ground项目部</v>
          </cell>
          <cell r="D352" t="str">
            <v>派送管理部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/>
          </cell>
          <cell r="AN352">
            <v>16.67</v>
          </cell>
        </row>
        <row r="353">
          <cell r="B353" t="str">
            <v>GL500755</v>
          </cell>
          <cell r="C353" t="str">
            <v>TX 德州大区</v>
          </cell>
          <cell r="D353" t="str">
            <v>DFW.H</v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  <cell r="AG353" t="str">
            <v/>
          </cell>
          <cell r="AH353" t="str">
            <v/>
          </cell>
          <cell r="AI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/>
          </cell>
          <cell r="AN353">
            <v>0</v>
          </cell>
        </row>
        <row r="354">
          <cell r="B354" t="str">
            <v>GL501097</v>
          </cell>
          <cell r="C354" t="str">
            <v>WE 美西大区</v>
          </cell>
          <cell r="D354" t="str">
            <v>CNO.H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/>
          </cell>
          <cell r="AN354">
            <v>15.59</v>
          </cell>
        </row>
        <row r="355">
          <cell r="B355" t="str">
            <v>GL501040</v>
          </cell>
          <cell r="C355" t="str">
            <v>FL 佛州大区</v>
          </cell>
          <cell r="D355" t="str">
            <v>MCO.H</v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/>
          </cell>
          <cell r="AN355">
            <v>26.5</v>
          </cell>
        </row>
        <row r="356">
          <cell r="B356" t="str">
            <v>GL502820</v>
          </cell>
          <cell r="C356" t="str">
            <v>FL 佛州大区</v>
          </cell>
          <cell r="D356" t="str">
            <v>运营支持部</v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/>
          </cell>
          <cell r="AN356">
            <v>8.15</v>
          </cell>
        </row>
        <row r="357">
          <cell r="B357" t="str">
            <v>GL502844</v>
          </cell>
          <cell r="C357" t="str">
            <v>US人力资源部</v>
          </cell>
          <cell r="D357" t="str">
            <v>美洲HRBP组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  <cell r="AL357" t="str">
            <v/>
          </cell>
          <cell r="AM357" t="str">
            <v/>
          </cell>
          <cell r="AN357">
            <v>11.93</v>
          </cell>
        </row>
        <row r="358">
          <cell r="B358" t="str">
            <v>GL501564</v>
          </cell>
          <cell r="C358" t="str">
            <v>WE 美西大区</v>
          </cell>
          <cell r="D358" t="str">
            <v>NC 北加片区</v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  <cell r="AL358" t="str">
            <v/>
          </cell>
          <cell r="AM358" t="str">
            <v/>
          </cell>
          <cell r="AN358">
            <v>20.43</v>
          </cell>
        </row>
        <row r="359">
          <cell r="B359" t="str">
            <v>GL502814</v>
          </cell>
          <cell r="C359" t="str">
            <v>MS 中南大区</v>
          </cell>
          <cell r="D359" t="str">
            <v>CS 夏洛特及周边片区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/>
          </cell>
          <cell r="AN359">
            <v>0</v>
          </cell>
        </row>
        <row r="360">
          <cell r="B360" t="str">
            <v>GL501864</v>
          </cell>
          <cell r="C360" t="str">
            <v>TX 德州大区</v>
          </cell>
          <cell r="D360" t="str">
            <v>DFW.H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/>
          </cell>
          <cell r="AN360">
            <v>11.85</v>
          </cell>
        </row>
        <row r="361">
          <cell r="B361" t="str">
            <v>GL501604</v>
          </cell>
          <cell r="C361" t="str">
            <v>WE 美西大区</v>
          </cell>
          <cell r="D361" t="str">
            <v>DS 丹佛·盐湖城片区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/>
          </cell>
          <cell r="AN361">
            <v>15.21</v>
          </cell>
        </row>
        <row r="362">
          <cell r="B362" t="str">
            <v>GL502768</v>
          </cell>
          <cell r="C362" t="str">
            <v>Ground项目部</v>
          </cell>
          <cell r="D362" t="str">
            <v>OG 美南区</v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  <cell r="AL362" t="str">
            <v/>
          </cell>
          <cell r="AM362" t="str">
            <v/>
          </cell>
          <cell r="AN362">
            <v>9.22</v>
          </cell>
        </row>
        <row r="363">
          <cell r="B363" t="str">
            <v>GL500852</v>
          </cell>
          <cell r="C363" t="str">
            <v>TX 德州大区</v>
          </cell>
          <cell r="D363" t="str">
            <v>IAH.H</v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/>
          </cell>
          <cell r="AK363" t="str">
            <v/>
          </cell>
          <cell r="AL363" t="str">
            <v/>
          </cell>
          <cell r="AM363" t="str">
            <v/>
          </cell>
          <cell r="AN363">
            <v>19.04</v>
          </cell>
        </row>
        <row r="364">
          <cell r="B364" t="str">
            <v>GL501529</v>
          </cell>
          <cell r="C364" t="str">
            <v>FL 佛州大区</v>
          </cell>
          <cell r="D364" t="str">
            <v>SF 南佛片区</v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  <cell r="AL364" t="str">
            <v/>
          </cell>
          <cell r="AM364" t="str">
            <v/>
          </cell>
          <cell r="AN364">
            <v>9.02</v>
          </cell>
        </row>
        <row r="365">
          <cell r="B365" t="str">
            <v>GL502732</v>
          </cell>
          <cell r="C365" t="str">
            <v>TX 德州大区</v>
          </cell>
          <cell r="D365" t="str">
            <v>NT 北德州片区</v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  <cell r="AL365" t="str">
            <v/>
          </cell>
          <cell r="AM365" t="str">
            <v/>
          </cell>
          <cell r="AN365">
            <v>7.63</v>
          </cell>
        </row>
        <row r="366">
          <cell r="B366" t="str">
            <v>GL502436</v>
          </cell>
          <cell r="C366" t="str">
            <v>WE 美西大区</v>
          </cell>
          <cell r="D366" t="str">
            <v>NC 北加片区</v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  <cell r="AL366" t="str">
            <v/>
          </cell>
          <cell r="AM366" t="str">
            <v/>
          </cell>
          <cell r="AN366">
            <v>10.55</v>
          </cell>
        </row>
        <row r="367">
          <cell r="B367" t="str">
            <v>GL501012</v>
          </cell>
          <cell r="C367" t="str">
            <v>GL 大湖大区</v>
          </cell>
          <cell r="D367" t="str">
            <v>IND01</v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  <cell r="AL367" t="str">
            <v/>
          </cell>
          <cell r="AM367" t="str">
            <v/>
          </cell>
          <cell r="AN367">
            <v>0</v>
          </cell>
        </row>
        <row r="368">
          <cell r="B368" t="str">
            <v>GL502280</v>
          </cell>
          <cell r="C368" t="str">
            <v>TX 德州大区</v>
          </cell>
          <cell r="D368" t="str">
            <v>NT 北德州片区</v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  <cell r="AL368" t="str">
            <v/>
          </cell>
          <cell r="AM368" t="str">
            <v/>
          </cell>
          <cell r="AN368">
            <v>15.37</v>
          </cell>
        </row>
        <row r="369">
          <cell r="B369" t="str">
            <v>GL502148</v>
          </cell>
          <cell r="C369" t="str">
            <v>GL 大湖大区</v>
          </cell>
          <cell r="D369" t="str">
            <v>ORD.H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/>
          </cell>
          <cell r="AK369" t="str">
            <v/>
          </cell>
          <cell r="AL369" t="str">
            <v/>
          </cell>
          <cell r="AM369" t="str">
            <v/>
          </cell>
          <cell r="AN369">
            <v>9.93</v>
          </cell>
        </row>
        <row r="370">
          <cell r="B370" t="str">
            <v>GL500050</v>
          </cell>
          <cell r="C370" t="str">
            <v>WE 美西大区</v>
          </cell>
          <cell r="D370" t="str">
            <v>LAV.H</v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  <cell r="AL370" t="str">
            <v/>
          </cell>
          <cell r="AM370" t="str">
            <v/>
          </cell>
          <cell r="AN370">
            <v>8.43</v>
          </cell>
        </row>
        <row r="371">
          <cell r="B371" t="str">
            <v>GL501829</v>
          </cell>
          <cell r="C371" t="str">
            <v>US人力资源部</v>
          </cell>
          <cell r="D371" t="str">
            <v>美洲HRBP组</v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  <cell r="AL371" t="str">
            <v/>
          </cell>
          <cell r="AM371" t="str">
            <v/>
          </cell>
          <cell r="AN371">
            <v>0</v>
          </cell>
        </row>
        <row r="372">
          <cell r="B372" t="str">
            <v>GL500326</v>
          </cell>
          <cell r="C372" t="str">
            <v>WE 美西大区</v>
          </cell>
          <cell r="D372" t="str">
            <v>LAV.H</v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  <cell r="AL372" t="str">
            <v/>
          </cell>
          <cell r="AM372" t="str">
            <v/>
          </cell>
          <cell r="AN372">
            <v>20.71</v>
          </cell>
        </row>
        <row r="373">
          <cell r="B373" t="str">
            <v>GL501014</v>
          </cell>
          <cell r="C373" t="str">
            <v>GL 大湖大区</v>
          </cell>
          <cell r="D373" t="str">
            <v>ORD.H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  <cell r="AL373" t="str">
            <v/>
          </cell>
          <cell r="AM373" t="str">
            <v/>
          </cell>
          <cell r="AN373">
            <v>19.68</v>
          </cell>
        </row>
        <row r="374">
          <cell r="B374" t="str">
            <v>GL502695</v>
          </cell>
          <cell r="C374" t="str">
            <v>US人力资源部</v>
          </cell>
          <cell r="D374" t="str">
            <v>美洲HRBP组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  <cell r="AL374" t="str">
            <v/>
          </cell>
          <cell r="AM374" t="str">
            <v/>
          </cell>
          <cell r="AN374">
            <v>17.26</v>
          </cell>
        </row>
        <row r="375">
          <cell r="B375" t="str">
            <v>GL501137</v>
          </cell>
          <cell r="C375" t="str">
            <v>WE 美西大区</v>
          </cell>
          <cell r="D375" t="str">
            <v>CNO.H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  <cell r="AL375" t="str">
            <v/>
          </cell>
          <cell r="AM375" t="str">
            <v/>
          </cell>
          <cell r="AN375">
            <v>11.37</v>
          </cell>
        </row>
        <row r="376">
          <cell r="B376" t="str">
            <v>GL501747</v>
          </cell>
          <cell r="C376" t="str">
            <v>NE 东北大区</v>
          </cell>
          <cell r="D376" t="str">
            <v>揽收部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  <cell r="AL376" t="str">
            <v/>
          </cell>
          <cell r="AM376" t="str">
            <v/>
          </cell>
          <cell r="AN376">
            <v>11.37</v>
          </cell>
        </row>
        <row r="377">
          <cell r="B377" t="str">
            <v>GL502020</v>
          </cell>
          <cell r="C377" t="str">
            <v>FL 佛州大区</v>
          </cell>
          <cell r="D377" t="str">
            <v>MCO.H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  <cell r="AL377" t="str">
            <v/>
          </cell>
          <cell r="AM377" t="str">
            <v/>
          </cell>
          <cell r="AN377">
            <v>0</v>
          </cell>
        </row>
        <row r="378">
          <cell r="B378" t="str">
            <v>GL502626</v>
          </cell>
          <cell r="C378" t="str">
            <v>WE 美西大区</v>
          </cell>
          <cell r="D378" t="str">
            <v>CNO.H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  <cell r="AL378" t="str">
            <v/>
          </cell>
          <cell r="AM378" t="str">
            <v/>
          </cell>
          <cell r="AN378">
            <v>12</v>
          </cell>
        </row>
        <row r="379">
          <cell r="B379" t="str">
            <v>GL501791</v>
          </cell>
          <cell r="C379" t="str">
            <v>TX 德州大区</v>
          </cell>
          <cell r="D379" t="str">
            <v>IAH.H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  <cell r="AL379" t="str">
            <v/>
          </cell>
          <cell r="AM379" t="str">
            <v/>
          </cell>
          <cell r="AN379">
            <v>17.52</v>
          </cell>
        </row>
        <row r="380">
          <cell r="B380" t="str">
            <v>GL501679</v>
          </cell>
          <cell r="C380" t="str">
            <v>GL 大湖大区</v>
          </cell>
          <cell r="D380" t="str">
            <v>运营支持部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  <cell r="AL380" t="str">
            <v/>
          </cell>
          <cell r="AM380" t="str">
            <v/>
          </cell>
          <cell r="AN380">
            <v>17.75</v>
          </cell>
        </row>
        <row r="381">
          <cell r="B381" t="str">
            <v>GL001344</v>
          </cell>
          <cell r="C381" t="str">
            <v>OM 操作管理部</v>
          </cell>
          <cell r="D381" t="str">
            <v>实施运营组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  <cell r="AG381" t="str">
            <v/>
          </cell>
          <cell r="AH381" t="str">
            <v/>
          </cell>
          <cell r="AI381" t="str">
            <v/>
          </cell>
          <cell r="AJ381" t="str">
            <v/>
          </cell>
          <cell r="AK381" t="str">
            <v/>
          </cell>
          <cell r="AL381" t="str">
            <v/>
          </cell>
          <cell r="AM381" t="str">
            <v/>
          </cell>
          <cell r="AN381">
            <v>0</v>
          </cell>
        </row>
        <row r="382">
          <cell r="B382" t="str">
            <v>GL502630</v>
          </cell>
          <cell r="C382" t="str">
            <v>QC 质量控制部</v>
          </cell>
          <cell r="D382" t="str">
            <v>质量改善组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  <cell r="AL382" t="str">
            <v/>
          </cell>
          <cell r="AM382" t="str">
            <v/>
          </cell>
          <cell r="AN382">
            <v>17.15</v>
          </cell>
        </row>
        <row r="383">
          <cell r="B383" t="str">
            <v>GL501865</v>
          </cell>
          <cell r="C383" t="str">
            <v>FL 佛州大区</v>
          </cell>
          <cell r="D383" t="str">
            <v>MIA.H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  <cell r="AL383" t="str">
            <v/>
          </cell>
          <cell r="AM383" t="str">
            <v/>
          </cell>
          <cell r="AN383">
            <v>8.33</v>
          </cell>
        </row>
        <row r="384">
          <cell r="B384" t="str">
            <v>GL500245</v>
          </cell>
          <cell r="C384" t="str">
            <v>DO 数字运营部</v>
          </cell>
          <cell r="D384" t="str">
            <v>美国技术支持组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/>
          </cell>
          <cell r="AN384">
            <v>0</v>
          </cell>
        </row>
        <row r="385">
          <cell r="B385" t="str">
            <v>GL501338</v>
          </cell>
          <cell r="C385" t="str">
            <v>WE 美西大区</v>
          </cell>
          <cell r="D385" t="str">
            <v>运营支持部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  <cell r="AG385" t="str">
            <v/>
          </cell>
          <cell r="AH385" t="str">
            <v/>
          </cell>
          <cell r="AI385" t="str">
            <v/>
          </cell>
          <cell r="AJ385" t="str">
            <v/>
          </cell>
          <cell r="AK385" t="str">
            <v/>
          </cell>
          <cell r="AL385" t="str">
            <v/>
          </cell>
          <cell r="AM385" t="str">
            <v/>
          </cell>
          <cell r="AN385">
            <v>16.19</v>
          </cell>
        </row>
        <row r="386">
          <cell r="B386" t="str">
            <v>GL500096</v>
          </cell>
          <cell r="C386" t="str">
            <v>OM 操作管理部</v>
          </cell>
          <cell r="D386" t="str">
            <v>设备规划组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  <cell r="AL386" t="str">
            <v/>
          </cell>
          <cell r="AM386" t="str">
            <v/>
          </cell>
          <cell r="AN386">
            <v>0</v>
          </cell>
        </row>
        <row r="387">
          <cell r="B387" t="str">
            <v>GL502060</v>
          </cell>
          <cell r="C387" t="str">
            <v>GL 大湖大区</v>
          </cell>
          <cell r="D387" t="str">
            <v>揽收部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/>
          </cell>
          <cell r="AK387" t="str">
            <v/>
          </cell>
          <cell r="AL387" t="str">
            <v/>
          </cell>
          <cell r="AM387" t="str">
            <v/>
          </cell>
          <cell r="AN387">
            <v>18.43</v>
          </cell>
        </row>
        <row r="388">
          <cell r="B388" t="str">
            <v>GL501551</v>
          </cell>
          <cell r="C388" t="str">
            <v>TX 德州大区</v>
          </cell>
          <cell r="D388" t="str">
            <v>IAH.H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  <cell r="AL388" t="str">
            <v/>
          </cell>
          <cell r="AM388" t="str">
            <v/>
          </cell>
          <cell r="AN388">
            <v>0</v>
          </cell>
        </row>
        <row r="389">
          <cell r="B389" t="str">
            <v>GL500946</v>
          </cell>
          <cell r="C389" t="str">
            <v>WE 美西大区</v>
          </cell>
          <cell r="D389" t="str">
            <v>LAV.H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  <cell r="AL389" t="str">
            <v/>
          </cell>
          <cell r="AM389" t="str">
            <v/>
          </cell>
          <cell r="AN389">
            <v>19.93</v>
          </cell>
        </row>
        <row r="390">
          <cell r="B390" t="str">
            <v>GL501399</v>
          </cell>
          <cell r="C390" t="str">
            <v>WE 美西大区</v>
          </cell>
          <cell r="D390" t="str">
            <v>CNO.H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/>
          </cell>
          <cell r="AN390">
            <v>10.97</v>
          </cell>
        </row>
        <row r="391">
          <cell r="B391" t="str">
            <v>GL501506</v>
          </cell>
          <cell r="C391" t="str">
            <v>Ground项目部</v>
          </cell>
          <cell r="D391" t="str">
            <v>OG 美西区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/>
          </cell>
          <cell r="AN391">
            <v>8.6</v>
          </cell>
        </row>
        <row r="392">
          <cell r="B392" t="str">
            <v>GL502216</v>
          </cell>
          <cell r="C392" t="str">
            <v>WE 美西大区</v>
          </cell>
          <cell r="D392" t="str">
            <v>运营支持部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/>
          </cell>
          <cell r="AN392">
            <v>0</v>
          </cell>
        </row>
        <row r="393">
          <cell r="B393" t="str">
            <v>GL500751</v>
          </cell>
          <cell r="C393" t="str">
            <v>WE 美西大区</v>
          </cell>
          <cell r="D393" t="str">
            <v>CNO.H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/>
          </cell>
          <cell r="AN393">
            <v>0</v>
          </cell>
        </row>
        <row r="394">
          <cell r="B394" t="str">
            <v>GL501293</v>
          </cell>
          <cell r="C394" t="str">
            <v>AD 行政部</v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/>
          </cell>
          <cell r="AN394">
            <v>16</v>
          </cell>
        </row>
        <row r="395">
          <cell r="B395" t="str">
            <v>GL501406</v>
          </cell>
          <cell r="C395" t="str">
            <v>TX 德州大区</v>
          </cell>
          <cell r="D395" t="str">
            <v>IAH.H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/>
          </cell>
          <cell r="AN395">
            <v>8.67</v>
          </cell>
        </row>
        <row r="396">
          <cell r="B396" t="str">
            <v>GL501633</v>
          </cell>
          <cell r="C396" t="str">
            <v>TX 德州大区</v>
          </cell>
          <cell r="D396" t="str">
            <v>揽收部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/>
          </cell>
          <cell r="AN396">
            <v>16.99</v>
          </cell>
        </row>
        <row r="397">
          <cell r="B397" t="str">
            <v>GL500211</v>
          </cell>
          <cell r="C397" t="str">
            <v>WE 美西大区</v>
          </cell>
          <cell r="D397" t="str">
            <v>车辆管理部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  <cell r="AL397" t="str">
            <v/>
          </cell>
          <cell r="AM397" t="str">
            <v/>
          </cell>
          <cell r="AN397">
            <v>15.58</v>
          </cell>
        </row>
        <row r="398">
          <cell r="B398" t="str">
            <v>GL500199</v>
          </cell>
          <cell r="C398" t="str">
            <v>NE 东北大区</v>
          </cell>
          <cell r="D398" t="str">
            <v>NY 纽约片区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/>
          </cell>
          <cell r="AN398">
            <v>16.77</v>
          </cell>
        </row>
        <row r="399">
          <cell r="B399" t="str">
            <v>GL502466</v>
          </cell>
          <cell r="C399" t="str">
            <v>US人力资源部</v>
          </cell>
          <cell r="D399" t="str">
            <v>美洲HRBP组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/>
          </cell>
          <cell r="AN399">
            <v>16.87</v>
          </cell>
        </row>
        <row r="400">
          <cell r="B400" t="str">
            <v>GL502711</v>
          </cell>
          <cell r="C400" t="str">
            <v>WE 美西大区</v>
          </cell>
          <cell r="D400" t="str">
            <v>CNO.H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/>
          </cell>
          <cell r="AN400">
            <v>5.58</v>
          </cell>
        </row>
        <row r="401">
          <cell r="B401" t="str">
            <v>GL502618</v>
          </cell>
          <cell r="C401" t="str">
            <v>MS 中南大区</v>
          </cell>
          <cell r="D401" t="str">
            <v>ATL.H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  <cell r="AL401" t="str">
            <v/>
          </cell>
          <cell r="AM401" t="str">
            <v/>
          </cell>
          <cell r="AN401">
            <v>17.26</v>
          </cell>
        </row>
        <row r="402">
          <cell r="B402" t="str">
            <v>GL501307</v>
          </cell>
          <cell r="C402" t="str">
            <v>FL 佛州大区</v>
          </cell>
          <cell r="D402" t="str">
            <v>MCO01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  <cell r="AL402" t="str">
            <v/>
          </cell>
          <cell r="AM402" t="str">
            <v/>
          </cell>
          <cell r="AN402">
            <v>19.77</v>
          </cell>
        </row>
        <row r="403">
          <cell r="B403" t="str">
            <v>GL501785</v>
          </cell>
          <cell r="C403" t="str">
            <v>NE 东北大区</v>
          </cell>
          <cell r="D403" t="str">
            <v>EWR.H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  <cell r="AL403" t="str">
            <v/>
          </cell>
          <cell r="AM403" t="str">
            <v/>
          </cell>
          <cell r="AN403">
            <v>17.33</v>
          </cell>
        </row>
        <row r="404">
          <cell r="B404" t="str">
            <v>GL500711</v>
          </cell>
          <cell r="C404" t="str">
            <v>MS 中南大区</v>
          </cell>
          <cell r="D404" t="str">
            <v>RE 北卡和东南海岸片区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  <cell r="AL404" t="str">
            <v/>
          </cell>
          <cell r="AM404" t="str">
            <v/>
          </cell>
          <cell r="AN404">
            <v>0</v>
          </cell>
        </row>
        <row r="405">
          <cell r="B405" t="str">
            <v>GL501209</v>
          </cell>
          <cell r="C405" t="str">
            <v>FL 佛州大区</v>
          </cell>
          <cell r="D405" t="str">
            <v>MIA.H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  <cell r="AL405" t="str">
            <v/>
          </cell>
          <cell r="AM405" t="str">
            <v/>
          </cell>
          <cell r="AN405">
            <v>0</v>
          </cell>
        </row>
        <row r="406">
          <cell r="B406" t="str">
            <v>GL502563</v>
          </cell>
          <cell r="C406" t="str">
            <v>US人力资源部</v>
          </cell>
          <cell r="D406" t="str">
            <v>美洲HRBP组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  <cell r="AL406" t="str">
            <v/>
          </cell>
          <cell r="AM406" t="str">
            <v/>
          </cell>
          <cell r="AN406">
            <v>16.43</v>
          </cell>
        </row>
        <row r="407">
          <cell r="B407" t="str">
            <v>GL502761</v>
          </cell>
          <cell r="C407" t="str">
            <v>FL 佛州大区</v>
          </cell>
          <cell r="D407" t="str">
            <v>NF 北佛片区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  <cell r="AL407" t="str">
            <v/>
          </cell>
          <cell r="AM407" t="str">
            <v/>
          </cell>
          <cell r="AN407">
            <v>0</v>
          </cell>
        </row>
        <row r="408">
          <cell r="B408" t="str">
            <v>GL502477</v>
          </cell>
          <cell r="C408" t="str">
            <v>Ground项目部</v>
          </cell>
          <cell r="D408" t="str">
            <v>OG 美西区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  <cell r="AL408" t="str">
            <v/>
          </cell>
          <cell r="AM408" t="str">
            <v/>
          </cell>
          <cell r="AN408">
            <v>16.47</v>
          </cell>
        </row>
        <row r="409">
          <cell r="B409" t="str">
            <v>GL502553</v>
          </cell>
          <cell r="C409" t="str">
            <v>GL 大湖大区</v>
          </cell>
          <cell r="D409" t="str">
            <v>ORD.H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/>
          </cell>
          <cell r="AK409" t="str">
            <v/>
          </cell>
          <cell r="AL409" t="str">
            <v/>
          </cell>
          <cell r="AM409" t="str">
            <v/>
          </cell>
          <cell r="AN409">
            <v>19.3</v>
          </cell>
        </row>
        <row r="410">
          <cell r="B410" t="str">
            <v>GL501515</v>
          </cell>
          <cell r="C410" t="str">
            <v>AD 行政部</v>
          </cell>
          <cell r="D410" t="str">
            <v>美西组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  <cell r="AL410" t="str">
            <v/>
          </cell>
          <cell r="AM410" t="str">
            <v/>
          </cell>
          <cell r="AN410">
            <v>15.8</v>
          </cell>
        </row>
        <row r="411">
          <cell r="B411" t="str">
            <v>GL502601</v>
          </cell>
          <cell r="C411" t="str">
            <v>Ground项目部</v>
          </cell>
          <cell r="D411" t="str">
            <v>OG 美南区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  <cell r="AL411" t="str">
            <v/>
          </cell>
          <cell r="AM411" t="str">
            <v/>
          </cell>
          <cell r="AN411">
            <v>5.25</v>
          </cell>
        </row>
        <row r="412">
          <cell r="B412" t="str">
            <v>GL501095</v>
          </cell>
          <cell r="C412" t="str">
            <v>NE 东北大区</v>
          </cell>
          <cell r="D412" t="str">
            <v>BUF01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  <cell r="AL412" t="str">
            <v/>
          </cell>
          <cell r="AM412" t="str">
            <v/>
          </cell>
          <cell r="AN412">
            <v>0</v>
          </cell>
        </row>
        <row r="413">
          <cell r="B413" t="str">
            <v>GL501153</v>
          </cell>
          <cell r="C413" t="str">
            <v>WE 美西大区</v>
          </cell>
          <cell r="D413" t="str">
            <v>CNO.H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  <cell r="AL413" t="str">
            <v/>
          </cell>
          <cell r="AM413" t="str">
            <v/>
          </cell>
          <cell r="AN413">
            <v>19.57</v>
          </cell>
        </row>
        <row r="414">
          <cell r="B414" t="str">
            <v>GL500565</v>
          </cell>
          <cell r="C414" t="str">
            <v>Ground项目部</v>
          </cell>
          <cell r="D414" t="str">
            <v>OG 美西区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  <cell r="AL414" t="str">
            <v/>
          </cell>
          <cell r="AM414" t="str">
            <v/>
          </cell>
          <cell r="AN414">
            <v>0</v>
          </cell>
        </row>
        <row r="415">
          <cell r="B415" t="str">
            <v>GL502643</v>
          </cell>
          <cell r="C415" t="str">
            <v>US人力资源部</v>
          </cell>
          <cell r="D415" t="str">
            <v>美洲HRBP组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  <cell r="AL415" t="str">
            <v/>
          </cell>
          <cell r="AM415" t="str">
            <v/>
          </cell>
          <cell r="AN415">
            <v>0</v>
          </cell>
        </row>
        <row r="416">
          <cell r="B416" t="str">
            <v>GL501011</v>
          </cell>
          <cell r="C416" t="str">
            <v>WE 美西大区</v>
          </cell>
          <cell r="D416" t="str">
            <v>CNO.H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  <cell r="AL416" t="str">
            <v/>
          </cell>
          <cell r="AM416" t="str">
            <v/>
          </cell>
          <cell r="AN416">
            <v>0</v>
          </cell>
        </row>
        <row r="417">
          <cell r="B417" t="str">
            <v>GL500298</v>
          </cell>
          <cell r="C417" t="str">
            <v>WE 美西大区</v>
          </cell>
          <cell r="D417" t="str">
            <v>车辆管理部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  <cell r="AA417" t="str">
            <v/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  <cell r="AG417" t="str">
            <v/>
          </cell>
          <cell r="AH417" t="str">
            <v/>
          </cell>
          <cell r="AI417" t="str">
            <v/>
          </cell>
          <cell r="AJ417" t="str">
            <v/>
          </cell>
          <cell r="AK417" t="str">
            <v/>
          </cell>
          <cell r="AL417" t="str">
            <v/>
          </cell>
          <cell r="AM417" t="str">
            <v/>
          </cell>
          <cell r="AN417">
            <v>22.25</v>
          </cell>
        </row>
        <row r="418">
          <cell r="B418" t="str">
            <v>GL500459</v>
          </cell>
          <cell r="C418" t="str">
            <v>WE 美西大区</v>
          </cell>
          <cell r="D418" t="str">
            <v>LAV.H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/>
          </cell>
          <cell r="AK418" t="str">
            <v/>
          </cell>
          <cell r="AL418" t="str">
            <v/>
          </cell>
          <cell r="AM418" t="str">
            <v/>
          </cell>
          <cell r="AN418">
            <v>12.32</v>
          </cell>
        </row>
        <row r="419">
          <cell r="B419" t="str">
            <v>GL502406</v>
          </cell>
          <cell r="C419" t="str">
            <v>MS 中南大区</v>
          </cell>
          <cell r="D419" t="str">
            <v>ATL.H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  <cell r="AL419" t="str">
            <v/>
          </cell>
          <cell r="AM419" t="str">
            <v/>
          </cell>
          <cell r="AN419">
            <v>16.15</v>
          </cell>
        </row>
        <row r="420">
          <cell r="B420" t="str">
            <v>GL500999</v>
          </cell>
          <cell r="C420" t="str">
            <v>GL 大湖大区</v>
          </cell>
          <cell r="D420" t="str">
            <v>ORD.H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  <cell r="AL420" t="str">
            <v/>
          </cell>
          <cell r="AM420" t="str">
            <v/>
          </cell>
          <cell r="AN420">
            <v>8.4</v>
          </cell>
        </row>
        <row r="421">
          <cell r="B421" t="str">
            <v>GL000004</v>
          </cell>
          <cell r="C421" t="str">
            <v>OM 操作管理部</v>
          </cell>
          <cell r="D421" t="str">
            <v>实施运营组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  <cell r="AL421" t="str">
            <v/>
          </cell>
          <cell r="AM421" t="str">
            <v/>
          </cell>
          <cell r="AN421">
            <v>0</v>
          </cell>
        </row>
        <row r="422">
          <cell r="B422" t="str">
            <v>GL502782</v>
          </cell>
          <cell r="C422" t="str">
            <v>TX 德州大区</v>
          </cell>
          <cell r="D422" t="str">
            <v>GC 墨湾片区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/>
          </cell>
          <cell r="AK422" t="str">
            <v/>
          </cell>
          <cell r="AL422" t="str">
            <v/>
          </cell>
          <cell r="AM422" t="str">
            <v/>
          </cell>
          <cell r="AN422">
            <v>0</v>
          </cell>
        </row>
        <row r="423">
          <cell r="B423" t="str">
            <v>GL502591</v>
          </cell>
          <cell r="C423" t="str">
            <v>WE 美西大区</v>
          </cell>
          <cell r="D423" t="str">
            <v>SC 南加片区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  <cell r="AL423" t="str">
            <v/>
          </cell>
          <cell r="AM423" t="str">
            <v/>
          </cell>
          <cell r="AN423">
            <v>0</v>
          </cell>
        </row>
        <row r="424">
          <cell r="B424" t="str">
            <v>GL501628</v>
          </cell>
          <cell r="C424" t="str">
            <v>MS 中南大区</v>
          </cell>
          <cell r="D424" t="str">
            <v>CS 夏洛特及周边片区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  <cell r="AL424" t="str">
            <v/>
          </cell>
          <cell r="AM424" t="str">
            <v/>
          </cell>
          <cell r="AN424">
            <v>0</v>
          </cell>
        </row>
        <row r="425">
          <cell r="B425" t="str">
            <v>GL502878</v>
          </cell>
          <cell r="C425" t="str">
            <v>WE 美西大区</v>
          </cell>
          <cell r="D425" t="str">
            <v>SP 西雅图·波特兰片区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 t="str">
            <v/>
          </cell>
          <cell r="AH425" t="str">
            <v/>
          </cell>
          <cell r="AI425" t="str">
            <v/>
          </cell>
          <cell r="AJ425" t="str">
            <v/>
          </cell>
          <cell r="AK425" t="str">
            <v/>
          </cell>
          <cell r="AL425" t="str">
            <v/>
          </cell>
          <cell r="AM425" t="str">
            <v/>
          </cell>
          <cell r="AN425">
            <v>15.37</v>
          </cell>
        </row>
        <row r="426">
          <cell r="B426" t="str">
            <v>GL501483</v>
          </cell>
          <cell r="C426" t="str">
            <v>FL 佛州大区</v>
          </cell>
          <cell r="D426" t="str">
            <v>MCO.H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  <cell r="AL426" t="str">
            <v/>
          </cell>
          <cell r="AM426" t="str">
            <v/>
          </cell>
          <cell r="AN426">
            <v>11.7</v>
          </cell>
        </row>
        <row r="427">
          <cell r="B427" t="str">
            <v>GL500732</v>
          </cell>
          <cell r="C427" t="str">
            <v>BM 品牌市场部</v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  <cell r="AL427" t="str">
            <v/>
          </cell>
          <cell r="AM427" t="str">
            <v/>
          </cell>
          <cell r="AN427">
            <v>16</v>
          </cell>
        </row>
        <row r="428">
          <cell r="B428" t="str">
            <v>GL502059</v>
          </cell>
          <cell r="C428" t="str">
            <v>Ground项目部</v>
          </cell>
          <cell r="D428" t="str">
            <v>OG 美东区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  <cell r="AL428" t="str">
            <v/>
          </cell>
          <cell r="AM428" t="str">
            <v/>
          </cell>
          <cell r="AN428">
            <v>0</v>
          </cell>
        </row>
        <row r="429">
          <cell r="B429" t="str">
            <v>GL501228</v>
          </cell>
          <cell r="C429" t="str">
            <v>OM 操作管理部</v>
          </cell>
          <cell r="D429" t="str">
            <v>实施运营组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  <cell r="AL429" t="str">
            <v/>
          </cell>
          <cell r="AM429" t="str">
            <v/>
          </cell>
          <cell r="AN429">
            <v>0</v>
          </cell>
        </row>
        <row r="430">
          <cell r="B430" t="str">
            <v>GL501194</v>
          </cell>
          <cell r="C430" t="str">
            <v>NE 东北大区</v>
          </cell>
          <cell r="D430" t="str">
            <v>车辆管理部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  <cell r="AL430" t="str">
            <v/>
          </cell>
          <cell r="AM430" t="str">
            <v/>
          </cell>
          <cell r="AN430">
            <v>10.48</v>
          </cell>
        </row>
        <row r="431">
          <cell r="B431" t="str">
            <v>GL502263</v>
          </cell>
          <cell r="C431" t="str">
            <v>NE 东北大区</v>
          </cell>
          <cell r="D431" t="str">
            <v>车辆管理部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  <cell r="AG431" t="str">
            <v/>
          </cell>
          <cell r="AH431" t="str">
            <v/>
          </cell>
          <cell r="AI431" t="str">
            <v/>
          </cell>
          <cell r="AJ431" t="str">
            <v/>
          </cell>
          <cell r="AK431" t="str">
            <v/>
          </cell>
          <cell r="AL431" t="str">
            <v/>
          </cell>
          <cell r="AM431" t="str">
            <v/>
          </cell>
          <cell r="AN431">
            <v>17.23</v>
          </cell>
        </row>
        <row r="432">
          <cell r="B432" t="str">
            <v>GL502742</v>
          </cell>
          <cell r="C432" t="str">
            <v>WE 美西大区</v>
          </cell>
          <cell r="D432" t="str">
            <v>LAV.H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  <cell r="AL432" t="str">
            <v/>
          </cell>
          <cell r="AM432" t="str">
            <v/>
          </cell>
          <cell r="AN432">
            <v>0</v>
          </cell>
        </row>
        <row r="433">
          <cell r="B433" t="str">
            <v>GL502476</v>
          </cell>
          <cell r="C433" t="str">
            <v>US人力资源部</v>
          </cell>
          <cell r="D433" t="str">
            <v>美洲HRBP组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/>
          </cell>
          <cell r="AK433" t="str">
            <v/>
          </cell>
          <cell r="AL433" t="str">
            <v/>
          </cell>
          <cell r="AM433" t="str">
            <v/>
          </cell>
          <cell r="AN433">
            <v>17.36</v>
          </cell>
        </row>
        <row r="434">
          <cell r="B434" t="str">
            <v>GL500467</v>
          </cell>
          <cell r="C434" t="str">
            <v>TX 德州大区</v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 t="str">
            <v/>
          </cell>
          <cell r="AJ434" t="str">
            <v/>
          </cell>
          <cell r="AK434" t="str">
            <v/>
          </cell>
          <cell r="AL434" t="str">
            <v/>
          </cell>
          <cell r="AM434" t="str">
            <v/>
          </cell>
          <cell r="AN434">
            <v>0</v>
          </cell>
        </row>
        <row r="435">
          <cell r="B435" t="str">
            <v>GL501152</v>
          </cell>
          <cell r="C435" t="str">
            <v>FL 佛州大区</v>
          </cell>
          <cell r="D435" t="str">
            <v>SF 南佛片区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 t="str">
            <v/>
          </cell>
          <cell r="AJ435" t="str">
            <v/>
          </cell>
          <cell r="AK435" t="str">
            <v/>
          </cell>
          <cell r="AL435" t="str">
            <v/>
          </cell>
          <cell r="AM435" t="str">
            <v/>
          </cell>
          <cell r="AN435">
            <v>0</v>
          </cell>
        </row>
        <row r="436">
          <cell r="B436" t="str">
            <v>GL500528</v>
          </cell>
          <cell r="C436" t="str">
            <v>NE 东北大区</v>
          </cell>
          <cell r="D436" t="str">
            <v>NY 纽约片区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 t="str">
            <v/>
          </cell>
          <cell r="AJ436" t="str">
            <v/>
          </cell>
          <cell r="AK436" t="str">
            <v/>
          </cell>
          <cell r="AL436" t="str">
            <v/>
          </cell>
          <cell r="AM436" t="str">
            <v/>
          </cell>
          <cell r="AN436">
            <v>16.51</v>
          </cell>
        </row>
        <row r="437">
          <cell r="B437" t="str">
            <v>GL501427</v>
          </cell>
          <cell r="C437" t="str">
            <v>GL 大湖大区</v>
          </cell>
          <cell r="D437" t="str">
            <v>CLE01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 t="str">
            <v/>
          </cell>
          <cell r="AJ437" t="str">
            <v/>
          </cell>
          <cell r="AK437" t="str">
            <v/>
          </cell>
          <cell r="AL437" t="str">
            <v/>
          </cell>
          <cell r="AM437" t="str">
            <v/>
          </cell>
          <cell r="AN437">
            <v>9.78</v>
          </cell>
        </row>
        <row r="438">
          <cell r="B438" t="str">
            <v>GL502802</v>
          </cell>
          <cell r="C438" t="str">
            <v>TX 德州大区</v>
          </cell>
          <cell r="D438" t="str">
            <v>DFW.H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 t="str">
            <v/>
          </cell>
          <cell r="AI438" t="str">
            <v/>
          </cell>
          <cell r="AJ438" t="str">
            <v/>
          </cell>
          <cell r="AK438" t="str">
            <v/>
          </cell>
          <cell r="AL438" t="str">
            <v/>
          </cell>
          <cell r="AM438" t="str">
            <v/>
          </cell>
          <cell r="AN438">
            <v>20.45</v>
          </cell>
        </row>
        <row r="439">
          <cell r="B439" t="str">
            <v>GL501497</v>
          </cell>
          <cell r="C439" t="str">
            <v>TX 德州大区</v>
          </cell>
          <cell r="D439" t="str">
            <v>IAH.H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  <cell r="AL439" t="str">
            <v/>
          </cell>
          <cell r="AM439" t="str">
            <v/>
          </cell>
          <cell r="AN439">
            <v>0</v>
          </cell>
        </row>
        <row r="440">
          <cell r="B440" t="str">
            <v>GL502461</v>
          </cell>
          <cell r="C440" t="str">
            <v>TX 德州大区</v>
          </cell>
          <cell r="D440" t="str">
            <v>GC 墨湾片区</v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  <cell r="AL440" t="str">
            <v/>
          </cell>
          <cell r="AM440" t="str">
            <v/>
          </cell>
          <cell r="AN440">
            <v>0</v>
          </cell>
        </row>
        <row r="441">
          <cell r="B441" t="str">
            <v>GL501602</v>
          </cell>
          <cell r="C441" t="str">
            <v>GL 大湖大区</v>
          </cell>
          <cell r="D441" t="str">
            <v>ORD.H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  <cell r="AL441" t="str">
            <v/>
          </cell>
          <cell r="AM441" t="str">
            <v/>
          </cell>
          <cell r="AN441">
            <v>16.75</v>
          </cell>
        </row>
        <row r="442">
          <cell r="B442" t="str">
            <v>GL502565</v>
          </cell>
          <cell r="C442" t="str">
            <v>MS 中南大区</v>
          </cell>
          <cell r="D442" t="str">
            <v>ATL.H,PDK.H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 t="str">
            <v/>
          </cell>
          <cell r="AJ442" t="str">
            <v/>
          </cell>
          <cell r="AK442" t="str">
            <v/>
          </cell>
          <cell r="AL442" t="str">
            <v/>
          </cell>
          <cell r="AM442" t="str">
            <v/>
          </cell>
          <cell r="AN442">
            <v>0</v>
          </cell>
        </row>
        <row r="443">
          <cell r="B443" t="str">
            <v>GL501517</v>
          </cell>
          <cell r="C443" t="str">
            <v>FL 佛州大区</v>
          </cell>
          <cell r="D443" t="str">
            <v>MCO.H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 t="str">
            <v/>
          </cell>
          <cell r="AJ443" t="str">
            <v/>
          </cell>
          <cell r="AK443" t="str">
            <v/>
          </cell>
          <cell r="AL443" t="str">
            <v/>
          </cell>
          <cell r="AM443" t="str">
            <v/>
          </cell>
          <cell r="AN443">
            <v>0</v>
          </cell>
        </row>
        <row r="444">
          <cell r="B444" t="str">
            <v>GL500718</v>
          </cell>
          <cell r="C444" t="str">
            <v>NE 东北大区</v>
          </cell>
          <cell r="D444" t="str">
            <v>运营支持部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 t="str">
            <v/>
          </cell>
          <cell r="AJ444" t="str">
            <v/>
          </cell>
          <cell r="AK444" t="str">
            <v/>
          </cell>
          <cell r="AL444" t="str">
            <v/>
          </cell>
          <cell r="AM444" t="str">
            <v/>
          </cell>
          <cell r="AN444">
            <v>22.12</v>
          </cell>
        </row>
        <row r="445">
          <cell r="B445" t="str">
            <v>GL501079</v>
          </cell>
          <cell r="C445" t="str">
            <v>MS 中南大区</v>
          </cell>
          <cell r="D445" t="str">
            <v>RE 北卡和东南海岸片区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 t="str">
            <v/>
          </cell>
          <cell r="AJ445" t="str">
            <v/>
          </cell>
          <cell r="AK445" t="str">
            <v/>
          </cell>
          <cell r="AL445" t="str">
            <v/>
          </cell>
          <cell r="AM445" t="str">
            <v/>
          </cell>
          <cell r="AN445">
            <v>6</v>
          </cell>
        </row>
        <row r="446">
          <cell r="B446" t="str">
            <v>GL502468</v>
          </cell>
          <cell r="C446" t="str">
            <v>MS 中南大区</v>
          </cell>
          <cell r="D446" t="str">
            <v>ATL.H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  <cell r="AG446" t="str">
            <v/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  <cell r="AL446" t="str">
            <v/>
          </cell>
          <cell r="AM446" t="str">
            <v/>
          </cell>
          <cell r="AN446">
            <v>19.09</v>
          </cell>
        </row>
        <row r="447">
          <cell r="B447" t="str">
            <v>GL502858</v>
          </cell>
          <cell r="C447" t="str">
            <v>TX 德州大区</v>
          </cell>
          <cell r="D447" t="str">
            <v>运营支持部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  <cell r="AG447" t="str">
            <v/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  <cell r="AL447" t="str">
            <v/>
          </cell>
          <cell r="AM447" t="str">
            <v/>
          </cell>
          <cell r="AN447">
            <v>8.73</v>
          </cell>
        </row>
        <row r="448">
          <cell r="B448" t="str">
            <v>GL502304</v>
          </cell>
          <cell r="C448" t="str">
            <v>GL 大湖大区</v>
          </cell>
          <cell r="D448" t="str">
            <v>WG 西大湖片区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 t="str">
            <v/>
          </cell>
          <cell r="AM448" t="str">
            <v/>
          </cell>
          <cell r="AN448">
            <v>23.26</v>
          </cell>
        </row>
        <row r="449">
          <cell r="B449" t="str">
            <v>GL502715</v>
          </cell>
          <cell r="C449" t="str">
            <v>TX 德州大区</v>
          </cell>
          <cell r="D449" t="str">
            <v>揽收部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  <cell r="AG449" t="str">
            <v/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 t="str">
            <v/>
          </cell>
          <cell r="AM449" t="str">
            <v/>
          </cell>
          <cell r="AN449">
            <v>17.38</v>
          </cell>
        </row>
        <row r="450">
          <cell r="B450" t="str">
            <v>GL501093</v>
          </cell>
          <cell r="C450" t="str">
            <v>WE 美西大区</v>
          </cell>
          <cell r="D450" t="str">
            <v>LA揽收部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  <cell r="AL450" t="str">
            <v/>
          </cell>
          <cell r="AM450" t="str">
            <v/>
          </cell>
          <cell r="AN450">
            <v>10.95</v>
          </cell>
        </row>
        <row r="451">
          <cell r="B451" t="str">
            <v>GL501662</v>
          </cell>
          <cell r="C451" t="str">
            <v>Ground项目部</v>
          </cell>
          <cell r="D451" t="str">
            <v>OG 美东区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  <cell r="AL451" t="str">
            <v/>
          </cell>
          <cell r="AM451" t="str">
            <v/>
          </cell>
          <cell r="AN451">
            <v>14.62</v>
          </cell>
        </row>
        <row r="452">
          <cell r="B452" t="str">
            <v>GL000440</v>
          </cell>
          <cell r="C452" t="str">
            <v>GL 大湖大区</v>
          </cell>
          <cell r="D452" t="str">
            <v>运营支持部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/>
          </cell>
          <cell r="AN452">
            <v>0</v>
          </cell>
        </row>
        <row r="453">
          <cell r="B453" t="str">
            <v>GL502273</v>
          </cell>
          <cell r="C453" t="str">
            <v>Ground项目部</v>
          </cell>
          <cell r="D453" t="str">
            <v>OG 美西区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 t="str">
            <v/>
          </cell>
          <cell r="AI453" t="str">
            <v/>
          </cell>
          <cell r="AJ453" t="str">
            <v/>
          </cell>
          <cell r="AK453" t="str">
            <v/>
          </cell>
          <cell r="AL453" t="str">
            <v/>
          </cell>
          <cell r="AM453" t="str">
            <v/>
          </cell>
          <cell r="AN453">
            <v>0</v>
          </cell>
        </row>
        <row r="454">
          <cell r="B454" t="str">
            <v>GL501795</v>
          </cell>
          <cell r="C454" t="str">
            <v>MS 中南大区</v>
          </cell>
          <cell r="D454" t="str">
            <v>CS 夏洛特及周边片区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 t="str">
            <v/>
          </cell>
          <cell r="AM454" t="str">
            <v/>
          </cell>
          <cell r="AN454">
            <v>0</v>
          </cell>
        </row>
        <row r="455">
          <cell r="B455" t="str">
            <v>GL502374</v>
          </cell>
          <cell r="C455" t="str">
            <v>NE 东北大区</v>
          </cell>
          <cell r="D455" t="str">
            <v>运营支持部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  <cell r="AG455" t="str">
            <v/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  <cell r="AL455" t="str">
            <v/>
          </cell>
          <cell r="AM455" t="str">
            <v/>
          </cell>
          <cell r="AN455">
            <v>0</v>
          </cell>
        </row>
        <row r="456">
          <cell r="B456" t="str">
            <v>GL500568</v>
          </cell>
          <cell r="C456" t="str">
            <v>Ground项目部</v>
          </cell>
          <cell r="D456" t="str">
            <v>OG 美西区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  <cell r="AG456" t="str">
            <v/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  <cell r="AL456" t="str">
            <v/>
          </cell>
          <cell r="AM456" t="str">
            <v/>
          </cell>
          <cell r="AN456">
            <v>8.97</v>
          </cell>
        </row>
        <row r="457">
          <cell r="B457" t="str">
            <v>GL502708</v>
          </cell>
          <cell r="C457" t="str">
            <v>NE 东北大区</v>
          </cell>
          <cell r="D457" t="str">
            <v>BWI.H</v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  <cell r="AG457" t="str">
            <v/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  <cell r="AL457" t="str">
            <v/>
          </cell>
          <cell r="AM457" t="str">
            <v/>
          </cell>
          <cell r="AN457">
            <v>8.77</v>
          </cell>
        </row>
        <row r="458">
          <cell r="B458" t="str">
            <v>GL501333</v>
          </cell>
          <cell r="C458" t="str">
            <v>TX 德州大区</v>
          </cell>
          <cell r="D458" t="str">
            <v>CT 中德州片区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  <cell r="AG458" t="str">
            <v/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  <cell r="AL458" t="str">
            <v/>
          </cell>
          <cell r="AM458" t="str">
            <v/>
          </cell>
          <cell r="AN458">
            <v>0</v>
          </cell>
        </row>
        <row r="459">
          <cell r="B459" t="str">
            <v>GL502505</v>
          </cell>
          <cell r="C459" t="str">
            <v>NE 东北大区</v>
          </cell>
          <cell r="D459" t="str">
            <v>DC 华盛顿片区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  <cell r="AG459" t="str">
            <v/>
          </cell>
          <cell r="AH459" t="str">
            <v/>
          </cell>
          <cell r="AI459" t="str">
            <v/>
          </cell>
          <cell r="AJ459" t="str">
            <v/>
          </cell>
          <cell r="AK459" t="str">
            <v/>
          </cell>
          <cell r="AL459" t="str">
            <v/>
          </cell>
          <cell r="AM459" t="str">
            <v/>
          </cell>
          <cell r="AN459">
            <v>8.5</v>
          </cell>
        </row>
        <row r="460">
          <cell r="B460" t="str">
            <v>GL501428</v>
          </cell>
          <cell r="C460" t="str">
            <v>CM 运力管理部</v>
          </cell>
          <cell r="D460" t="str">
            <v>美东运力组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  <cell r="AG460" t="str">
            <v/>
          </cell>
          <cell r="AH460" t="str">
            <v/>
          </cell>
          <cell r="AI460" t="str">
            <v/>
          </cell>
          <cell r="AJ460" t="str">
            <v/>
          </cell>
          <cell r="AK460" t="str">
            <v/>
          </cell>
          <cell r="AL460" t="str">
            <v/>
          </cell>
          <cell r="AM460" t="str">
            <v/>
          </cell>
          <cell r="AN460">
            <v>0</v>
          </cell>
        </row>
        <row r="461">
          <cell r="B461" t="str">
            <v>GL501832</v>
          </cell>
          <cell r="C461" t="str">
            <v>GL 大湖大区</v>
          </cell>
          <cell r="D461" t="str">
            <v>MKE01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  <cell r="AG461" t="str">
            <v/>
          </cell>
          <cell r="AH461" t="str">
            <v/>
          </cell>
          <cell r="AI461" t="str">
            <v/>
          </cell>
          <cell r="AJ461" t="str">
            <v/>
          </cell>
          <cell r="AK461" t="str">
            <v/>
          </cell>
          <cell r="AL461" t="str">
            <v/>
          </cell>
          <cell r="AM461" t="str">
            <v/>
          </cell>
          <cell r="AN461">
            <v>0</v>
          </cell>
        </row>
        <row r="462">
          <cell r="B462" t="str">
            <v>GL501692</v>
          </cell>
          <cell r="C462" t="str">
            <v>NE 东北大区</v>
          </cell>
          <cell r="D462" t="str">
            <v>MA 新英格兰片区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  <cell r="AG462" t="str">
            <v/>
          </cell>
          <cell r="AH462" t="str">
            <v/>
          </cell>
          <cell r="AI462" t="str">
            <v/>
          </cell>
          <cell r="AJ462" t="str">
            <v/>
          </cell>
          <cell r="AK462" t="str">
            <v/>
          </cell>
          <cell r="AL462" t="str">
            <v/>
          </cell>
          <cell r="AM462" t="str">
            <v/>
          </cell>
          <cell r="AN462">
            <v>16.38</v>
          </cell>
        </row>
        <row r="463">
          <cell r="B463" t="str">
            <v>GL501261</v>
          </cell>
          <cell r="C463" t="str">
            <v>FL 佛州大区</v>
          </cell>
          <cell r="D463" t="str">
            <v>SF 南佛片区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  <cell r="AG463" t="str">
            <v/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/>
          </cell>
          <cell r="AN463">
            <v>16.19</v>
          </cell>
        </row>
        <row r="464">
          <cell r="B464" t="str">
            <v>GL502168</v>
          </cell>
          <cell r="C464" t="str">
            <v>MS 中南大区</v>
          </cell>
          <cell r="D464" t="str">
            <v>ATL.H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  <cell r="AG464" t="str">
            <v/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/>
          </cell>
          <cell r="AN464">
            <v>19.4</v>
          </cell>
        </row>
        <row r="465">
          <cell r="B465" t="str">
            <v>GL501858</v>
          </cell>
          <cell r="C465" t="str">
            <v>TX 德州大区</v>
          </cell>
          <cell r="D465" t="str">
            <v>IAH.H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  <cell r="AG465" t="str">
            <v/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  <cell r="AL465" t="str">
            <v/>
          </cell>
          <cell r="AM465" t="str">
            <v/>
          </cell>
          <cell r="AN465">
            <v>17.41</v>
          </cell>
        </row>
        <row r="466">
          <cell r="B466" t="str">
            <v>GL500233</v>
          </cell>
          <cell r="C466" t="str">
            <v>GL 大湖大区</v>
          </cell>
          <cell r="D466" t="str">
            <v>WG 西大湖片区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  <cell r="AL466" t="str">
            <v/>
          </cell>
          <cell r="AM466" t="str">
            <v/>
          </cell>
          <cell r="AN466">
            <v>0</v>
          </cell>
        </row>
        <row r="467">
          <cell r="B467" t="str">
            <v>GL502017</v>
          </cell>
          <cell r="C467" t="str">
            <v>MS 中南大区</v>
          </cell>
          <cell r="D467" t="str">
            <v>CLT.H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  <cell r="AG467" t="str">
            <v/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  <cell r="AL467" t="str">
            <v/>
          </cell>
          <cell r="AM467" t="str">
            <v/>
          </cell>
          <cell r="AN467">
            <v>21.79</v>
          </cell>
        </row>
        <row r="468">
          <cell r="B468" t="str">
            <v>GL501337</v>
          </cell>
          <cell r="C468" t="str">
            <v>TX 德州大区</v>
          </cell>
          <cell r="D468" t="str">
            <v>DFW.H</v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  <cell r="AL468" t="str">
            <v/>
          </cell>
          <cell r="AM468" t="str">
            <v/>
          </cell>
          <cell r="AN468">
            <v>0</v>
          </cell>
        </row>
        <row r="469">
          <cell r="B469" t="str">
            <v>GL502645</v>
          </cell>
          <cell r="C469" t="str">
            <v>WE 美西大区</v>
          </cell>
          <cell r="D469" t="str">
            <v>CNO.H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  <cell r="AG469" t="str">
            <v/>
          </cell>
          <cell r="AH469" t="str">
            <v/>
          </cell>
          <cell r="AI469" t="str">
            <v/>
          </cell>
          <cell r="AJ469" t="str">
            <v/>
          </cell>
          <cell r="AK469" t="str">
            <v/>
          </cell>
          <cell r="AL469" t="str">
            <v/>
          </cell>
          <cell r="AM469" t="str">
            <v/>
          </cell>
          <cell r="AN469">
            <v>0</v>
          </cell>
        </row>
        <row r="470">
          <cell r="B470" t="str">
            <v>GL501420</v>
          </cell>
          <cell r="C470" t="str">
            <v>FL 佛州大区</v>
          </cell>
          <cell r="D470" t="str">
            <v>SF 南佛片区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  <cell r="AL470" t="str">
            <v/>
          </cell>
          <cell r="AM470" t="str">
            <v/>
          </cell>
          <cell r="AN470">
            <v>29.25</v>
          </cell>
        </row>
        <row r="471">
          <cell r="B471" t="str">
            <v>GL500107</v>
          </cell>
          <cell r="C471" t="str">
            <v>DO 数字运营部</v>
          </cell>
          <cell r="D471" t="str">
            <v>美国项目交付组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  <cell r="AG471" t="str">
            <v/>
          </cell>
          <cell r="AH471" t="str">
            <v/>
          </cell>
          <cell r="AI471" t="str">
            <v/>
          </cell>
          <cell r="AJ471" t="str">
            <v/>
          </cell>
          <cell r="AK471" t="str">
            <v/>
          </cell>
          <cell r="AL471" t="str">
            <v/>
          </cell>
          <cell r="AM471" t="str">
            <v/>
          </cell>
          <cell r="AN471">
            <v>0</v>
          </cell>
        </row>
        <row r="472">
          <cell r="B472" t="str">
            <v>GL501583</v>
          </cell>
          <cell r="C472" t="str">
            <v>FL 佛州大区</v>
          </cell>
          <cell r="D472" t="str">
            <v>MF 中佛片区</v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  <cell r="AG472" t="str">
            <v/>
          </cell>
          <cell r="AH472" t="str">
            <v/>
          </cell>
          <cell r="AI472" t="str">
            <v/>
          </cell>
          <cell r="AJ472" t="str">
            <v/>
          </cell>
          <cell r="AK472" t="str">
            <v/>
          </cell>
          <cell r="AL472" t="str">
            <v/>
          </cell>
          <cell r="AM472" t="str">
            <v/>
          </cell>
          <cell r="AN472">
            <v>0</v>
          </cell>
        </row>
        <row r="473">
          <cell r="B473" t="str">
            <v>GL500595</v>
          </cell>
          <cell r="C473" t="str">
            <v>NE 东北大区</v>
          </cell>
          <cell r="D473" t="str">
            <v>JFK.H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  <cell r="AG473" t="str">
            <v/>
          </cell>
          <cell r="AH473" t="str">
            <v/>
          </cell>
          <cell r="AI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/>
          </cell>
          <cell r="AN473">
            <v>17.27</v>
          </cell>
        </row>
        <row r="474">
          <cell r="B474" t="str">
            <v>GL502350</v>
          </cell>
          <cell r="C474" t="str">
            <v>MS 中南大区</v>
          </cell>
          <cell r="D474" t="str">
            <v>AS 亚特兰大和南阿拉巴马片区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  <cell r="AG474" t="str">
            <v/>
          </cell>
          <cell r="AH474" t="str">
            <v/>
          </cell>
          <cell r="AI474" t="str">
            <v/>
          </cell>
          <cell r="AJ474" t="str">
            <v/>
          </cell>
          <cell r="AK474" t="str">
            <v/>
          </cell>
          <cell r="AL474" t="str">
            <v/>
          </cell>
          <cell r="AM474" t="str">
            <v/>
          </cell>
          <cell r="AN474">
            <v>7</v>
          </cell>
        </row>
        <row r="475">
          <cell r="B475" t="str">
            <v>GL502395</v>
          </cell>
          <cell r="C475" t="str">
            <v>CS 客户服务部</v>
          </cell>
          <cell r="D475" t="str">
            <v>消费者客服组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  <cell r="AG475" t="str">
            <v/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  <cell r="AL475" t="str">
            <v/>
          </cell>
          <cell r="AM475" t="str">
            <v/>
          </cell>
          <cell r="AN475">
            <v>8.08</v>
          </cell>
        </row>
        <row r="476">
          <cell r="B476" t="str">
            <v>GL500203</v>
          </cell>
          <cell r="C476" t="str">
            <v>US人力资源部</v>
          </cell>
          <cell r="D476" t="str">
            <v>美洲HRBP组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  <cell r="AN476">
            <v>22.26</v>
          </cell>
        </row>
        <row r="477">
          <cell r="B477" t="str">
            <v>GL501254</v>
          </cell>
          <cell r="C477" t="str">
            <v>TX 德州大区</v>
          </cell>
          <cell r="D477" t="str">
            <v>DFW.H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  <cell r="AG477" t="str">
            <v/>
          </cell>
          <cell r="AH477" t="str">
            <v/>
          </cell>
          <cell r="AI477" t="str">
            <v/>
          </cell>
          <cell r="AJ477" t="str">
            <v/>
          </cell>
          <cell r="AK477" t="str">
            <v/>
          </cell>
          <cell r="AL477" t="str">
            <v/>
          </cell>
          <cell r="AM477" t="str">
            <v/>
          </cell>
          <cell r="AN477">
            <v>16.51</v>
          </cell>
        </row>
        <row r="478">
          <cell r="B478" t="str">
            <v>GL500182</v>
          </cell>
          <cell r="C478" t="str">
            <v>FL 佛州大区</v>
          </cell>
          <cell r="D478" t="str">
            <v>MF 中佛片区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  <cell r="AG478" t="str">
            <v/>
          </cell>
          <cell r="AH478" t="str">
            <v/>
          </cell>
          <cell r="AI478" t="str">
            <v/>
          </cell>
          <cell r="AJ478" t="str">
            <v/>
          </cell>
          <cell r="AK478" t="str">
            <v/>
          </cell>
          <cell r="AL478" t="str">
            <v/>
          </cell>
          <cell r="AM478" t="str">
            <v/>
          </cell>
          <cell r="AN478">
            <v>9.08</v>
          </cell>
        </row>
        <row r="479">
          <cell r="B479" t="str">
            <v>GL501834</v>
          </cell>
          <cell r="C479" t="str">
            <v>NE 东北大区</v>
          </cell>
          <cell r="D479" t="str">
            <v>运营支持部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  <cell r="AG479" t="str">
            <v/>
          </cell>
          <cell r="AH479" t="str">
            <v/>
          </cell>
          <cell r="AI479" t="str">
            <v/>
          </cell>
          <cell r="AJ479" t="str">
            <v/>
          </cell>
          <cell r="AK479" t="str">
            <v/>
          </cell>
          <cell r="AL479" t="str">
            <v/>
          </cell>
          <cell r="AM479" t="str">
            <v/>
          </cell>
          <cell r="AN479">
            <v>21.83</v>
          </cell>
        </row>
        <row r="480">
          <cell r="B480" t="str">
            <v>GL501978</v>
          </cell>
          <cell r="C480" t="str">
            <v>AD 行政部</v>
          </cell>
          <cell r="D480" t="str">
            <v>美西组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  <cell r="AL480" t="str">
            <v/>
          </cell>
          <cell r="AM480" t="str">
            <v/>
          </cell>
          <cell r="AN480">
            <v>15.47</v>
          </cell>
        </row>
        <row r="481">
          <cell r="B481" t="str">
            <v>GL501599</v>
          </cell>
          <cell r="C481" t="str">
            <v>Ground项目部</v>
          </cell>
          <cell r="D481" t="str">
            <v>派送管理部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  <cell r="AG481" t="str">
            <v/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  <cell r="AL481" t="str">
            <v/>
          </cell>
          <cell r="AM481" t="str">
            <v/>
          </cell>
          <cell r="AN481">
            <v>5.73</v>
          </cell>
        </row>
        <row r="482">
          <cell r="B482" t="str">
            <v>GL502507</v>
          </cell>
          <cell r="C482" t="str">
            <v>AD 行政部</v>
          </cell>
          <cell r="D482" t="str">
            <v>美中组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  <cell r="AG482" t="str">
            <v/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/>
          </cell>
          <cell r="AN482">
            <v>17.6</v>
          </cell>
        </row>
        <row r="483">
          <cell r="B483" t="str">
            <v>GL501222</v>
          </cell>
          <cell r="C483" t="str">
            <v>GL 大湖大区</v>
          </cell>
          <cell r="D483" t="str">
            <v>ORD.H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  <cell r="AL483" t="str">
            <v/>
          </cell>
          <cell r="AM483" t="str">
            <v/>
          </cell>
          <cell r="AN483">
            <v>8.62</v>
          </cell>
        </row>
        <row r="484">
          <cell r="B484" t="str">
            <v>GL501982</v>
          </cell>
          <cell r="C484" t="str">
            <v>OM 操作管理部</v>
          </cell>
          <cell r="D484" t="str">
            <v>实施运营组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  <cell r="AL484" t="str">
            <v/>
          </cell>
          <cell r="AM484" t="str">
            <v/>
          </cell>
          <cell r="AN484">
            <v>0</v>
          </cell>
        </row>
        <row r="485">
          <cell r="B485" t="str">
            <v>GL502038</v>
          </cell>
          <cell r="C485" t="str">
            <v>MS 中南大区</v>
          </cell>
          <cell r="D485" t="str">
            <v>CLT.H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  <cell r="AG485" t="str">
            <v/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  <cell r="AL485" t="str">
            <v/>
          </cell>
          <cell r="AM485" t="str">
            <v/>
          </cell>
          <cell r="AN485">
            <v>9.68</v>
          </cell>
        </row>
        <row r="486">
          <cell r="B486" t="str">
            <v>GL502688</v>
          </cell>
          <cell r="C486" t="str">
            <v>FL 佛州大区</v>
          </cell>
          <cell r="D486" t="str">
            <v>WF 西佛片区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  <cell r="AG486" t="str">
            <v/>
          </cell>
          <cell r="AH486" t="str">
            <v/>
          </cell>
          <cell r="AI486" t="str">
            <v/>
          </cell>
          <cell r="AJ486" t="str">
            <v/>
          </cell>
          <cell r="AK486" t="str">
            <v/>
          </cell>
          <cell r="AL486" t="str">
            <v/>
          </cell>
          <cell r="AM486" t="str">
            <v/>
          </cell>
          <cell r="AN486">
            <v>8.6</v>
          </cell>
        </row>
        <row r="487">
          <cell r="B487" t="str">
            <v>GL501431</v>
          </cell>
          <cell r="C487" t="str">
            <v>MS 中南大区</v>
          </cell>
          <cell r="D487" t="str">
            <v>运营支持部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  <cell r="AG487" t="str">
            <v/>
          </cell>
          <cell r="AH487" t="str">
            <v/>
          </cell>
          <cell r="AI487" t="str">
            <v/>
          </cell>
          <cell r="AJ487" t="str">
            <v/>
          </cell>
          <cell r="AK487" t="str">
            <v/>
          </cell>
          <cell r="AL487" t="str">
            <v/>
          </cell>
          <cell r="AM487" t="str">
            <v/>
          </cell>
          <cell r="AN487">
            <v>0</v>
          </cell>
        </row>
        <row r="488">
          <cell r="B488" t="str">
            <v>GL502675</v>
          </cell>
          <cell r="C488" t="str">
            <v>US人力资源部</v>
          </cell>
          <cell r="D488" t="str">
            <v>美洲HRBP组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  <cell r="AG488" t="str">
            <v/>
          </cell>
          <cell r="AH488" t="str">
            <v/>
          </cell>
          <cell r="AI488" t="str">
            <v/>
          </cell>
          <cell r="AJ488" t="str">
            <v/>
          </cell>
          <cell r="AK488" t="str">
            <v/>
          </cell>
          <cell r="AL488" t="str">
            <v/>
          </cell>
          <cell r="AM488" t="str">
            <v/>
          </cell>
          <cell r="AN488">
            <v>0</v>
          </cell>
        </row>
        <row r="489">
          <cell r="B489" t="str">
            <v>GL501243</v>
          </cell>
          <cell r="C489" t="str">
            <v>GL 大湖大区</v>
          </cell>
          <cell r="D489" t="str">
            <v>ORD.H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  <cell r="AL489" t="str">
            <v/>
          </cell>
          <cell r="AM489" t="str">
            <v/>
          </cell>
          <cell r="AN489">
            <v>8.17</v>
          </cell>
        </row>
        <row r="490">
          <cell r="B490" t="str">
            <v>GL501263</v>
          </cell>
          <cell r="C490" t="str">
            <v>OM 操作管理部</v>
          </cell>
          <cell r="D490" t="str">
            <v>实施运营组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  <cell r="AG490" t="str">
            <v/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  <cell r="AL490" t="str">
            <v/>
          </cell>
          <cell r="AM490" t="str">
            <v/>
          </cell>
          <cell r="AN490">
            <v>0</v>
          </cell>
        </row>
        <row r="491">
          <cell r="B491" t="str">
            <v>GL502611</v>
          </cell>
          <cell r="C491" t="str">
            <v>FL 佛州大区</v>
          </cell>
          <cell r="D491" t="str">
            <v>SF 南佛片区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  <cell r="AL491" t="str">
            <v/>
          </cell>
          <cell r="AM491" t="str">
            <v/>
          </cell>
          <cell r="AN491">
            <v>15.58</v>
          </cell>
        </row>
        <row r="492">
          <cell r="B492" t="str">
            <v>GL501541</v>
          </cell>
          <cell r="C492" t="str">
            <v>FL 佛州大区</v>
          </cell>
          <cell r="D492" t="str">
            <v>MIA01</v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  <cell r="AG492" t="str">
            <v/>
          </cell>
          <cell r="AH492" t="str">
            <v/>
          </cell>
          <cell r="AI492" t="str">
            <v/>
          </cell>
          <cell r="AJ492" t="str">
            <v/>
          </cell>
          <cell r="AK492" t="str">
            <v/>
          </cell>
          <cell r="AL492" t="str">
            <v/>
          </cell>
          <cell r="AM492" t="str">
            <v/>
          </cell>
          <cell r="AN492">
            <v>8.88</v>
          </cell>
        </row>
        <row r="493">
          <cell r="B493" t="str">
            <v>GL501037</v>
          </cell>
          <cell r="C493" t="str">
            <v>WE 美西大区</v>
          </cell>
          <cell r="D493" t="str">
            <v>CNO.H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  <cell r="AG493" t="str">
            <v/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  <cell r="AL493" t="str">
            <v/>
          </cell>
          <cell r="AM493" t="str">
            <v/>
          </cell>
          <cell r="AN493">
            <v>0</v>
          </cell>
        </row>
        <row r="494">
          <cell r="B494" t="str">
            <v>GL502113</v>
          </cell>
          <cell r="C494" t="str">
            <v>GL 大湖大区</v>
          </cell>
          <cell r="D494" t="str">
            <v>NM 中西部北片区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  <cell r="AG494" t="str">
            <v/>
          </cell>
          <cell r="AH494" t="str">
            <v/>
          </cell>
          <cell r="AI494" t="str">
            <v/>
          </cell>
          <cell r="AJ494" t="str">
            <v/>
          </cell>
          <cell r="AK494" t="str">
            <v/>
          </cell>
          <cell r="AL494" t="str">
            <v/>
          </cell>
          <cell r="AM494" t="str">
            <v/>
          </cell>
          <cell r="AN494">
            <v>18.09</v>
          </cell>
        </row>
        <row r="495">
          <cell r="B495" t="str">
            <v>GL502030</v>
          </cell>
          <cell r="C495" t="str">
            <v>WE 美西大区</v>
          </cell>
          <cell r="D495" t="str">
            <v>SC 南加片区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  <cell r="AG495" t="str">
            <v/>
          </cell>
          <cell r="AH495" t="str">
            <v/>
          </cell>
          <cell r="AI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/>
          </cell>
          <cell r="AN495">
            <v>8.48</v>
          </cell>
        </row>
        <row r="496">
          <cell r="B496" t="str">
            <v>GL500933</v>
          </cell>
          <cell r="C496" t="str">
            <v>FL 佛州大区</v>
          </cell>
          <cell r="D496" t="str">
            <v>SF 南佛片区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  <cell r="AG496" t="str">
            <v/>
          </cell>
          <cell r="AH496" t="str">
            <v/>
          </cell>
          <cell r="AI496" t="str">
            <v/>
          </cell>
          <cell r="AJ496" t="str">
            <v/>
          </cell>
          <cell r="AK496" t="str">
            <v/>
          </cell>
          <cell r="AL496" t="str">
            <v/>
          </cell>
          <cell r="AM496" t="str">
            <v/>
          </cell>
          <cell r="AN496">
            <v>0</v>
          </cell>
        </row>
        <row r="497">
          <cell r="B497" t="str">
            <v>GL501839</v>
          </cell>
          <cell r="C497" t="str">
            <v>Ground项目部</v>
          </cell>
          <cell r="D497" t="str">
            <v>OG 美西区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  <cell r="AG497" t="str">
            <v/>
          </cell>
          <cell r="AH497" t="str">
            <v/>
          </cell>
          <cell r="AI497" t="str">
            <v/>
          </cell>
          <cell r="AJ497" t="str">
            <v/>
          </cell>
          <cell r="AK497" t="str">
            <v/>
          </cell>
          <cell r="AL497" t="str">
            <v/>
          </cell>
          <cell r="AM497" t="str">
            <v/>
          </cell>
          <cell r="AN497">
            <v>8</v>
          </cell>
        </row>
        <row r="498">
          <cell r="B498" t="str">
            <v>GL502133</v>
          </cell>
          <cell r="C498" t="str">
            <v>MS 中南大区</v>
          </cell>
          <cell r="D498" t="str">
            <v>ATL.H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  <cell r="AG498" t="str">
            <v/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  <cell r="AL498" t="str">
            <v/>
          </cell>
          <cell r="AM498" t="str">
            <v/>
          </cell>
          <cell r="AN498">
            <v>20.34</v>
          </cell>
        </row>
        <row r="499">
          <cell r="B499" t="str">
            <v>GL500640</v>
          </cell>
          <cell r="C499" t="str">
            <v>IC 跨境客户部</v>
          </cell>
          <cell r="D499" t="str">
            <v>海外客户组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 t="str">
            <v/>
          </cell>
          <cell r="AK499" t="str">
            <v/>
          </cell>
          <cell r="AL499" t="str">
            <v/>
          </cell>
          <cell r="AM499" t="str">
            <v/>
          </cell>
          <cell r="AN499">
            <v>8.02</v>
          </cell>
        </row>
        <row r="500">
          <cell r="B500" t="str">
            <v>GL502763</v>
          </cell>
          <cell r="C500" t="str">
            <v>GL 大湖大区</v>
          </cell>
          <cell r="D500" t="str">
            <v>WG 西大湖片区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  <cell r="AG500" t="str">
            <v/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  <cell r="AL500" t="str">
            <v/>
          </cell>
          <cell r="AM500" t="str">
            <v/>
          </cell>
          <cell r="AN500">
            <v>16</v>
          </cell>
        </row>
        <row r="501">
          <cell r="B501" t="str">
            <v>GL502378</v>
          </cell>
          <cell r="C501" t="str">
            <v>NE 东北大区</v>
          </cell>
          <cell r="D501" t="str">
            <v>EWR.H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  <cell r="AG501" t="str">
            <v/>
          </cell>
          <cell r="AH501" t="str">
            <v/>
          </cell>
          <cell r="AI501" t="str">
            <v/>
          </cell>
          <cell r="AJ501" t="str">
            <v/>
          </cell>
          <cell r="AK501" t="str">
            <v/>
          </cell>
          <cell r="AL501" t="str">
            <v/>
          </cell>
          <cell r="AM501" t="str">
            <v/>
          </cell>
          <cell r="AN501">
            <v>18.2</v>
          </cell>
        </row>
        <row r="502">
          <cell r="B502" t="str">
            <v>GL502697</v>
          </cell>
          <cell r="C502" t="str">
            <v>Ground项目部</v>
          </cell>
          <cell r="D502" t="str">
            <v>派送管理部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  <cell r="AG502" t="str">
            <v/>
          </cell>
          <cell r="AH502" t="str">
            <v/>
          </cell>
          <cell r="AI502" t="str">
            <v/>
          </cell>
          <cell r="AJ502" t="str">
            <v/>
          </cell>
          <cell r="AK502" t="str">
            <v/>
          </cell>
          <cell r="AL502" t="str">
            <v/>
          </cell>
          <cell r="AM502" t="str">
            <v/>
          </cell>
          <cell r="AN502">
            <v>0</v>
          </cell>
        </row>
        <row r="503">
          <cell r="B503" t="str">
            <v>GL502539</v>
          </cell>
          <cell r="C503" t="str">
            <v>FL 佛州大区</v>
          </cell>
          <cell r="D503" t="str">
            <v>NF 北佛片区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  <cell r="AG503" t="str">
            <v/>
          </cell>
          <cell r="AH503" t="str">
            <v/>
          </cell>
          <cell r="AI503" t="str">
            <v/>
          </cell>
          <cell r="AJ503" t="str">
            <v/>
          </cell>
          <cell r="AK503" t="str">
            <v/>
          </cell>
          <cell r="AL503" t="str">
            <v/>
          </cell>
          <cell r="AM503" t="str">
            <v/>
          </cell>
          <cell r="AN503">
            <v>7.87</v>
          </cell>
        </row>
        <row r="504">
          <cell r="B504" t="str">
            <v>GL500138</v>
          </cell>
          <cell r="C504" t="str">
            <v>AD 行政部</v>
          </cell>
          <cell r="D504" t="str">
            <v>美西组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  <cell r="AL504" t="str">
            <v/>
          </cell>
          <cell r="AM504" t="str">
            <v/>
          </cell>
          <cell r="AN504">
            <v>9.97</v>
          </cell>
        </row>
        <row r="505">
          <cell r="B505" t="str">
            <v>GL501326</v>
          </cell>
          <cell r="C505" t="str">
            <v>WE 美西大区</v>
          </cell>
          <cell r="D505" t="str">
            <v>LAV.H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  <cell r="AA505" t="str">
            <v/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  <cell r="AF505" t="str">
            <v/>
          </cell>
          <cell r="AG505" t="str">
            <v/>
          </cell>
          <cell r="AH505" t="str">
            <v/>
          </cell>
          <cell r="AI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/>
          </cell>
          <cell r="AN505">
            <v>34.09</v>
          </cell>
        </row>
        <row r="506">
          <cell r="B506" t="str">
            <v>GL501710</v>
          </cell>
          <cell r="C506" t="str">
            <v>US人力资源部</v>
          </cell>
          <cell r="D506" t="str">
            <v>美洲HRBP组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  <cell r="AA506" t="str">
            <v/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  <cell r="AF506" t="str">
            <v/>
          </cell>
          <cell r="AG506" t="str">
            <v/>
          </cell>
          <cell r="AH506" t="str">
            <v/>
          </cell>
          <cell r="AI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/>
          </cell>
          <cell r="AN506">
            <v>9.35</v>
          </cell>
        </row>
        <row r="507">
          <cell r="B507" t="str">
            <v>GL502706</v>
          </cell>
          <cell r="C507" t="str">
            <v>NE 东北大区</v>
          </cell>
          <cell r="D507" t="str">
            <v>运营支持部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  <cell r="AA507" t="str">
            <v/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  <cell r="AF507" t="str">
            <v/>
          </cell>
          <cell r="AG507" t="str">
            <v/>
          </cell>
          <cell r="AH507" t="str">
            <v/>
          </cell>
          <cell r="AI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/>
          </cell>
          <cell r="AN507">
            <v>0</v>
          </cell>
        </row>
        <row r="508">
          <cell r="B508" t="str">
            <v>GL500463</v>
          </cell>
          <cell r="C508" t="str">
            <v>OM 操作管理部</v>
          </cell>
          <cell r="D508" t="str">
            <v>仓库租赁组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  <cell r="AG508" t="str">
            <v/>
          </cell>
          <cell r="AH508" t="str">
            <v/>
          </cell>
          <cell r="AI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/>
          </cell>
          <cell r="AN508">
            <v>0</v>
          </cell>
        </row>
        <row r="509">
          <cell r="B509" t="str">
            <v>GL501874</v>
          </cell>
          <cell r="C509" t="str">
            <v>US人力资源部</v>
          </cell>
          <cell r="D509" t="str">
            <v>美洲HRBP组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  <cell r="AG509" t="str">
            <v/>
          </cell>
          <cell r="AH509" t="str">
            <v/>
          </cell>
          <cell r="AI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/>
          </cell>
          <cell r="AN509">
            <v>0</v>
          </cell>
        </row>
        <row r="510">
          <cell r="B510" t="str">
            <v>GL502041</v>
          </cell>
          <cell r="C510" t="str">
            <v>NE 东北大区</v>
          </cell>
          <cell r="D510" t="str">
            <v>运营支持部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  <cell r="AL510" t="str">
            <v/>
          </cell>
          <cell r="AM510" t="str">
            <v/>
          </cell>
          <cell r="AN510">
            <v>0</v>
          </cell>
        </row>
        <row r="511">
          <cell r="B511" t="str">
            <v>GL500676</v>
          </cell>
          <cell r="C511" t="str">
            <v>GL 大湖大区</v>
          </cell>
          <cell r="D511" t="str">
            <v>揽收部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  <cell r="AG511" t="str">
            <v/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/>
          </cell>
          <cell r="AN511">
            <v>0</v>
          </cell>
        </row>
        <row r="512">
          <cell r="B512" t="str">
            <v>GL502247</v>
          </cell>
          <cell r="C512" t="str">
            <v>NE 东北大区</v>
          </cell>
          <cell r="D512" t="str">
            <v>运营支持部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  <cell r="AG512" t="str">
            <v/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  <cell r="AL512" t="str">
            <v/>
          </cell>
          <cell r="AM512" t="str">
            <v/>
          </cell>
          <cell r="AN512">
            <v>0</v>
          </cell>
        </row>
        <row r="513">
          <cell r="B513" t="str">
            <v>GL501013</v>
          </cell>
          <cell r="C513" t="str">
            <v>GL 大湖大区</v>
          </cell>
          <cell r="D513" t="str">
            <v>ORD.H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  <cell r="AG513" t="str">
            <v/>
          </cell>
          <cell r="AH513" t="str">
            <v/>
          </cell>
          <cell r="AI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/>
          </cell>
          <cell r="AN513">
            <v>0</v>
          </cell>
        </row>
        <row r="514">
          <cell r="B514" t="str">
            <v>GL502004</v>
          </cell>
          <cell r="C514" t="str">
            <v>NE 东北大区</v>
          </cell>
          <cell r="D514" t="str">
            <v>EWR.H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  <cell r="AG514" t="str">
            <v/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  <cell r="AL514" t="str">
            <v/>
          </cell>
          <cell r="AM514" t="str">
            <v/>
          </cell>
          <cell r="AN514">
            <v>12.53</v>
          </cell>
        </row>
        <row r="515">
          <cell r="B515" t="str">
            <v>GL501189</v>
          </cell>
          <cell r="C515" t="str">
            <v>WE 美西大区</v>
          </cell>
          <cell r="D515" t="str">
            <v>LAV.H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  <cell r="AG515" t="str">
            <v/>
          </cell>
          <cell r="AH515" t="str">
            <v/>
          </cell>
          <cell r="AI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/>
          </cell>
          <cell r="AN515">
            <v>0</v>
          </cell>
        </row>
        <row r="516">
          <cell r="B516" t="str">
            <v>GL501051</v>
          </cell>
          <cell r="C516" t="str">
            <v>MS 中南大区</v>
          </cell>
          <cell r="D516" t="str">
            <v>AS 亚特兰大和南阿拉巴马片区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  <cell r="AG516" t="str">
            <v/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/>
          </cell>
          <cell r="AN516">
            <v>16.92</v>
          </cell>
        </row>
        <row r="517">
          <cell r="B517" t="str">
            <v>GL502385</v>
          </cell>
          <cell r="C517" t="str">
            <v>NE 东北大区</v>
          </cell>
          <cell r="D517" t="str">
            <v>EWR.H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  <cell r="AG517" t="str">
            <v/>
          </cell>
          <cell r="AH517" t="str">
            <v/>
          </cell>
          <cell r="AI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/>
          </cell>
          <cell r="AN517">
            <v>17.66</v>
          </cell>
        </row>
        <row r="518">
          <cell r="B518" t="str">
            <v>GL502310</v>
          </cell>
          <cell r="C518" t="str">
            <v>NE 东北大区</v>
          </cell>
          <cell r="D518" t="str">
            <v>DC 华盛顿片区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  <cell r="AG518" t="str">
            <v/>
          </cell>
          <cell r="AH518" t="str">
            <v/>
          </cell>
          <cell r="AI518" t="str">
            <v/>
          </cell>
          <cell r="AJ518" t="str">
            <v/>
          </cell>
          <cell r="AK518" t="str">
            <v/>
          </cell>
          <cell r="AL518" t="str">
            <v/>
          </cell>
          <cell r="AM518" t="str">
            <v/>
          </cell>
          <cell r="AN518">
            <v>8.03</v>
          </cell>
        </row>
        <row r="519">
          <cell r="B519" t="str">
            <v>GL501136</v>
          </cell>
          <cell r="C519" t="str">
            <v>BM 品牌市场部</v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  <cell r="AG519" t="str">
            <v/>
          </cell>
          <cell r="AH519" t="str">
            <v/>
          </cell>
          <cell r="AI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/>
          </cell>
          <cell r="AN519">
            <v>16.55</v>
          </cell>
        </row>
        <row r="520">
          <cell r="B520" t="str">
            <v>GL500806</v>
          </cell>
          <cell r="C520" t="str">
            <v>NE 东北大区</v>
          </cell>
          <cell r="D520" t="str">
            <v>PA 宾州片区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  <cell r="AG520" t="str">
            <v/>
          </cell>
          <cell r="AH520" t="str">
            <v/>
          </cell>
          <cell r="AI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/>
          </cell>
          <cell r="AN520">
            <v>7.1</v>
          </cell>
        </row>
        <row r="521">
          <cell r="B521" t="str">
            <v>GL501188</v>
          </cell>
          <cell r="C521" t="str">
            <v>MS 中南大区</v>
          </cell>
          <cell r="D521" t="str">
            <v>CS 夏洛特及周边片区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  <cell r="AL521" t="str">
            <v/>
          </cell>
          <cell r="AM521" t="str">
            <v/>
          </cell>
          <cell r="AN521">
            <v>16.75</v>
          </cell>
        </row>
        <row r="522">
          <cell r="B522" t="str">
            <v>GL500800</v>
          </cell>
          <cell r="C522" t="str">
            <v>Ground项目部</v>
          </cell>
          <cell r="D522" t="str">
            <v>OG 美东区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  <cell r="AG522" t="str">
            <v/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  <cell r="AL522" t="str">
            <v/>
          </cell>
          <cell r="AM522" t="str">
            <v/>
          </cell>
          <cell r="AN522">
            <v>15.81</v>
          </cell>
        </row>
        <row r="523">
          <cell r="B523" t="str">
            <v>GL502111</v>
          </cell>
          <cell r="C523" t="str">
            <v>NE 东北大区</v>
          </cell>
          <cell r="D523" t="str">
            <v>运营支持部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  <cell r="AG523" t="str">
            <v/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  <cell r="AL523" t="str">
            <v/>
          </cell>
          <cell r="AM523" t="str">
            <v/>
          </cell>
          <cell r="AN523">
            <v>0</v>
          </cell>
        </row>
        <row r="524">
          <cell r="B524" t="str">
            <v>GL502282</v>
          </cell>
          <cell r="C524" t="str">
            <v>WE 美西大区</v>
          </cell>
          <cell r="D524" t="str">
            <v>SC 南加片区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  <cell r="AG524" t="str">
            <v/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/>
          </cell>
          <cell r="AN524">
            <v>12.65</v>
          </cell>
        </row>
        <row r="525">
          <cell r="B525" t="str">
            <v>GL502720</v>
          </cell>
          <cell r="C525" t="str">
            <v>TX 德州大区</v>
          </cell>
          <cell r="D525" t="str">
            <v>DFW.H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/>
          </cell>
          <cell r="AN525">
            <v>0</v>
          </cell>
        </row>
        <row r="526">
          <cell r="B526" t="str">
            <v>GL501039</v>
          </cell>
          <cell r="C526" t="str">
            <v>FL 佛州大区</v>
          </cell>
          <cell r="D526" t="str">
            <v>MCO.H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  <cell r="AG526" t="str">
            <v/>
          </cell>
          <cell r="AH526" t="str">
            <v/>
          </cell>
          <cell r="AI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/>
          </cell>
          <cell r="AN526">
            <v>0</v>
          </cell>
        </row>
        <row r="527">
          <cell r="B527" t="str">
            <v>GL501181</v>
          </cell>
          <cell r="C527" t="str">
            <v>WE 美西大区</v>
          </cell>
          <cell r="D527" t="str">
            <v>LAV.H</v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  <cell r="AG527" t="str">
            <v/>
          </cell>
          <cell r="AH527" t="str">
            <v/>
          </cell>
          <cell r="AI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/>
          </cell>
          <cell r="AN527">
            <v>8.4</v>
          </cell>
        </row>
        <row r="528">
          <cell r="B528" t="str">
            <v>GL500282</v>
          </cell>
          <cell r="C528" t="str">
            <v>SM 站点管理部</v>
          </cell>
          <cell r="D528" t="str">
            <v>站点实施组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  <cell r="AG528" t="str">
            <v/>
          </cell>
          <cell r="AH528" t="str">
            <v/>
          </cell>
          <cell r="AI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/>
          </cell>
          <cell r="AN528">
            <v>0</v>
          </cell>
        </row>
        <row r="529">
          <cell r="B529" t="str">
            <v>GL502179</v>
          </cell>
          <cell r="C529" t="str">
            <v>NE 东北大区</v>
          </cell>
          <cell r="D529" t="str">
            <v>MA 新英格兰片区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/>
          </cell>
          <cell r="AN529">
            <v>0</v>
          </cell>
        </row>
        <row r="530">
          <cell r="B530" t="str">
            <v>GL502176</v>
          </cell>
          <cell r="C530" t="str">
            <v>WE 美西大区</v>
          </cell>
          <cell r="D530" t="str">
            <v>SC 南加片区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  <cell r="AG530" t="str">
            <v/>
          </cell>
          <cell r="AH530" t="str">
            <v/>
          </cell>
          <cell r="AI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/>
          </cell>
          <cell r="AN530">
            <v>16.44</v>
          </cell>
        </row>
        <row r="531">
          <cell r="B531" t="str">
            <v>GL501639</v>
          </cell>
          <cell r="C531" t="str">
            <v>GL 大湖大区</v>
          </cell>
          <cell r="D531" t="str">
            <v>CVG.H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  <cell r="AG531" t="str">
            <v/>
          </cell>
          <cell r="AH531" t="str">
            <v/>
          </cell>
          <cell r="AI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/>
          </cell>
          <cell r="AN531">
            <v>0</v>
          </cell>
        </row>
        <row r="532">
          <cell r="B532" t="str">
            <v>GL500519</v>
          </cell>
          <cell r="C532" t="str">
            <v>NE 东北大区</v>
          </cell>
          <cell r="D532" t="str">
            <v>PA 宾州片区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  <cell r="AG532" t="str">
            <v/>
          </cell>
          <cell r="AH532" t="str">
            <v/>
          </cell>
          <cell r="AI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/>
          </cell>
          <cell r="AN532">
            <v>19.5</v>
          </cell>
        </row>
        <row r="533">
          <cell r="B533" t="str">
            <v>GL501540</v>
          </cell>
          <cell r="C533" t="str">
            <v>US人力资源部</v>
          </cell>
          <cell r="D533" t="str">
            <v>美洲HRBP组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  <cell r="AG533" t="str">
            <v/>
          </cell>
          <cell r="AH533" t="str">
            <v/>
          </cell>
          <cell r="AI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/>
          </cell>
          <cell r="AN533">
            <v>16.6</v>
          </cell>
        </row>
        <row r="534">
          <cell r="B534" t="str">
            <v>GL502215</v>
          </cell>
          <cell r="C534" t="str">
            <v>GL 大湖大区</v>
          </cell>
          <cell r="D534" t="str">
            <v>ORD.H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  <cell r="AG534" t="str">
            <v/>
          </cell>
          <cell r="AH534" t="str">
            <v/>
          </cell>
          <cell r="AI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/>
          </cell>
          <cell r="AN534">
            <v>0</v>
          </cell>
        </row>
        <row r="535">
          <cell r="B535" t="str">
            <v>GL502648</v>
          </cell>
          <cell r="C535" t="str">
            <v>GL 大湖大区</v>
          </cell>
          <cell r="D535" t="str">
            <v>运营支持部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/>
          </cell>
          <cell r="AN535">
            <v>17.83</v>
          </cell>
        </row>
        <row r="536">
          <cell r="B536" t="str">
            <v>GL502325</v>
          </cell>
          <cell r="C536" t="str">
            <v>NE 东北大区</v>
          </cell>
          <cell r="D536" t="str">
            <v>BWI01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/>
          </cell>
          <cell r="AN536">
            <v>16.49</v>
          </cell>
        </row>
        <row r="537">
          <cell r="B537" t="str">
            <v>GL500884</v>
          </cell>
          <cell r="C537" t="str">
            <v>AD 行政部</v>
          </cell>
          <cell r="D537" t="str">
            <v>美东组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  <cell r="AG537" t="str">
            <v/>
          </cell>
          <cell r="AH537" t="str">
            <v/>
          </cell>
          <cell r="AI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/>
          </cell>
          <cell r="AN537">
            <v>16.3</v>
          </cell>
        </row>
        <row r="538">
          <cell r="B538" t="str">
            <v>GL500788</v>
          </cell>
          <cell r="C538" t="str">
            <v>WE 美西大区</v>
          </cell>
          <cell r="D538" t="str">
            <v>CNO.H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  <cell r="AG538" t="str">
            <v/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/>
          </cell>
          <cell r="AN538">
            <v>20.11</v>
          </cell>
        </row>
        <row r="539">
          <cell r="B539" t="str">
            <v>GL502554</v>
          </cell>
          <cell r="C539" t="str">
            <v>TX 德州大区</v>
          </cell>
          <cell r="D539" t="str">
            <v>NT 北德州片区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  <cell r="AG539" t="str">
            <v/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/>
          </cell>
          <cell r="AN539">
            <v>0</v>
          </cell>
        </row>
        <row r="540">
          <cell r="B540" t="str">
            <v>GL502300</v>
          </cell>
          <cell r="C540" t="str">
            <v>WE 美西大区</v>
          </cell>
          <cell r="D540" t="str">
            <v>CNO.H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  <cell r="AG540" t="str">
            <v/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/>
          </cell>
          <cell r="AN540">
            <v>14.17</v>
          </cell>
        </row>
        <row r="541">
          <cell r="B541" t="str">
            <v>GL502889</v>
          </cell>
          <cell r="C541" t="str">
            <v>NE 东北大区</v>
          </cell>
          <cell r="D541" t="str">
            <v>NY 纽约片区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  <cell r="AG541" t="str">
            <v/>
          </cell>
          <cell r="AH541" t="str">
            <v/>
          </cell>
          <cell r="AI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/>
          </cell>
          <cell r="AN541">
            <v>0</v>
          </cell>
        </row>
        <row r="542">
          <cell r="B542" t="str">
            <v>GL502336</v>
          </cell>
          <cell r="C542" t="str">
            <v>MS 中南大区</v>
          </cell>
          <cell r="D542" t="str">
            <v>AS 亚特兰大和南阿拉巴马片区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  <cell r="AG542" t="str">
            <v/>
          </cell>
          <cell r="AH542" t="str">
            <v/>
          </cell>
          <cell r="AI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/>
          </cell>
          <cell r="AN542">
            <v>0</v>
          </cell>
        </row>
        <row r="543">
          <cell r="B543" t="str">
            <v>GL502811</v>
          </cell>
          <cell r="C543" t="str">
            <v>GL 大湖大区</v>
          </cell>
          <cell r="D543" t="str">
            <v>ORD.H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  <cell r="AG543" t="str">
            <v/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/>
          </cell>
          <cell r="AN543">
            <v>18.01</v>
          </cell>
        </row>
        <row r="544">
          <cell r="B544" t="str">
            <v>GL501245</v>
          </cell>
          <cell r="C544" t="str">
            <v>AD 行政部</v>
          </cell>
          <cell r="D544" t="str">
            <v>综合管理组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  <cell r="AG544" t="str">
            <v/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/>
          </cell>
          <cell r="AN544">
            <v>18.95</v>
          </cell>
        </row>
        <row r="545">
          <cell r="B545" t="str">
            <v>GL502524</v>
          </cell>
          <cell r="C545" t="str">
            <v>Ground项目部</v>
          </cell>
          <cell r="D545" t="str">
            <v>OG 美西区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  <cell r="AG545" t="str">
            <v/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/>
          </cell>
          <cell r="AN545">
            <v>17</v>
          </cell>
        </row>
        <row r="546">
          <cell r="B546" t="str">
            <v>GL500485</v>
          </cell>
          <cell r="C546" t="str">
            <v>WE 美西大区</v>
          </cell>
          <cell r="D546" t="str">
            <v>LAV.H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  <cell r="AG546" t="str">
            <v/>
          </cell>
          <cell r="AH546" t="str">
            <v/>
          </cell>
          <cell r="AI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/>
          </cell>
          <cell r="AN546">
            <v>0</v>
          </cell>
        </row>
        <row r="547">
          <cell r="B547" t="str">
            <v>GL501412</v>
          </cell>
          <cell r="C547" t="str">
            <v>AD 行政部</v>
          </cell>
          <cell r="D547" t="str">
            <v>美西组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  <cell r="AG547" t="str">
            <v/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/>
          </cell>
          <cell r="AN547">
            <v>15.9</v>
          </cell>
        </row>
        <row r="548">
          <cell r="B548" t="str">
            <v>GL502906</v>
          </cell>
          <cell r="C548" t="str">
            <v>WE 美西大区</v>
          </cell>
          <cell r="D548" t="str">
            <v>LA揽收部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  <cell r="AG548" t="str">
            <v/>
          </cell>
          <cell r="AH548" t="str">
            <v/>
          </cell>
          <cell r="AI548" t="str">
            <v/>
          </cell>
          <cell r="AJ548" t="str">
            <v/>
          </cell>
          <cell r="AK548" t="str">
            <v/>
          </cell>
          <cell r="AL548" t="str">
            <v/>
          </cell>
          <cell r="AM548" t="str">
            <v/>
          </cell>
          <cell r="AN548">
            <v>0</v>
          </cell>
        </row>
        <row r="549">
          <cell r="B549" t="str">
            <v>GL500422</v>
          </cell>
          <cell r="C549" t="str">
            <v>NE 东北大区</v>
          </cell>
          <cell r="D549" t="str">
            <v>运营支持部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  <cell r="AG549" t="str">
            <v/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  <cell r="AL549" t="str">
            <v/>
          </cell>
          <cell r="AM549" t="str">
            <v/>
          </cell>
          <cell r="AN549">
            <v>0</v>
          </cell>
        </row>
        <row r="550">
          <cell r="B550" t="str">
            <v>GL502495</v>
          </cell>
          <cell r="C550" t="str">
            <v>CM 运力管理部</v>
          </cell>
          <cell r="D550" t="str">
            <v>自营运力组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  <cell r="AG550" t="str">
            <v/>
          </cell>
          <cell r="AH550" t="str">
            <v/>
          </cell>
          <cell r="AI550" t="str">
            <v/>
          </cell>
          <cell r="AJ550" t="str">
            <v/>
          </cell>
          <cell r="AK550" t="str">
            <v/>
          </cell>
          <cell r="AL550" t="str">
            <v/>
          </cell>
          <cell r="AM550" t="str">
            <v/>
          </cell>
          <cell r="AN550">
            <v>0</v>
          </cell>
        </row>
        <row r="551">
          <cell r="B551" t="str">
            <v>GL501569</v>
          </cell>
          <cell r="C551" t="str">
            <v>MS 中南大区</v>
          </cell>
          <cell r="D551" t="str">
            <v>CS 夏洛特及周边片区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  <cell r="AG551" t="str">
            <v/>
          </cell>
          <cell r="AH551" t="str">
            <v/>
          </cell>
          <cell r="AI551" t="str">
            <v/>
          </cell>
          <cell r="AJ551" t="str">
            <v/>
          </cell>
          <cell r="AK551" t="str">
            <v/>
          </cell>
          <cell r="AL551" t="str">
            <v/>
          </cell>
          <cell r="AM551" t="str">
            <v/>
          </cell>
          <cell r="AN551">
            <v>0</v>
          </cell>
        </row>
        <row r="552">
          <cell r="B552" t="str">
            <v>GL502573</v>
          </cell>
          <cell r="C552" t="str">
            <v>GL 大湖大区</v>
          </cell>
          <cell r="D552" t="str">
            <v>CVG.H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  <cell r="AG552" t="str">
            <v/>
          </cell>
          <cell r="AH552" t="str">
            <v/>
          </cell>
          <cell r="AI552" t="str">
            <v/>
          </cell>
          <cell r="AJ552" t="str">
            <v/>
          </cell>
          <cell r="AK552" t="str">
            <v/>
          </cell>
          <cell r="AL552" t="str">
            <v/>
          </cell>
          <cell r="AM552" t="str">
            <v/>
          </cell>
          <cell r="AN552">
            <v>24.06</v>
          </cell>
        </row>
        <row r="553">
          <cell r="B553" t="str">
            <v>GL500702</v>
          </cell>
          <cell r="C553" t="str">
            <v>Ground项目部</v>
          </cell>
          <cell r="D553" t="str">
            <v>OG 美中区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  <cell r="AG553" t="str">
            <v/>
          </cell>
          <cell r="AH553" t="str">
            <v/>
          </cell>
          <cell r="AI553" t="str">
            <v/>
          </cell>
          <cell r="AJ553" t="str">
            <v/>
          </cell>
          <cell r="AK553" t="str">
            <v/>
          </cell>
          <cell r="AL553" t="str">
            <v/>
          </cell>
          <cell r="AM553" t="str">
            <v/>
          </cell>
          <cell r="AN553">
            <v>0</v>
          </cell>
        </row>
        <row r="554">
          <cell r="B554" t="str">
            <v>GL500782</v>
          </cell>
          <cell r="C554" t="str">
            <v>NE 东北大区</v>
          </cell>
          <cell r="D554" t="str">
            <v>运营支持部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  <cell r="AG554" t="str">
            <v/>
          </cell>
          <cell r="AH554" t="str">
            <v/>
          </cell>
          <cell r="AI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/>
          </cell>
          <cell r="AN554">
            <v>8.65</v>
          </cell>
        </row>
        <row r="555">
          <cell r="B555" t="str">
            <v>GL502109</v>
          </cell>
          <cell r="C555" t="str">
            <v>US人力资源部</v>
          </cell>
          <cell r="D555" t="str">
            <v>美洲HRBP组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  <cell r="AG555" t="str">
            <v/>
          </cell>
          <cell r="AH555" t="str">
            <v/>
          </cell>
          <cell r="AI555" t="str">
            <v/>
          </cell>
          <cell r="AJ555" t="str">
            <v/>
          </cell>
          <cell r="AK555" t="str">
            <v/>
          </cell>
          <cell r="AL555" t="str">
            <v/>
          </cell>
          <cell r="AM555" t="str">
            <v/>
          </cell>
          <cell r="AN555">
            <v>0</v>
          </cell>
        </row>
        <row r="556">
          <cell r="B556" t="str">
            <v>GL501732</v>
          </cell>
          <cell r="C556" t="str">
            <v>NE 东北大区</v>
          </cell>
          <cell r="D556" t="str">
            <v>EWR.H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  <cell r="AG556" t="str">
            <v/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  <cell r="AL556" t="str">
            <v/>
          </cell>
          <cell r="AM556" t="str">
            <v/>
          </cell>
          <cell r="AN556">
            <v>9.08</v>
          </cell>
        </row>
        <row r="557">
          <cell r="B557" t="str">
            <v>GL501900</v>
          </cell>
          <cell r="C557" t="str">
            <v>Ground项目部</v>
          </cell>
          <cell r="D557" t="str">
            <v>OG 美西区</v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  <cell r="AG557" t="str">
            <v/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  <cell r="AL557" t="str">
            <v/>
          </cell>
          <cell r="AM557" t="str">
            <v/>
          </cell>
          <cell r="AN557">
            <v>0</v>
          </cell>
        </row>
        <row r="558">
          <cell r="B558" t="str">
            <v>GL502459</v>
          </cell>
          <cell r="C558" t="str">
            <v>WE 美西大区</v>
          </cell>
          <cell r="D558" t="str">
            <v>LAV.H</v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  <cell r="AG558" t="str">
            <v/>
          </cell>
          <cell r="AH558" t="str">
            <v/>
          </cell>
          <cell r="AI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/>
          </cell>
          <cell r="AN558">
            <v>8.38</v>
          </cell>
        </row>
        <row r="559">
          <cell r="B559" t="str">
            <v>GL502847</v>
          </cell>
          <cell r="C559" t="str">
            <v>NE 东北大区</v>
          </cell>
          <cell r="D559" t="str">
            <v>运营支持部</v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  <cell r="AG559" t="str">
            <v/>
          </cell>
          <cell r="AH559" t="str">
            <v/>
          </cell>
          <cell r="AI559" t="str">
            <v/>
          </cell>
          <cell r="AJ559" t="str">
            <v/>
          </cell>
          <cell r="AK559" t="str">
            <v/>
          </cell>
          <cell r="AL559" t="str">
            <v/>
          </cell>
          <cell r="AM559" t="str">
            <v/>
          </cell>
          <cell r="AN559">
            <v>8.6</v>
          </cell>
        </row>
        <row r="560">
          <cell r="B560" t="str">
            <v>GL502442</v>
          </cell>
          <cell r="C560" t="str">
            <v>AD 行政部</v>
          </cell>
          <cell r="D560" t="str">
            <v>美东组</v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  <cell r="AG560" t="str">
            <v/>
          </cell>
          <cell r="AH560" t="str">
            <v/>
          </cell>
          <cell r="AI560" t="str">
            <v/>
          </cell>
          <cell r="AJ560" t="str">
            <v/>
          </cell>
          <cell r="AK560" t="str">
            <v/>
          </cell>
          <cell r="AL560" t="str">
            <v/>
          </cell>
          <cell r="AM560" t="str">
            <v/>
          </cell>
          <cell r="AN560">
            <v>19.73</v>
          </cell>
        </row>
        <row r="561">
          <cell r="B561" t="str">
            <v>GL000446</v>
          </cell>
          <cell r="C561" t="str">
            <v>MS 中南大区</v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  <cell r="AG561" t="str">
            <v/>
          </cell>
          <cell r="AH561" t="str">
            <v/>
          </cell>
          <cell r="AI561" t="str">
            <v/>
          </cell>
          <cell r="AJ561" t="str">
            <v/>
          </cell>
          <cell r="AK561" t="str">
            <v/>
          </cell>
          <cell r="AL561" t="str">
            <v/>
          </cell>
          <cell r="AM561" t="str">
            <v/>
          </cell>
          <cell r="AN561">
            <v>16</v>
          </cell>
        </row>
        <row r="562">
          <cell r="B562" t="str">
            <v>GL501280</v>
          </cell>
          <cell r="C562" t="str">
            <v>WE 美西大区</v>
          </cell>
          <cell r="D562" t="str">
            <v>CNO.H</v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  <cell r="AG562" t="str">
            <v/>
          </cell>
          <cell r="AH562" t="str">
            <v/>
          </cell>
          <cell r="AI562" t="str">
            <v/>
          </cell>
          <cell r="AJ562" t="str">
            <v/>
          </cell>
          <cell r="AK562" t="str">
            <v/>
          </cell>
          <cell r="AL562" t="str">
            <v/>
          </cell>
          <cell r="AM562" t="str">
            <v/>
          </cell>
          <cell r="AN562">
            <v>15.83</v>
          </cell>
        </row>
        <row r="563">
          <cell r="B563" t="str">
            <v>GL502668</v>
          </cell>
          <cell r="C563" t="str">
            <v>FL 佛州大区</v>
          </cell>
          <cell r="D563" t="str">
            <v>MF 中佛片区</v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  <cell r="AG563" t="str">
            <v/>
          </cell>
          <cell r="AH563" t="str">
            <v/>
          </cell>
          <cell r="AI563" t="str">
            <v/>
          </cell>
          <cell r="AJ563" t="str">
            <v/>
          </cell>
          <cell r="AK563" t="str">
            <v/>
          </cell>
          <cell r="AL563" t="str">
            <v/>
          </cell>
          <cell r="AM563" t="str">
            <v/>
          </cell>
          <cell r="AN563">
            <v>8.55</v>
          </cell>
        </row>
        <row r="564">
          <cell r="B564" t="str">
            <v>GL501622</v>
          </cell>
          <cell r="C564" t="str">
            <v>TX 德州大区</v>
          </cell>
          <cell r="D564" t="str">
            <v>NT 北德州片区</v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  <cell r="AG564" t="str">
            <v/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  <cell r="AL564" t="str">
            <v/>
          </cell>
          <cell r="AM564" t="str">
            <v/>
          </cell>
          <cell r="AN564">
            <v>0</v>
          </cell>
        </row>
        <row r="565">
          <cell r="B565" t="str">
            <v>GL501766</v>
          </cell>
          <cell r="C565" t="str">
            <v>WE 美西大区</v>
          </cell>
          <cell r="D565" t="str">
            <v>CNO.H</v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  <cell r="AG565" t="str">
            <v/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  <cell r="AL565" t="str">
            <v/>
          </cell>
          <cell r="AM565" t="str">
            <v/>
          </cell>
          <cell r="AN565">
            <v>18.75</v>
          </cell>
        </row>
        <row r="566">
          <cell r="B566" t="str">
            <v>GL501809</v>
          </cell>
          <cell r="C566" t="str">
            <v>FL 佛州大区</v>
          </cell>
          <cell r="D566" t="str">
            <v>SRQ01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  <cell r="AG566" t="str">
            <v/>
          </cell>
          <cell r="AH566" t="str">
            <v/>
          </cell>
          <cell r="AI566" t="str">
            <v/>
          </cell>
          <cell r="AJ566" t="str">
            <v/>
          </cell>
          <cell r="AK566" t="str">
            <v/>
          </cell>
          <cell r="AL566" t="str">
            <v/>
          </cell>
          <cell r="AM566" t="str">
            <v/>
          </cell>
          <cell r="AN566">
            <v>19.1</v>
          </cell>
        </row>
        <row r="567">
          <cell r="B567" t="str">
            <v>GL501757</v>
          </cell>
          <cell r="C567" t="str">
            <v>WE 美西大区</v>
          </cell>
          <cell r="D567" t="str">
            <v>SP 西雅图·波特兰片区</v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  <cell r="AG567" t="str">
            <v/>
          </cell>
          <cell r="AH567" t="str">
            <v/>
          </cell>
          <cell r="AI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/>
          </cell>
          <cell r="AN567">
            <v>7.83</v>
          </cell>
        </row>
        <row r="568">
          <cell r="B568" t="str">
            <v>GL501099</v>
          </cell>
          <cell r="C568" t="str">
            <v>TX 德州大区</v>
          </cell>
          <cell r="D568" t="str">
            <v>DFW.H</v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  <cell r="AA568" t="str">
            <v/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  <cell r="AF568" t="str">
            <v/>
          </cell>
          <cell r="AG568" t="str">
            <v/>
          </cell>
          <cell r="AH568" t="str">
            <v/>
          </cell>
          <cell r="AI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/>
          </cell>
          <cell r="AN568">
            <v>18.42</v>
          </cell>
        </row>
        <row r="569">
          <cell r="B569" t="str">
            <v>GL502550</v>
          </cell>
          <cell r="C569" t="str">
            <v>QC 质量控制部</v>
          </cell>
          <cell r="D569" t="str">
            <v>质量改善组</v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  <cell r="AA569" t="str">
            <v/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  <cell r="AF569" t="str">
            <v/>
          </cell>
          <cell r="AG569" t="str">
            <v/>
          </cell>
          <cell r="AH569" t="str">
            <v/>
          </cell>
          <cell r="AI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/>
          </cell>
          <cell r="AN569">
            <v>16.66</v>
          </cell>
        </row>
        <row r="570">
          <cell r="B570" t="str">
            <v>GL501603</v>
          </cell>
          <cell r="C570" t="str">
            <v>MS 中南大区</v>
          </cell>
          <cell r="D570" t="str">
            <v>ATL.H</v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  <cell r="AA570" t="str">
            <v/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  <cell r="AF570" t="str">
            <v/>
          </cell>
          <cell r="AG570" t="str">
            <v/>
          </cell>
          <cell r="AH570" t="str">
            <v/>
          </cell>
          <cell r="AI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/>
          </cell>
          <cell r="AN570">
            <v>8.08</v>
          </cell>
        </row>
        <row r="571">
          <cell r="B571" t="str">
            <v>GL501311</v>
          </cell>
          <cell r="C571" t="str">
            <v>GL 大湖大区</v>
          </cell>
          <cell r="D571" t="str">
            <v>运营支持部</v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  <cell r="AG571" t="str">
            <v/>
          </cell>
          <cell r="AH571" t="str">
            <v/>
          </cell>
          <cell r="AI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/>
          </cell>
          <cell r="AN571">
            <v>0</v>
          </cell>
        </row>
        <row r="572">
          <cell r="B572" t="str">
            <v>GL500221</v>
          </cell>
          <cell r="C572" t="str">
            <v>TX 德州大区</v>
          </cell>
          <cell r="D572" t="str">
            <v>揽收部</v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  <cell r="AG572" t="str">
            <v/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/>
          </cell>
          <cell r="AN572">
            <v>24.4</v>
          </cell>
        </row>
        <row r="573">
          <cell r="B573" t="str">
            <v>GL501739</v>
          </cell>
          <cell r="C573" t="str">
            <v>GL 大湖大区</v>
          </cell>
          <cell r="D573" t="str">
            <v>ORD.H</v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  <cell r="AG573" t="str">
            <v/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/>
          </cell>
          <cell r="AN573">
            <v>11.12</v>
          </cell>
        </row>
        <row r="574">
          <cell r="B574" t="str">
            <v>GL502557</v>
          </cell>
          <cell r="C574" t="str">
            <v>TX 德州大区</v>
          </cell>
          <cell r="D574" t="str">
            <v>DFW.H</v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  <cell r="AG574" t="str">
            <v/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/>
          </cell>
          <cell r="AN574">
            <v>21.6</v>
          </cell>
        </row>
        <row r="575">
          <cell r="B575" t="str">
            <v>GL502302</v>
          </cell>
          <cell r="C575" t="str">
            <v>MS 中南大区</v>
          </cell>
          <cell r="D575" t="str">
            <v>BN 田纳西和北阿拉巴马片区</v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  <cell r="AG575" t="str">
            <v/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/>
          </cell>
          <cell r="AN575">
            <v>16.73</v>
          </cell>
        </row>
        <row r="576">
          <cell r="B576" t="str">
            <v>GL501797</v>
          </cell>
          <cell r="C576" t="str">
            <v>SM 站点管理部</v>
          </cell>
          <cell r="D576" t="str">
            <v>产品运营组</v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  <cell r="AG576" t="str">
            <v/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/>
          </cell>
          <cell r="AN576">
            <v>17.52</v>
          </cell>
        </row>
        <row r="577">
          <cell r="B577" t="str">
            <v>GL502709</v>
          </cell>
          <cell r="C577" t="str">
            <v>WE 美西大区</v>
          </cell>
          <cell r="D577" t="str">
            <v>CNO.H</v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  <cell r="AG577" t="str">
            <v/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  <cell r="AL577" t="str">
            <v/>
          </cell>
          <cell r="AM577" t="str">
            <v/>
          </cell>
          <cell r="AN577">
            <v>16.15</v>
          </cell>
        </row>
        <row r="578">
          <cell r="B578" t="str">
            <v>GL502333</v>
          </cell>
          <cell r="C578" t="str">
            <v>TX 德州大区</v>
          </cell>
          <cell r="D578" t="str">
            <v>IAH.H</v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  <cell r="AG578" t="str">
            <v/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  <cell r="AL578" t="str">
            <v/>
          </cell>
          <cell r="AM578" t="str">
            <v/>
          </cell>
          <cell r="AN578">
            <v>17.18</v>
          </cell>
        </row>
        <row r="579">
          <cell r="B579" t="str">
            <v>GL501942</v>
          </cell>
          <cell r="C579" t="str">
            <v>Ground项目部</v>
          </cell>
          <cell r="D579" t="str">
            <v>OG 美东区</v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  <cell r="AG579" t="str">
            <v/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  <cell r="AL579" t="str">
            <v/>
          </cell>
          <cell r="AM579" t="str">
            <v/>
          </cell>
          <cell r="AN579">
            <v>16.69</v>
          </cell>
        </row>
        <row r="580">
          <cell r="B580" t="str">
            <v>GL500420</v>
          </cell>
          <cell r="C580" t="str">
            <v>NE 东北大区</v>
          </cell>
          <cell r="D580" t="str">
            <v>BDL01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  <cell r="AG580" t="str">
            <v/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  <cell r="AL580" t="str">
            <v/>
          </cell>
          <cell r="AM580" t="str">
            <v/>
          </cell>
          <cell r="AN580">
            <v>20.95</v>
          </cell>
        </row>
        <row r="581">
          <cell r="B581" t="str">
            <v>GL501408</v>
          </cell>
          <cell r="C581" t="str">
            <v>GL 大湖大区</v>
          </cell>
          <cell r="D581" t="str">
            <v>揽收部</v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  <cell r="AG581" t="str">
            <v/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  <cell r="AL581" t="str">
            <v/>
          </cell>
          <cell r="AM581" t="str">
            <v/>
          </cell>
          <cell r="AN581">
            <v>17.92</v>
          </cell>
        </row>
        <row r="582">
          <cell r="B582" t="str">
            <v>GL500352</v>
          </cell>
          <cell r="C582" t="str">
            <v>WE 美西大区</v>
          </cell>
          <cell r="D582" t="str">
            <v>SC 南加片区</v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  <cell r="AG582" t="str">
            <v/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  <cell r="AL582" t="str">
            <v/>
          </cell>
          <cell r="AM582" t="str">
            <v/>
          </cell>
          <cell r="AN582">
            <v>8.33</v>
          </cell>
        </row>
        <row r="583">
          <cell r="B583" t="str">
            <v>GL501426</v>
          </cell>
          <cell r="C583" t="str">
            <v>US人力资源部</v>
          </cell>
          <cell r="D583" t="str">
            <v>美洲HRBP组</v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  <cell r="AG583" t="str">
            <v/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  <cell r="AL583" t="str">
            <v/>
          </cell>
          <cell r="AM583" t="str">
            <v/>
          </cell>
          <cell r="AN583">
            <v>0</v>
          </cell>
        </row>
        <row r="584">
          <cell r="B584" t="str">
            <v>GL500008</v>
          </cell>
          <cell r="C584" t="str">
            <v>MS 中南大区</v>
          </cell>
          <cell r="D584" t="str">
            <v>AS 亚特兰大和南阿拉巴马片区</v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  <cell r="AG584" t="str">
            <v/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  <cell r="AL584" t="str">
            <v/>
          </cell>
          <cell r="AM584" t="str">
            <v/>
          </cell>
          <cell r="AN584">
            <v>11.7</v>
          </cell>
        </row>
        <row r="585">
          <cell r="B585" t="str">
            <v>GL501419</v>
          </cell>
          <cell r="C585" t="str">
            <v>US人力资源部</v>
          </cell>
          <cell r="D585" t="str">
            <v>美洲HRBP组</v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  <cell r="AG585" t="str">
            <v/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/>
          </cell>
          <cell r="AN585">
            <v>0</v>
          </cell>
        </row>
        <row r="586">
          <cell r="B586" t="str">
            <v>GL501619</v>
          </cell>
          <cell r="C586" t="str">
            <v>US人力资源部</v>
          </cell>
          <cell r="D586" t="str">
            <v>美洲HRBP组</v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  <cell r="AG586" t="str">
            <v/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/>
          </cell>
          <cell r="AN586">
            <v>0</v>
          </cell>
        </row>
        <row r="587">
          <cell r="B587" t="str">
            <v>GL500683</v>
          </cell>
          <cell r="C587" t="str">
            <v>NE 东北大区</v>
          </cell>
          <cell r="D587" t="str">
            <v>揽收部</v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  <cell r="AG587" t="str">
            <v/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/>
          </cell>
          <cell r="AN587">
            <v>21.87</v>
          </cell>
        </row>
        <row r="588">
          <cell r="B588" t="str">
            <v>GL502429</v>
          </cell>
          <cell r="C588" t="str">
            <v>NE 东北大区</v>
          </cell>
          <cell r="D588" t="str">
            <v>PA 宾州片区</v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  <cell r="AG588" t="str">
            <v/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  <cell r="AL588" t="str">
            <v/>
          </cell>
          <cell r="AM588" t="str">
            <v/>
          </cell>
          <cell r="AN588">
            <v>0</v>
          </cell>
        </row>
        <row r="589">
          <cell r="B589" t="str">
            <v>GL502803</v>
          </cell>
          <cell r="C589" t="str">
            <v>SM 站点管理部</v>
          </cell>
          <cell r="D589" t="str">
            <v>站点实施组</v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  <cell r="AG589" t="str">
            <v/>
          </cell>
          <cell r="AH589" t="str">
            <v/>
          </cell>
          <cell r="AI589" t="str">
            <v/>
          </cell>
          <cell r="AJ589" t="str">
            <v/>
          </cell>
          <cell r="AK589" t="str">
            <v/>
          </cell>
          <cell r="AL589" t="str">
            <v/>
          </cell>
          <cell r="AM589" t="str">
            <v/>
          </cell>
          <cell r="AN589">
            <v>18.14</v>
          </cell>
        </row>
        <row r="590">
          <cell r="B590" t="str">
            <v>GL502305</v>
          </cell>
          <cell r="C590" t="str">
            <v>Ground项目部</v>
          </cell>
          <cell r="D590" t="str">
            <v>派送管理部</v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  <cell r="AG590" t="str">
            <v/>
          </cell>
          <cell r="AH590" t="str">
            <v/>
          </cell>
          <cell r="AI590" t="str">
            <v/>
          </cell>
          <cell r="AJ590" t="str">
            <v/>
          </cell>
          <cell r="AK590" t="str">
            <v/>
          </cell>
          <cell r="AL590" t="str">
            <v/>
          </cell>
          <cell r="AM590" t="str">
            <v/>
          </cell>
          <cell r="AN590">
            <v>0</v>
          </cell>
        </row>
        <row r="591">
          <cell r="B591" t="str">
            <v>GL501362</v>
          </cell>
          <cell r="C591" t="str">
            <v>CM 运力管理部</v>
          </cell>
          <cell r="D591" t="str">
            <v>调度运营组</v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  <cell r="AG591" t="str">
            <v/>
          </cell>
          <cell r="AH591" t="str">
            <v/>
          </cell>
          <cell r="AI591" t="str">
            <v/>
          </cell>
          <cell r="AJ591" t="str">
            <v/>
          </cell>
          <cell r="AK591" t="str">
            <v/>
          </cell>
          <cell r="AL591" t="str">
            <v/>
          </cell>
          <cell r="AM591" t="str">
            <v/>
          </cell>
          <cell r="AN591">
            <v>17.73</v>
          </cell>
        </row>
        <row r="592">
          <cell r="B592" t="str">
            <v>GL500247</v>
          </cell>
          <cell r="C592" t="str">
            <v>WE 美西大区</v>
          </cell>
          <cell r="D592" t="str">
            <v>NC 北加片区</v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  <cell r="AG592" t="str">
            <v/>
          </cell>
          <cell r="AH592" t="str">
            <v/>
          </cell>
          <cell r="AI592" t="str">
            <v/>
          </cell>
          <cell r="AJ592" t="str">
            <v/>
          </cell>
          <cell r="AK592" t="str">
            <v/>
          </cell>
          <cell r="AL592" t="str">
            <v/>
          </cell>
          <cell r="AM592" t="str">
            <v/>
          </cell>
          <cell r="AN592">
            <v>0</v>
          </cell>
        </row>
        <row r="593">
          <cell r="B593" t="str">
            <v>GL501416</v>
          </cell>
          <cell r="C593" t="str">
            <v>Ground项目部</v>
          </cell>
          <cell r="D593" t="str">
            <v>OG 美西区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  <cell r="AG593" t="str">
            <v/>
          </cell>
          <cell r="AH593" t="str">
            <v/>
          </cell>
          <cell r="AI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/>
          </cell>
          <cell r="AN593">
            <v>14.27</v>
          </cell>
        </row>
        <row r="594">
          <cell r="B594" t="str">
            <v>GL502498</v>
          </cell>
          <cell r="C594" t="str">
            <v>NE 东北大区</v>
          </cell>
          <cell r="D594" t="str">
            <v>NY 纽约片区</v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  <cell r="AG594" t="str">
            <v/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/>
          </cell>
          <cell r="AN594">
            <v>16.85</v>
          </cell>
        </row>
        <row r="595">
          <cell r="B595" t="str">
            <v>GL500609</v>
          </cell>
          <cell r="C595" t="str">
            <v>NE 东北大区</v>
          </cell>
          <cell r="D595" t="str">
            <v>JFK.H</v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  <cell r="AG595" t="str">
            <v/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  <cell r="AL595" t="str">
            <v/>
          </cell>
          <cell r="AM595" t="str">
            <v/>
          </cell>
          <cell r="AN595">
            <v>0</v>
          </cell>
        </row>
        <row r="596">
          <cell r="B596" t="str">
            <v>GL501314</v>
          </cell>
          <cell r="C596" t="str">
            <v>NE 东北大区</v>
          </cell>
          <cell r="D596" t="str">
            <v>EWR.H</v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  <cell r="AG596" t="str">
            <v/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  <cell r="AL596" t="str">
            <v/>
          </cell>
          <cell r="AM596" t="str">
            <v/>
          </cell>
          <cell r="AN596">
            <v>0</v>
          </cell>
        </row>
        <row r="597">
          <cell r="B597" t="str">
            <v>GL502156</v>
          </cell>
          <cell r="C597" t="str">
            <v>WE 美西大区</v>
          </cell>
          <cell r="D597" t="str">
            <v>CNO.H</v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  <cell r="AG597" t="str">
            <v/>
          </cell>
          <cell r="AH597" t="str">
            <v/>
          </cell>
          <cell r="AI597" t="str">
            <v/>
          </cell>
          <cell r="AJ597" t="str">
            <v/>
          </cell>
          <cell r="AK597" t="str">
            <v/>
          </cell>
          <cell r="AL597" t="str">
            <v/>
          </cell>
          <cell r="AM597" t="str">
            <v/>
          </cell>
          <cell r="AN597">
            <v>0</v>
          </cell>
        </row>
        <row r="598">
          <cell r="B598" t="str">
            <v>GL500848</v>
          </cell>
          <cell r="C598" t="str">
            <v>WE 美西大区</v>
          </cell>
          <cell r="D598" t="str">
            <v>CNO.H</v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  <cell r="AL598" t="str">
            <v/>
          </cell>
          <cell r="AM598" t="str">
            <v/>
          </cell>
          <cell r="AN598">
            <v>26.1</v>
          </cell>
        </row>
        <row r="599">
          <cell r="B599" t="str">
            <v>GL500689</v>
          </cell>
          <cell r="C599" t="str">
            <v>NE 东北大区</v>
          </cell>
          <cell r="D599" t="str">
            <v>揽收部</v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  <cell r="AG599" t="str">
            <v/>
          </cell>
          <cell r="AH599" t="str">
            <v/>
          </cell>
          <cell r="AI599" t="str">
            <v/>
          </cell>
          <cell r="AJ599" t="str">
            <v/>
          </cell>
          <cell r="AK599" t="str">
            <v/>
          </cell>
          <cell r="AL599" t="str">
            <v/>
          </cell>
          <cell r="AM599" t="str">
            <v/>
          </cell>
          <cell r="AN599">
            <v>0</v>
          </cell>
        </row>
        <row r="600">
          <cell r="B600" t="str">
            <v>GL501686</v>
          </cell>
          <cell r="C600" t="str">
            <v>NE 东北大区</v>
          </cell>
          <cell r="D600" t="str">
            <v>DC 华盛顿片区</v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/>
          </cell>
          <cell r="AN600">
            <v>18.52</v>
          </cell>
        </row>
        <row r="601">
          <cell r="B601" t="str">
            <v>GL501596</v>
          </cell>
          <cell r="C601" t="str">
            <v>TX 德州大区</v>
          </cell>
          <cell r="D601" t="str">
            <v>IAH.H</v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  <cell r="AG601" t="str">
            <v/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/>
          </cell>
          <cell r="AN601">
            <v>16.51</v>
          </cell>
        </row>
        <row r="602">
          <cell r="B602" t="str">
            <v>GL502735</v>
          </cell>
          <cell r="C602" t="str">
            <v>WE 美西大区</v>
          </cell>
          <cell r="D602" t="str">
            <v>LAV.H</v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  <cell r="AG602" t="str">
            <v/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/>
          </cell>
          <cell r="AN602">
            <v>11.58</v>
          </cell>
        </row>
        <row r="603">
          <cell r="B603" t="str">
            <v>GL500332</v>
          </cell>
          <cell r="C603" t="str">
            <v>NE 东北大区</v>
          </cell>
          <cell r="D603" t="str">
            <v>NY 纽约片区</v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  <cell r="AG603" t="str">
            <v/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/>
          </cell>
          <cell r="AN603">
            <v>0</v>
          </cell>
        </row>
        <row r="604">
          <cell r="B604" t="str">
            <v>GL502545</v>
          </cell>
          <cell r="C604" t="str">
            <v>WE 美西大区</v>
          </cell>
          <cell r="D604" t="str">
            <v>SC 南加片区</v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  <cell r="AG604" t="str">
            <v/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  <cell r="AL604" t="str">
            <v/>
          </cell>
          <cell r="AM604" t="str">
            <v/>
          </cell>
          <cell r="AN604">
            <v>15.11</v>
          </cell>
        </row>
        <row r="605">
          <cell r="B605" t="str">
            <v>GL501784</v>
          </cell>
          <cell r="C605" t="str">
            <v>WE 美西大区</v>
          </cell>
          <cell r="D605" t="str">
            <v>LAV.H</v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  <cell r="AG605" t="str">
            <v/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  <cell r="AL605" t="str">
            <v/>
          </cell>
          <cell r="AM605" t="str">
            <v/>
          </cell>
          <cell r="AN605">
            <v>8.45</v>
          </cell>
        </row>
        <row r="606">
          <cell r="B606" t="str">
            <v>GL502655</v>
          </cell>
          <cell r="C606" t="str">
            <v>Ground项目部</v>
          </cell>
          <cell r="D606" t="str">
            <v>OG 美东区</v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  <cell r="AG606" t="str">
            <v/>
          </cell>
          <cell r="AH606" t="str">
            <v/>
          </cell>
          <cell r="AI606" t="str">
            <v/>
          </cell>
          <cell r="AJ606" t="str">
            <v/>
          </cell>
          <cell r="AK606" t="str">
            <v/>
          </cell>
          <cell r="AL606" t="str">
            <v/>
          </cell>
          <cell r="AM606" t="str">
            <v/>
          </cell>
          <cell r="AN606">
            <v>8.23</v>
          </cell>
        </row>
        <row r="607">
          <cell r="B607" t="str">
            <v>GL500188</v>
          </cell>
          <cell r="C607" t="str">
            <v>GL 大湖大区</v>
          </cell>
          <cell r="D607" t="str">
            <v>CM 中西部中心片区</v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  <cell r="AG607" t="str">
            <v/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/>
          </cell>
          <cell r="AN607">
            <v>0</v>
          </cell>
        </row>
        <row r="608">
          <cell r="B608" t="str">
            <v>GL501059</v>
          </cell>
          <cell r="C608" t="str">
            <v>NE 东北大区</v>
          </cell>
          <cell r="D608" t="str">
            <v>EWR.H</v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  <cell r="AG608" t="str">
            <v/>
          </cell>
          <cell r="AH608" t="str">
            <v/>
          </cell>
          <cell r="AI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/>
          </cell>
          <cell r="AN608">
            <v>8.82</v>
          </cell>
        </row>
        <row r="609">
          <cell r="B609" t="str">
            <v>GL501536</v>
          </cell>
          <cell r="C609" t="str">
            <v>US人力资源部</v>
          </cell>
          <cell r="D609" t="str">
            <v>美洲HRBP组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  <cell r="AG609" t="str">
            <v/>
          </cell>
          <cell r="AH609" t="str">
            <v/>
          </cell>
          <cell r="AI609" t="str">
            <v/>
          </cell>
          <cell r="AJ609" t="str">
            <v/>
          </cell>
          <cell r="AK609" t="str">
            <v/>
          </cell>
          <cell r="AL609" t="str">
            <v/>
          </cell>
          <cell r="AM609" t="str">
            <v/>
          </cell>
          <cell r="AN609">
            <v>22.75</v>
          </cell>
        </row>
        <row r="610">
          <cell r="B610" t="str">
            <v>GL501215</v>
          </cell>
          <cell r="C610" t="str">
            <v>WE 美西大区</v>
          </cell>
          <cell r="D610" t="str">
            <v>LAV.H</v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  <cell r="AG610" t="str">
            <v/>
          </cell>
          <cell r="AH610" t="str">
            <v/>
          </cell>
          <cell r="AI610" t="str">
            <v/>
          </cell>
          <cell r="AJ610" t="str">
            <v/>
          </cell>
          <cell r="AK610" t="str">
            <v/>
          </cell>
          <cell r="AL610" t="str">
            <v/>
          </cell>
          <cell r="AM610" t="str">
            <v/>
          </cell>
          <cell r="AN610">
            <v>9.37</v>
          </cell>
        </row>
        <row r="611">
          <cell r="B611" t="str">
            <v>GL500206</v>
          </cell>
          <cell r="C611" t="str">
            <v>Gofo财务部</v>
          </cell>
          <cell r="D611" t="str">
            <v>美区财务组</v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  <cell r="AG611" t="str">
            <v/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  <cell r="AL611" t="str">
            <v/>
          </cell>
          <cell r="AM611" t="str">
            <v/>
          </cell>
          <cell r="AN611">
            <v>0</v>
          </cell>
        </row>
        <row r="612">
          <cell r="B612" t="str">
            <v>GL500091</v>
          </cell>
          <cell r="C612" t="str">
            <v>GL 大湖大区</v>
          </cell>
          <cell r="D612" t="str">
            <v>NM 中西部北片区</v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  <cell r="AG612" t="str">
            <v/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  <cell r="AL612" t="str">
            <v/>
          </cell>
          <cell r="AM612" t="str">
            <v/>
          </cell>
          <cell r="AN612">
            <v>0</v>
          </cell>
        </row>
        <row r="613">
          <cell r="B613" t="str">
            <v>GL500296</v>
          </cell>
          <cell r="C613" t="str">
            <v>FL 佛州大区</v>
          </cell>
          <cell r="D613" t="str">
            <v>MIA.H</v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  <cell r="AG613" t="str">
            <v/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  <cell r="AL613" t="str">
            <v/>
          </cell>
          <cell r="AM613" t="str">
            <v/>
          </cell>
          <cell r="AN613">
            <v>18.16</v>
          </cell>
        </row>
        <row r="614">
          <cell r="B614" t="str">
            <v>GL500492</v>
          </cell>
          <cell r="C614" t="str">
            <v>CM 运力管理部</v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  <cell r="AG614" t="str">
            <v/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  <cell r="AL614" t="str">
            <v/>
          </cell>
          <cell r="AM614" t="str">
            <v/>
          </cell>
          <cell r="AN614">
            <v>16</v>
          </cell>
        </row>
        <row r="615">
          <cell r="B615" t="str">
            <v>GL500114</v>
          </cell>
          <cell r="C615" t="str">
            <v>AD 行政部</v>
          </cell>
          <cell r="D615" t="str">
            <v>美东组</v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  <cell r="AG615" t="str">
            <v/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  <cell r="AL615" t="str">
            <v/>
          </cell>
          <cell r="AM615" t="str">
            <v/>
          </cell>
          <cell r="AN615">
            <v>0</v>
          </cell>
        </row>
        <row r="616">
          <cell r="B616" t="str">
            <v>GL501565</v>
          </cell>
          <cell r="C616" t="str">
            <v>TX 德州大区</v>
          </cell>
          <cell r="D616" t="str">
            <v>IAH.H</v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  <cell r="AG616" t="str">
            <v/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  <cell r="AL616" t="str">
            <v/>
          </cell>
          <cell r="AM616" t="str">
            <v/>
          </cell>
          <cell r="AN616">
            <v>16.48</v>
          </cell>
        </row>
        <row r="617">
          <cell r="B617" t="str">
            <v>GL501558</v>
          </cell>
          <cell r="C617" t="str">
            <v>CS 客户服务部</v>
          </cell>
          <cell r="D617" t="str">
            <v>消费者客服组</v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  <cell r="AG617" t="str">
            <v/>
          </cell>
          <cell r="AH617" t="str">
            <v/>
          </cell>
          <cell r="AI617" t="str">
            <v/>
          </cell>
          <cell r="AJ617" t="str">
            <v/>
          </cell>
          <cell r="AK617" t="str">
            <v/>
          </cell>
          <cell r="AL617" t="str">
            <v/>
          </cell>
          <cell r="AM617" t="str">
            <v/>
          </cell>
          <cell r="AN617">
            <v>16.23</v>
          </cell>
        </row>
        <row r="618">
          <cell r="B618" t="str">
            <v>GL501899</v>
          </cell>
          <cell r="C618" t="str">
            <v>FL 佛州大区</v>
          </cell>
          <cell r="D618" t="str">
            <v>MCO.H</v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  <cell r="AG618" t="str">
            <v/>
          </cell>
          <cell r="AH618" t="str">
            <v/>
          </cell>
          <cell r="AI618" t="str">
            <v/>
          </cell>
          <cell r="AJ618" t="str">
            <v/>
          </cell>
          <cell r="AK618" t="str">
            <v/>
          </cell>
          <cell r="AL618" t="str">
            <v/>
          </cell>
          <cell r="AM618" t="str">
            <v/>
          </cell>
          <cell r="AN618">
            <v>9.67</v>
          </cell>
        </row>
        <row r="619">
          <cell r="B619" t="str">
            <v>GL500005</v>
          </cell>
          <cell r="C619" t="str">
            <v>TX 德州大区</v>
          </cell>
          <cell r="D619" t="str">
            <v>DFW.H</v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  <cell r="AG619" t="str">
            <v/>
          </cell>
          <cell r="AH619" t="str">
            <v/>
          </cell>
          <cell r="AI619" t="str">
            <v/>
          </cell>
          <cell r="AJ619" t="str">
            <v/>
          </cell>
          <cell r="AK619" t="str">
            <v/>
          </cell>
          <cell r="AL619" t="str">
            <v/>
          </cell>
          <cell r="AM619" t="str">
            <v/>
          </cell>
          <cell r="AN619">
            <v>17.15</v>
          </cell>
        </row>
        <row r="620">
          <cell r="B620" t="str">
            <v>GL501576</v>
          </cell>
          <cell r="C620" t="str">
            <v>GL 大湖大区</v>
          </cell>
          <cell r="D620" t="str">
            <v>WG 西大湖片区</v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  <cell r="AG620" t="str">
            <v/>
          </cell>
          <cell r="AH620" t="str">
            <v/>
          </cell>
          <cell r="AI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/>
          </cell>
          <cell r="AN620">
            <v>0</v>
          </cell>
        </row>
        <row r="621">
          <cell r="B621" t="str">
            <v>GL501444</v>
          </cell>
          <cell r="C621" t="str">
            <v>NE 东北大区</v>
          </cell>
          <cell r="D621" t="str">
            <v>EWR.H</v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  <cell r="AG621" t="str">
            <v/>
          </cell>
          <cell r="AH621" t="str">
            <v/>
          </cell>
          <cell r="AI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/>
          </cell>
          <cell r="AN621">
            <v>18.95</v>
          </cell>
        </row>
        <row r="622">
          <cell r="B622" t="str">
            <v>GL502506</v>
          </cell>
          <cell r="C622" t="str">
            <v>NE 东北大区</v>
          </cell>
          <cell r="D622" t="str">
            <v>DC 华盛顿片区</v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  <cell r="AG622" t="str">
            <v/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  <cell r="AL622" t="str">
            <v/>
          </cell>
          <cell r="AM622" t="str">
            <v/>
          </cell>
          <cell r="AN622">
            <v>16.28</v>
          </cell>
        </row>
        <row r="623">
          <cell r="B623" t="str">
            <v>GL502758</v>
          </cell>
          <cell r="C623" t="str">
            <v>WE 美西大区</v>
          </cell>
          <cell r="D623" t="str">
            <v>CNO.H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  <cell r="AG623" t="str">
            <v/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  <cell r="AL623" t="str">
            <v/>
          </cell>
          <cell r="AM623" t="str">
            <v/>
          </cell>
          <cell r="AN623">
            <v>21.02</v>
          </cell>
        </row>
        <row r="624">
          <cell r="B624" t="str">
            <v>GL502292</v>
          </cell>
          <cell r="C624" t="str">
            <v>MS 中南大区</v>
          </cell>
          <cell r="D624" t="str">
            <v>CLT.H</v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  <cell r="AG624" t="str">
            <v/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  <cell r="AL624" t="str">
            <v/>
          </cell>
          <cell r="AM624" t="str">
            <v/>
          </cell>
          <cell r="AN624">
            <v>0</v>
          </cell>
        </row>
        <row r="625">
          <cell r="B625" t="str">
            <v>GL500832</v>
          </cell>
          <cell r="C625" t="str">
            <v>IC 跨境客户部</v>
          </cell>
          <cell r="D625" t="str">
            <v>海外客户组</v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  <cell r="AG625" t="str">
            <v/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  <cell r="AL625" t="str">
            <v/>
          </cell>
          <cell r="AM625" t="str">
            <v/>
          </cell>
          <cell r="AN625">
            <v>0</v>
          </cell>
        </row>
        <row r="626">
          <cell r="B626" t="str">
            <v>GL500024</v>
          </cell>
          <cell r="C626" t="str">
            <v>WE 美西大区</v>
          </cell>
          <cell r="D626" t="str">
            <v>DS 丹佛·盐湖城片区</v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  <cell r="AG626" t="str">
            <v/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/>
          </cell>
          <cell r="AN626">
            <v>16.64</v>
          </cell>
        </row>
        <row r="627">
          <cell r="B627" t="str">
            <v>GL502158</v>
          </cell>
          <cell r="C627" t="str">
            <v>MS 中南大区</v>
          </cell>
          <cell r="D627" t="str">
            <v>揽收部</v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/>
          </cell>
          <cell r="AN627">
            <v>18.33</v>
          </cell>
        </row>
        <row r="628">
          <cell r="B628" t="str">
            <v>GL500131</v>
          </cell>
          <cell r="C628" t="str">
            <v>LD 法务部</v>
          </cell>
          <cell r="D628" t="str">
            <v>美洲法务组</v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/>
          </cell>
          <cell r="AN628">
            <v>16.21</v>
          </cell>
        </row>
        <row r="629">
          <cell r="B629" t="str">
            <v>GL502526</v>
          </cell>
          <cell r="C629" t="str">
            <v>TX 德州大区</v>
          </cell>
          <cell r="D629" t="str">
            <v>DFW.H</v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  <cell r="AG629" t="str">
            <v/>
          </cell>
          <cell r="AH629" t="str">
            <v/>
          </cell>
          <cell r="AI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/>
          </cell>
          <cell r="AN629">
            <v>9.3</v>
          </cell>
        </row>
        <row r="630">
          <cell r="B630" t="str">
            <v>GL502786</v>
          </cell>
          <cell r="C630" t="str">
            <v>FL 佛州大区</v>
          </cell>
          <cell r="D630" t="str">
            <v>MF 中佛片区</v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/>
          </cell>
          <cell r="AN630">
            <v>8.67</v>
          </cell>
        </row>
        <row r="631">
          <cell r="B631" t="str">
            <v>GL500524</v>
          </cell>
          <cell r="C631" t="str">
            <v>NE 东北大区</v>
          </cell>
          <cell r="D631" t="str">
            <v>MA 新英格兰片区</v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  <cell r="AA631" t="str">
            <v/>
          </cell>
          <cell r="AB631" t="str">
            <v/>
          </cell>
          <cell r="AC631" t="str">
            <v/>
          </cell>
          <cell r="AD631" t="str">
            <v/>
          </cell>
          <cell r="AE631" t="str">
            <v/>
          </cell>
          <cell r="AF631" t="str">
            <v/>
          </cell>
          <cell r="AG631" t="str">
            <v/>
          </cell>
          <cell r="AH631" t="str">
            <v/>
          </cell>
          <cell r="AI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/>
          </cell>
          <cell r="AN631">
            <v>16.15</v>
          </cell>
        </row>
        <row r="632">
          <cell r="B632" t="str">
            <v>GL502312</v>
          </cell>
          <cell r="C632" t="str">
            <v>NE 东北大区</v>
          </cell>
          <cell r="D632" t="str">
            <v>BDL01</v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  <cell r="AA632" t="str">
            <v/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  <cell r="AF632" t="str">
            <v/>
          </cell>
          <cell r="AG632" t="str">
            <v/>
          </cell>
          <cell r="AH632" t="str">
            <v/>
          </cell>
          <cell r="AI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/>
          </cell>
          <cell r="AN632">
            <v>15.83</v>
          </cell>
        </row>
        <row r="633">
          <cell r="B633" t="str">
            <v>GL501481</v>
          </cell>
          <cell r="C633" t="str">
            <v>WE 美西大区</v>
          </cell>
          <cell r="D633" t="str">
            <v>NC 北加片区</v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  <cell r="AA633" t="str">
            <v/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  <cell r="AF633" t="str">
            <v/>
          </cell>
          <cell r="AG633" t="str">
            <v/>
          </cell>
          <cell r="AH633" t="str">
            <v/>
          </cell>
          <cell r="AI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/>
          </cell>
          <cell r="AN633">
            <v>0</v>
          </cell>
        </row>
        <row r="634">
          <cell r="B634" t="str">
            <v>GL500772</v>
          </cell>
          <cell r="C634" t="str">
            <v>OM 操作管理部</v>
          </cell>
          <cell r="D634" t="str">
            <v>实施运营组</v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  <cell r="AG634" t="str">
            <v/>
          </cell>
          <cell r="AH634" t="str">
            <v/>
          </cell>
          <cell r="AI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/>
          </cell>
          <cell r="AN634">
            <v>0</v>
          </cell>
        </row>
        <row r="635">
          <cell r="B635" t="str">
            <v>GL502014</v>
          </cell>
          <cell r="C635" t="str">
            <v>WE 美西大区</v>
          </cell>
          <cell r="D635" t="str">
            <v>CNO.H</v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  <cell r="AG635" t="str">
            <v/>
          </cell>
          <cell r="AH635" t="str">
            <v/>
          </cell>
          <cell r="AI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/>
          </cell>
          <cell r="AN635">
            <v>11.57</v>
          </cell>
        </row>
        <row r="636">
          <cell r="B636" t="str">
            <v>GL501959</v>
          </cell>
          <cell r="C636" t="str">
            <v>US人力资源部</v>
          </cell>
          <cell r="D636" t="str">
            <v>美洲HRBP组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  <cell r="AG636" t="str">
            <v/>
          </cell>
          <cell r="AH636" t="str">
            <v/>
          </cell>
          <cell r="AI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/>
          </cell>
          <cell r="AN636">
            <v>17.35</v>
          </cell>
        </row>
        <row r="637">
          <cell r="B637" t="str">
            <v>GL501867</v>
          </cell>
          <cell r="C637" t="str">
            <v>WE 美西大区</v>
          </cell>
          <cell r="D637" t="str">
            <v>车辆管理部</v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  <cell r="AG637" t="str">
            <v/>
          </cell>
          <cell r="AH637" t="str">
            <v/>
          </cell>
          <cell r="AI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/>
          </cell>
          <cell r="AN637">
            <v>17.65</v>
          </cell>
        </row>
        <row r="638">
          <cell r="B638" t="str">
            <v>GL500527</v>
          </cell>
          <cell r="C638" t="str">
            <v>NE 东北大区</v>
          </cell>
          <cell r="D638" t="str">
            <v>EWR.H</v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  <cell r="AG638" t="str">
            <v/>
          </cell>
          <cell r="AH638" t="str">
            <v/>
          </cell>
          <cell r="AI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/>
          </cell>
          <cell r="AN638">
            <v>9.25</v>
          </cell>
        </row>
        <row r="639">
          <cell r="B639" t="str">
            <v>GL501469</v>
          </cell>
          <cell r="C639" t="str">
            <v>AD 行政部</v>
          </cell>
          <cell r="D639" t="str">
            <v>美西组</v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/>
          </cell>
          <cell r="AN639">
            <v>16.31</v>
          </cell>
        </row>
        <row r="640">
          <cell r="B640" t="str">
            <v>GL502656</v>
          </cell>
          <cell r="C640" t="str">
            <v>WE 美西大区</v>
          </cell>
          <cell r="D640" t="str">
            <v>CNO.H</v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  <cell r="AA640" t="str">
            <v/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  <cell r="AF640" t="str">
            <v/>
          </cell>
          <cell r="AG640" t="str">
            <v/>
          </cell>
          <cell r="AH640" t="str">
            <v/>
          </cell>
          <cell r="AI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/>
          </cell>
          <cell r="AN640">
            <v>17.99</v>
          </cell>
        </row>
        <row r="641">
          <cell r="B641" t="str">
            <v>GL502619</v>
          </cell>
          <cell r="C641" t="str">
            <v>BM 品牌市场部</v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/>
          </cell>
          <cell r="AN641">
            <v>0</v>
          </cell>
        </row>
        <row r="642">
          <cell r="B642" t="str">
            <v>GL500841</v>
          </cell>
          <cell r="C642" t="str">
            <v>NE 东北大区</v>
          </cell>
          <cell r="D642" t="str">
            <v>EWR.H</v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/>
          </cell>
          <cell r="AN642">
            <v>0</v>
          </cell>
        </row>
        <row r="643">
          <cell r="B643" t="str">
            <v>GL502440</v>
          </cell>
          <cell r="C643" t="str">
            <v>WE 美西大区</v>
          </cell>
          <cell r="D643" t="str">
            <v>LA揽收部</v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  <cell r="AG643" t="str">
            <v/>
          </cell>
          <cell r="AH643" t="str">
            <v/>
          </cell>
          <cell r="AI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/>
          </cell>
          <cell r="AN643">
            <v>16.99</v>
          </cell>
        </row>
        <row r="644">
          <cell r="B644" t="str">
            <v>GL502169</v>
          </cell>
          <cell r="C644" t="str">
            <v>WE 美西大区</v>
          </cell>
          <cell r="D644" t="str">
            <v>SC 南加片区</v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  <cell r="AG644" t="str">
            <v/>
          </cell>
          <cell r="AH644" t="str">
            <v/>
          </cell>
          <cell r="AI644" t="str">
            <v/>
          </cell>
          <cell r="AJ644" t="str">
            <v/>
          </cell>
          <cell r="AK644" t="str">
            <v/>
          </cell>
          <cell r="AL644" t="str">
            <v/>
          </cell>
          <cell r="AM644" t="str">
            <v/>
          </cell>
          <cell r="AN644">
            <v>5.45</v>
          </cell>
        </row>
        <row r="645">
          <cell r="B645" t="str">
            <v>GL502410</v>
          </cell>
          <cell r="C645" t="str">
            <v>US人力资源部</v>
          </cell>
          <cell r="D645" t="str">
            <v>美洲HRBP组</v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/>
          </cell>
          <cell r="AN645">
            <v>16.55</v>
          </cell>
        </row>
        <row r="646">
          <cell r="B646" t="str">
            <v>GL502698</v>
          </cell>
          <cell r="C646" t="str">
            <v>WE 美西大区</v>
          </cell>
          <cell r="D646" t="str">
            <v>CNO.H</v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  <cell r="AG646" t="str">
            <v/>
          </cell>
          <cell r="AH646" t="str">
            <v/>
          </cell>
          <cell r="AI646" t="str">
            <v/>
          </cell>
          <cell r="AJ646" t="str">
            <v/>
          </cell>
          <cell r="AK646" t="str">
            <v/>
          </cell>
          <cell r="AL646" t="str">
            <v/>
          </cell>
          <cell r="AM646" t="str">
            <v/>
          </cell>
          <cell r="AN646">
            <v>4.67</v>
          </cell>
        </row>
        <row r="647">
          <cell r="B647" t="str">
            <v>GL501714</v>
          </cell>
          <cell r="C647" t="str">
            <v>GL 大湖大区</v>
          </cell>
          <cell r="D647" t="str">
            <v>ORD.H</v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  <cell r="AG647" t="str">
            <v/>
          </cell>
          <cell r="AH647" t="str">
            <v/>
          </cell>
          <cell r="AI647" t="str">
            <v/>
          </cell>
          <cell r="AJ647" t="str">
            <v/>
          </cell>
          <cell r="AK647" t="str">
            <v/>
          </cell>
          <cell r="AL647" t="str">
            <v/>
          </cell>
          <cell r="AM647" t="str">
            <v/>
          </cell>
          <cell r="AN647">
            <v>11.1</v>
          </cell>
        </row>
        <row r="648">
          <cell r="B648" t="str">
            <v>GL501752</v>
          </cell>
          <cell r="C648" t="str">
            <v>NE 东北大区</v>
          </cell>
          <cell r="D648" t="str">
            <v>EWR.H</v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  <cell r="AG648" t="str">
            <v/>
          </cell>
          <cell r="AH648" t="str">
            <v/>
          </cell>
          <cell r="AI648" t="str">
            <v/>
          </cell>
          <cell r="AJ648" t="str">
            <v/>
          </cell>
          <cell r="AK648" t="str">
            <v/>
          </cell>
          <cell r="AL648" t="str">
            <v/>
          </cell>
          <cell r="AM648" t="str">
            <v/>
          </cell>
          <cell r="AN648">
            <v>0</v>
          </cell>
        </row>
        <row r="649">
          <cell r="B649" t="str">
            <v>GL500162</v>
          </cell>
          <cell r="C649" t="str">
            <v>DO 数字运营部</v>
          </cell>
          <cell r="D649" t="str">
            <v>美国项目交付组</v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  <cell r="AG649" t="str">
            <v/>
          </cell>
          <cell r="AH649" t="str">
            <v/>
          </cell>
          <cell r="AI649" t="str">
            <v/>
          </cell>
          <cell r="AJ649" t="str">
            <v/>
          </cell>
          <cell r="AK649" t="str">
            <v/>
          </cell>
          <cell r="AL649" t="str">
            <v/>
          </cell>
          <cell r="AM649" t="str">
            <v/>
          </cell>
          <cell r="AN649">
            <v>0</v>
          </cell>
        </row>
        <row r="650">
          <cell r="B650" t="str">
            <v>GL500006</v>
          </cell>
          <cell r="C650" t="str">
            <v>WE 美西大区</v>
          </cell>
          <cell r="D650" t="str">
            <v>SP 西雅图·波特兰片区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  <cell r="AG650" t="str">
            <v/>
          </cell>
          <cell r="AH650" t="str">
            <v/>
          </cell>
          <cell r="AI650" t="str">
            <v/>
          </cell>
          <cell r="AJ650" t="str">
            <v/>
          </cell>
          <cell r="AK650" t="str">
            <v/>
          </cell>
          <cell r="AL650" t="str">
            <v/>
          </cell>
          <cell r="AM650" t="str">
            <v/>
          </cell>
          <cell r="AN650">
            <v>0</v>
          </cell>
        </row>
        <row r="651">
          <cell r="B651" t="str">
            <v>GL500553</v>
          </cell>
          <cell r="C651" t="str">
            <v>IC 跨境客户部</v>
          </cell>
          <cell r="D651" t="str">
            <v>海外客户组</v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  <cell r="AL651" t="str">
            <v/>
          </cell>
          <cell r="AM651" t="str">
            <v/>
          </cell>
          <cell r="AN651">
            <v>7.6</v>
          </cell>
        </row>
        <row r="652">
          <cell r="B652" t="str">
            <v>GL501751</v>
          </cell>
          <cell r="C652" t="str">
            <v>MS 中南大区</v>
          </cell>
          <cell r="D652" t="str">
            <v>CS 夏洛特及周边片区</v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  <cell r="AG652" t="str">
            <v/>
          </cell>
          <cell r="AH652" t="str">
            <v/>
          </cell>
          <cell r="AI652" t="str">
            <v/>
          </cell>
          <cell r="AJ652" t="str">
            <v/>
          </cell>
          <cell r="AK652" t="str">
            <v/>
          </cell>
          <cell r="AL652" t="str">
            <v/>
          </cell>
          <cell r="AM652" t="str">
            <v/>
          </cell>
          <cell r="AN652">
            <v>0</v>
          </cell>
        </row>
        <row r="653">
          <cell r="B653" t="str">
            <v>GL502748</v>
          </cell>
          <cell r="C653" t="str">
            <v>Ground项目部</v>
          </cell>
          <cell r="D653" t="str">
            <v>OG 美中区</v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  <cell r="AG653" t="str">
            <v/>
          </cell>
          <cell r="AH653" t="str">
            <v/>
          </cell>
          <cell r="AI653" t="str">
            <v/>
          </cell>
          <cell r="AJ653" t="str">
            <v/>
          </cell>
          <cell r="AK653" t="str">
            <v/>
          </cell>
          <cell r="AL653" t="str">
            <v/>
          </cell>
          <cell r="AM653" t="str">
            <v/>
          </cell>
          <cell r="AN653">
            <v>16.68</v>
          </cell>
        </row>
        <row r="654">
          <cell r="B654" t="str">
            <v>GL501548</v>
          </cell>
          <cell r="C654" t="str">
            <v>NE 东北大区</v>
          </cell>
          <cell r="D654" t="str">
            <v>NY 纽约片区</v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  <cell r="AL654" t="str">
            <v/>
          </cell>
          <cell r="AM654" t="str">
            <v/>
          </cell>
          <cell r="AN654">
            <v>7.47</v>
          </cell>
        </row>
        <row r="655">
          <cell r="B655" t="str">
            <v>GL500879</v>
          </cell>
          <cell r="C655" t="str">
            <v>Ground项目部</v>
          </cell>
          <cell r="D655" t="str">
            <v>OG 美东区</v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  <cell r="AL655" t="str">
            <v/>
          </cell>
          <cell r="AM655" t="str">
            <v/>
          </cell>
          <cell r="AN655">
            <v>19.25</v>
          </cell>
        </row>
        <row r="656">
          <cell r="B656" t="str">
            <v>GL502736</v>
          </cell>
          <cell r="C656" t="str">
            <v>GL 大湖大区</v>
          </cell>
          <cell r="D656" t="str">
            <v>NM 中西部北片区</v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  <cell r="AG656" t="str">
            <v/>
          </cell>
          <cell r="AH656" t="str">
            <v/>
          </cell>
          <cell r="AI656" t="str">
            <v/>
          </cell>
          <cell r="AJ656" t="str">
            <v/>
          </cell>
          <cell r="AK656" t="str">
            <v/>
          </cell>
          <cell r="AL656" t="str">
            <v/>
          </cell>
          <cell r="AM656" t="str">
            <v/>
          </cell>
          <cell r="AN656">
            <v>17.43</v>
          </cell>
        </row>
        <row r="657">
          <cell r="B657" t="str">
            <v>GL501363</v>
          </cell>
          <cell r="C657" t="str">
            <v>GL 大湖大区</v>
          </cell>
          <cell r="D657" t="str">
            <v>CMH01</v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  <cell r="AG657" t="str">
            <v/>
          </cell>
          <cell r="AH657" t="str">
            <v/>
          </cell>
          <cell r="AI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/>
          </cell>
          <cell r="AN657">
            <v>0</v>
          </cell>
        </row>
        <row r="658">
          <cell r="B658" t="str">
            <v>GL501667</v>
          </cell>
          <cell r="C658" t="str">
            <v>FL 佛州大区</v>
          </cell>
          <cell r="D658" t="str">
            <v>MIA.H</v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  <cell r="AG658" t="str">
            <v/>
          </cell>
          <cell r="AH658" t="str">
            <v/>
          </cell>
          <cell r="AI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/>
          </cell>
          <cell r="AN658">
            <v>18.82</v>
          </cell>
        </row>
        <row r="659">
          <cell r="B659" t="str">
            <v>GL502076</v>
          </cell>
          <cell r="C659" t="str">
            <v>NE 东北大区</v>
          </cell>
          <cell r="D659" t="str">
            <v>运营支持部</v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/>
          </cell>
          <cell r="AN659">
            <v>18.98</v>
          </cell>
        </row>
        <row r="660">
          <cell r="B660" t="str">
            <v>GL502623</v>
          </cell>
          <cell r="C660" t="str">
            <v>NE 东北大区</v>
          </cell>
          <cell r="D660" t="str">
            <v>EWR.H</v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  <cell r="AG660" t="str">
            <v/>
          </cell>
          <cell r="AH660" t="str">
            <v/>
          </cell>
          <cell r="AI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/>
          </cell>
          <cell r="AN660">
            <v>0</v>
          </cell>
        </row>
        <row r="661">
          <cell r="B661" t="str">
            <v>GL501357</v>
          </cell>
          <cell r="C661" t="str">
            <v>GL 大湖大区</v>
          </cell>
          <cell r="D661" t="str">
            <v>ORD01</v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/>
          </cell>
          <cell r="AN661">
            <v>0</v>
          </cell>
        </row>
        <row r="662">
          <cell r="B662" t="str">
            <v>GL500153</v>
          </cell>
          <cell r="C662" t="str">
            <v>NE 东北大区</v>
          </cell>
          <cell r="D662" t="str">
            <v>揽收部</v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  <cell r="AG662" t="str">
            <v/>
          </cell>
          <cell r="AH662" t="str">
            <v/>
          </cell>
          <cell r="AI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/>
          </cell>
          <cell r="AN662">
            <v>9.05</v>
          </cell>
        </row>
        <row r="663">
          <cell r="B663" t="str">
            <v>GL500847</v>
          </cell>
          <cell r="C663" t="str">
            <v>WE 美西大区</v>
          </cell>
          <cell r="D663" t="str">
            <v>CNO.H</v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  <cell r="AG663" t="str">
            <v/>
          </cell>
          <cell r="AH663" t="str">
            <v/>
          </cell>
          <cell r="AI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/>
          </cell>
          <cell r="AN663">
            <v>19.3</v>
          </cell>
        </row>
        <row r="664">
          <cell r="B664" t="str">
            <v>GL502453</v>
          </cell>
          <cell r="C664" t="str">
            <v>WE 美西大区</v>
          </cell>
          <cell r="D664" t="str">
            <v>SP 西雅图·波特兰片区</v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  <cell r="AG664" t="str">
            <v/>
          </cell>
          <cell r="AH664" t="str">
            <v/>
          </cell>
          <cell r="AI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/>
          </cell>
          <cell r="AN664">
            <v>8.72</v>
          </cell>
        </row>
        <row r="665">
          <cell r="B665" t="str">
            <v>GL502860</v>
          </cell>
          <cell r="C665" t="str">
            <v>US人力资源部</v>
          </cell>
          <cell r="D665" t="str">
            <v>美洲HRBP组</v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/>
          </cell>
          <cell r="AN665">
            <v>0</v>
          </cell>
        </row>
        <row r="666">
          <cell r="B666" t="str">
            <v>GL500966</v>
          </cell>
          <cell r="C666" t="str">
            <v>US人力资源部</v>
          </cell>
          <cell r="D666" t="str">
            <v>美洲HRBP组</v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  <cell r="AL666" t="str">
            <v/>
          </cell>
          <cell r="AM666" t="str">
            <v/>
          </cell>
          <cell r="AN666">
            <v>0</v>
          </cell>
        </row>
        <row r="667">
          <cell r="B667" t="str">
            <v>GL501774</v>
          </cell>
          <cell r="C667" t="str">
            <v>Ground项目部</v>
          </cell>
          <cell r="D667" t="str">
            <v>OG 美西区</v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  <cell r="AL667" t="str">
            <v/>
          </cell>
          <cell r="AM667" t="str">
            <v/>
          </cell>
          <cell r="AN667">
            <v>19.17</v>
          </cell>
        </row>
        <row r="668">
          <cell r="B668" t="str">
            <v>GL501676</v>
          </cell>
          <cell r="C668" t="str">
            <v>GL 大湖大区</v>
          </cell>
          <cell r="D668" t="str">
            <v>CM 中西部中心片区</v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/>
          </cell>
          <cell r="AN668">
            <v>16.1</v>
          </cell>
        </row>
        <row r="669">
          <cell r="B669" t="str">
            <v>GL500805</v>
          </cell>
          <cell r="C669" t="str">
            <v>NE 东北大区</v>
          </cell>
          <cell r="D669" t="str">
            <v>EWR.H</v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  <cell r="AL669" t="str">
            <v/>
          </cell>
          <cell r="AM669" t="str">
            <v/>
          </cell>
          <cell r="AN669">
            <v>17.8</v>
          </cell>
        </row>
        <row r="670">
          <cell r="B670" t="str">
            <v>GL502279</v>
          </cell>
          <cell r="C670" t="str">
            <v>FL 佛州大区</v>
          </cell>
          <cell r="D670" t="str">
            <v>WF 西佛片区</v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/>
          </cell>
          <cell r="AN670">
            <v>9.38</v>
          </cell>
        </row>
        <row r="671">
          <cell r="B671" t="str">
            <v>GL501821</v>
          </cell>
          <cell r="C671" t="str">
            <v>GL 大湖大区</v>
          </cell>
          <cell r="D671" t="str">
            <v>ORD.H</v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/>
          </cell>
          <cell r="AN671">
            <v>9.53</v>
          </cell>
        </row>
        <row r="672">
          <cell r="B672" t="str">
            <v>GL500710</v>
          </cell>
          <cell r="C672" t="str">
            <v>IC 跨境客户部</v>
          </cell>
          <cell r="D672" t="str">
            <v>海外客户组</v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/>
          </cell>
          <cell r="AN672">
            <v>15.05</v>
          </cell>
        </row>
        <row r="673">
          <cell r="B673" t="str">
            <v>GL502583</v>
          </cell>
          <cell r="C673" t="str">
            <v>Ground项目部</v>
          </cell>
          <cell r="D673" t="str">
            <v>派送管理部</v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  <cell r="AL673" t="str">
            <v/>
          </cell>
          <cell r="AM673" t="str">
            <v/>
          </cell>
          <cell r="AN673">
            <v>16.55</v>
          </cell>
        </row>
        <row r="674">
          <cell r="B674" t="str">
            <v>GL500055</v>
          </cell>
          <cell r="C674" t="str">
            <v>US人力资源部</v>
          </cell>
          <cell r="D674" t="str">
            <v>美洲HRBP组</v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  <cell r="AG674" t="str">
            <v/>
          </cell>
          <cell r="AH674" t="str">
            <v/>
          </cell>
          <cell r="AI674" t="str">
            <v/>
          </cell>
          <cell r="AJ674" t="str">
            <v/>
          </cell>
          <cell r="AK674" t="str">
            <v/>
          </cell>
          <cell r="AL674" t="str">
            <v/>
          </cell>
          <cell r="AM674" t="str">
            <v/>
          </cell>
          <cell r="AN674">
            <v>19.23</v>
          </cell>
        </row>
        <row r="675">
          <cell r="B675" t="str">
            <v>GL502589</v>
          </cell>
          <cell r="C675" t="str">
            <v>WE 美西大区</v>
          </cell>
          <cell r="D675" t="str">
            <v>NC 北加片区</v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/>
          </cell>
          <cell r="AN675">
            <v>10.6</v>
          </cell>
        </row>
        <row r="676">
          <cell r="B676" t="str">
            <v>GL501857</v>
          </cell>
          <cell r="C676" t="str">
            <v>Ground项目部</v>
          </cell>
          <cell r="D676" t="str">
            <v>运营管理部</v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  <cell r="AL676" t="str">
            <v/>
          </cell>
          <cell r="AM676" t="str">
            <v/>
          </cell>
          <cell r="AN676">
            <v>17</v>
          </cell>
        </row>
        <row r="677">
          <cell r="B677" t="str">
            <v>GL502254</v>
          </cell>
          <cell r="C677" t="str">
            <v>WE 美西大区</v>
          </cell>
          <cell r="D677" t="str">
            <v>CNO.H</v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  <cell r="AG677" t="str">
            <v/>
          </cell>
          <cell r="AH677" t="str">
            <v/>
          </cell>
          <cell r="AI677" t="str">
            <v/>
          </cell>
          <cell r="AJ677" t="str">
            <v/>
          </cell>
          <cell r="AK677" t="str">
            <v/>
          </cell>
          <cell r="AL677" t="str">
            <v/>
          </cell>
          <cell r="AM677" t="str">
            <v/>
          </cell>
          <cell r="AN677">
            <v>10.03</v>
          </cell>
        </row>
        <row r="678">
          <cell r="B678" t="str">
            <v>GL500235</v>
          </cell>
          <cell r="C678" t="str">
            <v>GL 大湖大区</v>
          </cell>
          <cell r="D678" t="str">
            <v>ORD.H</v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  <cell r="AG678" t="str">
            <v/>
          </cell>
          <cell r="AH678" t="str">
            <v/>
          </cell>
          <cell r="AI678" t="str">
            <v/>
          </cell>
          <cell r="AJ678" t="str">
            <v/>
          </cell>
          <cell r="AK678" t="str">
            <v/>
          </cell>
          <cell r="AL678" t="str">
            <v/>
          </cell>
          <cell r="AM678" t="str">
            <v/>
          </cell>
          <cell r="AN678">
            <v>0</v>
          </cell>
        </row>
        <row r="679">
          <cell r="B679" t="str">
            <v>GL500779</v>
          </cell>
          <cell r="C679" t="str">
            <v>NE 东北大区</v>
          </cell>
          <cell r="D679" t="str">
            <v>PA 宾州片区</v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  <cell r="AG679" t="str">
            <v/>
          </cell>
          <cell r="AH679" t="str">
            <v/>
          </cell>
          <cell r="AI679" t="str">
            <v/>
          </cell>
          <cell r="AJ679" t="str">
            <v/>
          </cell>
          <cell r="AK679" t="str">
            <v/>
          </cell>
          <cell r="AL679" t="str">
            <v/>
          </cell>
          <cell r="AM679" t="str">
            <v/>
          </cell>
          <cell r="AN679">
            <v>17.6</v>
          </cell>
        </row>
        <row r="680">
          <cell r="B680" t="str">
            <v>GL501501</v>
          </cell>
          <cell r="C680" t="str">
            <v>TX 德州大区</v>
          </cell>
          <cell r="D680" t="str">
            <v>NT 北德州片区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  <cell r="AL680" t="str">
            <v/>
          </cell>
          <cell r="AM680" t="str">
            <v/>
          </cell>
          <cell r="AN680">
            <v>8.3</v>
          </cell>
        </row>
        <row r="681">
          <cell r="B681" t="str">
            <v>GL502285</v>
          </cell>
          <cell r="C681" t="str">
            <v>TX 德州大区</v>
          </cell>
          <cell r="D681" t="str">
            <v>揽收部</v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  <cell r="AL681" t="str">
            <v/>
          </cell>
          <cell r="AM681" t="str">
            <v/>
          </cell>
          <cell r="AN681">
            <v>8.03</v>
          </cell>
        </row>
        <row r="682">
          <cell r="B682" t="str">
            <v>GL501746</v>
          </cell>
          <cell r="C682" t="str">
            <v>FL 佛州大区</v>
          </cell>
          <cell r="D682" t="str">
            <v>MCO.H</v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  <cell r="AL682" t="str">
            <v/>
          </cell>
          <cell r="AM682" t="str">
            <v/>
          </cell>
          <cell r="AN682">
            <v>19.1</v>
          </cell>
        </row>
        <row r="683">
          <cell r="B683" t="str">
            <v>GL500599</v>
          </cell>
          <cell r="C683" t="str">
            <v>US人力资源部</v>
          </cell>
          <cell r="D683" t="str">
            <v>美洲HRBP组</v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  <cell r="AG683" t="str">
            <v/>
          </cell>
          <cell r="AH683" t="str">
            <v/>
          </cell>
          <cell r="AI683" t="str">
            <v/>
          </cell>
          <cell r="AJ683" t="str">
            <v/>
          </cell>
          <cell r="AK683" t="str">
            <v/>
          </cell>
          <cell r="AL683" t="str">
            <v/>
          </cell>
          <cell r="AM683" t="str">
            <v/>
          </cell>
          <cell r="AN683">
            <v>0</v>
          </cell>
        </row>
        <row r="684">
          <cell r="B684" t="str">
            <v>GL501300</v>
          </cell>
          <cell r="C684" t="str">
            <v>TX 德州大区</v>
          </cell>
          <cell r="D684" t="str">
            <v>DFW.H</v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  <cell r="AL684" t="str">
            <v/>
          </cell>
          <cell r="AM684" t="str">
            <v/>
          </cell>
          <cell r="AN684">
            <v>9.92</v>
          </cell>
        </row>
        <row r="685">
          <cell r="B685" t="str">
            <v>GL502165</v>
          </cell>
          <cell r="C685" t="str">
            <v>NE 东北大区</v>
          </cell>
          <cell r="D685" t="str">
            <v>PA 宾州片区</v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  <cell r="AL685" t="str">
            <v/>
          </cell>
          <cell r="AM685" t="str">
            <v/>
          </cell>
          <cell r="AN685">
            <v>0</v>
          </cell>
        </row>
        <row r="686">
          <cell r="B686" t="str">
            <v>GL500090</v>
          </cell>
          <cell r="C686" t="str">
            <v>GL 大湖大区</v>
          </cell>
          <cell r="D686" t="str">
            <v>NM 中西部北片区</v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 t="str">
            <v/>
          </cell>
          <cell r="AG686" t="str">
            <v/>
          </cell>
          <cell r="AH686" t="str">
            <v/>
          </cell>
          <cell r="AI686" t="str">
            <v/>
          </cell>
          <cell r="AJ686" t="str">
            <v/>
          </cell>
          <cell r="AK686" t="str">
            <v/>
          </cell>
          <cell r="AL686" t="str">
            <v/>
          </cell>
          <cell r="AM686" t="str">
            <v/>
          </cell>
          <cell r="AN686">
            <v>0</v>
          </cell>
        </row>
        <row r="687">
          <cell r="B687" t="str">
            <v>GL501447</v>
          </cell>
          <cell r="C687" t="str">
            <v>LD 法务部</v>
          </cell>
          <cell r="D687" t="str">
            <v>美洲法务组</v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  <cell r="AG687" t="str">
            <v/>
          </cell>
          <cell r="AH687" t="str">
            <v/>
          </cell>
          <cell r="AI687" t="str">
            <v/>
          </cell>
          <cell r="AJ687" t="str">
            <v/>
          </cell>
          <cell r="AK687" t="str">
            <v/>
          </cell>
          <cell r="AL687" t="str">
            <v/>
          </cell>
          <cell r="AM687" t="str">
            <v/>
          </cell>
          <cell r="AN687">
            <v>8.88</v>
          </cell>
        </row>
        <row r="688">
          <cell r="B688" t="str">
            <v>GL502073</v>
          </cell>
          <cell r="C688" t="str">
            <v>Ground项目部</v>
          </cell>
          <cell r="D688" t="str">
            <v>OG 美东区</v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  <cell r="AF688" t="str">
            <v/>
          </cell>
          <cell r="AG688" t="str">
            <v/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  <cell r="AL688" t="str">
            <v/>
          </cell>
          <cell r="AM688" t="str">
            <v/>
          </cell>
          <cell r="AN688">
            <v>8.13</v>
          </cell>
        </row>
        <row r="689">
          <cell r="B689" t="str">
            <v>GL502834</v>
          </cell>
          <cell r="C689" t="str">
            <v>TX 德州大区</v>
          </cell>
          <cell r="D689" t="str">
            <v>DFW.H</v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  <cell r="AF689" t="str">
            <v/>
          </cell>
          <cell r="AG689" t="str">
            <v/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  <cell r="AL689" t="str">
            <v/>
          </cell>
          <cell r="AM689" t="str">
            <v/>
          </cell>
          <cell r="AN689">
            <v>0</v>
          </cell>
        </row>
        <row r="690">
          <cell r="B690" t="str">
            <v>GL502358</v>
          </cell>
          <cell r="C690" t="str">
            <v>NE 东北大区</v>
          </cell>
          <cell r="D690" t="str">
            <v>MA 新英格兰片区</v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  <cell r="AF690" t="str">
            <v/>
          </cell>
          <cell r="AG690" t="str">
            <v/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  <cell r="AL690" t="str">
            <v/>
          </cell>
          <cell r="AM690" t="str">
            <v/>
          </cell>
          <cell r="AN690">
            <v>16.25</v>
          </cell>
        </row>
        <row r="691">
          <cell r="B691" t="str">
            <v>GL502357</v>
          </cell>
          <cell r="C691" t="str">
            <v>US人力资源部</v>
          </cell>
          <cell r="D691" t="str">
            <v>美洲HRBP组</v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  <cell r="AF691" t="str">
            <v/>
          </cell>
          <cell r="AG691" t="str">
            <v/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  <cell r="AL691" t="str">
            <v/>
          </cell>
          <cell r="AM691" t="str">
            <v/>
          </cell>
          <cell r="AN691">
            <v>22.26</v>
          </cell>
        </row>
        <row r="692">
          <cell r="B692" t="str">
            <v>GL500955</v>
          </cell>
          <cell r="C692" t="str">
            <v>WE 美西大区</v>
          </cell>
          <cell r="D692" t="str">
            <v>NC 北加片区</v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  <cell r="AL692" t="str">
            <v/>
          </cell>
          <cell r="AM692" t="str">
            <v/>
          </cell>
          <cell r="AN692">
            <v>14.95</v>
          </cell>
        </row>
        <row r="693">
          <cell r="B693" t="str">
            <v>GL501455</v>
          </cell>
          <cell r="C693" t="str">
            <v>NE 东北大区</v>
          </cell>
          <cell r="D693" t="str">
            <v>NY 纽约片区</v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  <cell r="AF693" t="str">
            <v/>
          </cell>
          <cell r="AG693" t="str">
            <v/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  <cell r="AL693" t="str">
            <v/>
          </cell>
          <cell r="AM693" t="str">
            <v/>
          </cell>
          <cell r="AN693">
            <v>8.85</v>
          </cell>
        </row>
        <row r="694">
          <cell r="B694" t="str">
            <v>GL500192</v>
          </cell>
          <cell r="C694" t="str">
            <v>NE 东北大区</v>
          </cell>
          <cell r="D694" t="str">
            <v>MA 新英格兰片区</v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  <cell r="AA694" t="str">
            <v/>
          </cell>
          <cell r="AB694" t="str">
            <v/>
          </cell>
          <cell r="AC694" t="str">
            <v/>
          </cell>
          <cell r="AD694" t="str">
            <v/>
          </cell>
          <cell r="AE694" t="str">
            <v/>
          </cell>
          <cell r="AF694" t="str">
            <v/>
          </cell>
          <cell r="AG694" t="str">
            <v/>
          </cell>
          <cell r="AH694" t="str">
            <v/>
          </cell>
          <cell r="AI694" t="str">
            <v/>
          </cell>
          <cell r="AJ694" t="str">
            <v/>
          </cell>
          <cell r="AK694" t="str">
            <v/>
          </cell>
          <cell r="AL694" t="str">
            <v/>
          </cell>
          <cell r="AM694" t="str">
            <v/>
          </cell>
          <cell r="AN694">
            <v>20.34</v>
          </cell>
        </row>
        <row r="695">
          <cell r="B695" t="str">
            <v>GL500367</v>
          </cell>
          <cell r="C695" t="str">
            <v>WE 美西大区</v>
          </cell>
          <cell r="D695" t="str">
            <v>SC 南加片区</v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  <cell r="AA695" t="str">
            <v/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  <cell r="AF695" t="str">
            <v/>
          </cell>
          <cell r="AG695" t="str">
            <v/>
          </cell>
          <cell r="AH695" t="str">
            <v/>
          </cell>
          <cell r="AI695" t="str">
            <v/>
          </cell>
          <cell r="AJ695" t="str">
            <v/>
          </cell>
          <cell r="AK695" t="str">
            <v/>
          </cell>
          <cell r="AL695" t="str">
            <v/>
          </cell>
          <cell r="AM695" t="str">
            <v/>
          </cell>
          <cell r="AN695">
            <v>21.92</v>
          </cell>
        </row>
        <row r="696">
          <cell r="B696" t="str">
            <v>GL500861</v>
          </cell>
          <cell r="C696" t="str">
            <v>GL 大湖大区</v>
          </cell>
          <cell r="D696" t="str">
            <v>ORD.H</v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  <cell r="AA696" t="str">
            <v/>
          </cell>
          <cell r="AB696" t="str">
            <v/>
          </cell>
          <cell r="AC696" t="str">
            <v/>
          </cell>
          <cell r="AD696" t="str">
            <v/>
          </cell>
          <cell r="AE696" t="str">
            <v/>
          </cell>
          <cell r="AF696" t="str">
            <v/>
          </cell>
          <cell r="AG696" t="str">
            <v/>
          </cell>
          <cell r="AH696" t="str">
            <v/>
          </cell>
          <cell r="AI696" t="str">
            <v/>
          </cell>
          <cell r="AJ696" t="str">
            <v/>
          </cell>
          <cell r="AK696" t="str">
            <v/>
          </cell>
          <cell r="AL696" t="str">
            <v/>
          </cell>
          <cell r="AM696" t="str">
            <v/>
          </cell>
          <cell r="AN696">
            <v>11.05</v>
          </cell>
        </row>
        <row r="697">
          <cell r="B697" t="str">
            <v>GL502753</v>
          </cell>
          <cell r="C697" t="str">
            <v>OM 操作管理部</v>
          </cell>
          <cell r="D697" t="str">
            <v>实施运营组</v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  <cell r="AF697" t="str">
            <v/>
          </cell>
          <cell r="AG697" t="str">
            <v/>
          </cell>
          <cell r="AH697" t="str">
            <v/>
          </cell>
          <cell r="AI697" t="str">
            <v/>
          </cell>
          <cell r="AJ697" t="str">
            <v/>
          </cell>
          <cell r="AK697" t="str">
            <v/>
          </cell>
          <cell r="AL697" t="str">
            <v/>
          </cell>
          <cell r="AM697" t="str">
            <v/>
          </cell>
          <cell r="AN697">
            <v>16.12</v>
          </cell>
        </row>
        <row r="698">
          <cell r="B698" t="str">
            <v>GL500481</v>
          </cell>
          <cell r="C698" t="str">
            <v>NE 东北大区</v>
          </cell>
          <cell r="D698" t="str">
            <v>JFK.H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  <cell r="AF698" t="str">
            <v/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  <cell r="AL698" t="str">
            <v/>
          </cell>
          <cell r="AM698" t="str">
            <v/>
          </cell>
          <cell r="AN698">
            <v>20.53</v>
          </cell>
        </row>
        <row r="699">
          <cell r="B699" t="str">
            <v>GL501219</v>
          </cell>
          <cell r="C699" t="str">
            <v>FL 佛州大区</v>
          </cell>
          <cell r="D699" t="str">
            <v>SF 南佛片区</v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  <cell r="AL699" t="str">
            <v/>
          </cell>
          <cell r="AM699" t="str">
            <v/>
          </cell>
          <cell r="AN699">
            <v>18.82</v>
          </cell>
        </row>
        <row r="700">
          <cell r="B700" t="str">
            <v>GL500796</v>
          </cell>
          <cell r="C700" t="str">
            <v>WE 美西大区</v>
          </cell>
          <cell r="D700" t="str">
            <v>NC 北加片区</v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  <cell r="AL700" t="str">
            <v/>
          </cell>
          <cell r="AM700" t="str">
            <v/>
          </cell>
          <cell r="AN700">
            <v>17.79</v>
          </cell>
        </row>
        <row r="701">
          <cell r="B701" t="str">
            <v>GL500665</v>
          </cell>
          <cell r="C701" t="str">
            <v>NE 东北大区</v>
          </cell>
          <cell r="D701" t="str">
            <v>BDL01</v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  <cell r="AL701" t="str">
            <v/>
          </cell>
          <cell r="AM701" t="str">
            <v/>
          </cell>
          <cell r="AN701">
            <v>8.05</v>
          </cell>
        </row>
        <row r="702">
          <cell r="B702" t="str">
            <v>GL502746</v>
          </cell>
          <cell r="C702" t="str">
            <v>NE 东北大区</v>
          </cell>
          <cell r="D702" t="str">
            <v>DC 华盛顿片区</v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  <cell r="AL702" t="str">
            <v/>
          </cell>
          <cell r="AM702" t="str">
            <v/>
          </cell>
          <cell r="AN702">
            <v>0</v>
          </cell>
        </row>
        <row r="703">
          <cell r="B703" t="str">
            <v>GL502793</v>
          </cell>
          <cell r="C703" t="str">
            <v>GL 大湖大区</v>
          </cell>
          <cell r="D703" t="str">
            <v>ORD.H</v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  <cell r="AL703" t="str">
            <v/>
          </cell>
          <cell r="AM703" t="str">
            <v/>
          </cell>
          <cell r="AN703">
            <v>0</v>
          </cell>
        </row>
        <row r="704">
          <cell r="B704" t="str">
            <v>GL500324</v>
          </cell>
          <cell r="C704" t="str">
            <v>WE 美西大区</v>
          </cell>
          <cell r="D704" t="str">
            <v>SC 南加片区</v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  <cell r="AL704" t="str">
            <v/>
          </cell>
          <cell r="AM704" t="str">
            <v/>
          </cell>
          <cell r="AN704">
            <v>18.4</v>
          </cell>
        </row>
        <row r="705">
          <cell r="B705" t="str">
            <v>GL501346</v>
          </cell>
          <cell r="C705" t="str">
            <v>CM 运力管理部</v>
          </cell>
          <cell r="D705" t="str">
            <v>调度运营组</v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  <cell r="AL705" t="str">
            <v/>
          </cell>
          <cell r="AM705" t="str">
            <v/>
          </cell>
          <cell r="AN705">
            <v>8.25</v>
          </cell>
        </row>
        <row r="706">
          <cell r="B706" t="str">
            <v>GL501193</v>
          </cell>
          <cell r="C706" t="str">
            <v>US人力资源部</v>
          </cell>
          <cell r="D706" t="str">
            <v>美洲HRBP组</v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  <cell r="AL706" t="str">
            <v/>
          </cell>
          <cell r="AM706" t="str">
            <v/>
          </cell>
          <cell r="AN706">
            <v>0</v>
          </cell>
        </row>
        <row r="707">
          <cell r="B707" t="str">
            <v>GL500726</v>
          </cell>
          <cell r="C707" t="str">
            <v>WE 美西大区</v>
          </cell>
          <cell r="D707" t="str">
            <v>LAV.H</v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  <cell r="AL707" t="str">
            <v/>
          </cell>
          <cell r="AM707" t="str">
            <v/>
          </cell>
          <cell r="AN707">
            <v>9.43</v>
          </cell>
        </row>
        <row r="708">
          <cell r="B708" t="str">
            <v>GL502393</v>
          </cell>
          <cell r="C708" t="str">
            <v>TX 德州大区</v>
          </cell>
          <cell r="D708" t="str">
            <v>GC 墨湾片区</v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  <cell r="AL708" t="str">
            <v/>
          </cell>
          <cell r="AM708" t="str">
            <v/>
          </cell>
          <cell r="AN708">
            <v>6.42</v>
          </cell>
        </row>
        <row r="709">
          <cell r="B709" t="str">
            <v>GL500234</v>
          </cell>
          <cell r="C709" t="str">
            <v>WE 美西大区</v>
          </cell>
          <cell r="D709" t="str">
            <v>CNO.H</v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/>
          </cell>
          <cell r="AN709">
            <v>0</v>
          </cell>
        </row>
        <row r="710">
          <cell r="B710" t="str">
            <v>GL500374</v>
          </cell>
          <cell r="C710" t="str">
            <v>US人力资源部</v>
          </cell>
          <cell r="D710" t="str">
            <v>美洲HRBP组</v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/>
          </cell>
          <cell r="AN710">
            <v>16.75</v>
          </cell>
        </row>
        <row r="711">
          <cell r="B711" t="str">
            <v>GL502422</v>
          </cell>
          <cell r="C711" t="str">
            <v>TX 德州大区</v>
          </cell>
          <cell r="D711" t="str">
            <v>GC 墨湾片区</v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/>
          </cell>
          <cell r="AN711">
            <v>0</v>
          </cell>
        </row>
        <row r="712">
          <cell r="B712" t="str">
            <v>GL502598</v>
          </cell>
          <cell r="C712" t="str">
            <v>US人力资源部</v>
          </cell>
          <cell r="D712" t="str">
            <v>美洲HRBP组</v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/>
          </cell>
          <cell r="AN712">
            <v>16.11</v>
          </cell>
        </row>
        <row r="713">
          <cell r="B713" t="str">
            <v>GL501668</v>
          </cell>
          <cell r="C713" t="str">
            <v>US人力资源部</v>
          </cell>
          <cell r="D713" t="str">
            <v>美洲HRBP组</v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  <cell r="AF713" t="str">
            <v/>
          </cell>
          <cell r="AG713" t="str">
            <v/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/>
          </cell>
          <cell r="AN713">
            <v>0</v>
          </cell>
        </row>
        <row r="714">
          <cell r="B714" t="str">
            <v>GL501931</v>
          </cell>
          <cell r="C714" t="str">
            <v>WE 美西大区</v>
          </cell>
          <cell r="D714" t="str">
            <v>LA揽收部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/>
          </cell>
          <cell r="AN714">
            <v>12.22</v>
          </cell>
        </row>
        <row r="715">
          <cell r="B715" t="str">
            <v>GL501655</v>
          </cell>
          <cell r="C715" t="str">
            <v>MS 中南大区</v>
          </cell>
          <cell r="D715" t="str">
            <v>ATL.H</v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  <cell r="AG715" t="str">
            <v/>
          </cell>
          <cell r="AH715" t="str">
            <v/>
          </cell>
          <cell r="AI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/>
          </cell>
          <cell r="AN715">
            <v>23.85</v>
          </cell>
        </row>
        <row r="716">
          <cell r="B716" t="str">
            <v>GL500917</v>
          </cell>
          <cell r="C716" t="str">
            <v>GL 大湖大区</v>
          </cell>
          <cell r="D716" t="str">
            <v>ORD01</v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/>
          </cell>
          <cell r="AN716">
            <v>0</v>
          </cell>
        </row>
        <row r="717">
          <cell r="B717" t="str">
            <v>GL501345</v>
          </cell>
          <cell r="C717" t="str">
            <v>WE 美西大区</v>
          </cell>
          <cell r="D717" t="str">
            <v>CNO.H</v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/>
          </cell>
          <cell r="AN717">
            <v>11.27</v>
          </cell>
        </row>
        <row r="718">
          <cell r="B718" t="str">
            <v>GL500708</v>
          </cell>
          <cell r="C718" t="str">
            <v>NE 东北大区</v>
          </cell>
          <cell r="D718" t="str">
            <v>BOS01</v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/>
          </cell>
          <cell r="AN718">
            <v>8.1</v>
          </cell>
        </row>
        <row r="719">
          <cell r="B719" t="str">
            <v>GL501943</v>
          </cell>
          <cell r="C719" t="str">
            <v>MS 中南大区</v>
          </cell>
          <cell r="D719" t="str">
            <v>CLT.H</v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/>
          </cell>
          <cell r="AN719">
            <v>10.48</v>
          </cell>
        </row>
        <row r="720">
          <cell r="B720" t="str">
            <v>GL502191</v>
          </cell>
          <cell r="C720" t="str">
            <v>WE 美西大区</v>
          </cell>
          <cell r="D720" t="str">
            <v>运营支持部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  <cell r="AA720" t="str">
            <v/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  <cell r="AF720" t="str">
            <v/>
          </cell>
          <cell r="AG720" t="str">
            <v/>
          </cell>
          <cell r="AH720" t="str">
            <v/>
          </cell>
          <cell r="AI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/>
          </cell>
          <cell r="AN720">
            <v>0</v>
          </cell>
        </row>
        <row r="721">
          <cell r="B721" t="str">
            <v>GL501104</v>
          </cell>
          <cell r="C721" t="str">
            <v>WE 美西大区</v>
          </cell>
          <cell r="D721" t="str">
            <v>LAV.H</v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/>
          </cell>
          <cell r="AN721">
            <v>17.15</v>
          </cell>
        </row>
        <row r="722">
          <cell r="B722" t="str">
            <v>GL502902</v>
          </cell>
          <cell r="C722" t="str">
            <v>CM 运力管理部</v>
          </cell>
          <cell r="D722" t="str">
            <v>自营运力组</v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/>
          </cell>
          <cell r="AN722">
            <v>0</v>
          </cell>
        </row>
        <row r="723">
          <cell r="B723" t="str">
            <v>GL502478</v>
          </cell>
          <cell r="C723" t="str">
            <v>QC 质量控制部</v>
          </cell>
          <cell r="D723" t="str">
            <v>质量改善组</v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/>
          </cell>
          <cell r="AN723">
            <v>19</v>
          </cell>
        </row>
        <row r="724">
          <cell r="B724" t="str">
            <v>GL502319</v>
          </cell>
          <cell r="C724" t="str">
            <v>NE 东北大区</v>
          </cell>
          <cell r="D724" t="str">
            <v>BUF01</v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  <cell r="AJ724" t="str">
            <v/>
          </cell>
          <cell r="AK724" t="str">
            <v/>
          </cell>
          <cell r="AL724" t="str">
            <v/>
          </cell>
          <cell r="AM724" t="str">
            <v/>
          </cell>
          <cell r="AN724">
            <v>0</v>
          </cell>
        </row>
        <row r="725">
          <cell r="B725" t="str">
            <v>GL501204</v>
          </cell>
          <cell r="C725" t="str">
            <v>MS 中南大区</v>
          </cell>
          <cell r="D725" t="str">
            <v>ATL.H</v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  <cell r="AL725" t="str">
            <v/>
          </cell>
          <cell r="AM725" t="str">
            <v/>
          </cell>
          <cell r="AN725">
            <v>11.07</v>
          </cell>
        </row>
        <row r="726">
          <cell r="B726" t="str">
            <v>GL500547</v>
          </cell>
          <cell r="C726" t="str">
            <v>OM 操作管理部</v>
          </cell>
          <cell r="D726" t="str">
            <v>精益改善组</v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  <cell r="AL726" t="str">
            <v/>
          </cell>
          <cell r="AM726" t="str">
            <v/>
          </cell>
          <cell r="AN726">
            <v>16.05</v>
          </cell>
        </row>
        <row r="727">
          <cell r="B727" t="str">
            <v>GL500794</v>
          </cell>
          <cell r="C727" t="str">
            <v>NE 东北大区</v>
          </cell>
          <cell r="D727" t="str">
            <v>DC 华盛顿片区</v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  <cell r="AL727" t="str">
            <v/>
          </cell>
          <cell r="AM727" t="str">
            <v/>
          </cell>
          <cell r="AN727">
            <v>18.13</v>
          </cell>
        </row>
        <row r="728">
          <cell r="B728" t="str">
            <v>GL502821</v>
          </cell>
          <cell r="C728" t="str">
            <v>WE 美西大区</v>
          </cell>
          <cell r="D728" t="str">
            <v>NC 北加片区</v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  <cell r="AL728" t="str">
            <v/>
          </cell>
          <cell r="AM728" t="str">
            <v/>
          </cell>
          <cell r="AN728">
            <v>0</v>
          </cell>
        </row>
        <row r="729">
          <cell r="B729" t="str">
            <v>GL500421</v>
          </cell>
          <cell r="C729" t="str">
            <v>MS 中南大区</v>
          </cell>
          <cell r="D729" t="str">
            <v>RE 北卡和东南海岸片区</v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  <cell r="AL729" t="str">
            <v/>
          </cell>
          <cell r="AM729" t="str">
            <v/>
          </cell>
          <cell r="AN729">
            <v>0</v>
          </cell>
        </row>
        <row r="730">
          <cell r="B730" t="str">
            <v>GL501439</v>
          </cell>
          <cell r="C730" t="str">
            <v>TX 德州大区</v>
          </cell>
          <cell r="D730" t="str">
            <v>运营支持部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  <cell r="AL730" t="str">
            <v/>
          </cell>
          <cell r="AM730" t="str">
            <v/>
          </cell>
          <cell r="AN730">
            <v>0</v>
          </cell>
        </row>
        <row r="731">
          <cell r="B731" t="str">
            <v>GL501811</v>
          </cell>
          <cell r="C731" t="str">
            <v>FL 佛州大区</v>
          </cell>
          <cell r="D731" t="str">
            <v>MIA.H</v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  <cell r="AL731" t="str">
            <v/>
          </cell>
          <cell r="AM731" t="str">
            <v/>
          </cell>
          <cell r="AN731">
            <v>17.37</v>
          </cell>
        </row>
        <row r="732">
          <cell r="B732" t="str">
            <v>GL500693</v>
          </cell>
          <cell r="C732" t="str">
            <v>FL 佛州大区</v>
          </cell>
          <cell r="D732" t="str">
            <v>MF 中佛片区</v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  <cell r="AJ732" t="str">
            <v/>
          </cell>
          <cell r="AK732" t="str">
            <v/>
          </cell>
          <cell r="AL732" t="str">
            <v/>
          </cell>
          <cell r="AM732" t="str">
            <v/>
          </cell>
          <cell r="AN732">
            <v>7.62</v>
          </cell>
        </row>
        <row r="733">
          <cell r="B733" t="str">
            <v>GL502318</v>
          </cell>
          <cell r="C733" t="str">
            <v>US人力资源部</v>
          </cell>
          <cell r="D733" t="str">
            <v>美洲HRBP组</v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  <cell r="AL733" t="str">
            <v/>
          </cell>
          <cell r="AM733" t="str">
            <v/>
          </cell>
          <cell r="AN733">
            <v>16.32</v>
          </cell>
        </row>
        <row r="734">
          <cell r="B734" t="str">
            <v>GL501197</v>
          </cell>
          <cell r="C734" t="str">
            <v>TX 德州大区</v>
          </cell>
          <cell r="D734" t="str">
            <v>DFW.H</v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  <cell r="AL734" t="str">
            <v/>
          </cell>
          <cell r="AM734" t="str">
            <v/>
          </cell>
          <cell r="AN734">
            <v>20.1</v>
          </cell>
        </row>
        <row r="735">
          <cell r="B735" t="str">
            <v>GL502150</v>
          </cell>
          <cell r="C735" t="str">
            <v>TX 德州大区</v>
          </cell>
          <cell r="D735" t="str">
            <v>DFW.H</v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  <cell r="AG735" t="str">
            <v/>
          </cell>
          <cell r="AH735" t="str">
            <v/>
          </cell>
          <cell r="AI735" t="str">
            <v/>
          </cell>
          <cell r="AJ735" t="str">
            <v/>
          </cell>
          <cell r="AK735" t="str">
            <v/>
          </cell>
          <cell r="AL735" t="str">
            <v/>
          </cell>
          <cell r="AM735" t="str">
            <v/>
          </cell>
          <cell r="AN735">
            <v>20.62</v>
          </cell>
        </row>
        <row r="736">
          <cell r="B736" t="str">
            <v>GL501073</v>
          </cell>
          <cell r="C736" t="str">
            <v>TX 德州大区</v>
          </cell>
          <cell r="D736" t="str">
            <v>DFW.H</v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  <cell r="AJ736" t="str">
            <v/>
          </cell>
          <cell r="AK736" t="str">
            <v/>
          </cell>
          <cell r="AL736" t="str">
            <v/>
          </cell>
          <cell r="AM736" t="str">
            <v/>
          </cell>
          <cell r="AN736">
            <v>13.63</v>
          </cell>
        </row>
        <row r="737">
          <cell r="B737" t="str">
            <v>GL502212</v>
          </cell>
          <cell r="C737" t="str">
            <v>GL 大湖大区</v>
          </cell>
          <cell r="D737" t="str">
            <v>WG 西大湖片区</v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  <cell r="AJ737" t="str">
            <v/>
          </cell>
          <cell r="AK737" t="str">
            <v/>
          </cell>
          <cell r="AL737" t="str">
            <v/>
          </cell>
          <cell r="AM737" t="str">
            <v/>
          </cell>
          <cell r="AN737">
            <v>0</v>
          </cell>
        </row>
        <row r="738">
          <cell r="B738" t="str">
            <v>GL502879</v>
          </cell>
          <cell r="C738" t="str">
            <v>Ground项目部</v>
          </cell>
          <cell r="D738" t="str">
            <v>派送管理部</v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  <cell r="AL738" t="str">
            <v/>
          </cell>
          <cell r="AM738" t="str">
            <v/>
          </cell>
          <cell r="AN738">
            <v>14.64</v>
          </cell>
        </row>
        <row r="739">
          <cell r="B739" t="str">
            <v>GL501818</v>
          </cell>
          <cell r="C739" t="str">
            <v>Ground项目部</v>
          </cell>
          <cell r="D739" t="str">
            <v>OG 美南区</v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  <cell r="AL739" t="str">
            <v/>
          </cell>
          <cell r="AM739" t="str">
            <v/>
          </cell>
          <cell r="AN739">
            <v>0</v>
          </cell>
        </row>
        <row r="740">
          <cell r="B740" t="str">
            <v>GL500860</v>
          </cell>
          <cell r="C740" t="str">
            <v>US人力资源部</v>
          </cell>
          <cell r="D740" t="str">
            <v>美洲HRBP组</v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  <cell r="AL740" t="str">
            <v/>
          </cell>
          <cell r="AM740" t="str">
            <v/>
          </cell>
          <cell r="AN740">
            <v>16.5</v>
          </cell>
        </row>
        <row r="741">
          <cell r="B741" t="str">
            <v>GL502548</v>
          </cell>
          <cell r="C741" t="str">
            <v>WE 美西大区</v>
          </cell>
          <cell r="D741" t="str">
            <v>运营支持部</v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  <cell r="AL741" t="str">
            <v/>
          </cell>
          <cell r="AM741" t="str">
            <v/>
          </cell>
          <cell r="AN741">
            <v>16.32</v>
          </cell>
        </row>
        <row r="742">
          <cell r="B742" t="str">
            <v>GL502316</v>
          </cell>
          <cell r="C742" t="str">
            <v>CM 运力管理部</v>
          </cell>
          <cell r="D742" t="str">
            <v>调度运营组</v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/>
          </cell>
          <cell r="AN742">
            <v>15.89</v>
          </cell>
        </row>
        <row r="743">
          <cell r="B743" t="str">
            <v>GL502826</v>
          </cell>
          <cell r="C743" t="str">
            <v>NE 东北大区</v>
          </cell>
          <cell r="D743" t="str">
            <v>NY 纽约片区</v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/>
          </cell>
          <cell r="AN743">
            <v>8.18</v>
          </cell>
        </row>
        <row r="744">
          <cell r="B744" t="str">
            <v>GL500854</v>
          </cell>
          <cell r="C744" t="str">
            <v>FL 佛州大区</v>
          </cell>
          <cell r="D744" t="str">
            <v>MCO.H</v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  <cell r="AJ744" t="str">
            <v/>
          </cell>
          <cell r="AK744" t="str">
            <v/>
          </cell>
          <cell r="AL744" t="str">
            <v/>
          </cell>
          <cell r="AM744" t="str">
            <v/>
          </cell>
          <cell r="AN744">
            <v>20.67</v>
          </cell>
        </row>
        <row r="745">
          <cell r="B745" t="str">
            <v>GL501123</v>
          </cell>
          <cell r="C745" t="str">
            <v>OM 操作管理部</v>
          </cell>
          <cell r="D745" t="str">
            <v>实施运营组</v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  <cell r="AL745" t="str">
            <v/>
          </cell>
          <cell r="AM745" t="str">
            <v/>
          </cell>
          <cell r="AN745">
            <v>0</v>
          </cell>
        </row>
        <row r="746">
          <cell r="B746" t="str">
            <v>GL502058</v>
          </cell>
          <cell r="C746" t="str">
            <v>WE 美西大区</v>
          </cell>
          <cell r="D746" t="str">
            <v>NC 北加片区</v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  <cell r="AL746" t="str">
            <v/>
          </cell>
          <cell r="AM746" t="str">
            <v/>
          </cell>
          <cell r="AN746">
            <v>17.37</v>
          </cell>
        </row>
        <row r="747">
          <cell r="B747" t="str">
            <v>GL500189</v>
          </cell>
          <cell r="C747" t="str">
            <v>FL 佛州大区</v>
          </cell>
          <cell r="D747" t="str">
            <v>MIA.H</v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  <cell r="AJ747" t="str">
            <v/>
          </cell>
          <cell r="AK747" t="str">
            <v/>
          </cell>
          <cell r="AL747" t="str">
            <v/>
          </cell>
          <cell r="AM747" t="str">
            <v/>
          </cell>
          <cell r="AN747">
            <v>0</v>
          </cell>
        </row>
        <row r="748">
          <cell r="B748" t="str">
            <v>GL502649</v>
          </cell>
          <cell r="C748" t="str">
            <v>OM 操作管理部</v>
          </cell>
          <cell r="D748" t="str">
            <v>仓库租赁组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  <cell r="AL748" t="str">
            <v/>
          </cell>
          <cell r="AM748" t="str">
            <v/>
          </cell>
          <cell r="AN748">
            <v>0</v>
          </cell>
        </row>
        <row r="749">
          <cell r="B749" t="str">
            <v>GL500054</v>
          </cell>
          <cell r="C749" t="str">
            <v>WE 美西大区</v>
          </cell>
          <cell r="D749" t="str">
            <v>车辆管理部</v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  <cell r="AL749" t="str">
            <v/>
          </cell>
          <cell r="AM749" t="str">
            <v/>
          </cell>
          <cell r="AN749">
            <v>18.12</v>
          </cell>
        </row>
        <row r="750">
          <cell r="B750" t="str">
            <v>GL501305</v>
          </cell>
          <cell r="C750" t="str">
            <v>FL 佛州大区</v>
          </cell>
          <cell r="D750" t="str">
            <v>MIA01</v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  <cell r="AL750" t="str">
            <v/>
          </cell>
          <cell r="AM750" t="str">
            <v/>
          </cell>
          <cell r="AN750">
            <v>10.68</v>
          </cell>
        </row>
        <row r="751">
          <cell r="B751" t="str">
            <v>GL501342</v>
          </cell>
          <cell r="C751" t="str">
            <v>TX 德州大区</v>
          </cell>
          <cell r="D751" t="str">
            <v>NT 北德州片区</v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  <cell r="AL751" t="str">
            <v/>
          </cell>
          <cell r="AM751" t="str">
            <v/>
          </cell>
          <cell r="AN751">
            <v>0</v>
          </cell>
        </row>
        <row r="752">
          <cell r="B752" t="str">
            <v>GL502251</v>
          </cell>
          <cell r="C752" t="str">
            <v>NE 东北大区</v>
          </cell>
          <cell r="D752" t="str">
            <v>运营支持部</v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  <cell r="AL752" t="str">
            <v/>
          </cell>
          <cell r="AM752" t="str">
            <v/>
          </cell>
          <cell r="AN752">
            <v>0</v>
          </cell>
        </row>
        <row r="753">
          <cell r="B753" t="str">
            <v>GL501920</v>
          </cell>
          <cell r="C753" t="str">
            <v>NE 东北大区</v>
          </cell>
          <cell r="D753" t="str">
            <v>揽收部</v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  <cell r="AL753" t="str">
            <v/>
          </cell>
          <cell r="AM753" t="str">
            <v/>
          </cell>
          <cell r="AN753">
            <v>24.78</v>
          </cell>
        </row>
        <row r="754">
          <cell r="B754" t="str">
            <v>GL502555</v>
          </cell>
          <cell r="C754" t="str">
            <v>WE 美西大区</v>
          </cell>
          <cell r="D754" t="str">
            <v>SC 南加片区</v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  <cell r="AL754" t="str">
            <v/>
          </cell>
          <cell r="AM754" t="str">
            <v/>
          </cell>
          <cell r="AN754">
            <v>12.47</v>
          </cell>
        </row>
        <row r="755">
          <cell r="B755" t="str">
            <v>GL500023</v>
          </cell>
          <cell r="C755" t="str">
            <v>WE 美西大区</v>
          </cell>
          <cell r="D755" t="str">
            <v>LA揽收部</v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  <cell r="AJ755" t="str">
            <v/>
          </cell>
          <cell r="AK755" t="str">
            <v/>
          </cell>
          <cell r="AL755" t="str">
            <v/>
          </cell>
          <cell r="AM755" t="str">
            <v/>
          </cell>
          <cell r="AN755">
            <v>0</v>
          </cell>
        </row>
        <row r="756">
          <cell r="B756" t="str">
            <v>GL502146</v>
          </cell>
          <cell r="C756" t="str">
            <v>WE 美西大区</v>
          </cell>
          <cell r="D756" t="str">
            <v>SC 南加片区</v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 t="str">
            <v/>
          </cell>
          <cell r="AK756" t="str">
            <v/>
          </cell>
          <cell r="AL756" t="str">
            <v/>
          </cell>
          <cell r="AM756" t="str">
            <v/>
          </cell>
          <cell r="AN756">
            <v>0</v>
          </cell>
        </row>
        <row r="757">
          <cell r="B757" t="str">
            <v>GL500051</v>
          </cell>
          <cell r="C757" t="str">
            <v>GL 大湖大区</v>
          </cell>
          <cell r="D757" t="str">
            <v>EG 东大湖片区</v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  <cell r="AA757" t="str">
            <v/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  <cell r="AG757" t="str">
            <v/>
          </cell>
          <cell r="AH757" t="str">
            <v/>
          </cell>
          <cell r="AI757" t="str">
            <v/>
          </cell>
          <cell r="AJ757" t="str">
            <v/>
          </cell>
          <cell r="AK757" t="str">
            <v/>
          </cell>
          <cell r="AL757" t="str">
            <v/>
          </cell>
          <cell r="AM757" t="str">
            <v/>
          </cell>
          <cell r="AN757">
            <v>0</v>
          </cell>
        </row>
        <row r="758">
          <cell r="B758" t="str">
            <v>GL502716</v>
          </cell>
          <cell r="C758" t="str">
            <v>NE 东北大区</v>
          </cell>
          <cell r="D758" t="str">
            <v>揽收部</v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  <cell r="AA758" t="str">
            <v/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  <cell r="AG758" t="str">
            <v/>
          </cell>
          <cell r="AH758" t="str">
            <v/>
          </cell>
          <cell r="AI758" t="str">
            <v/>
          </cell>
          <cell r="AJ758" t="str">
            <v/>
          </cell>
          <cell r="AK758" t="str">
            <v/>
          </cell>
          <cell r="AL758" t="str">
            <v/>
          </cell>
          <cell r="AM758" t="str">
            <v/>
          </cell>
          <cell r="AN758">
            <v>23.24</v>
          </cell>
        </row>
        <row r="759">
          <cell r="B759" t="str">
            <v>GL500144</v>
          </cell>
          <cell r="C759" t="str">
            <v>US人力资源部</v>
          </cell>
          <cell r="D759" t="str">
            <v>美洲HRBP组</v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  <cell r="AA759" t="str">
            <v/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  <cell r="AG759" t="str">
            <v/>
          </cell>
          <cell r="AH759" t="str">
            <v/>
          </cell>
          <cell r="AI759" t="str">
            <v/>
          </cell>
          <cell r="AJ759" t="str">
            <v/>
          </cell>
          <cell r="AK759" t="str">
            <v/>
          </cell>
          <cell r="AL759" t="str">
            <v/>
          </cell>
          <cell r="AM759" t="str">
            <v/>
          </cell>
          <cell r="AN759">
            <v>0</v>
          </cell>
        </row>
        <row r="760">
          <cell r="B760" t="str">
            <v>GL500675</v>
          </cell>
          <cell r="C760" t="str">
            <v>GL 大湖大区</v>
          </cell>
          <cell r="D760" t="str">
            <v>车辆管理部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  <cell r="AJ760" t="str">
            <v/>
          </cell>
          <cell r="AK760" t="str">
            <v/>
          </cell>
          <cell r="AL760" t="str">
            <v/>
          </cell>
          <cell r="AM760" t="str">
            <v/>
          </cell>
          <cell r="AN760">
            <v>0</v>
          </cell>
        </row>
        <row r="761">
          <cell r="B761" t="str">
            <v>GL501461</v>
          </cell>
          <cell r="C761" t="str">
            <v>GL 大湖大区</v>
          </cell>
          <cell r="D761" t="str">
            <v>NM 中西部北片区</v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  <cell r="AJ761" t="str">
            <v/>
          </cell>
          <cell r="AK761" t="str">
            <v/>
          </cell>
          <cell r="AL761" t="str">
            <v/>
          </cell>
          <cell r="AM761" t="str">
            <v/>
          </cell>
          <cell r="AN761">
            <v>7.68</v>
          </cell>
        </row>
        <row r="762">
          <cell r="B762" t="str">
            <v>GL500639</v>
          </cell>
          <cell r="C762" t="str">
            <v>AD 行政部</v>
          </cell>
          <cell r="D762" t="str">
            <v>美中组</v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  <cell r="AG762" t="str">
            <v/>
          </cell>
          <cell r="AH762" t="str">
            <v/>
          </cell>
          <cell r="AI762" t="str">
            <v/>
          </cell>
          <cell r="AJ762" t="str">
            <v/>
          </cell>
          <cell r="AK762" t="str">
            <v/>
          </cell>
          <cell r="AL762" t="str">
            <v/>
          </cell>
          <cell r="AM762" t="str">
            <v/>
          </cell>
          <cell r="AN762">
            <v>0</v>
          </cell>
        </row>
        <row r="763">
          <cell r="B763" t="str">
            <v>GL500368</v>
          </cell>
          <cell r="C763" t="str">
            <v>Gofo财务部</v>
          </cell>
          <cell r="D763" t="str">
            <v>综合财务组</v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  <cell r="AL763" t="str">
            <v/>
          </cell>
          <cell r="AM763" t="str">
            <v/>
          </cell>
          <cell r="AN763">
            <v>0</v>
          </cell>
        </row>
        <row r="764">
          <cell r="B764" t="str">
            <v>GL500148</v>
          </cell>
          <cell r="C764" t="str">
            <v>TX 德州大区</v>
          </cell>
          <cell r="D764" t="str">
            <v>CT 中德州片区</v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  <cell r="AL764" t="str">
            <v/>
          </cell>
          <cell r="AM764" t="str">
            <v/>
          </cell>
          <cell r="AN764">
            <v>12.57</v>
          </cell>
        </row>
        <row r="765">
          <cell r="B765" t="str">
            <v>GL501702</v>
          </cell>
          <cell r="C765" t="str">
            <v>BM 品牌市场部</v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  <cell r="AL765" t="str">
            <v/>
          </cell>
          <cell r="AM765" t="str">
            <v/>
          </cell>
          <cell r="AN765">
            <v>0</v>
          </cell>
        </row>
        <row r="766">
          <cell r="B766" t="str">
            <v>GL501695</v>
          </cell>
          <cell r="C766" t="str">
            <v>GL 大湖大区</v>
          </cell>
          <cell r="D766" t="str">
            <v>ORD.H</v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  <cell r="AL766" t="str">
            <v/>
          </cell>
          <cell r="AM766" t="str">
            <v/>
          </cell>
          <cell r="AN766">
            <v>8.68</v>
          </cell>
        </row>
        <row r="767">
          <cell r="B767" t="str">
            <v>GL502759</v>
          </cell>
          <cell r="C767" t="str">
            <v>Ground项目部</v>
          </cell>
          <cell r="D767" t="str">
            <v>OG 美西区</v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  <cell r="AG767" t="str">
            <v/>
          </cell>
          <cell r="AH767" t="str">
            <v/>
          </cell>
          <cell r="AI767" t="str">
            <v/>
          </cell>
          <cell r="AJ767" t="str">
            <v/>
          </cell>
          <cell r="AK767" t="str">
            <v/>
          </cell>
          <cell r="AL767" t="str">
            <v/>
          </cell>
          <cell r="AM767" t="str">
            <v/>
          </cell>
          <cell r="AN767">
            <v>14.56</v>
          </cell>
        </row>
        <row r="768">
          <cell r="B768" t="str">
            <v>GL501875</v>
          </cell>
          <cell r="C768" t="str">
            <v>NE 东北大区</v>
          </cell>
          <cell r="D768" t="str">
            <v>EWR.H</v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  <cell r="AJ768" t="str">
            <v/>
          </cell>
          <cell r="AK768" t="str">
            <v/>
          </cell>
          <cell r="AL768" t="str">
            <v/>
          </cell>
          <cell r="AM768" t="str">
            <v/>
          </cell>
          <cell r="AN768">
            <v>10.33</v>
          </cell>
        </row>
        <row r="769">
          <cell r="B769" t="str">
            <v>GL501840</v>
          </cell>
          <cell r="C769" t="str">
            <v>NE 东北大区</v>
          </cell>
          <cell r="D769" t="str">
            <v>DC 华盛顿片区</v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  <cell r="AJ769" t="str">
            <v/>
          </cell>
          <cell r="AK769" t="str">
            <v/>
          </cell>
          <cell r="AL769" t="str">
            <v/>
          </cell>
          <cell r="AM769" t="str">
            <v/>
          </cell>
          <cell r="AN769">
            <v>8.18</v>
          </cell>
        </row>
        <row r="770">
          <cell r="B770" t="str">
            <v>GL501035</v>
          </cell>
          <cell r="C770" t="str">
            <v>FL 佛州大区</v>
          </cell>
          <cell r="D770" t="str">
            <v>MCO.H</v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  <cell r="AL770" t="str">
            <v/>
          </cell>
          <cell r="AM770" t="str">
            <v/>
          </cell>
          <cell r="AN770">
            <v>16.43</v>
          </cell>
        </row>
        <row r="771">
          <cell r="B771" t="str">
            <v>GL500775</v>
          </cell>
          <cell r="C771" t="str">
            <v>NE 东北大区</v>
          </cell>
          <cell r="D771" t="str">
            <v>PIT01</v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  <cell r="AL771" t="str">
            <v/>
          </cell>
          <cell r="AM771" t="str">
            <v/>
          </cell>
          <cell r="AN771">
            <v>16.64</v>
          </cell>
        </row>
        <row r="772">
          <cell r="B772" t="str">
            <v>GL502584</v>
          </cell>
          <cell r="C772" t="str">
            <v>WE 美西大区</v>
          </cell>
          <cell r="D772" t="str">
            <v>NC 北加片区</v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  <cell r="AG772" t="str">
            <v/>
          </cell>
          <cell r="AH772" t="str">
            <v/>
          </cell>
          <cell r="AI772" t="str">
            <v/>
          </cell>
          <cell r="AJ772" t="str">
            <v/>
          </cell>
          <cell r="AK772" t="str">
            <v/>
          </cell>
          <cell r="AL772" t="str">
            <v/>
          </cell>
          <cell r="AM772" t="str">
            <v/>
          </cell>
          <cell r="AN772">
            <v>9.43</v>
          </cell>
        </row>
        <row r="773">
          <cell r="B773" t="str">
            <v>GL500748</v>
          </cell>
          <cell r="C773" t="str">
            <v>US人力资源部</v>
          </cell>
          <cell r="D773" t="str">
            <v>美洲HRBP组</v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  <cell r="AJ773" t="str">
            <v/>
          </cell>
          <cell r="AK773" t="str">
            <v/>
          </cell>
          <cell r="AL773" t="str">
            <v/>
          </cell>
          <cell r="AM773" t="str">
            <v/>
          </cell>
          <cell r="AN773">
            <v>15.73</v>
          </cell>
        </row>
        <row r="774">
          <cell r="B774" t="str">
            <v>GL502661</v>
          </cell>
          <cell r="C774" t="str">
            <v>Ground项目部</v>
          </cell>
          <cell r="D774" t="str">
            <v>OG 美东区</v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  <cell r="AG774" t="str">
            <v/>
          </cell>
          <cell r="AH774" t="str">
            <v/>
          </cell>
          <cell r="AI774" t="str">
            <v/>
          </cell>
          <cell r="AJ774" t="str">
            <v/>
          </cell>
          <cell r="AK774" t="str">
            <v/>
          </cell>
          <cell r="AL774" t="str">
            <v/>
          </cell>
          <cell r="AM774" t="str">
            <v/>
          </cell>
          <cell r="AN774">
            <v>8.07</v>
          </cell>
        </row>
        <row r="775">
          <cell r="B775" t="str">
            <v>GL501768</v>
          </cell>
          <cell r="C775" t="str">
            <v>FL 佛州大区</v>
          </cell>
          <cell r="D775" t="str">
            <v>MCO.H</v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/>
          </cell>
          <cell r="AL775" t="str">
            <v/>
          </cell>
          <cell r="AM775" t="str">
            <v/>
          </cell>
          <cell r="AN775">
            <v>0</v>
          </cell>
        </row>
        <row r="776">
          <cell r="B776" t="str">
            <v>GL501096</v>
          </cell>
          <cell r="C776" t="str">
            <v>WE 美西大区</v>
          </cell>
          <cell r="D776" t="str">
            <v>CNO.H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  <cell r="AJ776" t="str">
            <v/>
          </cell>
          <cell r="AK776" t="str">
            <v/>
          </cell>
          <cell r="AL776" t="str">
            <v/>
          </cell>
          <cell r="AM776" t="str">
            <v/>
          </cell>
          <cell r="AN776">
            <v>19.56</v>
          </cell>
        </row>
        <row r="777">
          <cell r="B777" t="str">
            <v>GL500667</v>
          </cell>
          <cell r="C777" t="str">
            <v>WE 美西大区</v>
          </cell>
          <cell r="D777" t="str">
            <v>LA揽收部</v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  <cell r="AL777" t="str">
            <v/>
          </cell>
          <cell r="AM777" t="str">
            <v/>
          </cell>
          <cell r="AN777">
            <v>16.35</v>
          </cell>
        </row>
        <row r="778">
          <cell r="B778" t="str">
            <v>GL502096</v>
          </cell>
          <cell r="C778" t="str">
            <v>GL 大湖大区</v>
          </cell>
          <cell r="D778" t="str">
            <v>EG 东大湖片区</v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/>
          </cell>
          <cell r="AN778">
            <v>7.58</v>
          </cell>
        </row>
        <row r="779">
          <cell r="B779" t="str">
            <v>GL502098</v>
          </cell>
          <cell r="C779" t="str">
            <v>MS 中南大区</v>
          </cell>
          <cell r="D779" t="str">
            <v>RE 北卡和东南海岸片区</v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  <cell r="AL779" t="str">
            <v/>
          </cell>
          <cell r="AM779" t="str">
            <v/>
          </cell>
          <cell r="AN779">
            <v>0</v>
          </cell>
        </row>
        <row r="780">
          <cell r="B780" t="str">
            <v>GL502413</v>
          </cell>
          <cell r="C780" t="str">
            <v>WE 美西大区</v>
          </cell>
          <cell r="D780" t="str">
            <v>NC 北加片区</v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  <cell r="AL780" t="str">
            <v/>
          </cell>
          <cell r="AM780" t="str">
            <v/>
          </cell>
          <cell r="AN780">
            <v>0</v>
          </cell>
        </row>
        <row r="781">
          <cell r="B781" t="str">
            <v>GL500105</v>
          </cell>
          <cell r="C781" t="str">
            <v>MS 中南大区</v>
          </cell>
          <cell r="D781" t="str">
            <v>BN 田纳西和北阿拉巴马片区</v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  <cell r="AL781" t="str">
            <v/>
          </cell>
          <cell r="AM781" t="str">
            <v/>
          </cell>
          <cell r="AN781">
            <v>0</v>
          </cell>
        </row>
        <row r="782">
          <cell r="B782" t="str">
            <v>GL501260</v>
          </cell>
          <cell r="C782" t="str">
            <v>US人力资源部</v>
          </cell>
          <cell r="D782" t="str">
            <v>美洲HRBP组</v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  <cell r="AL782" t="str">
            <v/>
          </cell>
          <cell r="AM782" t="str">
            <v/>
          </cell>
          <cell r="AN782">
            <v>0</v>
          </cell>
        </row>
        <row r="783">
          <cell r="B783" t="str">
            <v>GL502412</v>
          </cell>
          <cell r="C783" t="str">
            <v>WE 美西大区</v>
          </cell>
          <cell r="D783" t="str">
            <v>SC 南加片区</v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  <cell r="AL783" t="str">
            <v/>
          </cell>
          <cell r="AM783" t="str">
            <v/>
          </cell>
          <cell r="AN783">
            <v>0</v>
          </cell>
        </row>
        <row r="784">
          <cell r="B784" t="str">
            <v>GL502107</v>
          </cell>
          <cell r="C784" t="str">
            <v>TX 德州大区</v>
          </cell>
          <cell r="D784" t="str">
            <v>DFW.H</v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/>
          </cell>
          <cell r="AN784">
            <v>17.18</v>
          </cell>
        </row>
        <row r="785">
          <cell r="B785" t="str">
            <v>GL500600</v>
          </cell>
          <cell r="C785" t="str">
            <v>WE 美西大区</v>
          </cell>
          <cell r="D785" t="str">
            <v>运营支持部</v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  <cell r="AJ785" t="str">
            <v/>
          </cell>
          <cell r="AK785" t="str">
            <v/>
          </cell>
          <cell r="AL785" t="str">
            <v/>
          </cell>
          <cell r="AM785" t="str">
            <v/>
          </cell>
          <cell r="AN785">
            <v>0</v>
          </cell>
        </row>
        <row r="786">
          <cell r="B786" t="str">
            <v>GL501620</v>
          </cell>
          <cell r="C786" t="str">
            <v>NE 东北大区</v>
          </cell>
          <cell r="D786" t="str">
            <v>PHL01</v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  <cell r="AJ786" t="str">
            <v/>
          </cell>
          <cell r="AK786" t="str">
            <v/>
          </cell>
          <cell r="AL786" t="str">
            <v/>
          </cell>
          <cell r="AM786" t="str">
            <v/>
          </cell>
          <cell r="AN786">
            <v>0</v>
          </cell>
        </row>
        <row r="787">
          <cell r="B787" t="str">
            <v>GL501805</v>
          </cell>
          <cell r="C787" t="str">
            <v>DO 数字运营部</v>
          </cell>
          <cell r="D787" t="str">
            <v>美国技术支持组</v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  <cell r="AJ787" t="str">
            <v/>
          </cell>
          <cell r="AK787" t="str">
            <v/>
          </cell>
          <cell r="AL787" t="str">
            <v/>
          </cell>
          <cell r="AM787" t="str">
            <v/>
          </cell>
          <cell r="AN787">
            <v>13.27</v>
          </cell>
        </row>
        <row r="788">
          <cell r="B788" t="str">
            <v>GL501689</v>
          </cell>
          <cell r="C788" t="str">
            <v>OM 操作管理部</v>
          </cell>
          <cell r="D788" t="str">
            <v>实施运营组</v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  <cell r="AJ788" t="str">
            <v/>
          </cell>
          <cell r="AK788" t="str">
            <v/>
          </cell>
          <cell r="AL788" t="str">
            <v/>
          </cell>
          <cell r="AM788" t="str">
            <v/>
          </cell>
          <cell r="AN788">
            <v>17.77</v>
          </cell>
        </row>
        <row r="789">
          <cell r="B789" t="str">
            <v>GL502308</v>
          </cell>
          <cell r="C789" t="str">
            <v>GL 大湖大区</v>
          </cell>
          <cell r="D789" t="str">
            <v>WG 西大湖片区</v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  <cell r="AL789" t="str">
            <v/>
          </cell>
          <cell r="AM789" t="str">
            <v/>
          </cell>
          <cell r="AN789">
            <v>0</v>
          </cell>
        </row>
        <row r="790">
          <cell r="B790" t="str">
            <v>GL501092</v>
          </cell>
          <cell r="C790" t="str">
            <v>Ground项目部</v>
          </cell>
          <cell r="D790" t="str">
            <v>派送管理部</v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  <cell r="AL790" t="str">
            <v/>
          </cell>
          <cell r="AM790" t="str">
            <v/>
          </cell>
          <cell r="AN790">
            <v>0</v>
          </cell>
        </row>
        <row r="791">
          <cell r="B791" t="str">
            <v>GL500589</v>
          </cell>
          <cell r="C791" t="str">
            <v>Ground项目部</v>
          </cell>
          <cell r="D791" t="str">
            <v>OG 美西区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  <cell r="AL791" t="str">
            <v/>
          </cell>
          <cell r="AM791" t="str">
            <v/>
          </cell>
          <cell r="AN791">
            <v>0</v>
          </cell>
        </row>
        <row r="792">
          <cell r="B792" t="str">
            <v>GL501588</v>
          </cell>
          <cell r="C792" t="str">
            <v>TX 德州大区</v>
          </cell>
          <cell r="D792" t="str">
            <v>CT 中德州片区</v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  <cell r="AL792" t="str">
            <v/>
          </cell>
          <cell r="AM792" t="str">
            <v/>
          </cell>
          <cell r="AN792">
            <v>16.38</v>
          </cell>
        </row>
        <row r="793">
          <cell r="B793" t="str">
            <v>GL502400</v>
          </cell>
          <cell r="C793" t="str">
            <v>GL 大湖大区</v>
          </cell>
          <cell r="D793" t="str">
            <v>揽收部</v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  <cell r="AL793" t="str">
            <v/>
          </cell>
          <cell r="AM793" t="str">
            <v/>
          </cell>
          <cell r="AN793">
            <v>19.5</v>
          </cell>
        </row>
        <row r="794">
          <cell r="B794" t="str">
            <v>GL500557</v>
          </cell>
          <cell r="C794" t="str">
            <v>Ground项目部</v>
          </cell>
          <cell r="D794" t="str">
            <v>OG 美西区</v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  <cell r="AL794" t="str">
            <v/>
          </cell>
          <cell r="AM794" t="str">
            <v/>
          </cell>
          <cell r="AN794">
            <v>22.15</v>
          </cell>
        </row>
        <row r="795">
          <cell r="B795" t="str">
            <v>GL501046</v>
          </cell>
          <cell r="C795" t="str">
            <v>WE 美西大区</v>
          </cell>
          <cell r="D795" t="str">
            <v>SC 南加片区</v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  <cell r="AL795" t="str">
            <v/>
          </cell>
          <cell r="AM795" t="str">
            <v/>
          </cell>
          <cell r="AN795">
            <v>18.59</v>
          </cell>
        </row>
        <row r="796">
          <cell r="B796" t="str">
            <v>GL501275</v>
          </cell>
          <cell r="C796" t="str">
            <v>GL 大湖大区</v>
          </cell>
          <cell r="D796" t="str">
            <v>WG 西大湖片区</v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  <cell r="AL796" t="str">
            <v/>
          </cell>
          <cell r="AM796" t="str">
            <v/>
          </cell>
          <cell r="AN796">
            <v>18.8</v>
          </cell>
        </row>
        <row r="797">
          <cell r="B797" t="str">
            <v>GL502540</v>
          </cell>
          <cell r="C797" t="str">
            <v>FL 佛州大区</v>
          </cell>
          <cell r="D797" t="str">
            <v>NF 北佛片区</v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  <cell r="AL797" t="str">
            <v/>
          </cell>
          <cell r="AM797" t="str">
            <v/>
          </cell>
          <cell r="AN797">
            <v>7.87</v>
          </cell>
        </row>
        <row r="798">
          <cell r="B798" t="str">
            <v>GL500370</v>
          </cell>
          <cell r="C798" t="str">
            <v>US人力资源部</v>
          </cell>
          <cell r="D798" t="str">
            <v>美洲HRBP组</v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  <cell r="AL798" t="str">
            <v/>
          </cell>
          <cell r="AM798" t="str">
            <v/>
          </cell>
          <cell r="AN798">
            <v>15.64</v>
          </cell>
        </row>
        <row r="799">
          <cell r="B799" t="str">
            <v>GL500602</v>
          </cell>
          <cell r="C799" t="str">
            <v>CS 客户服务部</v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  <cell r="AL799" t="str">
            <v/>
          </cell>
          <cell r="AM799" t="str">
            <v/>
          </cell>
          <cell r="AN799">
            <v>8.33</v>
          </cell>
        </row>
        <row r="800">
          <cell r="B800" t="str">
            <v>GL501022</v>
          </cell>
          <cell r="C800" t="str">
            <v>NE 东北大区</v>
          </cell>
          <cell r="D800" t="str">
            <v>揽收部</v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  <cell r="AL800" t="str">
            <v/>
          </cell>
          <cell r="AM800" t="str">
            <v/>
          </cell>
          <cell r="AN800">
            <v>11.32</v>
          </cell>
        </row>
        <row r="801">
          <cell r="B801" t="str">
            <v>GL501394</v>
          </cell>
          <cell r="C801" t="str">
            <v>TX 德州大区</v>
          </cell>
          <cell r="D801" t="str">
            <v>IAH.H</v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  <cell r="AL801" t="str">
            <v/>
          </cell>
          <cell r="AM801" t="str">
            <v/>
          </cell>
          <cell r="AN801">
            <v>13.7</v>
          </cell>
        </row>
        <row r="802">
          <cell r="B802" t="str">
            <v>GL502513</v>
          </cell>
          <cell r="C802" t="str">
            <v>GL 大湖大区</v>
          </cell>
          <cell r="D802" t="str">
            <v>揽收部</v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  <cell r="AL802" t="str">
            <v/>
          </cell>
          <cell r="AM802" t="str">
            <v/>
          </cell>
          <cell r="AN802">
            <v>17.53</v>
          </cell>
        </row>
        <row r="803">
          <cell r="B803" t="str">
            <v>GL502677</v>
          </cell>
          <cell r="C803" t="str">
            <v>WE 美西大区</v>
          </cell>
          <cell r="D803" t="str">
            <v>NC 北加片区</v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  <cell r="AL803" t="str">
            <v/>
          </cell>
          <cell r="AM803" t="str">
            <v/>
          </cell>
          <cell r="AN803">
            <v>11.42</v>
          </cell>
        </row>
        <row r="804">
          <cell r="B804" t="str">
            <v>GL500363</v>
          </cell>
          <cell r="C804" t="str">
            <v>US人力资源部</v>
          </cell>
          <cell r="D804" t="str">
            <v>美洲HRBP组</v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  <cell r="AL804" t="str">
            <v/>
          </cell>
          <cell r="AM804" t="str">
            <v/>
          </cell>
          <cell r="AN804">
            <v>15.85</v>
          </cell>
        </row>
        <row r="805">
          <cell r="B805" t="str">
            <v>GL500217</v>
          </cell>
          <cell r="C805" t="str">
            <v>TX 德州大区</v>
          </cell>
          <cell r="D805" t="str">
            <v>DFW.H</v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  <cell r="AL805" t="str">
            <v/>
          </cell>
          <cell r="AM805" t="str">
            <v/>
          </cell>
          <cell r="AN805">
            <v>4.55</v>
          </cell>
        </row>
        <row r="806">
          <cell r="B806" t="str">
            <v>GL501128</v>
          </cell>
          <cell r="C806" t="str">
            <v>NE 东北大区</v>
          </cell>
          <cell r="D806" t="str">
            <v>车辆管理部</v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  <cell r="AL806" t="str">
            <v/>
          </cell>
          <cell r="AM806" t="str">
            <v/>
          </cell>
          <cell r="AN806">
            <v>0</v>
          </cell>
        </row>
        <row r="807">
          <cell r="B807" t="str">
            <v>GL500745</v>
          </cell>
          <cell r="C807" t="str">
            <v>NE 东北大区</v>
          </cell>
          <cell r="D807" t="str">
            <v>DC 华盛顿片区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  <cell r="AJ807" t="str">
            <v/>
          </cell>
          <cell r="AK807" t="str">
            <v/>
          </cell>
          <cell r="AL807" t="str">
            <v/>
          </cell>
          <cell r="AM807" t="str">
            <v/>
          </cell>
          <cell r="AN807">
            <v>16.25</v>
          </cell>
        </row>
        <row r="808">
          <cell r="B808" t="str">
            <v>GL502188</v>
          </cell>
          <cell r="C808" t="str">
            <v>TX 德州大区</v>
          </cell>
          <cell r="D808" t="str">
            <v>IAH.H</v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  <cell r="AJ808" t="str">
            <v/>
          </cell>
          <cell r="AK808" t="str">
            <v/>
          </cell>
          <cell r="AL808" t="str">
            <v/>
          </cell>
          <cell r="AM808" t="str">
            <v/>
          </cell>
          <cell r="AN808">
            <v>9.22</v>
          </cell>
        </row>
        <row r="809">
          <cell r="B809" t="str">
            <v>GL502327</v>
          </cell>
          <cell r="C809" t="str">
            <v>NE 东北大区</v>
          </cell>
          <cell r="D809" t="str">
            <v>MA 新英格兰片区</v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  <cell r="AL809" t="str">
            <v/>
          </cell>
          <cell r="AM809" t="str">
            <v/>
          </cell>
          <cell r="AN809">
            <v>0</v>
          </cell>
        </row>
        <row r="810">
          <cell r="B810" t="str">
            <v>GL501432</v>
          </cell>
          <cell r="C810" t="str">
            <v>WE 美西大区</v>
          </cell>
          <cell r="D810" t="str">
            <v>LAV.H</v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  <cell r="AL810" t="str">
            <v/>
          </cell>
          <cell r="AM810" t="str">
            <v/>
          </cell>
          <cell r="AN810">
            <v>18.93</v>
          </cell>
        </row>
        <row r="811">
          <cell r="B811" t="str">
            <v>GL501214</v>
          </cell>
          <cell r="C811" t="str">
            <v>OM 操作管理部</v>
          </cell>
          <cell r="D811" t="str">
            <v>仓库租赁组</v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  <cell r="AL811" t="str">
            <v/>
          </cell>
          <cell r="AM811" t="str">
            <v/>
          </cell>
          <cell r="AN811">
            <v>0</v>
          </cell>
        </row>
        <row r="812">
          <cell r="B812" t="str">
            <v>GL502794</v>
          </cell>
          <cell r="C812" t="str">
            <v>NE 东北大区</v>
          </cell>
          <cell r="D812" t="str">
            <v>BWI.H</v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  <cell r="AL812" t="str">
            <v/>
          </cell>
          <cell r="AM812" t="str">
            <v/>
          </cell>
          <cell r="AN812">
            <v>5.7</v>
          </cell>
        </row>
        <row r="813">
          <cell r="B813" t="str">
            <v>GL502700</v>
          </cell>
          <cell r="C813" t="str">
            <v>WE 美西大区</v>
          </cell>
          <cell r="D813" t="str">
            <v>LAV.H</v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  <cell r="AL813" t="str">
            <v/>
          </cell>
          <cell r="AM813" t="str">
            <v/>
          </cell>
          <cell r="AN813">
            <v>0</v>
          </cell>
        </row>
        <row r="814">
          <cell r="B814" t="str">
            <v>GL501901</v>
          </cell>
          <cell r="C814" t="str">
            <v>TX 德州大区</v>
          </cell>
          <cell r="D814" t="str">
            <v>DFW.H</v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  <cell r="AL814" t="str">
            <v/>
          </cell>
          <cell r="AM814" t="str">
            <v/>
          </cell>
          <cell r="AN814">
            <v>19.51</v>
          </cell>
        </row>
        <row r="815">
          <cell r="B815" t="str">
            <v>GL501297</v>
          </cell>
          <cell r="C815" t="str">
            <v>WE 美西大区</v>
          </cell>
          <cell r="D815" t="str">
            <v>LAV.H</v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  <cell r="AL815" t="str">
            <v/>
          </cell>
          <cell r="AM815" t="str">
            <v/>
          </cell>
          <cell r="AN815">
            <v>9.08</v>
          </cell>
        </row>
        <row r="816">
          <cell r="B816" t="str">
            <v>GL500121</v>
          </cell>
          <cell r="C816" t="str">
            <v>FL 佛州大区</v>
          </cell>
          <cell r="D816" t="str">
            <v>FTM01</v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  <cell r="AL816" t="str">
            <v/>
          </cell>
          <cell r="AM816" t="str">
            <v/>
          </cell>
          <cell r="AN816">
            <v>13.4</v>
          </cell>
        </row>
        <row r="817">
          <cell r="B817" t="str">
            <v>GL500940</v>
          </cell>
          <cell r="C817" t="str">
            <v>TX 德州大区</v>
          </cell>
          <cell r="D817" t="str">
            <v>CT 中德州片区</v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  <cell r="AL817" t="str">
            <v/>
          </cell>
          <cell r="AM817" t="str">
            <v/>
          </cell>
          <cell r="AN817">
            <v>0</v>
          </cell>
        </row>
        <row r="818">
          <cell r="B818" t="str">
            <v>GL502489</v>
          </cell>
          <cell r="C818" t="str">
            <v>US人力资源部</v>
          </cell>
          <cell r="D818" t="str">
            <v>美洲HRBP组</v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  <cell r="AL818" t="str">
            <v/>
          </cell>
          <cell r="AM818" t="str">
            <v/>
          </cell>
          <cell r="AN818">
            <v>8.03</v>
          </cell>
        </row>
        <row r="819">
          <cell r="B819" t="str">
            <v>GL500538</v>
          </cell>
          <cell r="C819" t="str">
            <v>DO 数字运营部</v>
          </cell>
          <cell r="D819" t="str">
            <v>美国技术支持组</v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  <cell r="AL819" t="str">
            <v/>
          </cell>
          <cell r="AM819" t="str">
            <v/>
          </cell>
          <cell r="AN819">
            <v>0</v>
          </cell>
        </row>
        <row r="820">
          <cell r="B820" t="str">
            <v>GL502762</v>
          </cell>
          <cell r="C820" t="str">
            <v>NE 东北大区</v>
          </cell>
          <cell r="D820" t="str">
            <v>车辆管理部</v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  <cell r="AA820" t="str">
            <v/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  <cell r="AG820" t="str">
            <v/>
          </cell>
          <cell r="AH820" t="str">
            <v/>
          </cell>
          <cell r="AI820" t="str">
            <v/>
          </cell>
          <cell r="AJ820" t="str">
            <v/>
          </cell>
          <cell r="AK820" t="str">
            <v/>
          </cell>
          <cell r="AL820" t="str">
            <v/>
          </cell>
          <cell r="AM820" t="str">
            <v/>
          </cell>
          <cell r="AN820">
            <v>21.72</v>
          </cell>
        </row>
        <row r="821">
          <cell r="B821" t="str">
            <v>GL502528</v>
          </cell>
          <cell r="C821" t="str">
            <v>NE 东北大区</v>
          </cell>
          <cell r="D821" t="str">
            <v>NY 纽约片区</v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  <cell r="AA821" t="str">
            <v/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  <cell r="AG821" t="str">
            <v/>
          </cell>
          <cell r="AH821" t="str">
            <v/>
          </cell>
          <cell r="AI821" t="str">
            <v/>
          </cell>
          <cell r="AJ821" t="str">
            <v/>
          </cell>
          <cell r="AK821" t="str">
            <v/>
          </cell>
          <cell r="AL821" t="str">
            <v/>
          </cell>
          <cell r="AM821" t="str">
            <v/>
          </cell>
          <cell r="AN821">
            <v>4.5</v>
          </cell>
        </row>
        <row r="822">
          <cell r="B822" t="str">
            <v>GL502848</v>
          </cell>
          <cell r="C822" t="str">
            <v>WE 美西大区</v>
          </cell>
          <cell r="D822" t="str">
            <v>SP 西雅图·波特兰片区</v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  <cell r="AA822" t="str">
            <v/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  <cell r="AG822" t="str">
            <v/>
          </cell>
          <cell r="AH822" t="str">
            <v/>
          </cell>
          <cell r="AI822" t="str">
            <v/>
          </cell>
          <cell r="AJ822" t="str">
            <v/>
          </cell>
          <cell r="AK822" t="str">
            <v/>
          </cell>
          <cell r="AL822" t="str">
            <v/>
          </cell>
          <cell r="AM822" t="str">
            <v/>
          </cell>
          <cell r="AN822">
            <v>0</v>
          </cell>
        </row>
        <row r="823">
          <cell r="B823" t="str">
            <v>GL502401</v>
          </cell>
          <cell r="C823" t="str">
            <v>WE 美西大区</v>
          </cell>
          <cell r="D823" t="str">
            <v>SC 南加片区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  <cell r="AJ823" t="str">
            <v/>
          </cell>
          <cell r="AK823" t="str">
            <v/>
          </cell>
          <cell r="AL823" t="str">
            <v/>
          </cell>
          <cell r="AM823" t="str">
            <v/>
          </cell>
          <cell r="AN823">
            <v>16.23</v>
          </cell>
        </row>
        <row r="824">
          <cell r="B824" t="str">
            <v>GL501852</v>
          </cell>
          <cell r="C824" t="str">
            <v>TX 德州大区</v>
          </cell>
          <cell r="D824" t="str">
            <v>GC 墨湾片区</v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  <cell r="AL824" t="str">
            <v/>
          </cell>
          <cell r="AM824" t="str">
            <v/>
          </cell>
          <cell r="AN824">
            <v>16.34</v>
          </cell>
        </row>
        <row r="825">
          <cell r="B825" t="str">
            <v>GL502259</v>
          </cell>
          <cell r="C825" t="str">
            <v>GL 大湖大区</v>
          </cell>
          <cell r="D825" t="str">
            <v>运营支持部</v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  <cell r="AL825" t="str">
            <v/>
          </cell>
          <cell r="AM825" t="str">
            <v/>
          </cell>
          <cell r="AN825">
            <v>18</v>
          </cell>
        </row>
        <row r="826">
          <cell r="B826" t="str">
            <v>GL500384</v>
          </cell>
          <cell r="C826" t="str">
            <v>FL 佛州大区</v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  <cell r="AL826" t="str">
            <v/>
          </cell>
          <cell r="AM826" t="str">
            <v/>
          </cell>
          <cell r="AN826">
            <v>16</v>
          </cell>
        </row>
        <row r="827">
          <cell r="B827" t="str">
            <v>GL501430</v>
          </cell>
          <cell r="C827" t="str">
            <v>MS 中南大区</v>
          </cell>
          <cell r="D827" t="str">
            <v>AS 亚特兰大和南阿拉巴马片区</v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  <cell r="AL827" t="str">
            <v/>
          </cell>
          <cell r="AM827" t="str">
            <v/>
          </cell>
          <cell r="AN827">
            <v>7.07</v>
          </cell>
        </row>
        <row r="828">
          <cell r="B828" t="str">
            <v>GL501349</v>
          </cell>
          <cell r="C828" t="str">
            <v>Ground项目部</v>
          </cell>
          <cell r="D828" t="str">
            <v>运营管理部</v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  <cell r="AL828" t="str">
            <v/>
          </cell>
          <cell r="AM828" t="str">
            <v/>
          </cell>
          <cell r="AN828">
            <v>17.73</v>
          </cell>
        </row>
        <row r="829">
          <cell r="B829" t="str">
            <v>GL501033</v>
          </cell>
          <cell r="C829" t="str">
            <v>CS 客户服务部</v>
          </cell>
          <cell r="D829" t="str">
            <v>运营分析组</v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  <cell r="AL829" t="str">
            <v/>
          </cell>
          <cell r="AM829" t="str">
            <v/>
          </cell>
          <cell r="AN829">
            <v>17.1</v>
          </cell>
        </row>
        <row r="830">
          <cell r="B830" t="str">
            <v>GL501990</v>
          </cell>
          <cell r="C830" t="str">
            <v>Ground项目部</v>
          </cell>
          <cell r="D830" t="str">
            <v>OG 美中区</v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  <cell r="AL830" t="str">
            <v/>
          </cell>
          <cell r="AM830" t="str">
            <v/>
          </cell>
          <cell r="AN830">
            <v>13.73</v>
          </cell>
        </row>
        <row r="831">
          <cell r="B831" t="str">
            <v>GL500803</v>
          </cell>
          <cell r="C831" t="str">
            <v>TX 德州大区</v>
          </cell>
          <cell r="D831" t="str">
            <v>NT 北德州片区</v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  <cell r="AL831" t="str">
            <v/>
          </cell>
          <cell r="AM831" t="str">
            <v/>
          </cell>
          <cell r="AN831">
            <v>0</v>
          </cell>
        </row>
        <row r="832">
          <cell r="B832" t="str">
            <v>GL500081</v>
          </cell>
          <cell r="C832" t="str">
            <v>AD 行政部</v>
          </cell>
          <cell r="D832" t="str">
            <v>美中组</v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  <cell r="AL832" t="str">
            <v/>
          </cell>
          <cell r="AM832" t="str">
            <v/>
          </cell>
          <cell r="AN832">
            <v>18.45</v>
          </cell>
        </row>
        <row r="833">
          <cell r="B833" t="str">
            <v>GL500858</v>
          </cell>
          <cell r="C833" t="str">
            <v>TX 德州大区</v>
          </cell>
          <cell r="D833" t="str">
            <v>CT 中德州片区</v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  <cell r="AL833" t="str">
            <v/>
          </cell>
          <cell r="AM833" t="str">
            <v/>
          </cell>
          <cell r="AN833">
            <v>7.2</v>
          </cell>
        </row>
        <row r="834">
          <cell r="B834" t="str">
            <v>GL500831</v>
          </cell>
          <cell r="C834" t="str">
            <v>FL 佛州大区</v>
          </cell>
          <cell r="D834" t="str">
            <v>NF 北佛片区</v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  <cell r="AG834" t="str">
            <v/>
          </cell>
          <cell r="AH834" t="str">
            <v/>
          </cell>
          <cell r="AI834" t="str">
            <v/>
          </cell>
          <cell r="AJ834" t="str">
            <v/>
          </cell>
          <cell r="AK834" t="str">
            <v/>
          </cell>
          <cell r="AL834" t="str">
            <v/>
          </cell>
          <cell r="AM834" t="str">
            <v/>
          </cell>
          <cell r="AN834">
            <v>16.23</v>
          </cell>
        </row>
        <row r="835">
          <cell r="B835" t="str">
            <v>GL501922</v>
          </cell>
          <cell r="C835" t="str">
            <v>FL 佛州大区</v>
          </cell>
          <cell r="D835" t="str">
            <v>MIA.H</v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  <cell r="AG835" t="str">
            <v/>
          </cell>
          <cell r="AH835" t="str">
            <v/>
          </cell>
          <cell r="AI835" t="str">
            <v/>
          </cell>
          <cell r="AJ835" t="str">
            <v/>
          </cell>
          <cell r="AK835" t="str">
            <v/>
          </cell>
          <cell r="AL835" t="str">
            <v/>
          </cell>
          <cell r="AM835" t="str">
            <v/>
          </cell>
          <cell r="AN835">
            <v>17.9</v>
          </cell>
        </row>
        <row r="836">
          <cell r="B836" t="str">
            <v>GL501684</v>
          </cell>
          <cell r="C836" t="str">
            <v>TX 德州大区</v>
          </cell>
          <cell r="D836" t="str">
            <v>揽收部</v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  <cell r="AL836" t="str">
            <v/>
          </cell>
          <cell r="AM836" t="str">
            <v/>
          </cell>
          <cell r="AN836">
            <v>15.43</v>
          </cell>
        </row>
        <row r="837">
          <cell r="B837" t="str">
            <v>GL501883</v>
          </cell>
          <cell r="C837" t="str">
            <v>WE 美西大区</v>
          </cell>
          <cell r="D837" t="str">
            <v>LAV.H</v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  <cell r="AL837" t="str">
            <v/>
          </cell>
          <cell r="AM837" t="str">
            <v/>
          </cell>
          <cell r="AN837">
            <v>8</v>
          </cell>
        </row>
        <row r="838">
          <cell r="B838" t="str">
            <v>GL500619</v>
          </cell>
          <cell r="C838" t="str">
            <v>Ground项目部</v>
          </cell>
          <cell r="D838" t="str">
            <v>OG 美东区</v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  <cell r="AL838" t="str">
            <v/>
          </cell>
          <cell r="AM838" t="str">
            <v/>
          </cell>
          <cell r="AN838">
            <v>16.95</v>
          </cell>
        </row>
        <row r="839">
          <cell r="B839" t="str">
            <v>GL501328</v>
          </cell>
          <cell r="C839" t="str">
            <v>MS 中南大区</v>
          </cell>
          <cell r="D839" t="str">
            <v>ATL.H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  <cell r="AL839" t="str">
            <v/>
          </cell>
          <cell r="AM839" t="str">
            <v/>
          </cell>
          <cell r="AN839">
            <v>25</v>
          </cell>
        </row>
        <row r="840">
          <cell r="B840" t="str">
            <v>GL502418</v>
          </cell>
          <cell r="C840" t="str">
            <v>MS 中南大区</v>
          </cell>
          <cell r="D840" t="str">
            <v>CS 夏洛特及周边片区</v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  <cell r="AL840" t="str">
            <v/>
          </cell>
          <cell r="AM840" t="str">
            <v/>
          </cell>
          <cell r="AN840">
            <v>0</v>
          </cell>
        </row>
        <row r="841">
          <cell r="B841" t="str">
            <v>GL502460</v>
          </cell>
          <cell r="C841" t="str">
            <v>Ground项目部</v>
          </cell>
          <cell r="D841" t="str">
            <v>OG 美西区</v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  <cell r="AL841" t="str">
            <v/>
          </cell>
          <cell r="AM841" t="str">
            <v/>
          </cell>
          <cell r="AN841">
            <v>17</v>
          </cell>
        </row>
        <row r="842">
          <cell r="B842" t="str">
            <v>GL501487</v>
          </cell>
          <cell r="C842" t="str">
            <v>Ground项目部</v>
          </cell>
          <cell r="D842" t="str">
            <v>OG 美西区</v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  <cell r="AL842" t="str">
            <v/>
          </cell>
          <cell r="AM842" t="str">
            <v/>
          </cell>
          <cell r="AN842">
            <v>0</v>
          </cell>
        </row>
        <row r="843">
          <cell r="B843" t="str">
            <v>GL500260</v>
          </cell>
          <cell r="C843" t="str">
            <v>WE 美西大区</v>
          </cell>
          <cell r="D843" t="str">
            <v>NC 北加片区</v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  <cell r="AL843" t="str">
            <v/>
          </cell>
          <cell r="AM843" t="str">
            <v/>
          </cell>
          <cell r="AN843">
            <v>0</v>
          </cell>
        </row>
        <row r="844">
          <cell r="B844" t="str">
            <v>GL501926</v>
          </cell>
          <cell r="C844" t="str">
            <v>WE 美西大区</v>
          </cell>
          <cell r="D844" t="str">
            <v>SC 南加片区</v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  <cell r="AL844" t="str">
            <v/>
          </cell>
          <cell r="AM844" t="str">
            <v/>
          </cell>
          <cell r="AN844">
            <v>7.25</v>
          </cell>
        </row>
        <row r="845">
          <cell r="B845" t="str">
            <v>GL502423</v>
          </cell>
          <cell r="C845" t="str">
            <v>NE 东北大区</v>
          </cell>
          <cell r="D845" t="str">
            <v>DC 华盛顿片区</v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  <cell r="AL845" t="str">
            <v/>
          </cell>
          <cell r="AM845" t="str">
            <v/>
          </cell>
          <cell r="AN845">
            <v>8.02</v>
          </cell>
        </row>
        <row r="846">
          <cell r="B846" t="str">
            <v>GL501116</v>
          </cell>
          <cell r="C846" t="str">
            <v>NE 东北大区</v>
          </cell>
          <cell r="D846" t="str">
            <v>NY 纽约片区</v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  <cell r="AL846" t="str">
            <v/>
          </cell>
          <cell r="AM846" t="str">
            <v/>
          </cell>
          <cell r="AN846">
            <v>7.72</v>
          </cell>
        </row>
        <row r="847">
          <cell r="B847" t="str">
            <v>GL502042</v>
          </cell>
          <cell r="C847" t="str">
            <v>WE 美西大区</v>
          </cell>
          <cell r="D847" t="str">
            <v>CNO.H</v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  <cell r="AL847" t="str">
            <v/>
          </cell>
          <cell r="AM847" t="str">
            <v/>
          </cell>
          <cell r="AN847">
            <v>19.87</v>
          </cell>
        </row>
        <row r="848">
          <cell r="B848" t="str">
            <v>GL501273</v>
          </cell>
          <cell r="C848" t="str">
            <v>FL 佛州大区</v>
          </cell>
          <cell r="D848" t="str">
            <v>MIA.H</v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  <cell r="AL848" t="str">
            <v/>
          </cell>
          <cell r="AM848" t="str">
            <v/>
          </cell>
          <cell r="AN848">
            <v>18.73</v>
          </cell>
        </row>
        <row r="849">
          <cell r="B849" t="str">
            <v>GL502160</v>
          </cell>
          <cell r="C849" t="str">
            <v>Ground项目部</v>
          </cell>
          <cell r="D849" t="str">
            <v>OG 美东区</v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  <cell r="AL849" t="str">
            <v/>
          </cell>
          <cell r="AM849" t="str">
            <v/>
          </cell>
          <cell r="AN849">
            <v>8.33</v>
          </cell>
        </row>
        <row r="850">
          <cell r="B850" t="str">
            <v>GL502382</v>
          </cell>
          <cell r="C850" t="str">
            <v>AS 审计监察部</v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  <cell r="AL850" t="str">
            <v/>
          </cell>
          <cell r="AM850" t="str">
            <v/>
          </cell>
          <cell r="AN850">
            <v>17.24</v>
          </cell>
        </row>
        <row r="851">
          <cell r="B851" t="str">
            <v>GL502152</v>
          </cell>
          <cell r="C851" t="str">
            <v>WE 美西大区</v>
          </cell>
          <cell r="D851" t="str">
            <v>DS 丹佛·盐湖城片区</v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  <cell r="AG851" t="str">
            <v/>
          </cell>
          <cell r="AH851" t="str">
            <v/>
          </cell>
          <cell r="AI851" t="str">
            <v/>
          </cell>
          <cell r="AJ851" t="str">
            <v/>
          </cell>
          <cell r="AK851" t="str">
            <v/>
          </cell>
          <cell r="AL851" t="str">
            <v/>
          </cell>
          <cell r="AM851" t="str">
            <v/>
          </cell>
          <cell r="AN851">
            <v>0</v>
          </cell>
        </row>
        <row r="852">
          <cell r="B852" t="str">
            <v>GL502463</v>
          </cell>
          <cell r="C852" t="str">
            <v>WE 美西大区</v>
          </cell>
          <cell r="D852" t="str">
            <v>DS 丹佛·盐湖城片区</v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  <cell r="AL852" t="str">
            <v/>
          </cell>
          <cell r="AM852" t="str">
            <v/>
          </cell>
          <cell r="AN852">
            <v>12.58</v>
          </cell>
        </row>
        <row r="853">
          <cell r="B853" t="str">
            <v>GL500321</v>
          </cell>
          <cell r="C853" t="str">
            <v>DO 数字运营部</v>
          </cell>
          <cell r="D853" t="str">
            <v>美国项目交付组</v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  <cell r="AL853" t="str">
            <v/>
          </cell>
          <cell r="AM853" t="str">
            <v/>
          </cell>
          <cell r="AN853">
            <v>0</v>
          </cell>
        </row>
        <row r="854">
          <cell r="B854" t="str">
            <v>GL501375</v>
          </cell>
          <cell r="C854" t="str">
            <v>NE 东北大区</v>
          </cell>
          <cell r="D854" t="str">
            <v>EWR.H</v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  <cell r="AL854" t="str">
            <v/>
          </cell>
          <cell r="AM854" t="str">
            <v/>
          </cell>
          <cell r="AN854">
            <v>9.52</v>
          </cell>
        </row>
        <row r="855">
          <cell r="B855" t="str">
            <v>GL500266</v>
          </cell>
          <cell r="C855" t="str">
            <v>WE 美西大区</v>
          </cell>
          <cell r="D855" t="str">
            <v>DS 丹佛·盐湖城片区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  <cell r="AL855" t="str">
            <v/>
          </cell>
          <cell r="AM855" t="str">
            <v/>
          </cell>
          <cell r="AN855">
            <v>0</v>
          </cell>
        </row>
        <row r="856">
          <cell r="B856" t="str">
            <v>GL502132</v>
          </cell>
          <cell r="C856" t="str">
            <v>MS 中南大区</v>
          </cell>
          <cell r="D856" t="str">
            <v>RE 北卡和东南海岸片区</v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  <cell r="AG856" t="str">
            <v/>
          </cell>
          <cell r="AH856" t="str">
            <v/>
          </cell>
          <cell r="AI856" t="str">
            <v/>
          </cell>
          <cell r="AJ856" t="str">
            <v/>
          </cell>
          <cell r="AK856" t="str">
            <v/>
          </cell>
          <cell r="AL856" t="str">
            <v/>
          </cell>
          <cell r="AM856" t="str">
            <v/>
          </cell>
          <cell r="AN856">
            <v>6</v>
          </cell>
        </row>
        <row r="857">
          <cell r="B857" t="str">
            <v>GL500103</v>
          </cell>
          <cell r="C857" t="str">
            <v>WE 美西大区</v>
          </cell>
          <cell r="D857" t="str">
            <v>LAV.H</v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  <cell r="AL857" t="str">
            <v/>
          </cell>
          <cell r="AM857" t="str">
            <v/>
          </cell>
          <cell r="AN857">
            <v>0</v>
          </cell>
        </row>
        <row r="858">
          <cell r="B858" t="str">
            <v>GL501060</v>
          </cell>
          <cell r="C858" t="str">
            <v>NE 东北大区</v>
          </cell>
          <cell r="D858" t="str">
            <v>NY 纽约片区</v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  <cell r="AL858" t="str">
            <v/>
          </cell>
          <cell r="AM858" t="str">
            <v/>
          </cell>
          <cell r="AN858">
            <v>18.96</v>
          </cell>
        </row>
        <row r="859">
          <cell r="B859" t="str">
            <v>GL502769</v>
          </cell>
          <cell r="C859" t="str">
            <v>Ground项目部</v>
          </cell>
          <cell r="D859" t="str">
            <v>OG 美南区</v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  <cell r="AL859" t="str">
            <v/>
          </cell>
          <cell r="AM859" t="str">
            <v/>
          </cell>
          <cell r="AN859">
            <v>0</v>
          </cell>
        </row>
        <row r="860">
          <cell r="B860" t="str">
            <v>GL500567</v>
          </cell>
          <cell r="C860" t="str">
            <v>Ground项目部</v>
          </cell>
          <cell r="D860" t="str">
            <v>OG 美西区</v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  <cell r="AL860" t="str">
            <v/>
          </cell>
          <cell r="AM860" t="str">
            <v/>
          </cell>
          <cell r="AN860">
            <v>0</v>
          </cell>
        </row>
        <row r="861">
          <cell r="B861" t="str">
            <v>GL502644</v>
          </cell>
          <cell r="C861" t="str">
            <v>TX 德州大区</v>
          </cell>
          <cell r="D861" t="str">
            <v>NT 北德州片区</v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  <cell r="AG861" t="str">
            <v/>
          </cell>
          <cell r="AH861" t="str">
            <v/>
          </cell>
          <cell r="AI861" t="str">
            <v/>
          </cell>
          <cell r="AJ861" t="str">
            <v/>
          </cell>
          <cell r="AK861" t="str">
            <v/>
          </cell>
          <cell r="AL861" t="str">
            <v/>
          </cell>
          <cell r="AM861" t="str">
            <v/>
          </cell>
          <cell r="AN861">
            <v>8.23</v>
          </cell>
        </row>
        <row r="862">
          <cell r="B862" t="str">
            <v>GL500248</v>
          </cell>
          <cell r="C862" t="str">
            <v>WE 美西大区</v>
          </cell>
          <cell r="D862" t="str">
            <v>SC 南加片区</v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  <cell r="AG862" t="str">
            <v/>
          </cell>
          <cell r="AH862" t="str">
            <v/>
          </cell>
          <cell r="AI862" t="str">
            <v/>
          </cell>
          <cell r="AJ862" t="str">
            <v/>
          </cell>
          <cell r="AK862" t="str">
            <v/>
          </cell>
          <cell r="AL862" t="str">
            <v/>
          </cell>
          <cell r="AM862" t="str">
            <v/>
          </cell>
          <cell r="AN862">
            <v>13.9</v>
          </cell>
        </row>
        <row r="863">
          <cell r="B863" t="str">
            <v>GL501386</v>
          </cell>
          <cell r="C863" t="str">
            <v>TX 德州大区</v>
          </cell>
          <cell r="D863" t="str">
            <v>GC 墨湾片区</v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  <cell r="AG863" t="str">
            <v/>
          </cell>
          <cell r="AH863" t="str">
            <v/>
          </cell>
          <cell r="AI863" t="str">
            <v/>
          </cell>
          <cell r="AJ863" t="str">
            <v/>
          </cell>
          <cell r="AK863" t="str">
            <v/>
          </cell>
          <cell r="AL863" t="str">
            <v/>
          </cell>
          <cell r="AM863" t="str">
            <v/>
          </cell>
          <cell r="AN863">
            <v>0</v>
          </cell>
        </row>
        <row r="864">
          <cell r="B864" t="str">
            <v>GL502255</v>
          </cell>
          <cell r="C864" t="str">
            <v>TX 德州大区</v>
          </cell>
          <cell r="D864" t="str">
            <v>DFW.H</v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  <cell r="AG864" t="str">
            <v/>
          </cell>
          <cell r="AH864" t="str">
            <v/>
          </cell>
          <cell r="AI864" t="str">
            <v/>
          </cell>
          <cell r="AJ864" t="str">
            <v/>
          </cell>
          <cell r="AK864" t="str">
            <v/>
          </cell>
          <cell r="AL864" t="str">
            <v/>
          </cell>
          <cell r="AM864" t="str">
            <v/>
          </cell>
          <cell r="AN864">
            <v>9.02</v>
          </cell>
        </row>
        <row r="865">
          <cell r="B865" t="str">
            <v>GL501936</v>
          </cell>
          <cell r="C865" t="str">
            <v>NE 东北大区</v>
          </cell>
          <cell r="D865" t="str">
            <v>PA 宾州片区</v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  <cell r="AG865" t="str">
            <v/>
          </cell>
          <cell r="AH865" t="str">
            <v/>
          </cell>
          <cell r="AI865" t="str">
            <v/>
          </cell>
          <cell r="AJ865" t="str">
            <v/>
          </cell>
          <cell r="AK865" t="str">
            <v/>
          </cell>
          <cell r="AL865" t="str">
            <v/>
          </cell>
          <cell r="AM865" t="str">
            <v/>
          </cell>
          <cell r="AN865">
            <v>18.02</v>
          </cell>
        </row>
        <row r="866">
          <cell r="B866" t="str">
            <v>GL500250</v>
          </cell>
          <cell r="C866" t="str">
            <v>NE 东北大区</v>
          </cell>
          <cell r="D866" t="str">
            <v>PA 宾州片区</v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  <cell r="AG866" t="str">
            <v/>
          </cell>
          <cell r="AH866" t="str">
            <v/>
          </cell>
          <cell r="AI866" t="str">
            <v/>
          </cell>
          <cell r="AJ866" t="str">
            <v/>
          </cell>
          <cell r="AK866" t="str">
            <v/>
          </cell>
          <cell r="AL866" t="str">
            <v/>
          </cell>
          <cell r="AM866" t="str">
            <v/>
          </cell>
          <cell r="AN866">
            <v>16.11</v>
          </cell>
        </row>
        <row r="867">
          <cell r="B867" t="str">
            <v>GL502315</v>
          </cell>
          <cell r="C867" t="str">
            <v>TX 德州大区</v>
          </cell>
          <cell r="D867" t="str">
            <v>运营支持部</v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  <cell r="AL867" t="str">
            <v/>
          </cell>
          <cell r="AM867" t="str">
            <v/>
          </cell>
          <cell r="AN867">
            <v>17.2</v>
          </cell>
        </row>
        <row r="868">
          <cell r="B868" t="str">
            <v>GL501359</v>
          </cell>
          <cell r="C868" t="str">
            <v>WE 美西大区</v>
          </cell>
          <cell r="D868" t="str">
            <v>运营支持部</v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  <cell r="AL868" t="str">
            <v/>
          </cell>
          <cell r="AM868" t="str">
            <v/>
          </cell>
          <cell r="AN868">
            <v>8.1</v>
          </cell>
        </row>
        <row r="869">
          <cell r="B869" t="str">
            <v>GL501129</v>
          </cell>
          <cell r="C869" t="str">
            <v>BM 品牌市场部</v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  <cell r="AL869" t="str">
            <v/>
          </cell>
          <cell r="AM869" t="str">
            <v/>
          </cell>
          <cell r="AN869">
            <v>16</v>
          </cell>
        </row>
        <row r="870">
          <cell r="B870" t="str">
            <v>GL502322</v>
          </cell>
          <cell r="C870" t="str">
            <v>Ground项目部</v>
          </cell>
          <cell r="D870" t="str">
            <v>OG 美南区</v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  <cell r="AG870" t="str">
            <v/>
          </cell>
          <cell r="AH870" t="str">
            <v/>
          </cell>
          <cell r="AI870" t="str">
            <v/>
          </cell>
          <cell r="AJ870" t="str">
            <v/>
          </cell>
          <cell r="AK870" t="str">
            <v/>
          </cell>
          <cell r="AL870" t="str">
            <v/>
          </cell>
          <cell r="AM870" t="str">
            <v/>
          </cell>
          <cell r="AN870">
            <v>0</v>
          </cell>
        </row>
        <row r="871">
          <cell r="B871" t="str">
            <v>GL502101</v>
          </cell>
          <cell r="C871" t="str">
            <v>FL 佛州大区</v>
          </cell>
          <cell r="D871" t="str">
            <v>MIA.H</v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  <cell r="AG871" t="str">
            <v/>
          </cell>
          <cell r="AH871" t="str">
            <v/>
          </cell>
          <cell r="AI871" t="str">
            <v/>
          </cell>
          <cell r="AJ871" t="str">
            <v/>
          </cell>
          <cell r="AK871" t="str">
            <v/>
          </cell>
          <cell r="AL871" t="str">
            <v/>
          </cell>
          <cell r="AM871" t="str">
            <v/>
          </cell>
          <cell r="AN871">
            <v>16.43</v>
          </cell>
        </row>
        <row r="872">
          <cell r="B872" t="str">
            <v>GL502171</v>
          </cell>
          <cell r="C872" t="str">
            <v>WE 美西大区</v>
          </cell>
          <cell r="D872" t="str">
            <v>CNO.H</v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  <cell r="AG872" t="str">
            <v/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  <cell r="AL872" t="str">
            <v/>
          </cell>
          <cell r="AM872" t="str">
            <v/>
          </cell>
          <cell r="AN872">
            <v>0</v>
          </cell>
        </row>
        <row r="873">
          <cell r="B873" t="str">
            <v>GL502789</v>
          </cell>
          <cell r="C873" t="str">
            <v>WE 美西大区</v>
          </cell>
          <cell r="D873" t="str">
            <v>LAV.H</v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  <cell r="AL873" t="str">
            <v/>
          </cell>
          <cell r="AM873" t="str">
            <v/>
          </cell>
          <cell r="AN873">
            <v>22.52</v>
          </cell>
        </row>
        <row r="874">
          <cell r="B874" t="str">
            <v>GL500348</v>
          </cell>
          <cell r="C874" t="str">
            <v>DO 数字运营部</v>
          </cell>
          <cell r="D874" t="str">
            <v>美国技术支持组</v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  <cell r="AG874" t="str">
            <v/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  <cell r="AL874" t="str">
            <v/>
          </cell>
          <cell r="AM874" t="str">
            <v/>
          </cell>
          <cell r="AN874">
            <v>16</v>
          </cell>
        </row>
        <row r="875">
          <cell r="B875" t="str">
            <v>GL501024</v>
          </cell>
          <cell r="C875" t="str">
            <v>GL 大湖大区</v>
          </cell>
          <cell r="D875" t="str">
            <v>ORD.H</v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  <cell r="AL875" t="str">
            <v/>
          </cell>
          <cell r="AM875" t="str">
            <v/>
          </cell>
          <cell r="AN875">
            <v>18.5</v>
          </cell>
        </row>
        <row r="876">
          <cell r="B876" t="str">
            <v>GL502485</v>
          </cell>
          <cell r="C876" t="str">
            <v>US人力资源部</v>
          </cell>
          <cell r="D876" t="str">
            <v>美洲HRBP组</v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  <cell r="AG876" t="str">
            <v/>
          </cell>
          <cell r="AH876" t="str">
            <v/>
          </cell>
          <cell r="AI876" t="str">
            <v/>
          </cell>
          <cell r="AJ876" t="str">
            <v/>
          </cell>
          <cell r="AK876" t="str">
            <v/>
          </cell>
          <cell r="AL876" t="str">
            <v/>
          </cell>
          <cell r="AM876" t="str">
            <v/>
          </cell>
          <cell r="AN876">
            <v>18.03</v>
          </cell>
        </row>
        <row r="877">
          <cell r="B877" t="str">
            <v>GL502717</v>
          </cell>
          <cell r="C877" t="str">
            <v>Ground项目部</v>
          </cell>
          <cell r="D877" t="str">
            <v>OG 美西区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  <cell r="AL877" t="str">
            <v/>
          </cell>
          <cell r="AM877" t="str">
            <v/>
          </cell>
          <cell r="AN877">
            <v>15.84</v>
          </cell>
        </row>
        <row r="878">
          <cell r="B878" t="str">
            <v>GL500274</v>
          </cell>
          <cell r="C878" t="str">
            <v>NE 东北大区</v>
          </cell>
          <cell r="D878" t="str">
            <v>BWI.H</v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  <cell r="AL878" t="str">
            <v/>
          </cell>
          <cell r="AM878" t="str">
            <v/>
          </cell>
          <cell r="AN878">
            <v>25.76</v>
          </cell>
        </row>
        <row r="879">
          <cell r="B879" t="str">
            <v>GL502749</v>
          </cell>
          <cell r="C879" t="str">
            <v>GL 大湖大区</v>
          </cell>
          <cell r="D879" t="str">
            <v>ORD.H</v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  <cell r="AL879" t="str">
            <v/>
          </cell>
          <cell r="AM879" t="str">
            <v/>
          </cell>
          <cell r="AN879">
            <v>9.88</v>
          </cell>
        </row>
        <row r="880">
          <cell r="B880" t="str">
            <v>GL502689</v>
          </cell>
          <cell r="C880" t="str">
            <v>MS 中南大区</v>
          </cell>
          <cell r="D880" t="str">
            <v>AS 亚特兰大和南阿拉巴马片区</v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  <cell r="AL880" t="str">
            <v/>
          </cell>
          <cell r="AM880" t="str">
            <v/>
          </cell>
          <cell r="AN880">
            <v>0</v>
          </cell>
        </row>
        <row r="881">
          <cell r="B881" t="str">
            <v>GL500187</v>
          </cell>
          <cell r="C881" t="str">
            <v>MS 中南大区</v>
          </cell>
          <cell r="D881" t="str">
            <v>CS 夏洛特及周边片区</v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  <cell r="AL881" t="str">
            <v/>
          </cell>
          <cell r="AM881" t="str">
            <v/>
          </cell>
          <cell r="AN881">
            <v>0</v>
          </cell>
        </row>
        <row r="882">
          <cell r="B882" t="str">
            <v>GL501207</v>
          </cell>
          <cell r="C882" t="str">
            <v>GL 大湖大区</v>
          </cell>
          <cell r="D882" t="str">
            <v>ORD.H</v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  <cell r="AL882" t="str">
            <v/>
          </cell>
          <cell r="AM882" t="str">
            <v/>
          </cell>
          <cell r="AN882">
            <v>8.9</v>
          </cell>
        </row>
        <row r="883">
          <cell r="B883" t="str">
            <v>GL501871</v>
          </cell>
          <cell r="C883" t="str">
            <v>WE 美西大区</v>
          </cell>
          <cell r="D883" t="str">
            <v>CNO.H</v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  <cell r="AA883" t="str">
            <v/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  <cell r="AF883" t="str">
            <v/>
          </cell>
          <cell r="AG883" t="str">
            <v/>
          </cell>
          <cell r="AH883" t="str">
            <v/>
          </cell>
          <cell r="AI883" t="str">
            <v/>
          </cell>
          <cell r="AJ883" t="str">
            <v/>
          </cell>
          <cell r="AK883" t="str">
            <v/>
          </cell>
          <cell r="AL883" t="str">
            <v/>
          </cell>
          <cell r="AM883" t="str">
            <v/>
          </cell>
          <cell r="AN883">
            <v>11.6</v>
          </cell>
        </row>
        <row r="884">
          <cell r="B884" t="str">
            <v>GL502313</v>
          </cell>
          <cell r="C884" t="str">
            <v>Ground项目部</v>
          </cell>
          <cell r="D884" t="str">
            <v>运营管理部</v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  <cell r="AA884" t="str">
            <v/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  <cell r="AF884" t="str">
            <v/>
          </cell>
          <cell r="AG884" t="str">
            <v/>
          </cell>
          <cell r="AH884" t="str">
            <v/>
          </cell>
          <cell r="AI884" t="str">
            <v/>
          </cell>
          <cell r="AJ884" t="str">
            <v/>
          </cell>
          <cell r="AK884" t="str">
            <v/>
          </cell>
          <cell r="AL884" t="str">
            <v/>
          </cell>
          <cell r="AM884" t="str">
            <v/>
          </cell>
          <cell r="AN884">
            <v>0</v>
          </cell>
        </row>
        <row r="885">
          <cell r="B885" t="str">
            <v>GL502384</v>
          </cell>
          <cell r="C885" t="str">
            <v>NE 东北大区</v>
          </cell>
          <cell r="D885" t="str">
            <v>DC 华盛顿片区</v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  <cell r="AA885" t="str">
            <v/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  <cell r="AF885" t="str">
            <v/>
          </cell>
          <cell r="AG885" t="str">
            <v/>
          </cell>
          <cell r="AH885" t="str">
            <v/>
          </cell>
          <cell r="AI885" t="str">
            <v/>
          </cell>
          <cell r="AJ885" t="str">
            <v/>
          </cell>
          <cell r="AK885" t="str">
            <v/>
          </cell>
          <cell r="AL885" t="str">
            <v/>
          </cell>
          <cell r="AM885" t="str">
            <v/>
          </cell>
          <cell r="AN885">
            <v>8.82</v>
          </cell>
        </row>
        <row r="886">
          <cell r="B886" t="str">
            <v>GL501108</v>
          </cell>
          <cell r="C886" t="str">
            <v>GL 大湖大区</v>
          </cell>
          <cell r="D886" t="str">
            <v>ORD.H</v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  <cell r="AL886" t="str">
            <v/>
          </cell>
          <cell r="AM886" t="str">
            <v/>
          </cell>
          <cell r="AN886">
            <v>9.7</v>
          </cell>
        </row>
        <row r="887">
          <cell r="B887" t="str">
            <v>GL501894</v>
          </cell>
          <cell r="C887" t="str">
            <v>WE 美西大区</v>
          </cell>
          <cell r="D887" t="str">
            <v>CNO.H</v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  <cell r="AG887" t="str">
            <v/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  <cell r="AL887" t="str">
            <v/>
          </cell>
          <cell r="AM887" t="str">
            <v/>
          </cell>
          <cell r="AN887">
            <v>10.15</v>
          </cell>
        </row>
        <row r="888">
          <cell r="B888" t="str">
            <v>GL500240</v>
          </cell>
          <cell r="C888" t="str">
            <v>TX 德州大区</v>
          </cell>
          <cell r="D888" t="str">
            <v>DFW.H</v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  <cell r="AG888" t="str">
            <v/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  <cell r="AL888" t="str">
            <v/>
          </cell>
          <cell r="AM888" t="str">
            <v/>
          </cell>
          <cell r="AN888">
            <v>0</v>
          </cell>
        </row>
        <row r="889">
          <cell r="B889" t="str">
            <v>GL502439</v>
          </cell>
          <cell r="C889" t="str">
            <v>NE 东北大区</v>
          </cell>
          <cell r="D889" t="str">
            <v>MA 新英格兰片区</v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  <cell r="AL889" t="str">
            <v/>
          </cell>
          <cell r="AM889" t="str">
            <v/>
          </cell>
          <cell r="AN889">
            <v>8.38</v>
          </cell>
        </row>
        <row r="890">
          <cell r="B890" t="str">
            <v>GL500613</v>
          </cell>
          <cell r="C890" t="str">
            <v>NE 东北大区</v>
          </cell>
          <cell r="D890" t="str">
            <v>JFK.H</v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  <cell r="AL890" t="str">
            <v/>
          </cell>
          <cell r="AM890" t="str">
            <v/>
          </cell>
          <cell r="AN890">
            <v>18.28</v>
          </cell>
        </row>
        <row r="891">
          <cell r="B891" t="str">
            <v>GL500465</v>
          </cell>
          <cell r="C891" t="str">
            <v>WE 美西大区</v>
          </cell>
          <cell r="D891" t="str">
            <v>LAV.H</v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  <cell r="AL891" t="str">
            <v/>
          </cell>
          <cell r="AM891" t="str">
            <v/>
          </cell>
          <cell r="AN891">
            <v>0</v>
          </cell>
        </row>
        <row r="892">
          <cell r="B892" t="str">
            <v>GL501393</v>
          </cell>
          <cell r="C892" t="str">
            <v>MS 中南大区</v>
          </cell>
          <cell r="D892" t="str">
            <v>AS 亚特兰大和南阿拉巴马片区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  <cell r="AG892" t="str">
            <v/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  <cell r="AL892" t="str">
            <v/>
          </cell>
          <cell r="AM892" t="str">
            <v/>
          </cell>
          <cell r="AN892">
            <v>0</v>
          </cell>
        </row>
        <row r="893">
          <cell r="B893" t="str">
            <v>GL501339</v>
          </cell>
          <cell r="C893" t="str">
            <v>WE 美西大区</v>
          </cell>
          <cell r="D893" t="str">
            <v>LAV.H</v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  <cell r="AL893" t="str">
            <v/>
          </cell>
          <cell r="AM893" t="str">
            <v/>
          </cell>
          <cell r="AN893">
            <v>21.58</v>
          </cell>
        </row>
        <row r="894">
          <cell r="B894" t="str">
            <v>GL501038</v>
          </cell>
          <cell r="C894" t="str">
            <v>WE 美西大区</v>
          </cell>
          <cell r="D894" t="str">
            <v>CNO.H</v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  <cell r="AL894" t="str">
            <v/>
          </cell>
          <cell r="AM894" t="str">
            <v/>
          </cell>
          <cell r="AN894">
            <v>4.15</v>
          </cell>
        </row>
        <row r="895">
          <cell r="B895" t="str">
            <v>GL500340</v>
          </cell>
          <cell r="C895" t="str">
            <v>TX 德州大区</v>
          </cell>
          <cell r="D895" t="str">
            <v>GC 墨湾片区</v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  <cell r="AL895" t="str">
            <v/>
          </cell>
          <cell r="AM895" t="str">
            <v/>
          </cell>
          <cell r="AN895">
            <v>0</v>
          </cell>
        </row>
        <row r="896">
          <cell r="B896" t="str">
            <v>GL502743</v>
          </cell>
          <cell r="C896" t="str">
            <v>Ground项目部</v>
          </cell>
          <cell r="D896" t="str">
            <v>OG 美南区</v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  <cell r="AL896" t="str">
            <v/>
          </cell>
          <cell r="AM896" t="str">
            <v/>
          </cell>
          <cell r="AN896">
            <v>18.4</v>
          </cell>
        </row>
        <row r="897">
          <cell r="B897" t="str">
            <v>GL501072</v>
          </cell>
          <cell r="C897" t="str">
            <v>TX 德州大区</v>
          </cell>
          <cell r="D897" t="str">
            <v>IAH.H</v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  <cell r="AL897" t="str">
            <v/>
          </cell>
          <cell r="AM897" t="str">
            <v/>
          </cell>
          <cell r="AN897">
            <v>19.46</v>
          </cell>
        </row>
        <row r="898">
          <cell r="B898" t="str">
            <v>GL500905</v>
          </cell>
          <cell r="C898" t="str">
            <v>WE 美西大区</v>
          </cell>
          <cell r="D898" t="str">
            <v>SC 南加片区</v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  <cell r="AL898" t="str">
            <v/>
          </cell>
          <cell r="AM898" t="str">
            <v/>
          </cell>
          <cell r="AN898">
            <v>13.23</v>
          </cell>
        </row>
        <row r="899">
          <cell r="B899" t="str">
            <v>GL501268</v>
          </cell>
          <cell r="C899" t="str">
            <v>Ground项目部</v>
          </cell>
          <cell r="D899" t="str">
            <v>派送管理部</v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  <cell r="AL899" t="str">
            <v/>
          </cell>
          <cell r="AM899" t="str">
            <v/>
          </cell>
          <cell r="AN899">
            <v>0</v>
          </cell>
        </row>
        <row r="900">
          <cell r="B900" t="str">
            <v>GL502831</v>
          </cell>
          <cell r="C900" t="str">
            <v>Ground项目部</v>
          </cell>
          <cell r="D900" t="str">
            <v>OG 美西区</v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  <cell r="AL900" t="str">
            <v/>
          </cell>
          <cell r="AM900" t="str">
            <v/>
          </cell>
          <cell r="AN900">
            <v>17.27</v>
          </cell>
        </row>
        <row r="901">
          <cell r="B901" t="str">
            <v>GL501587</v>
          </cell>
          <cell r="C901" t="str">
            <v>TX 德州大区</v>
          </cell>
          <cell r="D901" t="str">
            <v>IAH.H</v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  <cell r="AL901" t="str">
            <v/>
          </cell>
          <cell r="AM901" t="str">
            <v/>
          </cell>
          <cell r="AN901">
            <v>0</v>
          </cell>
        </row>
        <row r="902">
          <cell r="B902" t="str">
            <v>GL502739</v>
          </cell>
          <cell r="C902" t="str">
            <v>MS 中南大区</v>
          </cell>
          <cell r="D902" t="str">
            <v>CLT.H</v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  <cell r="AG902" t="str">
            <v/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  <cell r="AL902" t="str">
            <v/>
          </cell>
          <cell r="AM902" t="str">
            <v/>
          </cell>
          <cell r="AN902">
            <v>17.2</v>
          </cell>
        </row>
        <row r="903">
          <cell r="B903" t="str">
            <v>GL500826</v>
          </cell>
          <cell r="C903" t="str">
            <v>Gofo财务部</v>
          </cell>
          <cell r="D903" t="str">
            <v>美区财务组</v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  <cell r="AG903" t="str">
            <v/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  <cell r="AL903" t="str">
            <v/>
          </cell>
          <cell r="AM903" t="str">
            <v/>
          </cell>
          <cell r="AN903">
            <v>18.24</v>
          </cell>
        </row>
        <row r="904">
          <cell r="B904" t="str">
            <v>GL501744</v>
          </cell>
          <cell r="C904" t="str">
            <v>US人力资源部</v>
          </cell>
          <cell r="D904" t="str">
            <v>美洲HRBP组</v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  <cell r="AL904" t="str">
            <v/>
          </cell>
          <cell r="AM904" t="str">
            <v/>
          </cell>
          <cell r="AN904">
            <v>0</v>
          </cell>
        </row>
        <row r="905">
          <cell r="B905" t="str">
            <v>GL501109</v>
          </cell>
          <cell r="C905" t="str">
            <v>AD 行政部</v>
          </cell>
          <cell r="D905" t="str">
            <v>美中组</v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  <cell r="AL905" t="str">
            <v/>
          </cell>
          <cell r="AM905" t="str">
            <v/>
          </cell>
          <cell r="AN905">
            <v>16.57</v>
          </cell>
        </row>
        <row r="906">
          <cell r="B906" t="str">
            <v>GL501522</v>
          </cell>
          <cell r="C906" t="str">
            <v>Ground项目部</v>
          </cell>
          <cell r="D906" t="str">
            <v>OG 美西区</v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  <cell r="AL906" t="str">
            <v/>
          </cell>
          <cell r="AM906" t="str">
            <v/>
          </cell>
          <cell r="AN906">
            <v>0</v>
          </cell>
        </row>
        <row r="907">
          <cell r="B907" t="str">
            <v>GL502737</v>
          </cell>
          <cell r="C907" t="str">
            <v>TX 德州大区</v>
          </cell>
          <cell r="D907" t="str">
            <v>运营支持部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  <cell r="AG907" t="str">
            <v/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  <cell r="AL907" t="str">
            <v/>
          </cell>
          <cell r="AM907" t="str">
            <v/>
          </cell>
          <cell r="AN907">
            <v>17.54</v>
          </cell>
        </row>
        <row r="908">
          <cell r="B908" t="str">
            <v>GL502181</v>
          </cell>
          <cell r="C908" t="str">
            <v>NE 东北大区</v>
          </cell>
          <cell r="D908" t="str">
            <v>运营支持部</v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  <cell r="AG908" t="str">
            <v/>
          </cell>
          <cell r="AH908" t="str">
            <v/>
          </cell>
          <cell r="AI908" t="str">
            <v/>
          </cell>
          <cell r="AJ908" t="str">
            <v/>
          </cell>
          <cell r="AK908" t="str">
            <v/>
          </cell>
          <cell r="AL908" t="str">
            <v/>
          </cell>
          <cell r="AM908" t="str">
            <v/>
          </cell>
          <cell r="AN908">
            <v>0</v>
          </cell>
        </row>
        <row r="909">
          <cell r="B909" t="str">
            <v>GL502473</v>
          </cell>
          <cell r="C909" t="str">
            <v>NE 东北大区</v>
          </cell>
          <cell r="D909" t="str">
            <v>DC 华盛顿片区</v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  <cell r="AG909" t="str">
            <v/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  <cell r="AL909" t="str">
            <v/>
          </cell>
          <cell r="AM909" t="str">
            <v/>
          </cell>
          <cell r="AN909">
            <v>17.45</v>
          </cell>
        </row>
        <row r="910">
          <cell r="B910" t="str">
            <v>GL500738</v>
          </cell>
          <cell r="C910" t="str">
            <v>AD 行政部</v>
          </cell>
          <cell r="D910" t="str">
            <v>美西组</v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  <cell r="AG910" t="str">
            <v/>
          </cell>
          <cell r="AH910" t="str">
            <v/>
          </cell>
          <cell r="AI910" t="str">
            <v/>
          </cell>
          <cell r="AJ910" t="str">
            <v/>
          </cell>
          <cell r="AK910" t="str">
            <v/>
          </cell>
          <cell r="AL910" t="str">
            <v/>
          </cell>
          <cell r="AM910" t="str">
            <v/>
          </cell>
          <cell r="AN910">
            <v>7.18</v>
          </cell>
        </row>
        <row r="911">
          <cell r="B911" t="str">
            <v>GL502203</v>
          </cell>
          <cell r="C911" t="str">
            <v>TX 德州大区</v>
          </cell>
          <cell r="D911" t="str">
            <v>DFW.H</v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  <cell r="AG911" t="str">
            <v/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  <cell r="AL911" t="str">
            <v/>
          </cell>
          <cell r="AM911" t="str">
            <v/>
          </cell>
          <cell r="AN911">
            <v>0</v>
          </cell>
        </row>
        <row r="912">
          <cell r="B912" t="str">
            <v>GL501670</v>
          </cell>
          <cell r="C912" t="str">
            <v>NE 东北大区</v>
          </cell>
          <cell r="D912" t="str">
            <v>BN 布法罗片区</v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  <cell r="AG912" t="str">
            <v/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  <cell r="AL912" t="str">
            <v/>
          </cell>
          <cell r="AM912" t="str">
            <v/>
          </cell>
          <cell r="AN912">
            <v>0</v>
          </cell>
        </row>
        <row r="913">
          <cell r="B913" t="str">
            <v>GL500918</v>
          </cell>
          <cell r="C913" t="str">
            <v>WE 美西大区</v>
          </cell>
          <cell r="D913" t="str">
            <v>LA揽收部</v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  <cell r="AG913" t="str">
            <v/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  <cell r="AL913" t="str">
            <v/>
          </cell>
          <cell r="AM913" t="str">
            <v/>
          </cell>
          <cell r="AN913">
            <v>23.95</v>
          </cell>
        </row>
        <row r="914">
          <cell r="B914" t="str">
            <v>GL500825</v>
          </cell>
          <cell r="C914" t="str">
            <v>FL 佛州大区</v>
          </cell>
          <cell r="D914" t="str">
            <v>MCO.H</v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  <cell r="AG914" t="str">
            <v/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  <cell r="AL914" t="str">
            <v/>
          </cell>
          <cell r="AM914" t="str">
            <v/>
          </cell>
          <cell r="AN914">
            <v>20.84</v>
          </cell>
        </row>
        <row r="915">
          <cell r="B915" t="str">
            <v>GL501462</v>
          </cell>
          <cell r="C915" t="str">
            <v>GL 大湖大区</v>
          </cell>
          <cell r="D915" t="str">
            <v>EG 东大湖片区</v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  <cell r="AG915" t="str">
            <v/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  <cell r="AL915" t="str">
            <v/>
          </cell>
          <cell r="AM915" t="str">
            <v/>
          </cell>
          <cell r="AN915">
            <v>21.51</v>
          </cell>
        </row>
        <row r="916">
          <cell r="B916" t="str">
            <v>GL500315</v>
          </cell>
          <cell r="C916" t="str">
            <v>WE 美西大区</v>
          </cell>
          <cell r="D916" t="str">
            <v>NC 北加片区</v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  <cell r="AG916" t="str">
            <v/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  <cell r="AL916" t="str">
            <v/>
          </cell>
          <cell r="AM916" t="str">
            <v/>
          </cell>
          <cell r="AN916">
            <v>16.07</v>
          </cell>
        </row>
        <row r="917">
          <cell r="B917" t="str">
            <v>GL501815</v>
          </cell>
          <cell r="C917" t="str">
            <v>NE 东北大区</v>
          </cell>
          <cell r="D917" t="str">
            <v>车辆管理部</v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  <cell r="AG917" t="str">
            <v/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  <cell r="AL917" t="str">
            <v/>
          </cell>
          <cell r="AM917" t="str">
            <v/>
          </cell>
          <cell r="AN917">
            <v>19.2</v>
          </cell>
        </row>
        <row r="918">
          <cell r="B918" t="str">
            <v>GL502046</v>
          </cell>
          <cell r="C918" t="str">
            <v>FL 佛州大区</v>
          </cell>
          <cell r="D918" t="str">
            <v>SF 南佛片区</v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  <cell r="AL918" t="str">
            <v/>
          </cell>
          <cell r="AM918" t="str">
            <v/>
          </cell>
          <cell r="AN918">
            <v>19.85</v>
          </cell>
        </row>
        <row r="919">
          <cell r="B919" t="str">
            <v>GL502021</v>
          </cell>
          <cell r="C919" t="str">
            <v>Ground项目部</v>
          </cell>
          <cell r="D919" t="str">
            <v>OG 美西区</v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  <cell r="AG919" t="str">
            <v/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  <cell r="AL919" t="str">
            <v/>
          </cell>
          <cell r="AM919" t="str">
            <v/>
          </cell>
          <cell r="AN919">
            <v>8.35</v>
          </cell>
        </row>
        <row r="920">
          <cell r="B920" t="str">
            <v>GL501866</v>
          </cell>
          <cell r="C920" t="str">
            <v>WE 美西大区</v>
          </cell>
          <cell r="D920" t="str">
            <v>运营支持部</v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  <cell r="AG920" t="str">
            <v/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  <cell r="AL920" t="str">
            <v/>
          </cell>
          <cell r="AM920" t="str">
            <v/>
          </cell>
          <cell r="AN920">
            <v>0</v>
          </cell>
        </row>
        <row r="921">
          <cell r="B921" t="str">
            <v>GL502882</v>
          </cell>
          <cell r="C921" t="str">
            <v>WE 美西大区</v>
          </cell>
          <cell r="D921" t="str">
            <v>车辆管理部</v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  <cell r="AL921" t="str">
            <v/>
          </cell>
          <cell r="AM921" t="str">
            <v/>
          </cell>
          <cell r="AN921">
            <v>17.94</v>
          </cell>
        </row>
        <row r="922">
          <cell r="B922" t="str">
            <v>GL502512</v>
          </cell>
          <cell r="C922" t="str">
            <v>NE 东北大区</v>
          </cell>
          <cell r="D922" t="str">
            <v>EWR.H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  <cell r="AG922" t="str">
            <v/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  <cell r="AL922" t="str">
            <v/>
          </cell>
          <cell r="AM922" t="str">
            <v/>
          </cell>
          <cell r="AN922">
            <v>20.03</v>
          </cell>
        </row>
        <row r="923">
          <cell r="B923" t="str">
            <v>GL502272</v>
          </cell>
          <cell r="C923" t="str">
            <v>SM 站点管理部</v>
          </cell>
          <cell r="D923" t="str">
            <v>产品运营组</v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  <cell r="AL923" t="str">
            <v/>
          </cell>
          <cell r="AM923" t="str">
            <v/>
          </cell>
          <cell r="AN923">
            <v>0</v>
          </cell>
        </row>
        <row r="924">
          <cell r="B924" t="str">
            <v>GL502634</v>
          </cell>
          <cell r="C924" t="str">
            <v>Ground项目部</v>
          </cell>
          <cell r="D924" t="str">
            <v>OG 美西区</v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  <cell r="AG924" t="str">
            <v/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  <cell r="AL924" t="str">
            <v/>
          </cell>
          <cell r="AM924" t="str">
            <v/>
          </cell>
          <cell r="AN924">
            <v>16.6</v>
          </cell>
        </row>
        <row r="925">
          <cell r="B925" t="str">
            <v>GL500688</v>
          </cell>
          <cell r="C925" t="str">
            <v>NE 东北大区</v>
          </cell>
          <cell r="D925" t="str">
            <v>EWR01</v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  <cell r="AG925" t="str">
            <v/>
          </cell>
          <cell r="AH925" t="str">
            <v/>
          </cell>
          <cell r="AI925" t="str">
            <v/>
          </cell>
          <cell r="AJ925" t="str">
            <v/>
          </cell>
          <cell r="AK925" t="str">
            <v/>
          </cell>
          <cell r="AL925" t="str">
            <v/>
          </cell>
          <cell r="AM925" t="str">
            <v/>
          </cell>
          <cell r="AN925">
            <v>9.3</v>
          </cell>
        </row>
        <row r="926">
          <cell r="B926" t="str">
            <v>GL502818</v>
          </cell>
          <cell r="C926" t="str">
            <v>Ground项目部</v>
          </cell>
          <cell r="D926" t="str">
            <v>OG 美中区</v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  <cell r="AG926" t="str">
            <v/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  <cell r="AL926" t="str">
            <v/>
          </cell>
          <cell r="AM926" t="str">
            <v/>
          </cell>
          <cell r="AN926">
            <v>8.23</v>
          </cell>
        </row>
        <row r="927">
          <cell r="B927" t="str">
            <v>GL502659</v>
          </cell>
          <cell r="C927" t="str">
            <v>GL 大湖大区</v>
          </cell>
          <cell r="D927" t="str">
            <v>ORD.H</v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  <cell r="AG927" t="str">
            <v/>
          </cell>
          <cell r="AH927" t="str">
            <v/>
          </cell>
          <cell r="AI927" t="str">
            <v/>
          </cell>
          <cell r="AJ927" t="str">
            <v/>
          </cell>
          <cell r="AK927" t="str">
            <v/>
          </cell>
          <cell r="AL927" t="str">
            <v/>
          </cell>
          <cell r="AM927" t="str">
            <v/>
          </cell>
          <cell r="AN927">
            <v>18.51</v>
          </cell>
        </row>
        <row r="928">
          <cell r="B928" t="str">
            <v>GL502537</v>
          </cell>
          <cell r="C928" t="str">
            <v>FL 佛州大区</v>
          </cell>
          <cell r="D928" t="str">
            <v>运营支持部</v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  <cell r="AG928" t="str">
            <v/>
          </cell>
          <cell r="AH928" t="str">
            <v/>
          </cell>
          <cell r="AI928" t="str">
            <v/>
          </cell>
          <cell r="AJ928" t="str">
            <v/>
          </cell>
          <cell r="AK928" t="str">
            <v/>
          </cell>
          <cell r="AL928" t="str">
            <v/>
          </cell>
          <cell r="AM928" t="str">
            <v/>
          </cell>
          <cell r="AN928">
            <v>18.43</v>
          </cell>
        </row>
        <row r="929">
          <cell r="B929" t="str">
            <v>GL500837</v>
          </cell>
          <cell r="C929" t="str">
            <v>CM 运力管理部</v>
          </cell>
          <cell r="D929" t="str">
            <v>美中运力组</v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  <cell r="AG929" t="str">
            <v/>
          </cell>
          <cell r="AH929" t="str">
            <v/>
          </cell>
          <cell r="AI929" t="str">
            <v/>
          </cell>
          <cell r="AJ929" t="str">
            <v/>
          </cell>
          <cell r="AK929" t="str">
            <v/>
          </cell>
          <cell r="AL929" t="str">
            <v/>
          </cell>
          <cell r="AM929" t="str">
            <v/>
          </cell>
          <cell r="AN929">
            <v>6.78</v>
          </cell>
        </row>
        <row r="930">
          <cell r="B930" t="str">
            <v>GL502676</v>
          </cell>
          <cell r="C930" t="str">
            <v>MS 中南大区</v>
          </cell>
          <cell r="D930" t="str">
            <v>揽收部</v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  <cell r="AG930" t="str">
            <v/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  <cell r="AL930" t="str">
            <v/>
          </cell>
          <cell r="AM930" t="str">
            <v/>
          </cell>
          <cell r="AN930">
            <v>22.22</v>
          </cell>
        </row>
        <row r="931">
          <cell r="B931" t="str">
            <v>GL502641</v>
          </cell>
          <cell r="C931" t="str">
            <v>TX 德州大区</v>
          </cell>
          <cell r="D931" t="str">
            <v>运营支持部</v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  <cell r="AL931" t="str">
            <v/>
          </cell>
          <cell r="AM931" t="str">
            <v/>
          </cell>
          <cell r="AN931">
            <v>0</v>
          </cell>
        </row>
        <row r="932">
          <cell r="B932" t="str">
            <v>GL502621</v>
          </cell>
          <cell r="C932" t="str">
            <v>GL 大湖大区</v>
          </cell>
          <cell r="D932" t="str">
            <v>运营支持部</v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  <cell r="AG932" t="str">
            <v/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  <cell r="AL932" t="str">
            <v/>
          </cell>
          <cell r="AM932" t="str">
            <v/>
          </cell>
          <cell r="AN932">
            <v>18.45</v>
          </cell>
        </row>
        <row r="933">
          <cell r="B933" t="str">
            <v>GL502427</v>
          </cell>
          <cell r="C933" t="str">
            <v>FL 佛州大区</v>
          </cell>
          <cell r="D933" t="str">
            <v>MF 中佛片区</v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  <cell r="AG933" t="str">
            <v/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  <cell r="AL933" t="str">
            <v/>
          </cell>
          <cell r="AM933" t="str">
            <v/>
          </cell>
          <cell r="AN933">
            <v>17.02</v>
          </cell>
        </row>
        <row r="934">
          <cell r="B934" t="str">
            <v>GL502293</v>
          </cell>
          <cell r="C934" t="str">
            <v>NE 东北大区</v>
          </cell>
          <cell r="D934" t="str">
            <v>运营支持部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  <cell r="AG934" t="str">
            <v/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  <cell r="AL934" t="str">
            <v/>
          </cell>
          <cell r="AM934" t="str">
            <v/>
          </cell>
          <cell r="AN934">
            <v>0</v>
          </cell>
        </row>
        <row r="935">
          <cell r="B935" t="str">
            <v>GL500646</v>
          </cell>
          <cell r="C935" t="str">
            <v>CS 客户服务部</v>
          </cell>
          <cell r="D935" t="str">
            <v>运营分析组</v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  <cell r="AG935" t="str">
            <v/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  <cell r="AL935" t="str">
            <v/>
          </cell>
          <cell r="AM935" t="str">
            <v/>
          </cell>
          <cell r="AN935">
            <v>19.11</v>
          </cell>
        </row>
        <row r="936">
          <cell r="B936" t="str">
            <v>GL502198</v>
          </cell>
          <cell r="C936" t="str">
            <v>MS 中南大区</v>
          </cell>
          <cell r="D936" t="str">
            <v>AS 亚特兰大和南阿拉巴马片区</v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  <cell r="AG936" t="str">
            <v/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  <cell r="AL936" t="str">
            <v/>
          </cell>
          <cell r="AM936" t="str">
            <v/>
          </cell>
          <cell r="AN936">
            <v>18.52</v>
          </cell>
        </row>
        <row r="937">
          <cell r="B937" t="str">
            <v>GL502504</v>
          </cell>
          <cell r="C937" t="str">
            <v>NE 东北大区</v>
          </cell>
          <cell r="D937" t="str">
            <v>EWR.H</v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  <cell r="AL937" t="str">
            <v/>
          </cell>
          <cell r="AM937" t="str">
            <v/>
          </cell>
          <cell r="AN937">
            <v>17.42</v>
          </cell>
        </row>
        <row r="938">
          <cell r="B938" t="str">
            <v>GL500042</v>
          </cell>
          <cell r="C938" t="str">
            <v>Ground项目部</v>
          </cell>
          <cell r="D938" t="str">
            <v>OG 美西区</v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  <cell r="AG938" t="str">
            <v/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  <cell r="AL938" t="str">
            <v/>
          </cell>
          <cell r="AM938" t="str">
            <v/>
          </cell>
          <cell r="AN938">
            <v>17.84</v>
          </cell>
        </row>
        <row r="939">
          <cell r="B939" t="str">
            <v>GL500682</v>
          </cell>
          <cell r="C939" t="str">
            <v>NE 东北大区</v>
          </cell>
          <cell r="D939" t="str">
            <v>EWR.H</v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  <cell r="AG939" t="str">
            <v/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  <cell r="AL939" t="str">
            <v/>
          </cell>
          <cell r="AM939" t="str">
            <v/>
          </cell>
          <cell r="AN939">
            <v>10.93</v>
          </cell>
        </row>
        <row r="940">
          <cell r="B940" t="str">
            <v>GL501027</v>
          </cell>
          <cell r="C940" t="str">
            <v>NE 东北大区</v>
          </cell>
          <cell r="D940" t="str">
            <v>EWR.H</v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  <cell r="AG940" t="str">
            <v/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  <cell r="AL940" t="str">
            <v/>
          </cell>
          <cell r="AM940" t="str">
            <v/>
          </cell>
          <cell r="AN940">
            <v>18.5</v>
          </cell>
        </row>
        <row r="941">
          <cell r="B941" t="str">
            <v>GL501598</v>
          </cell>
          <cell r="C941" t="str">
            <v>MS 中南大区</v>
          </cell>
          <cell r="D941" t="str">
            <v>ATL.H</v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  <cell r="AG941" t="str">
            <v/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  <cell r="AL941" t="str">
            <v/>
          </cell>
          <cell r="AM941" t="str">
            <v/>
          </cell>
          <cell r="AN941">
            <v>0</v>
          </cell>
        </row>
        <row r="942">
          <cell r="B942" t="str">
            <v>GL502452</v>
          </cell>
          <cell r="C942" t="str">
            <v>GL 大湖大区</v>
          </cell>
          <cell r="D942" t="str">
            <v>ORD.H</v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  <cell r="AG942" t="str">
            <v/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  <cell r="AL942" t="str">
            <v/>
          </cell>
          <cell r="AM942" t="str">
            <v/>
          </cell>
          <cell r="AN942">
            <v>14.61</v>
          </cell>
        </row>
        <row r="943">
          <cell r="B943" t="str">
            <v>GL502654</v>
          </cell>
          <cell r="C943" t="str">
            <v>WE 美西大区</v>
          </cell>
          <cell r="D943" t="str">
            <v>DS 丹佛·盐湖城片区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  <cell r="AG943" t="str">
            <v/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  <cell r="AL943" t="str">
            <v/>
          </cell>
          <cell r="AM943" t="str">
            <v/>
          </cell>
          <cell r="AN943">
            <v>0</v>
          </cell>
        </row>
        <row r="944">
          <cell r="B944" t="str">
            <v>GL500674</v>
          </cell>
          <cell r="C944" t="str">
            <v>GL 大湖大区</v>
          </cell>
          <cell r="D944" t="str">
            <v>WG 西大湖片区</v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  <cell r="AG944" t="str">
            <v/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  <cell r="AL944" t="str">
            <v/>
          </cell>
          <cell r="AM944" t="str">
            <v/>
          </cell>
          <cell r="AN944">
            <v>0</v>
          </cell>
        </row>
        <row r="945">
          <cell r="B945" t="str">
            <v>GL500038</v>
          </cell>
          <cell r="C945" t="str">
            <v>NE 东北大区</v>
          </cell>
          <cell r="D945" t="str">
            <v>揽收部</v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  <cell r="AL945" t="str">
            <v/>
          </cell>
          <cell r="AM945" t="str">
            <v/>
          </cell>
          <cell r="AN945">
            <v>20.97</v>
          </cell>
        </row>
        <row r="946">
          <cell r="B946" t="str">
            <v>GL501498</v>
          </cell>
          <cell r="C946" t="str">
            <v>FL 佛州大区</v>
          </cell>
          <cell r="D946" t="str">
            <v>MIA01</v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  <cell r="AA946" t="str">
            <v/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  <cell r="AG946" t="str">
            <v/>
          </cell>
          <cell r="AH946" t="str">
            <v/>
          </cell>
          <cell r="AI946" t="str">
            <v/>
          </cell>
          <cell r="AJ946" t="str">
            <v/>
          </cell>
          <cell r="AK946" t="str">
            <v/>
          </cell>
          <cell r="AL946" t="str">
            <v/>
          </cell>
          <cell r="AM946" t="str">
            <v/>
          </cell>
          <cell r="AN946">
            <v>8.6</v>
          </cell>
        </row>
        <row r="947">
          <cell r="B947" t="str">
            <v>GL501965</v>
          </cell>
          <cell r="C947" t="str">
            <v>WE 美西大区</v>
          </cell>
          <cell r="D947" t="str">
            <v>CNO.H</v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  <cell r="AA947" t="str">
            <v/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  <cell r="AG947" t="str">
            <v/>
          </cell>
          <cell r="AH947" t="str">
            <v/>
          </cell>
          <cell r="AI947" t="str">
            <v/>
          </cell>
          <cell r="AJ947" t="str">
            <v/>
          </cell>
          <cell r="AK947" t="str">
            <v/>
          </cell>
          <cell r="AL947" t="str">
            <v/>
          </cell>
          <cell r="AM947" t="str">
            <v/>
          </cell>
          <cell r="AN947">
            <v>17.32</v>
          </cell>
        </row>
        <row r="948">
          <cell r="B948" t="str">
            <v>GL500614</v>
          </cell>
          <cell r="C948" t="str">
            <v>NE 东北大区</v>
          </cell>
          <cell r="D948" t="str">
            <v>JFK.H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  <cell r="AA948" t="str">
            <v/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  <cell r="AG948" t="str">
            <v/>
          </cell>
          <cell r="AH948" t="str">
            <v/>
          </cell>
          <cell r="AI948" t="str">
            <v/>
          </cell>
          <cell r="AJ948" t="str">
            <v/>
          </cell>
          <cell r="AK948" t="str">
            <v/>
          </cell>
          <cell r="AL948" t="str">
            <v/>
          </cell>
          <cell r="AM948" t="str">
            <v/>
          </cell>
          <cell r="AN948">
            <v>12.88</v>
          </cell>
        </row>
        <row r="949">
          <cell r="B949" t="str">
            <v>GL502817</v>
          </cell>
          <cell r="C949" t="str">
            <v>FL 佛州大区</v>
          </cell>
          <cell r="D949" t="str">
            <v>运营支持部</v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  <cell r="AA949" t="str">
            <v/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  <cell r="AG949" t="str">
            <v/>
          </cell>
          <cell r="AH949" t="str">
            <v/>
          </cell>
          <cell r="AI949" t="str">
            <v/>
          </cell>
          <cell r="AJ949" t="str">
            <v/>
          </cell>
          <cell r="AK949" t="str">
            <v/>
          </cell>
          <cell r="AL949" t="str">
            <v/>
          </cell>
          <cell r="AM949" t="str">
            <v/>
          </cell>
          <cell r="AN949">
            <v>8.08</v>
          </cell>
        </row>
        <row r="950">
          <cell r="B950" t="str">
            <v>GL501459</v>
          </cell>
          <cell r="C950" t="str">
            <v>NE 东北大区</v>
          </cell>
          <cell r="D950" t="str">
            <v>EWR.H</v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  <cell r="AA950" t="str">
            <v/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  <cell r="AG950" t="str">
            <v/>
          </cell>
          <cell r="AH950" t="str">
            <v/>
          </cell>
          <cell r="AI950" t="str">
            <v/>
          </cell>
          <cell r="AJ950" t="str">
            <v/>
          </cell>
          <cell r="AK950" t="str">
            <v/>
          </cell>
          <cell r="AL950" t="str">
            <v/>
          </cell>
          <cell r="AM950" t="str">
            <v/>
          </cell>
          <cell r="AN950">
            <v>17.08</v>
          </cell>
        </row>
        <row r="951">
          <cell r="B951" t="str">
            <v>GL501490</v>
          </cell>
          <cell r="C951" t="str">
            <v>SM 站点管理部</v>
          </cell>
          <cell r="D951" t="str">
            <v>站点实施组</v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  <cell r="AA951" t="str">
            <v/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  <cell r="AG951" t="str">
            <v/>
          </cell>
          <cell r="AH951" t="str">
            <v/>
          </cell>
          <cell r="AI951" t="str">
            <v/>
          </cell>
          <cell r="AJ951" t="str">
            <v/>
          </cell>
          <cell r="AK951" t="str">
            <v/>
          </cell>
          <cell r="AL951" t="str">
            <v/>
          </cell>
          <cell r="AM951" t="str">
            <v/>
          </cell>
          <cell r="AN951">
            <v>0</v>
          </cell>
        </row>
        <row r="952">
          <cell r="B952" t="str">
            <v>GL500493</v>
          </cell>
          <cell r="C952" t="str">
            <v>DO 数字运营部</v>
          </cell>
          <cell r="D952" t="str">
            <v>美国项目交付组</v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  <cell r="AA952" t="str">
            <v/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  <cell r="AG952" t="str">
            <v/>
          </cell>
          <cell r="AH952" t="str">
            <v/>
          </cell>
          <cell r="AI952" t="str">
            <v/>
          </cell>
          <cell r="AJ952" t="str">
            <v/>
          </cell>
          <cell r="AK952" t="str">
            <v/>
          </cell>
          <cell r="AL952" t="str">
            <v/>
          </cell>
          <cell r="AM952" t="str">
            <v/>
          </cell>
          <cell r="AN952">
            <v>8</v>
          </cell>
        </row>
        <row r="953">
          <cell r="B953" t="str">
            <v>GL500855</v>
          </cell>
          <cell r="C953" t="str">
            <v>US人力资源部</v>
          </cell>
          <cell r="D953" t="str">
            <v>美洲HRBP组</v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  <cell r="AA953" t="str">
            <v/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  <cell r="AG953" t="str">
            <v/>
          </cell>
          <cell r="AH953" t="str">
            <v/>
          </cell>
          <cell r="AI953" t="str">
            <v/>
          </cell>
          <cell r="AJ953" t="str">
            <v/>
          </cell>
          <cell r="AK953" t="str">
            <v/>
          </cell>
          <cell r="AL953" t="str">
            <v/>
          </cell>
          <cell r="AM953" t="str">
            <v/>
          </cell>
          <cell r="AN953">
            <v>16</v>
          </cell>
        </row>
        <row r="954">
          <cell r="B954" t="str">
            <v>GL502197</v>
          </cell>
          <cell r="C954" t="str">
            <v>BM 品牌市场部</v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  <cell r="AA954" t="str">
            <v/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  <cell r="AG954" t="str">
            <v/>
          </cell>
          <cell r="AH954" t="str">
            <v/>
          </cell>
          <cell r="AI954" t="str">
            <v/>
          </cell>
          <cell r="AJ954" t="str">
            <v/>
          </cell>
          <cell r="AK954" t="str">
            <v/>
          </cell>
          <cell r="AL954" t="str">
            <v/>
          </cell>
          <cell r="AM954" t="str">
            <v/>
          </cell>
          <cell r="AN954">
            <v>16.48</v>
          </cell>
        </row>
        <row r="955">
          <cell r="B955" t="str">
            <v>GL501120</v>
          </cell>
          <cell r="C955" t="str">
            <v>FL 佛州大区</v>
          </cell>
          <cell r="D955" t="str">
            <v>运营支持部</v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  <cell r="AA955" t="str">
            <v/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  <cell r="AF955" t="str">
            <v/>
          </cell>
          <cell r="AG955" t="str">
            <v/>
          </cell>
          <cell r="AH955" t="str">
            <v/>
          </cell>
          <cell r="AI955" t="str">
            <v/>
          </cell>
          <cell r="AJ955" t="str">
            <v/>
          </cell>
          <cell r="AK955" t="str">
            <v/>
          </cell>
          <cell r="AL955" t="str">
            <v/>
          </cell>
          <cell r="AM955" t="str">
            <v/>
          </cell>
          <cell r="AN955">
            <v>10.28</v>
          </cell>
        </row>
        <row r="956">
          <cell r="B956" t="str">
            <v>GL501580</v>
          </cell>
          <cell r="C956" t="str">
            <v>MS 中南大区</v>
          </cell>
          <cell r="D956" t="str">
            <v>ATL.H</v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  <cell r="AA956" t="str">
            <v/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  <cell r="AG956" t="str">
            <v/>
          </cell>
          <cell r="AH956" t="str">
            <v/>
          </cell>
          <cell r="AI956" t="str">
            <v/>
          </cell>
          <cell r="AJ956" t="str">
            <v/>
          </cell>
          <cell r="AK956" t="str">
            <v/>
          </cell>
          <cell r="AL956" t="str">
            <v/>
          </cell>
          <cell r="AM956" t="str">
            <v/>
          </cell>
          <cell r="AN956">
            <v>0</v>
          </cell>
        </row>
        <row r="957">
          <cell r="B957" t="str">
            <v>GL502810</v>
          </cell>
          <cell r="C957" t="str">
            <v>MS 中南大区</v>
          </cell>
          <cell r="D957" t="str">
            <v>车辆管理部</v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  <cell r="AA957" t="str">
            <v/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  <cell r="AG957" t="str">
            <v/>
          </cell>
          <cell r="AH957" t="str">
            <v/>
          </cell>
          <cell r="AI957" t="str">
            <v/>
          </cell>
          <cell r="AJ957" t="str">
            <v/>
          </cell>
          <cell r="AK957" t="str">
            <v/>
          </cell>
          <cell r="AL957" t="str">
            <v/>
          </cell>
          <cell r="AM957" t="str">
            <v/>
          </cell>
          <cell r="AN957">
            <v>17.23</v>
          </cell>
        </row>
        <row r="958">
          <cell r="B958" t="str">
            <v>GL500558</v>
          </cell>
          <cell r="C958" t="str">
            <v>Ground项目部</v>
          </cell>
          <cell r="D958" t="str">
            <v>OG 美东区</v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  <cell r="AA958" t="str">
            <v/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  <cell r="AG958" t="str">
            <v/>
          </cell>
          <cell r="AH958" t="str">
            <v/>
          </cell>
          <cell r="AI958" t="str">
            <v/>
          </cell>
          <cell r="AJ958" t="str">
            <v/>
          </cell>
          <cell r="AK958" t="str">
            <v/>
          </cell>
          <cell r="AL958" t="str">
            <v/>
          </cell>
          <cell r="AM958" t="str">
            <v/>
          </cell>
          <cell r="AN958">
            <v>16.22</v>
          </cell>
        </row>
        <row r="959">
          <cell r="B959" t="str">
            <v>GL501463</v>
          </cell>
          <cell r="C959" t="str">
            <v>MS 中南大区</v>
          </cell>
          <cell r="D959" t="str">
            <v>CS 夏洛特及周边片区</v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  <cell r="AA959" t="str">
            <v/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  <cell r="AG959" t="str">
            <v/>
          </cell>
          <cell r="AH959" t="str">
            <v/>
          </cell>
          <cell r="AI959" t="str">
            <v/>
          </cell>
          <cell r="AJ959" t="str">
            <v/>
          </cell>
          <cell r="AK959" t="str">
            <v/>
          </cell>
          <cell r="AL959" t="str">
            <v/>
          </cell>
          <cell r="AM959" t="str">
            <v/>
          </cell>
          <cell r="AN959">
            <v>0</v>
          </cell>
        </row>
        <row r="960">
          <cell r="B960" t="str">
            <v>GL500183</v>
          </cell>
          <cell r="C960" t="str">
            <v>TX 德州大区</v>
          </cell>
          <cell r="D960" t="str">
            <v>CT 中德州片区</v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  <cell r="AA960" t="str">
            <v/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  <cell r="AF960" t="str">
            <v/>
          </cell>
          <cell r="AG960" t="str">
            <v/>
          </cell>
          <cell r="AH960" t="str">
            <v/>
          </cell>
          <cell r="AI960" t="str">
            <v/>
          </cell>
          <cell r="AJ960" t="str">
            <v/>
          </cell>
          <cell r="AK960" t="str">
            <v/>
          </cell>
          <cell r="AL960" t="str">
            <v/>
          </cell>
          <cell r="AM960" t="str">
            <v/>
          </cell>
          <cell r="AN960">
            <v>16.38</v>
          </cell>
        </row>
        <row r="961">
          <cell r="B961" t="str">
            <v>GL500746</v>
          </cell>
          <cell r="C961" t="str">
            <v>GL 大湖大区</v>
          </cell>
          <cell r="D961" t="str">
            <v>IND01</v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  <cell r="AA961" t="str">
            <v/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  <cell r="AG961" t="str">
            <v/>
          </cell>
          <cell r="AH961" t="str">
            <v/>
          </cell>
          <cell r="AI961" t="str">
            <v/>
          </cell>
          <cell r="AJ961" t="str">
            <v/>
          </cell>
          <cell r="AK961" t="str">
            <v/>
          </cell>
          <cell r="AL961" t="str">
            <v/>
          </cell>
          <cell r="AM961" t="str">
            <v/>
          </cell>
          <cell r="AN961">
            <v>18.18</v>
          </cell>
        </row>
        <row r="962">
          <cell r="B962" t="str">
            <v>GL501636</v>
          </cell>
          <cell r="C962" t="str">
            <v>FL 佛州大区</v>
          </cell>
          <cell r="D962" t="str">
            <v>MIA.H</v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  <cell r="AA962" t="str">
            <v/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  <cell r="AG962" t="str">
            <v/>
          </cell>
          <cell r="AH962" t="str">
            <v/>
          </cell>
          <cell r="AI962" t="str">
            <v/>
          </cell>
          <cell r="AJ962" t="str">
            <v/>
          </cell>
          <cell r="AK962" t="str">
            <v/>
          </cell>
          <cell r="AL962" t="str">
            <v/>
          </cell>
          <cell r="AM962" t="str">
            <v/>
          </cell>
          <cell r="AN962">
            <v>17</v>
          </cell>
        </row>
        <row r="963">
          <cell r="B963" t="str">
            <v>GL501694</v>
          </cell>
          <cell r="C963" t="str">
            <v>MS 中南大区</v>
          </cell>
          <cell r="D963" t="str">
            <v>运营支持部</v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  <cell r="AA963" t="str">
            <v/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  <cell r="AF963" t="str">
            <v/>
          </cell>
          <cell r="AG963" t="str">
            <v/>
          </cell>
          <cell r="AH963" t="str">
            <v/>
          </cell>
          <cell r="AI963" t="str">
            <v/>
          </cell>
          <cell r="AJ963" t="str">
            <v/>
          </cell>
          <cell r="AK963" t="str">
            <v/>
          </cell>
          <cell r="AL963" t="str">
            <v/>
          </cell>
          <cell r="AM963" t="str">
            <v/>
          </cell>
          <cell r="AN963">
            <v>0</v>
          </cell>
        </row>
        <row r="964">
          <cell r="B964" t="str">
            <v>GL500540</v>
          </cell>
          <cell r="C964" t="str">
            <v>NE 东北大区</v>
          </cell>
          <cell r="D964" t="str">
            <v>揽收部</v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  <cell r="AA964" t="str">
            <v/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  <cell r="AG964" t="str">
            <v/>
          </cell>
          <cell r="AH964" t="str">
            <v/>
          </cell>
          <cell r="AI964" t="str">
            <v/>
          </cell>
          <cell r="AJ964" t="str">
            <v/>
          </cell>
          <cell r="AK964" t="str">
            <v/>
          </cell>
          <cell r="AL964" t="str">
            <v/>
          </cell>
          <cell r="AM964" t="str">
            <v/>
          </cell>
          <cell r="AN964">
            <v>0</v>
          </cell>
        </row>
        <row r="965">
          <cell r="B965" t="str">
            <v>GL500336</v>
          </cell>
          <cell r="C965" t="str">
            <v>AD 行政部</v>
          </cell>
          <cell r="D965" t="str">
            <v>美东组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  <cell r="AA965" t="str">
            <v/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  <cell r="AG965" t="str">
            <v/>
          </cell>
          <cell r="AH965" t="str">
            <v/>
          </cell>
          <cell r="AI965" t="str">
            <v/>
          </cell>
          <cell r="AJ965" t="str">
            <v/>
          </cell>
          <cell r="AK965" t="str">
            <v/>
          </cell>
          <cell r="AL965" t="str">
            <v/>
          </cell>
          <cell r="AM965" t="str">
            <v/>
          </cell>
          <cell r="AN965">
            <v>7.7</v>
          </cell>
        </row>
        <row r="966">
          <cell r="B966" t="str">
            <v>GL501638</v>
          </cell>
          <cell r="C966" t="str">
            <v>TX 德州大区</v>
          </cell>
          <cell r="D966" t="str">
            <v>揽收部</v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  <cell r="AA966" t="str">
            <v/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  <cell r="AG966" t="str">
            <v/>
          </cell>
          <cell r="AH966" t="str">
            <v/>
          </cell>
          <cell r="AI966" t="str">
            <v/>
          </cell>
          <cell r="AJ966" t="str">
            <v/>
          </cell>
          <cell r="AK966" t="str">
            <v/>
          </cell>
          <cell r="AL966" t="str">
            <v/>
          </cell>
          <cell r="AM966" t="str">
            <v/>
          </cell>
          <cell r="AN966">
            <v>16.5</v>
          </cell>
        </row>
        <row r="967">
          <cell r="B967" t="str">
            <v>GL500617</v>
          </cell>
          <cell r="C967" t="str">
            <v>NE 东北大区</v>
          </cell>
          <cell r="D967" t="str">
            <v>JFK.H</v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  <cell r="AA967" t="str">
            <v/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  <cell r="AG967" t="str">
            <v/>
          </cell>
          <cell r="AH967" t="str">
            <v/>
          </cell>
          <cell r="AI967" t="str">
            <v/>
          </cell>
          <cell r="AJ967" t="str">
            <v/>
          </cell>
          <cell r="AK967" t="str">
            <v/>
          </cell>
          <cell r="AL967" t="str">
            <v/>
          </cell>
          <cell r="AM967" t="str">
            <v/>
          </cell>
          <cell r="AN967">
            <v>13.23</v>
          </cell>
        </row>
        <row r="968">
          <cell r="B968" t="str">
            <v>GL502632</v>
          </cell>
          <cell r="C968" t="str">
            <v>NE 东北大区</v>
          </cell>
          <cell r="D968" t="str">
            <v>EWR.H</v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  <cell r="AA968" t="str">
            <v/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  <cell r="AG968" t="str">
            <v/>
          </cell>
          <cell r="AH968" t="str">
            <v/>
          </cell>
          <cell r="AI968" t="str">
            <v/>
          </cell>
          <cell r="AJ968" t="str">
            <v/>
          </cell>
          <cell r="AK968" t="str">
            <v/>
          </cell>
          <cell r="AL968" t="str">
            <v/>
          </cell>
          <cell r="AM968" t="str">
            <v/>
          </cell>
          <cell r="AN968">
            <v>21.38</v>
          </cell>
        </row>
        <row r="969">
          <cell r="B969" t="str">
            <v>GL502893</v>
          </cell>
          <cell r="C969" t="str">
            <v>GL 大湖大区</v>
          </cell>
          <cell r="D969" t="str">
            <v>EG 东大湖片区</v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  <cell r="AA969" t="str">
            <v/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  <cell r="AG969" t="str">
            <v/>
          </cell>
          <cell r="AH969" t="str">
            <v/>
          </cell>
          <cell r="AI969" t="str">
            <v/>
          </cell>
          <cell r="AJ969" t="str">
            <v/>
          </cell>
          <cell r="AK969" t="str">
            <v/>
          </cell>
          <cell r="AL969" t="str">
            <v/>
          </cell>
          <cell r="AM969" t="str">
            <v/>
          </cell>
          <cell r="AN969">
            <v>0</v>
          </cell>
        </row>
        <row r="970">
          <cell r="B970" t="str">
            <v>GL500066</v>
          </cell>
          <cell r="C970" t="str">
            <v>GL 大湖大区</v>
          </cell>
          <cell r="D970" t="str">
            <v>EG 东大湖片区</v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  <cell r="AA970" t="str">
            <v/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  <cell r="AG970" t="str">
            <v/>
          </cell>
          <cell r="AH970" t="str">
            <v/>
          </cell>
          <cell r="AI970" t="str">
            <v/>
          </cell>
          <cell r="AJ970" t="str">
            <v/>
          </cell>
          <cell r="AK970" t="str">
            <v/>
          </cell>
          <cell r="AL970" t="str">
            <v/>
          </cell>
          <cell r="AM970" t="str">
            <v/>
          </cell>
          <cell r="AN970">
            <v>0</v>
          </cell>
        </row>
        <row r="971">
          <cell r="B971" t="str">
            <v>GL502523</v>
          </cell>
          <cell r="C971" t="str">
            <v>GL 大湖大区</v>
          </cell>
          <cell r="D971" t="str">
            <v>NM 中西部北片区</v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  <cell r="AA971" t="str">
            <v/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  <cell r="AG971" t="str">
            <v/>
          </cell>
          <cell r="AH971" t="str">
            <v/>
          </cell>
          <cell r="AI971" t="str">
            <v/>
          </cell>
          <cell r="AJ971" t="str">
            <v/>
          </cell>
          <cell r="AK971" t="str">
            <v/>
          </cell>
          <cell r="AL971" t="str">
            <v/>
          </cell>
          <cell r="AM971" t="str">
            <v/>
          </cell>
          <cell r="AN971">
            <v>0</v>
          </cell>
        </row>
        <row r="972">
          <cell r="B972" t="str">
            <v>GL500543</v>
          </cell>
          <cell r="C972" t="str">
            <v>NE 东北大区</v>
          </cell>
          <cell r="D972" t="str">
            <v>DC 华盛顿片区</v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  <cell r="AA972" t="str">
            <v/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  <cell r="AG972" t="str">
            <v/>
          </cell>
          <cell r="AH972" t="str">
            <v/>
          </cell>
          <cell r="AI972" t="str">
            <v/>
          </cell>
          <cell r="AJ972" t="str">
            <v/>
          </cell>
          <cell r="AK972" t="str">
            <v/>
          </cell>
          <cell r="AL972" t="str">
            <v/>
          </cell>
          <cell r="AM972" t="str">
            <v/>
          </cell>
          <cell r="AN972">
            <v>8.12</v>
          </cell>
        </row>
        <row r="973">
          <cell r="B973" t="str">
            <v>GL501653</v>
          </cell>
          <cell r="C973" t="str">
            <v>NE 东北大区</v>
          </cell>
          <cell r="D973" t="str">
            <v>BN 布法罗片区</v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  <cell r="AA973" t="str">
            <v/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  <cell r="AG973" t="str">
            <v/>
          </cell>
          <cell r="AH973" t="str">
            <v/>
          </cell>
          <cell r="AI973" t="str">
            <v/>
          </cell>
          <cell r="AJ973" t="str">
            <v/>
          </cell>
          <cell r="AK973" t="str">
            <v/>
          </cell>
          <cell r="AL973" t="str">
            <v/>
          </cell>
          <cell r="AM973" t="str">
            <v/>
          </cell>
          <cell r="AN973">
            <v>0</v>
          </cell>
        </row>
        <row r="974">
          <cell r="B974" t="str">
            <v>GL501526</v>
          </cell>
          <cell r="C974" t="str">
            <v>TX 德州大区</v>
          </cell>
          <cell r="D974" t="str">
            <v>CT 中德州片区</v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  <cell r="AA974" t="str">
            <v/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  <cell r="AG974" t="str">
            <v/>
          </cell>
          <cell r="AH974" t="str">
            <v/>
          </cell>
          <cell r="AI974" t="str">
            <v/>
          </cell>
          <cell r="AJ974" t="str">
            <v/>
          </cell>
          <cell r="AK974" t="str">
            <v/>
          </cell>
          <cell r="AL974" t="str">
            <v/>
          </cell>
          <cell r="AM974" t="str">
            <v/>
          </cell>
          <cell r="AN974">
            <v>7.75</v>
          </cell>
        </row>
        <row r="975">
          <cell r="B975" t="str">
            <v>GL500747</v>
          </cell>
          <cell r="C975" t="str">
            <v>GL 大湖大区</v>
          </cell>
          <cell r="D975" t="str">
            <v>ORD.H</v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  <cell r="AA975" t="str">
            <v/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  <cell r="AF975" t="str">
            <v/>
          </cell>
          <cell r="AG975" t="str">
            <v/>
          </cell>
          <cell r="AH975" t="str">
            <v/>
          </cell>
          <cell r="AI975" t="str">
            <v/>
          </cell>
          <cell r="AJ975" t="str">
            <v/>
          </cell>
          <cell r="AK975" t="str">
            <v/>
          </cell>
          <cell r="AL975" t="str">
            <v/>
          </cell>
          <cell r="AM975" t="str">
            <v/>
          </cell>
          <cell r="AN975">
            <v>10.1</v>
          </cell>
        </row>
        <row r="976">
          <cell r="B976" t="str">
            <v>GL502653</v>
          </cell>
          <cell r="C976" t="str">
            <v>TX 德州大区</v>
          </cell>
          <cell r="D976" t="str">
            <v>运营支持部</v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  <cell r="AA976" t="str">
            <v/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  <cell r="AG976" t="str">
            <v/>
          </cell>
          <cell r="AH976" t="str">
            <v/>
          </cell>
          <cell r="AI976" t="str">
            <v/>
          </cell>
          <cell r="AJ976" t="str">
            <v/>
          </cell>
          <cell r="AK976" t="str">
            <v/>
          </cell>
          <cell r="AL976" t="str">
            <v/>
          </cell>
          <cell r="AM976" t="str">
            <v/>
          </cell>
          <cell r="AN976">
            <v>8.43</v>
          </cell>
        </row>
        <row r="977">
          <cell r="B977" t="str">
            <v>GL501770</v>
          </cell>
          <cell r="C977" t="str">
            <v>FL 佛州大区</v>
          </cell>
          <cell r="D977" t="str">
            <v>MF 中佛片区</v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  <cell r="AA977" t="str">
            <v/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  <cell r="AG977" t="str">
            <v/>
          </cell>
          <cell r="AH977" t="str">
            <v/>
          </cell>
          <cell r="AI977" t="str">
            <v/>
          </cell>
          <cell r="AJ977" t="str">
            <v/>
          </cell>
          <cell r="AK977" t="str">
            <v/>
          </cell>
          <cell r="AL977" t="str">
            <v/>
          </cell>
          <cell r="AM977" t="str">
            <v/>
          </cell>
          <cell r="AN977">
            <v>8.57</v>
          </cell>
        </row>
        <row r="978">
          <cell r="B978" t="str">
            <v>GL502600</v>
          </cell>
          <cell r="C978" t="str">
            <v>NE 东北大区</v>
          </cell>
          <cell r="D978" t="str">
            <v>EWR.H</v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  <cell r="AA978" t="str">
            <v/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  <cell r="AG978" t="str">
            <v/>
          </cell>
          <cell r="AH978" t="str">
            <v/>
          </cell>
          <cell r="AI978" t="str">
            <v/>
          </cell>
          <cell r="AJ978" t="str">
            <v/>
          </cell>
          <cell r="AK978" t="str">
            <v/>
          </cell>
          <cell r="AL978" t="str">
            <v/>
          </cell>
          <cell r="AM978" t="str">
            <v/>
          </cell>
          <cell r="AN978">
            <v>7.98</v>
          </cell>
        </row>
        <row r="979">
          <cell r="B979" t="str">
            <v>GL502266</v>
          </cell>
          <cell r="C979" t="str">
            <v>GL 大湖大区</v>
          </cell>
          <cell r="D979" t="str">
            <v>ORD.H</v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  <cell r="AA979" t="str">
            <v/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  <cell r="AF979" t="str">
            <v/>
          </cell>
          <cell r="AG979" t="str">
            <v/>
          </cell>
          <cell r="AH979" t="str">
            <v/>
          </cell>
          <cell r="AI979" t="str">
            <v/>
          </cell>
          <cell r="AJ979" t="str">
            <v/>
          </cell>
          <cell r="AK979" t="str">
            <v/>
          </cell>
          <cell r="AL979" t="str">
            <v/>
          </cell>
          <cell r="AM979" t="str">
            <v/>
          </cell>
          <cell r="AN979">
            <v>0</v>
          </cell>
        </row>
        <row r="980">
          <cell r="B980" t="str">
            <v>GL501509</v>
          </cell>
          <cell r="C980" t="str">
            <v>FL 佛州大区</v>
          </cell>
          <cell r="D980" t="str">
            <v>MCO.H</v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  <cell r="AA980" t="str">
            <v/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  <cell r="AF980" t="str">
            <v/>
          </cell>
          <cell r="AG980" t="str">
            <v/>
          </cell>
          <cell r="AH980" t="str">
            <v/>
          </cell>
          <cell r="AI980" t="str">
            <v/>
          </cell>
          <cell r="AJ980" t="str">
            <v/>
          </cell>
          <cell r="AK980" t="str">
            <v/>
          </cell>
          <cell r="AL980" t="str">
            <v/>
          </cell>
          <cell r="AM980" t="str">
            <v/>
          </cell>
          <cell r="AN980">
            <v>15.85</v>
          </cell>
        </row>
        <row r="981">
          <cell r="B981" t="str">
            <v>GL500556</v>
          </cell>
          <cell r="C981" t="str">
            <v>GL 大湖大区</v>
          </cell>
          <cell r="D981" t="str">
            <v>运营支持部</v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  <cell r="AA981" t="str">
            <v/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  <cell r="AG981" t="str">
            <v/>
          </cell>
          <cell r="AH981" t="str">
            <v/>
          </cell>
          <cell r="AI981" t="str">
            <v/>
          </cell>
          <cell r="AJ981" t="str">
            <v/>
          </cell>
          <cell r="AK981" t="str">
            <v/>
          </cell>
          <cell r="AL981" t="str">
            <v/>
          </cell>
          <cell r="AM981" t="str">
            <v/>
          </cell>
          <cell r="AN981">
            <v>0</v>
          </cell>
        </row>
        <row r="982">
          <cell r="B982" t="str">
            <v>GL501170</v>
          </cell>
          <cell r="C982" t="str">
            <v>CM 运力管理部</v>
          </cell>
          <cell r="D982" t="str">
            <v>自营运力组</v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  <cell r="AA982" t="str">
            <v/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  <cell r="AG982" t="str">
            <v/>
          </cell>
          <cell r="AH982" t="str">
            <v/>
          </cell>
          <cell r="AI982" t="str">
            <v/>
          </cell>
          <cell r="AJ982" t="str">
            <v/>
          </cell>
          <cell r="AK982" t="str">
            <v/>
          </cell>
          <cell r="AL982" t="str">
            <v/>
          </cell>
          <cell r="AM982" t="str">
            <v/>
          </cell>
          <cell r="AN982">
            <v>16.15</v>
          </cell>
        </row>
        <row r="983">
          <cell r="B983" t="str">
            <v>GL502511</v>
          </cell>
          <cell r="C983" t="str">
            <v>TX 德州大区</v>
          </cell>
          <cell r="D983" t="str">
            <v>GC 墨湾片区</v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  <cell r="AA983" t="str">
            <v/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  <cell r="AG983" t="str">
            <v/>
          </cell>
          <cell r="AH983" t="str">
            <v/>
          </cell>
          <cell r="AI983" t="str">
            <v/>
          </cell>
          <cell r="AJ983" t="str">
            <v/>
          </cell>
          <cell r="AK983" t="str">
            <v/>
          </cell>
          <cell r="AL983" t="str">
            <v/>
          </cell>
          <cell r="AM983" t="str">
            <v/>
          </cell>
          <cell r="AN983">
            <v>17.9</v>
          </cell>
        </row>
        <row r="984">
          <cell r="B984" t="str">
            <v>GL502359</v>
          </cell>
          <cell r="C984" t="str">
            <v>CM 运力管理部</v>
          </cell>
          <cell r="D984" t="str">
            <v>美西运力组</v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  <cell r="AA984" t="str">
            <v/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  <cell r="AG984" t="str">
            <v/>
          </cell>
          <cell r="AH984" t="str">
            <v/>
          </cell>
          <cell r="AI984" t="str">
            <v/>
          </cell>
          <cell r="AJ984" t="str">
            <v/>
          </cell>
          <cell r="AK984" t="str">
            <v/>
          </cell>
          <cell r="AL984" t="str">
            <v/>
          </cell>
          <cell r="AM984" t="str">
            <v/>
          </cell>
          <cell r="AN984">
            <v>16.75</v>
          </cell>
        </row>
        <row r="985">
          <cell r="B985" t="str">
            <v>GL500784</v>
          </cell>
          <cell r="C985" t="str">
            <v>FL 佛州大区</v>
          </cell>
          <cell r="D985" t="str">
            <v>SF 南佛片区</v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  <cell r="AA985" t="str">
            <v/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  <cell r="AG985" t="str">
            <v/>
          </cell>
          <cell r="AH985" t="str">
            <v/>
          </cell>
          <cell r="AI985" t="str">
            <v/>
          </cell>
          <cell r="AJ985" t="str">
            <v/>
          </cell>
          <cell r="AK985" t="str">
            <v/>
          </cell>
          <cell r="AL985" t="str">
            <v/>
          </cell>
          <cell r="AM985" t="str">
            <v/>
          </cell>
          <cell r="AN985">
            <v>11.32</v>
          </cell>
        </row>
        <row r="986">
          <cell r="B986" t="str">
            <v>GL501110</v>
          </cell>
          <cell r="C986" t="str">
            <v>NE 东北大区</v>
          </cell>
          <cell r="D986" t="str">
            <v>DC 华盛顿片区</v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  <cell r="AA986" t="str">
            <v/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  <cell r="AF986" t="str">
            <v/>
          </cell>
          <cell r="AG986" t="str">
            <v/>
          </cell>
          <cell r="AH986" t="str">
            <v/>
          </cell>
          <cell r="AI986" t="str">
            <v/>
          </cell>
          <cell r="AJ986" t="str">
            <v/>
          </cell>
          <cell r="AK986" t="str">
            <v/>
          </cell>
          <cell r="AL986" t="str">
            <v/>
          </cell>
          <cell r="AM986" t="str">
            <v/>
          </cell>
          <cell r="AN986">
            <v>0</v>
          </cell>
        </row>
        <row r="987">
          <cell r="B987" t="str">
            <v>GL502326</v>
          </cell>
          <cell r="C987" t="str">
            <v>NE 东北大区</v>
          </cell>
          <cell r="D987" t="str">
            <v>EWR.H</v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  <cell r="AA987" t="str">
            <v/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  <cell r="AG987" t="str">
            <v/>
          </cell>
          <cell r="AH987" t="str">
            <v/>
          </cell>
          <cell r="AI987" t="str">
            <v/>
          </cell>
          <cell r="AJ987" t="str">
            <v/>
          </cell>
          <cell r="AK987" t="str">
            <v/>
          </cell>
          <cell r="AL987" t="str">
            <v/>
          </cell>
          <cell r="AM987" t="str">
            <v/>
          </cell>
          <cell r="AN987">
            <v>11.73</v>
          </cell>
        </row>
        <row r="988">
          <cell r="B988" t="str">
            <v>GL500094</v>
          </cell>
          <cell r="C988" t="str">
            <v>NE 东北大区</v>
          </cell>
          <cell r="D988" t="str">
            <v>EWR.H</v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  <cell r="AA988" t="str">
            <v/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  <cell r="AG988" t="str">
            <v/>
          </cell>
          <cell r="AH988" t="str">
            <v/>
          </cell>
          <cell r="AI988" t="str">
            <v/>
          </cell>
          <cell r="AJ988" t="str">
            <v/>
          </cell>
          <cell r="AK988" t="str">
            <v/>
          </cell>
          <cell r="AL988" t="str">
            <v/>
          </cell>
          <cell r="AM988" t="str">
            <v/>
          </cell>
          <cell r="AN988">
            <v>10</v>
          </cell>
        </row>
        <row r="989">
          <cell r="B989" t="str">
            <v>GL501915</v>
          </cell>
          <cell r="C989" t="str">
            <v>GL 大湖大区</v>
          </cell>
          <cell r="D989" t="str">
            <v>ORD.H</v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  <cell r="AA989" t="str">
            <v/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  <cell r="AG989" t="str">
            <v/>
          </cell>
          <cell r="AH989" t="str">
            <v/>
          </cell>
          <cell r="AI989" t="str">
            <v/>
          </cell>
          <cell r="AJ989" t="str">
            <v/>
          </cell>
          <cell r="AK989" t="str">
            <v/>
          </cell>
          <cell r="AL989" t="str">
            <v/>
          </cell>
          <cell r="AM989" t="str">
            <v/>
          </cell>
          <cell r="AN989">
            <v>21.63</v>
          </cell>
        </row>
        <row r="990">
          <cell r="B990" t="str">
            <v>GL501240</v>
          </cell>
          <cell r="C990" t="str">
            <v>Ground项目部</v>
          </cell>
          <cell r="D990" t="str">
            <v>OG 美西区</v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  <cell r="AA990" t="str">
            <v/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  <cell r="AG990" t="str">
            <v/>
          </cell>
          <cell r="AH990" t="str">
            <v/>
          </cell>
          <cell r="AI990" t="str">
            <v/>
          </cell>
          <cell r="AJ990" t="str">
            <v/>
          </cell>
          <cell r="AK990" t="str">
            <v/>
          </cell>
          <cell r="AL990" t="str">
            <v/>
          </cell>
          <cell r="AM990" t="str">
            <v/>
          </cell>
          <cell r="AN990">
            <v>16.75</v>
          </cell>
        </row>
        <row r="991">
          <cell r="B991" t="str">
            <v>GL502561</v>
          </cell>
          <cell r="C991" t="str">
            <v>WE 美西大区</v>
          </cell>
          <cell r="D991" t="str">
            <v>SP 西雅图·波特兰片区</v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  <cell r="AA991" t="str">
            <v/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  <cell r="AG991" t="str">
            <v/>
          </cell>
          <cell r="AH991" t="str">
            <v/>
          </cell>
          <cell r="AI991" t="str">
            <v/>
          </cell>
          <cell r="AJ991" t="str">
            <v/>
          </cell>
          <cell r="AK991" t="str">
            <v/>
          </cell>
          <cell r="AL991" t="str">
            <v/>
          </cell>
          <cell r="AM991" t="str">
            <v/>
          </cell>
          <cell r="AN991">
            <v>9.33</v>
          </cell>
        </row>
        <row r="992">
          <cell r="B992" t="str">
            <v>GL500093</v>
          </cell>
          <cell r="C992" t="str">
            <v>NE 东北大区</v>
          </cell>
          <cell r="D992" t="str">
            <v>EWR.H</v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  <cell r="AA992" t="str">
            <v/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  <cell r="AG992" t="str">
            <v/>
          </cell>
          <cell r="AH992" t="str">
            <v/>
          </cell>
          <cell r="AI992" t="str">
            <v/>
          </cell>
          <cell r="AJ992" t="str">
            <v/>
          </cell>
          <cell r="AK992" t="str">
            <v/>
          </cell>
          <cell r="AL992" t="str">
            <v/>
          </cell>
          <cell r="AM992" t="str">
            <v/>
          </cell>
          <cell r="AN992">
            <v>20.5</v>
          </cell>
        </row>
        <row r="993">
          <cell r="B993" t="str">
            <v>GL501660</v>
          </cell>
          <cell r="C993" t="str">
            <v>TX 德州大区</v>
          </cell>
          <cell r="D993" t="str">
            <v>NT 北德州片区</v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  <cell r="AA993" t="str">
            <v/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  <cell r="AG993" t="str">
            <v/>
          </cell>
          <cell r="AH993" t="str">
            <v/>
          </cell>
          <cell r="AI993" t="str">
            <v/>
          </cell>
          <cell r="AJ993" t="str">
            <v/>
          </cell>
          <cell r="AK993" t="str">
            <v/>
          </cell>
          <cell r="AL993" t="str">
            <v/>
          </cell>
          <cell r="AM993" t="str">
            <v/>
          </cell>
          <cell r="AN993">
            <v>0</v>
          </cell>
        </row>
        <row r="994">
          <cell r="B994" t="str">
            <v>GL502642</v>
          </cell>
          <cell r="C994" t="str">
            <v>MS 中南大区</v>
          </cell>
          <cell r="D994" t="str">
            <v>ATL.H</v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  <cell r="AA994" t="str">
            <v/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  <cell r="AG994" t="str">
            <v/>
          </cell>
          <cell r="AH994" t="str">
            <v/>
          </cell>
          <cell r="AI994" t="str">
            <v/>
          </cell>
          <cell r="AJ994" t="str">
            <v/>
          </cell>
          <cell r="AK994" t="str">
            <v/>
          </cell>
          <cell r="AL994" t="str">
            <v/>
          </cell>
          <cell r="AM994" t="str">
            <v/>
          </cell>
          <cell r="AN994">
            <v>0</v>
          </cell>
        </row>
        <row r="995">
          <cell r="B995" t="str">
            <v>GL502141</v>
          </cell>
          <cell r="C995" t="str">
            <v>NE 东北大区</v>
          </cell>
          <cell r="D995" t="str">
            <v>DC 华盛顿片区</v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  <cell r="AA995" t="str">
            <v/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  <cell r="AG995" t="str">
            <v/>
          </cell>
          <cell r="AH995" t="str">
            <v/>
          </cell>
          <cell r="AI995" t="str">
            <v/>
          </cell>
          <cell r="AJ995" t="str">
            <v/>
          </cell>
          <cell r="AK995" t="str">
            <v/>
          </cell>
          <cell r="AL995" t="str">
            <v/>
          </cell>
          <cell r="AM995" t="str">
            <v/>
          </cell>
          <cell r="AN995">
            <v>0</v>
          </cell>
        </row>
        <row r="996">
          <cell r="B996" t="str">
            <v>GL501822</v>
          </cell>
          <cell r="C996" t="str">
            <v>WE 美西大区</v>
          </cell>
          <cell r="D996" t="str">
            <v>运营支持部</v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  <cell r="AA996" t="str">
            <v/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  <cell r="AF996" t="str">
            <v/>
          </cell>
          <cell r="AG996" t="str">
            <v/>
          </cell>
          <cell r="AH996" t="str">
            <v/>
          </cell>
          <cell r="AI996" t="str">
            <v/>
          </cell>
          <cell r="AJ996" t="str">
            <v/>
          </cell>
          <cell r="AK996" t="str">
            <v/>
          </cell>
          <cell r="AL996" t="str">
            <v/>
          </cell>
          <cell r="AM996" t="str">
            <v/>
          </cell>
          <cell r="AN996">
            <v>18.33</v>
          </cell>
        </row>
        <row r="997">
          <cell r="B997" t="str">
            <v>GL502123</v>
          </cell>
          <cell r="C997" t="str">
            <v>US人力资源部</v>
          </cell>
          <cell r="D997" t="str">
            <v>美洲HRBP组</v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  <cell r="AA997" t="str">
            <v/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  <cell r="AG997" t="str">
            <v/>
          </cell>
          <cell r="AH997" t="str">
            <v/>
          </cell>
          <cell r="AI997" t="str">
            <v/>
          </cell>
          <cell r="AJ997" t="str">
            <v/>
          </cell>
          <cell r="AK997" t="str">
            <v/>
          </cell>
          <cell r="AL997" t="str">
            <v/>
          </cell>
          <cell r="AM997" t="str">
            <v/>
          </cell>
          <cell r="AN997">
            <v>16.61</v>
          </cell>
        </row>
        <row r="998">
          <cell r="B998" t="str">
            <v>GL501997</v>
          </cell>
          <cell r="C998" t="str">
            <v>FL 佛州大区</v>
          </cell>
          <cell r="D998" t="str">
            <v>MIA.H</v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  <cell r="AA998" t="str">
            <v/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  <cell r="AG998" t="str">
            <v/>
          </cell>
          <cell r="AH998" t="str">
            <v/>
          </cell>
          <cell r="AI998" t="str">
            <v/>
          </cell>
          <cell r="AJ998" t="str">
            <v/>
          </cell>
          <cell r="AK998" t="str">
            <v/>
          </cell>
          <cell r="AL998" t="str">
            <v/>
          </cell>
          <cell r="AM998" t="str">
            <v/>
          </cell>
          <cell r="AN998">
            <v>0</v>
          </cell>
        </row>
        <row r="999">
          <cell r="B999" t="str">
            <v>GL501939</v>
          </cell>
          <cell r="C999" t="str">
            <v>WE 美西大区</v>
          </cell>
          <cell r="D999" t="str">
            <v>CNO.H</v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  <cell r="Z999" t="str">
            <v/>
          </cell>
          <cell r="AA999" t="str">
            <v/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  <cell r="AG999" t="str">
            <v/>
          </cell>
          <cell r="AH999" t="str">
            <v/>
          </cell>
          <cell r="AI999" t="str">
            <v/>
          </cell>
          <cell r="AJ999" t="str">
            <v/>
          </cell>
          <cell r="AK999" t="str">
            <v/>
          </cell>
          <cell r="AL999" t="str">
            <v/>
          </cell>
          <cell r="AM999" t="str">
            <v/>
          </cell>
          <cell r="AN999">
            <v>8.75</v>
          </cell>
        </row>
        <row r="1000">
          <cell r="B1000" t="str">
            <v>GL501674</v>
          </cell>
          <cell r="C1000" t="str">
            <v>US人力资源部</v>
          </cell>
          <cell r="D1000" t="str">
            <v>美洲HRBP组</v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  <cell r="Z1000" t="str">
            <v/>
          </cell>
          <cell r="AA1000" t="str">
            <v/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  <cell r="AG1000" t="str">
            <v/>
          </cell>
          <cell r="AH1000" t="str">
            <v/>
          </cell>
          <cell r="AI1000" t="str">
            <v/>
          </cell>
          <cell r="AJ1000" t="str">
            <v/>
          </cell>
          <cell r="AK1000" t="str">
            <v/>
          </cell>
          <cell r="AL1000" t="str">
            <v/>
          </cell>
          <cell r="AM1000" t="str">
            <v/>
          </cell>
          <cell r="AN1000">
            <v>17.18</v>
          </cell>
        </row>
        <row r="1001">
          <cell r="B1001" t="str">
            <v>GL500750</v>
          </cell>
          <cell r="C1001" t="str">
            <v>DO 数字运营部</v>
          </cell>
          <cell r="D1001" t="str">
            <v>美国技术支持组</v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  <cell r="Z1001" t="str">
            <v/>
          </cell>
          <cell r="AA1001" t="str">
            <v/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  <cell r="AG1001" t="str">
            <v/>
          </cell>
          <cell r="AH1001" t="str">
            <v/>
          </cell>
          <cell r="AI1001" t="str">
            <v/>
          </cell>
          <cell r="AJ1001" t="str">
            <v/>
          </cell>
          <cell r="AK1001" t="str">
            <v/>
          </cell>
          <cell r="AL1001" t="str">
            <v/>
          </cell>
          <cell r="AM1001" t="str">
            <v/>
          </cell>
          <cell r="AN1001">
            <v>11.1</v>
          </cell>
        </row>
        <row r="1002">
          <cell r="B1002" t="str">
            <v>GL500196</v>
          </cell>
          <cell r="C1002" t="str">
            <v>WE 美西大区</v>
          </cell>
          <cell r="D1002" t="str">
            <v>LAV.H</v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  <cell r="Z1002" t="str">
            <v/>
          </cell>
          <cell r="AA1002" t="str">
            <v/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  <cell r="AG1002" t="str">
            <v/>
          </cell>
          <cell r="AH1002" t="str">
            <v/>
          </cell>
          <cell r="AI1002" t="str">
            <v/>
          </cell>
          <cell r="AJ1002" t="str">
            <v/>
          </cell>
          <cell r="AK1002" t="str">
            <v/>
          </cell>
          <cell r="AL1002" t="str">
            <v/>
          </cell>
          <cell r="AM1002" t="str">
            <v/>
          </cell>
          <cell r="AN1002">
            <v>0</v>
          </cell>
        </row>
        <row r="1003">
          <cell r="B1003" t="str">
            <v>GL502296</v>
          </cell>
          <cell r="C1003" t="str">
            <v>WE 美西大区</v>
          </cell>
          <cell r="D1003" t="str">
            <v>车辆管理部</v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  <cell r="Z1003" t="str">
            <v/>
          </cell>
          <cell r="AA1003" t="str">
            <v/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  <cell r="AG1003" t="str">
            <v/>
          </cell>
          <cell r="AH1003" t="str">
            <v/>
          </cell>
          <cell r="AI1003" t="str">
            <v/>
          </cell>
          <cell r="AJ1003" t="str">
            <v/>
          </cell>
          <cell r="AK1003" t="str">
            <v/>
          </cell>
          <cell r="AL1003" t="str">
            <v/>
          </cell>
          <cell r="AM1003" t="str">
            <v/>
          </cell>
          <cell r="AN1003">
            <v>21.35</v>
          </cell>
        </row>
        <row r="1004">
          <cell r="B1004" t="str">
            <v>GL502005</v>
          </cell>
          <cell r="C1004" t="str">
            <v>Ground项目部</v>
          </cell>
          <cell r="D1004" t="str">
            <v>OG 美西区</v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  <cell r="Z1004" t="str">
            <v/>
          </cell>
          <cell r="AA1004" t="str">
            <v/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  <cell r="AF1004" t="str">
            <v/>
          </cell>
          <cell r="AG1004" t="str">
            <v/>
          </cell>
          <cell r="AH1004" t="str">
            <v/>
          </cell>
          <cell r="AI1004" t="str">
            <v/>
          </cell>
          <cell r="AJ1004" t="str">
            <v/>
          </cell>
          <cell r="AK1004" t="str">
            <v/>
          </cell>
          <cell r="AL1004" t="str">
            <v/>
          </cell>
          <cell r="AM1004" t="str">
            <v/>
          </cell>
          <cell r="AN1004">
            <v>0</v>
          </cell>
        </row>
        <row r="1005">
          <cell r="B1005" t="str">
            <v>GL500529</v>
          </cell>
          <cell r="C1005" t="str">
            <v>GL 大湖大区</v>
          </cell>
          <cell r="D1005" t="str">
            <v>MCI01</v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  <cell r="Z1005" t="str">
            <v/>
          </cell>
          <cell r="AA1005" t="str">
            <v/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  <cell r="AG1005" t="str">
            <v/>
          </cell>
          <cell r="AH1005" t="str">
            <v/>
          </cell>
          <cell r="AI1005" t="str">
            <v/>
          </cell>
          <cell r="AJ1005" t="str">
            <v/>
          </cell>
          <cell r="AK1005" t="str">
            <v/>
          </cell>
          <cell r="AL1005" t="str">
            <v/>
          </cell>
          <cell r="AM1005" t="str">
            <v/>
          </cell>
          <cell r="AN1005">
            <v>0</v>
          </cell>
        </row>
        <row r="1006">
          <cell r="B1006" t="str">
            <v>GL501028</v>
          </cell>
          <cell r="C1006" t="str">
            <v>WE 美西大区</v>
          </cell>
          <cell r="D1006" t="str">
            <v>LAV.H</v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  <cell r="Z1006" t="str">
            <v/>
          </cell>
          <cell r="AA1006" t="str">
            <v/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  <cell r="AG1006" t="str">
            <v/>
          </cell>
          <cell r="AH1006" t="str">
            <v/>
          </cell>
          <cell r="AI1006" t="str">
            <v/>
          </cell>
          <cell r="AJ1006" t="str">
            <v/>
          </cell>
          <cell r="AK1006" t="str">
            <v/>
          </cell>
          <cell r="AL1006" t="str">
            <v/>
          </cell>
          <cell r="AM1006" t="str">
            <v/>
          </cell>
          <cell r="AN1006">
            <v>16.85</v>
          </cell>
        </row>
        <row r="1007">
          <cell r="B1007" t="str">
            <v>GL502678</v>
          </cell>
          <cell r="C1007" t="str">
            <v>NE 东北大区</v>
          </cell>
          <cell r="D1007" t="str">
            <v>BWI.H</v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  <cell r="Z1007" t="str">
            <v/>
          </cell>
          <cell r="AA1007" t="str">
            <v/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  <cell r="AG1007" t="str">
            <v/>
          </cell>
          <cell r="AH1007" t="str">
            <v/>
          </cell>
          <cell r="AI1007" t="str">
            <v/>
          </cell>
          <cell r="AJ1007" t="str">
            <v/>
          </cell>
          <cell r="AK1007" t="str">
            <v/>
          </cell>
          <cell r="AL1007" t="str">
            <v/>
          </cell>
          <cell r="AM1007" t="str">
            <v/>
          </cell>
          <cell r="AN1007">
            <v>0</v>
          </cell>
        </row>
        <row r="1008">
          <cell r="B1008" t="str">
            <v>GL501566</v>
          </cell>
          <cell r="C1008" t="str">
            <v>NE 东北大区</v>
          </cell>
          <cell r="D1008" t="str">
            <v>RIC01</v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str">
            <v/>
          </cell>
          <cell r="Z1008" t="str">
            <v/>
          </cell>
          <cell r="AA1008" t="str">
            <v/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  <cell r="AG1008" t="str">
            <v/>
          </cell>
          <cell r="AH1008" t="str">
            <v/>
          </cell>
          <cell r="AI1008" t="str">
            <v/>
          </cell>
          <cell r="AJ1008" t="str">
            <v/>
          </cell>
          <cell r="AK1008" t="str">
            <v/>
          </cell>
          <cell r="AL1008" t="str">
            <v/>
          </cell>
          <cell r="AM1008" t="str">
            <v/>
          </cell>
          <cell r="AN1008">
            <v>13.08</v>
          </cell>
        </row>
        <row r="1009">
          <cell r="B1009" t="str">
            <v>GL501324</v>
          </cell>
          <cell r="C1009" t="str">
            <v>GL 大湖大区</v>
          </cell>
          <cell r="D1009" t="str">
            <v>CM 中西部中心片区</v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  <cell r="Z1009" t="str">
            <v/>
          </cell>
          <cell r="AA1009" t="str">
            <v/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  <cell r="AG1009" t="str">
            <v/>
          </cell>
          <cell r="AH1009" t="str">
            <v/>
          </cell>
          <cell r="AI1009" t="str">
            <v/>
          </cell>
          <cell r="AJ1009" t="str">
            <v/>
          </cell>
          <cell r="AK1009" t="str">
            <v/>
          </cell>
          <cell r="AL1009" t="str">
            <v/>
          </cell>
          <cell r="AM1009" t="str">
            <v/>
          </cell>
          <cell r="AN1009">
            <v>8.44</v>
          </cell>
        </row>
        <row r="1010">
          <cell r="B1010" t="str">
            <v>GL501869</v>
          </cell>
          <cell r="C1010" t="str">
            <v>AD 行政部</v>
          </cell>
          <cell r="D1010" t="str">
            <v>美东组</v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str">
            <v/>
          </cell>
          <cell r="Z1010" t="str">
            <v/>
          </cell>
          <cell r="AA1010" t="str">
            <v/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  <cell r="AG1010" t="str">
            <v/>
          </cell>
          <cell r="AH1010" t="str">
            <v/>
          </cell>
          <cell r="AI1010" t="str">
            <v/>
          </cell>
          <cell r="AJ1010" t="str">
            <v/>
          </cell>
          <cell r="AK1010" t="str">
            <v/>
          </cell>
          <cell r="AL1010" t="str">
            <v/>
          </cell>
          <cell r="AM1010" t="str">
            <v/>
          </cell>
          <cell r="AN1010">
            <v>0</v>
          </cell>
        </row>
        <row r="1011">
          <cell r="B1011" t="str">
            <v>GL502007</v>
          </cell>
          <cell r="C1011" t="str">
            <v>WE 美西大区</v>
          </cell>
          <cell r="D1011" t="str">
            <v>NC 北加片区</v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str">
            <v/>
          </cell>
          <cell r="Z1011" t="str">
            <v/>
          </cell>
          <cell r="AA1011" t="str">
            <v/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  <cell r="AG1011" t="str">
            <v/>
          </cell>
          <cell r="AH1011" t="str">
            <v/>
          </cell>
          <cell r="AI1011" t="str">
            <v/>
          </cell>
          <cell r="AJ1011" t="str">
            <v/>
          </cell>
          <cell r="AK1011" t="str">
            <v/>
          </cell>
          <cell r="AL1011" t="str">
            <v/>
          </cell>
          <cell r="AM1011" t="str">
            <v/>
          </cell>
          <cell r="AN1011">
            <v>17.57</v>
          </cell>
        </row>
        <row r="1012">
          <cell r="B1012" t="str">
            <v>GL000890</v>
          </cell>
          <cell r="C1012" t="str">
            <v>EU人力资源部</v>
          </cell>
          <cell r="D1012" t="str">
            <v>欧洲支持组</v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str">
            <v/>
          </cell>
          <cell r="Z1012" t="str">
            <v/>
          </cell>
          <cell r="AA1012" t="str">
            <v/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  <cell r="AG1012" t="str">
            <v/>
          </cell>
          <cell r="AH1012" t="str">
            <v/>
          </cell>
          <cell r="AI1012" t="str">
            <v/>
          </cell>
          <cell r="AJ1012" t="str">
            <v/>
          </cell>
          <cell r="AK1012" t="str">
            <v/>
          </cell>
          <cell r="AL1012" t="str">
            <v/>
          </cell>
          <cell r="AM1012" t="str">
            <v/>
          </cell>
          <cell r="AN1012">
            <v>0</v>
          </cell>
        </row>
        <row r="1013">
          <cell r="B1013" t="str">
            <v>GL500047</v>
          </cell>
          <cell r="C1013" t="str">
            <v>NE 东北大区</v>
          </cell>
          <cell r="D1013" t="str">
            <v>EWR.H</v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  <cell r="Z1013" t="str">
            <v/>
          </cell>
          <cell r="AA1013" t="str">
            <v/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  <cell r="AG1013" t="str">
            <v/>
          </cell>
          <cell r="AH1013" t="str">
            <v/>
          </cell>
          <cell r="AI1013" t="str">
            <v/>
          </cell>
          <cell r="AJ1013" t="str">
            <v/>
          </cell>
          <cell r="AK1013" t="str">
            <v/>
          </cell>
          <cell r="AL1013" t="str">
            <v/>
          </cell>
          <cell r="AM1013" t="str">
            <v/>
          </cell>
          <cell r="AN1013">
            <v>11.33</v>
          </cell>
        </row>
        <row r="1014">
          <cell r="B1014" t="str">
            <v>GL500129</v>
          </cell>
          <cell r="C1014" t="str">
            <v>NE 东北大区</v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str">
            <v/>
          </cell>
          <cell r="Z1014" t="str">
            <v/>
          </cell>
          <cell r="AA1014" t="str">
            <v/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  <cell r="AG1014" t="str">
            <v/>
          </cell>
          <cell r="AH1014" t="str">
            <v/>
          </cell>
          <cell r="AI1014" t="str">
            <v/>
          </cell>
          <cell r="AJ1014" t="str">
            <v/>
          </cell>
          <cell r="AK1014" t="str">
            <v/>
          </cell>
          <cell r="AL1014" t="str">
            <v/>
          </cell>
          <cell r="AM1014" t="str">
            <v/>
          </cell>
          <cell r="AN1014">
            <v>16</v>
          </cell>
        </row>
        <row r="1015">
          <cell r="B1015" t="str">
            <v>GL501873</v>
          </cell>
          <cell r="C1015" t="str">
            <v>NE 东北大区</v>
          </cell>
          <cell r="D1015" t="str">
            <v>BN 布法罗片区</v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str">
            <v/>
          </cell>
          <cell r="Z1015" t="str">
            <v/>
          </cell>
          <cell r="AA1015" t="str">
            <v/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  <cell r="AG1015" t="str">
            <v/>
          </cell>
          <cell r="AH1015" t="str">
            <v/>
          </cell>
          <cell r="AI1015" t="str">
            <v/>
          </cell>
          <cell r="AJ1015" t="str">
            <v/>
          </cell>
          <cell r="AK1015" t="str">
            <v/>
          </cell>
          <cell r="AL1015" t="str">
            <v/>
          </cell>
          <cell r="AM1015" t="str">
            <v/>
          </cell>
          <cell r="AN1015">
            <v>27.74</v>
          </cell>
        </row>
        <row r="1016">
          <cell r="B1016" t="str">
            <v>GL500406</v>
          </cell>
          <cell r="C1016" t="str">
            <v>TX 德州大区</v>
          </cell>
          <cell r="D1016" t="str">
            <v>CT 中德州片区</v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str">
            <v/>
          </cell>
          <cell r="Z1016" t="str">
            <v/>
          </cell>
          <cell r="AA1016" t="str">
            <v/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  <cell r="AG1016" t="str">
            <v/>
          </cell>
          <cell r="AH1016" t="str">
            <v/>
          </cell>
          <cell r="AI1016" t="str">
            <v/>
          </cell>
          <cell r="AJ1016" t="str">
            <v/>
          </cell>
          <cell r="AK1016" t="str">
            <v/>
          </cell>
          <cell r="AL1016" t="str">
            <v/>
          </cell>
          <cell r="AM1016" t="str">
            <v/>
          </cell>
          <cell r="AN1016">
            <v>0</v>
          </cell>
        </row>
        <row r="1017">
          <cell r="B1017" t="str">
            <v>GL501728</v>
          </cell>
          <cell r="C1017" t="str">
            <v>WE 美西大区</v>
          </cell>
          <cell r="D1017" t="str">
            <v>CNO.H</v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str">
            <v/>
          </cell>
          <cell r="Z1017" t="str">
            <v/>
          </cell>
          <cell r="AA1017" t="str">
            <v/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  <cell r="AG1017" t="str">
            <v/>
          </cell>
          <cell r="AH1017" t="str">
            <v/>
          </cell>
          <cell r="AI1017" t="str">
            <v/>
          </cell>
          <cell r="AJ1017" t="str">
            <v/>
          </cell>
          <cell r="AK1017" t="str">
            <v/>
          </cell>
          <cell r="AL1017" t="str">
            <v/>
          </cell>
          <cell r="AM1017" t="str">
            <v/>
          </cell>
          <cell r="AN1017">
            <v>0</v>
          </cell>
        </row>
        <row r="1018">
          <cell r="B1018" t="str">
            <v>GL500329</v>
          </cell>
          <cell r="C1018" t="str">
            <v>NE 东北大区</v>
          </cell>
          <cell r="D1018" t="str">
            <v>JFK01</v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  <cell r="Z1018" t="str">
            <v/>
          </cell>
          <cell r="AA1018" t="str">
            <v/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  <cell r="AG1018" t="str">
            <v/>
          </cell>
          <cell r="AH1018" t="str">
            <v/>
          </cell>
          <cell r="AI1018" t="str">
            <v/>
          </cell>
          <cell r="AJ1018" t="str">
            <v/>
          </cell>
          <cell r="AK1018" t="str">
            <v/>
          </cell>
          <cell r="AL1018" t="str">
            <v/>
          </cell>
          <cell r="AM1018" t="str">
            <v/>
          </cell>
          <cell r="AN1018">
            <v>9.08</v>
          </cell>
        </row>
        <row r="1019">
          <cell r="B1019" t="str">
            <v>GL501930</v>
          </cell>
          <cell r="C1019" t="str">
            <v>Ground项目部</v>
          </cell>
          <cell r="D1019" t="str">
            <v>OG 美西区</v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  <cell r="Z1019" t="str">
            <v/>
          </cell>
          <cell r="AA1019" t="str">
            <v/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  <cell r="AG1019" t="str">
            <v/>
          </cell>
          <cell r="AH1019" t="str">
            <v/>
          </cell>
          <cell r="AI1019" t="str">
            <v/>
          </cell>
          <cell r="AJ1019" t="str">
            <v/>
          </cell>
          <cell r="AK1019" t="str">
            <v/>
          </cell>
          <cell r="AL1019" t="str">
            <v/>
          </cell>
          <cell r="AM1019" t="str">
            <v/>
          </cell>
          <cell r="AN1019">
            <v>16.74</v>
          </cell>
        </row>
        <row r="1020">
          <cell r="B1020" t="str">
            <v>GL502738</v>
          </cell>
          <cell r="C1020" t="str">
            <v>NE 东北大区</v>
          </cell>
          <cell r="D1020" t="str">
            <v>BWI.H</v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  <cell r="Z1020" t="str">
            <v/>
          </cell>
          <cell r="AA1020" t="str">
            <v/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  <cell r="AG1020" t="str">
            <v/>
          </cell>
          <cell r="AH1020" t="str">
            <v/>
          </cell>
          <cell r="AI1020" t="str">
            <v/>
          </cell>
          <cell r="AJ1020" t="str">
            <v/>
          </cell>
          <cell r="AK1020" t="str">
            <v/>
          </cell>
          <cell r="AL1020" t="str">
            <v/>
          </cell>
          <cell r="AM1020" t="str">
            <v/>
          </cell>
          <cell r="AN1020">
            <v>0</v>
          </cell>
        </row>
        <row r="1021">
          <cell r="B1021" t="str">
            <v>GL502783</v>
          </cell>
          <cell r="C1021" t="str">
            <v>Ground项目部</v>
          </cell>
          <cell r="D1021" t="str">
            <v>OG 美西区</v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str">
            <v/>
          </cell>
          <cell r="Z1021" t="str">
            <v/>
          </cell>
          <cell r="AA1021" t="str">
            <v/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  <cell r="AG1021" t="str">
            <v/>
          </cell>
          <cell r="AH1021" t="str">
            <v/>
          </cell>
          <cell r="AI1021" t="str">
            <v/>
          </cell>
          <cell r="AJ1021" t="str">
            <v/>
          </cell>
          <cell r="AK1021" t="str">
            <v/>
          </cell>
          <cell r="AL1021" t="str">
            <v/>
          </cell>
          <cell r="AM1021" t="str">
            <v/>
          </cell>
          <cell r="AN1021">
            <v>8.27</v>
          </cell>
        </row>
        <row r="1022">
          <cell r="B1022" t="str">
            <v>GL501856</v>
          </cell>
          <cell r="C1022" t="str">
            <v>TX 德州大区</v>
          </cell>
          <cell r="D1022" t="str">
            <v>揽收部</v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  <cell r="Z1022" t="str">
            <v/>
          </cell>
          <cell r="AA1022" t="str">
            <v/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  <cell r="AG1022" t="str">
            <v/>
          </cell>
          <cell r="AH1022" t="str">
            <v/>
          </cell>
          <cell r="AI1022" t="str">
            <v/>
          </cell>
          <cell r="AJ1022" t="str">
            <v/>
          </cell>
          <cell r="AK1022" t="str">
            <v/>
          </cell>
          <cell r="AL1022" t="str">
            <v/>
          </cell>
          <cell r="AM1022" t="str">
            <v/>
          </cell>
          <cell r="AN1022">
            <v>17.93</v>
          </cell>
        </row>
        <row r="1023">
          <cell r="B1023" t="str">
            <v>GL502899</v>
          </cell>
          <cell r="C1023" t="str">
            <v>NE 东北大区</v>
          </cell>
          <cell r="D1023" t="str">
            <v>BWI.H</v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  <cell r="Z1023" t="str">
            <v/>
          </cell>
          <cell r="AA1023" t="str">
            <v/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  <cell r="AG1023" t="str">
            <v/>
          </cell>
          <cell r="AH1023" t="str">
            <v/>
          </cell>
          <cell r="AI1023" t="str">
            <v/>
          </cell>
          <cell r="AJ1023" t="str">
            <v/>
          </cell>
          <cell r="AK1023" t="str">
            <v/>
          </cell>
          <cell r="AL1023" t="str">
            <v/>
          </cell>
          <cell r="AM1023" t="str">
            <v/>
          </cell>
          <cell r="AN1023">
            <v>6</v>
          </cell>
        </row>
        <row r="1024">
          <cell r="B1024" t="str">
            <v>GL501940</v>
          </cell>
          <cell r="C1024" t="str">
            <v>GL 大湖大区</v>
          </cell>
          <cell r="D1024" t="str">
            <v>CM 中西部中心片区</v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  <cell r="Z1024" t="str">
            <v/>
          </cell>
          <cell r="AA1024" t="str">
            <v/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  <cell r="AG1024" t="str">
            <v/>
          </cell>
          <cell r="AH1024" t="str">
            <v/>
          </cell>
          <cell r="AI1024" t="str">
            <v/>
          </cell>
          <cell r="AJ1024" t="str">
            <v/>
          </cell>
          <cell r="AK1024" t="str">
            <v/>
          </cell>
          <cell r="AL1024" t="str">
            <v/>
          </cell>
          <cell r="AM1024" t="str">
            <v/>
          </cell>
          <cell r="AN1024">
            <v>0</v>
          </cell>
        </row>
        <row r="1025">
          <cell r="B1025" t="str">
            <v>GL500346</v>
          </cell>
          <cell r="C1025" t="str">
            <v>NE 东北大区</v>
          </cell>
          <cell r="D1025" t="str">
            <v>PA 宾州片区</v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  <cell r="Z1025" t="str">
            <v/>
          </cell>
          <cell r="AA1025" t="str">
            <v/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  <cell r="AG1025" t="str">
            <v/>
          </cell>
          <cell r="AH1025" t="str">
            <v/>
          </cell>
          <cell r="AI1025" t="str">
            <v/>
          </cell>
          <cell r="AJ1025" t="str">
            <v/>
          </cell>
          <cell r="AK1025" t="str">
            <v/>
          </cell>
          <cell r="AL1025" t="str">
            <v/>
          </cell>
          <cell r="AM1025" t="str">
            <v/>
          </cell>
          <cell r="AN1025">
            <v>0</v>
          </cell>
        </row>
        <row r="1026">
          <cell r="B1026" t="str">
            <v>GL502830</v>
          </cell>
          <cell r="C1026" t="str">
            <v>US人力资源部</v>
          </cell>
          <cell r="D1026" t="str">
            <v>美洲HRBP组</v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  <cell r="Z1026" t="str">
            <v/>
          </cell>
          <cell r="AA1026" t="str">
            <v/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  <cell r="AG1026" t="str">
            <v/>
          </cell>
          <cell r="AH1026" t="str">
            <v/>
          </cell>
          <cell r="AI1026" t="str">
            <v/>
          </cell>
          <cell r="AJ1026" t="str">
            <v/>
          </cell>
          <cell r="AK1026" t="str">
            <v/>
          </cell>
          <cell r="AL1026" t="str">
            <v/>
          </cell>
          <cell r="AM1026" t="str">
            <v/>
          </cell>
          <cell r="AN1026">
            <v>0</v>
          </cell>
        </row>
        <row r="1027">
          <cell r="B1027" t="str">
            <v>GL501645</v>
          </cell>
          <cell r="C1027" t="str">
            <v>MS 中南大区</v>
          </cell>
          <cell r="D1027" t="str">
            <v>ATL.H</v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str">
            <v/>
          </cell>
          <cell r="Z1027" t="str">
            <v/>
          </cell>
          <cell r="AA1027" t="str">
            <v/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  <cell r="AF1027" t="str">
            <v/>
          </cell>
          <cell r="AG1027" t="str">
            <v/>
          </cell>
          <cell r="AH1027" t="str">
            <v/>
          </cell>
          <cell r="AI1027" t="str">
            <v/>
          </cell>
          <cell r="AJ1027" t="str">
            <v/>
          </cell>
          <cell r="AK1027" t="str">
            <v/>
          </cell>
          <cell r="AL1027" t="str">
            <v/>
          </cell>
          <cell r="AM1027" t="str">
            <v/>
          </cell>
          <cell r="AN1027">
            <v>11.95</v>
          </cell>
        </row>
        <row r="1028">
          <cell r="B1028" t="str">
            <v>GL502766</v>
          </cell>
          <cell r="C1028" t="str">
            <v>Ground项目部</v>
          </cell>
          <cell r="D1028" t="str">
            <v>OG 美西区</v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str">
            <v/>
          </cell>
          <cell r="Z1028" t="str">
            <v/>
          </cell>
          <cell r="AA1028" t="str">
            <v/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  <cell r="AF1028" t="str">
            <v/>
          </cell>
          <cell r="AG1028" t="str">
            <v/>
          </cell>
          <cell r="AH1028" t="str">
            <v/>
          </cell>
          <cell r="AI1028" t="str">
            <v/>
          </cell>
          <cell r="AJ1028" t="str">
            <v/>
          </cell>
          <cell r="AK1028" t="str">
            <v/>
          </cell>
          <cell r="AL1028" t="str">
            <v/>
          </cell>
          <cell r="AM1028" t="str">
            <v/>
          </cell>
          <cell r="AN1028">
            <v>8.03</v>
          </cell>
        </row>
        <row r="1029">
          <cell r="B1029" t="str">
            <v>GL500834</v>
          </cell>
          <cell r="C1029" t="str">
            <v>NE 东北大区</v>
          </cell>
          <cell r="D1029" t="str">
            <v>BOS01</v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  <cell r="Z1029" t="str">
            <v/>
          </cell>
          <cell r="AA1029" t="str">
            <v/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  <cell r="AG1029" t="str">
            <v/>
          </cell>
          <cell r="AH1029" t="str">
            <v/>
          </cell>
          <cell r="AI1029" t="str">
            <v/>
          </cell>
          <cell r="AJ1029" t="str">
            <v/>
          </cell>
          <cell r="AK1029" t="str">
            <v/>
          </cell>
          <cell r="AL1029" t="str">
            <v/>
          </cell>
          <cell r="AM1029" t="str">
            <v/>
          </cell>
          <cell r="AN1029">
            <v>7.08</v>
          </cell>
        </row>
        <row r="1030">
          <cell r="B1030" t="str">
            <v>GL500956</v>
          </cell>
          <cell r="C1030" t="str">
            <v>WE 美西大区</v>
          </cell>
          <cell r="D1030" t="str">
            <v>NC 北加片区</v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str">
            <v/>
          </cell>
          <cell r="Z1030" t="str">
            <v/>
          </cell>
          <cell r="AA1030" t="str">
            <v/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  <cell r="AG1030" t="str">
            <v/>
          </cell>
          <cell r="AH1030" t="str">
            <v/>
          </cell>
          <cell r="AI1030" t="str">
            <v/>
          </cell>
          <cell r="AJ1030" t="str">
            <v/>
          </cell>
          <cell r="AK1030" t="str">
            <v/>
          </cell>
          <cell r="AL1030" t="str">
            <v/>
          </cell>
          <cell r="AM1030" t="str">
            <v/>
          </cell>
          <cell r="AN1030">
            <v>0</v>
          </cell>
        </row>
        <row r="1031">
          <cell r="B1031" t="str">
            <v>GL501792</v>
          </cell>
          <cell r="C1031" t="str">
            <v>WE 美西大区</v>
          </cell>
          <cell r="D1031" t="str">
            <v>NC 北加片区</v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str">
            <v/>
          </cell>
          <cell r="Z1031" t="str">
            <v/>
          </cell>
          <cell r="AA1031" t="str">
            <v/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  <cell r="AG1031" t="str">
            <v/>
          </cell>
          <cell r="AH1031" t="str">
            <v/>
          </cell>
          <cell r="AI1031" t="str">
            <v/>
          </cell>
          <cell r="AJ1031" t="str">
            <v/>
          </cell>
          <cell r="AK1031" t="str">
            <v/>
          </cell>
          <cell r="AL1031" t="str">
            <v/>
          </cell>
          <cell r="AM1031" t="str">
            <v/>
          </cell>
          <cell r="AN1031">
            <v>12.78</v>
          </cell>
        </row>
        <row r="1032">
          <cell r="B1032" t="str">
            <v>GL500580</v>
          </cell>
          <cell r="C1032" t="str">
            <v>Ground项目部</v>
          </cell>
          <cell r="D1032" t="str">
            <v>OG 美西区</v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  <cell r="Z1032" t="str">
            <v/>
          </cell>
          <cell r="AA1032" t="str">
            <v/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  <cell r="AG1032" t="str">
            <v/>
          </cell>
          <cell r="AH1032" t="str">
            <v/>
          </cell>
          <cell r="AI1032" t="str">
            <v/>
          </cell>
          <cell r="AJ1032" t="str">
            <v/>
          </cell>
          <cell r="AK1032" t="str">
            <v/>
          </cell>
          <cell r="AL1032" t="str">
            <v/>
          </cell>
          <cell r="AM1032" t="str">
            <v/>
          </cell>
          <cell r="AN1032">
            <v>17.1</v>
          </cell>
        </row>
        <row r="1033">
          <cell r="B1033" t="str">
            <v>GL502026</v>
          </cell>
          <cell r="C1033" t="str">
            <v>MS 中南大区</v>
          </cell>
          <cell r="D1033" t="str">
            <v>CLT.H</v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  <cell r="Z1033" t="str">
            <v/>
          </cell>
          <cell r="AA1033" t="str">
            <v/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  <cell r="AG1033" t="str">
            <v/>
          </cell>
          <cell r="AH1033" t="str">
            <v/>
          </cell>
          <cell r="AI1033" t="str">
            <v/>
          </cell>
          <cell r="AJ1033" t="str">
            <v/>
          </cell>
          <cell r="AK1033" t="str">
            <v/>
          </cell>
          <cell r="AL1033" t="str">
            <v/>
          </cell>
          <cell r="AM1033" t="str">
            <v/>
          </cell>
          <cell r="AN1033">
            <v>0</v>
          </cell>
        </row>
        <row r="1034">
          <cell r="B1034" t="str">
            <v>GL502593</v>
          </cell>
          <cell r="C1034" t="str">
            <v>WE 美西大区</v>
          </cell>
          <cell r="D1034" t="str">
            <v>NC 北加片区</v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  <cell r="Z1034" t="str">
            <v/>
          </cell>
          <cell r="AA1034" t="str">
            <v/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  <cell r="AG1034" t="str">
            <v/>
          </cell>
          <cell r="AH1034" t="str">
            <v/>
          </cell>
          <cell r="AI1034" t="str">
            <v/>
          </cell>
          <cell r="AJ1034" t="str">
            <v/>
          </cell>
          <cell r="AK1034" t="str">
            <v/>
          </cell>
          <cell r="AL1034" t="str">
            <v/>
          </cell>
          <cell r="AM1034" t="str">
            <v/>
          </cell>
          <cell r="AN1034">
            <v>0</v>
          </cell>
        </row>
        <row r="1035">
          <cell r="B1035" t="str">
            <v>GL501631</v>
          </cell>
          <cell r="C1035" t="str">
            <v>WE 美西大区</v>
          </cell>
          <cell r="D1035" t="str">
            <v>CNO.H</v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str">
            <v/>
          </cell>
          <cell r="Z1035" t="str">
            <v/>
          </cell>
          <cell r="AA1035" t="str">
            <v/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  <cell r="AG1035" t="str">
            <v/>
          </cell>
          <cell r="AH1035" t="str">
            <v/>
          </cell>
          <cell r="AI1035" t="str">
            <v/>
          </cell>
          <cell r="AJ1035" t="str">
            <v/>
          </cell>
          <cell r="AK1035" t="str">
            <v/>
          </cell>
          <cell r="AL1035" t="str">
            <v/>
          </cell>
          <cell r="AM1035" t="str">
            <v/>
          </cell>
          <cell r="AN1035">
            <v>24</v>
          </cell>
        </row>
        <row r="1036">
          <cell r="B1036" t="str">
            <v>GL502517</v>
          </cell>
          <cell r="C1036" t="str">
            <v>QC 质量控制部</v>
          </cell>
          <cell r="D1036" t="str">
            <v>全链路组</v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  <cell r="Z1036" t="str">
            <v/>
          </cell>
          <cell r="AA1036" t="str">
            <v/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  <cell r="AG1036" t="str">
            <v/>
          </cell>
          <cell r="AH1036" t="str">
            <v/>
          </cell>
          <cell r="AI1036" t="str">
            <v/>
          </cell>
          <cell r="AJ1036" t="str">
            <v/>
          </cell>
          <cell r="AK1036" t="str">
            <v/>
          </cell>
          <cell r="AL1036" t="str">
            <v/>
          </cell>
          <cell r="AM1036" t="str">
            <v/>
          </cell>
          <cell r="AN1036">
            <v>15.68</v>
          </cell>
        </row>
        <row r="1037">
          <cell r="B1037" t="str">
            <v>GL501949</v>
          </cell>
          <cell r="C1037" t="str">
            <v>NE 东北大区</v>
          </cell>
          <cell r="D1037" t="str">
            <v>EWR.H</v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  <cell r="Z1037" t="str">
            <v/>
          </cell>
          <cell r="AA1037" t="str">
            <v/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  <cell r="AG1037" t="str">
            <v/>
          </cell>
          <cell r="AH1037" t="str">
            <v/>
          </cell>
          <cell r="AI1037" t="str">
            <v/>
          </cell>
          <cell r="AJ1037" t="str">
            <v/>
          </cell>
          <cell r="AK1037" t="str">
            <v/>
          </cell>
          <cell r="AL1037" t="str">
            <v/>
          </cell>
          <cell r="AM1037" t="str">
            <v/>
          </cell>
          <cell r="AN1037">
            <v>13.38</v>
          </cell>
        </row>
        <row r="1038">
          <cell r="B1038" t="str">
            <v>GL500662</v>
          </cell>
          <cell r="C1038" t="str">
            <v>NE 东北大区</v>
          </cell>
          <cell r="D1038" t="str">
            <v>揽收部</v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str">
            <v/>
          </cell>
          <cell r="Z1038" t="str">
            <v/>
          </cell>
          <cell r="AA1038" t="str">
            <v/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  <cell r="AG1038" t="str">
            <v/>
          </cell>
          <cell r="AH1038" t="str">
            <v/>
          </cell>
          <cell r="AI1038" t="str">
            <v/>
          </cell>
          <cell r="AJ1038" t="str">
            <v/>
          </cell>
          <cell r="AK1038" t="str">
            <v/>
          </cell>
          <cell r="AL1038" t="str">
            <v/>
          </cell>
          <cell r="AM1038" t="str">
            <v/>
          </cell>
          <cell r="AN1038">
            <v>20.15</v>
          </cell>
        </row>
        <row r="1039">
          <cell r="B1039" t="str">
            <v>GL502687</v>
          </cell>
          <cell r="C1039" t="str">
            <v>GL 大湖大区</v>
          </cell>
          <cell r="D1039" t="str">
            <v>EG 东大湖片区</v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str">
            <v/>
          </cell>
          <cell r="Z1039" t="str">
            <v/>
          </cell>
          <cell r="AA1039" t="str">
            <v/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  <cell r="AG1039" t="str">
            <v/>
          </cell>
          <cell r="AH1039" t="str">
            <v/>
          </cell>
          <cell r="AI1039" t="str">
            <v/>
          </cell>
          <cell r="AJ1039" t="str">
            <v/>
          </cell>
          <cell r="AK1039" t="str">
            <v/>
          </cell>
          <cell r="AL1039" t="str">
            <v/>
          </cell>
          <cell r="AM1039" t="str">
            <v/>
          </cell>
          <cell r="AN1039">
            <v>15.92</v>
          </cell>
        </row>
        <row r="1040">
          <cell r="B1040" t="str">
            <v>GL501730</v>
          </cell>
          <cell r="C1040" t="str">
            <v>TX 德州大区</v>
          </cell>
          <cell r="D1040" t="str">
            <v>IAH.H</v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  <cell r="Z1040" t="str">
            <v/>
          </cell>
          <cell r="AA1040" t="str">
            <v/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  <cell r="AG1040" t="str">
            <v/>
          </cell>
          <cell r="AH1040" t="str">
            <v/>
          </cell>
          <cell r="AI1040" t="str">
            <v/>
          </cell>
          <cell r="AJ1040" t="str">
            <v/>
          </cell>
          <cell r="AK1040" t="str">
            <v/>
          </cell>
          <cell r="AL1040" t="str">
            <v/>
          </cell>
          <cell r="AM1040" t="str">
            <v/>
          </cell>
          <cell r="AN1040">
            <v>19.4</v>
          </cell>
        </row>
        <row r="1041">
          <cell r="B1041" t="str">
            <v>GL501796</v>
          </cell>
          <cell r="C1041" t="str">
            <v>NE 东北大区</v>
          </cell>
          <cell r="D1041" t="str">
            <v>EWR.H</v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str">
            <v/>
          </cell>
          <cell r="Z1041" t="str">
            <v/>
          </cell>
          <cell r="AA1041" t="str">
            <v/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  <cell r="AG1041" t="str">
            <v/>
          </cell>
          <cell r="AH1041" t="str">
            <v/>
          </cell>
          <cell r="AI1041" t="str">
            <v/>
          </cell>
          <cell r="AJ1041" t="str">
            <v/>
          </cell>
          <cell r="AK1041" t="str">
            <v/>
          </cell>
          <cell r="AL1041" t="str">
            <v/>
          </cell>
          <cell r="AM1041" t="str">
            <v/>
          </cell>
          <cell r="AN1041">
            <v>9.25</v>
          </cell>
        </row>
        <row r="1042">
          <cell r="B1042" t="str">
            <v>GL501374</v>
          </cell>
          <cell r="C1042" t="str">
            <v>TX 德州大区</v>
          </cell>
          <cell r="D1042" t="str">
            <v>CT 中德州片区</v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str">
            <v/>
          </cell>
          <cell r="Z1042" t="str">
            <v/>
          </cell>
          <cell r="AA1042" t="str">
            <v/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  <cell r="AG1042" t="str">
            <v/>
          </cell>
          <cell r="AH1042" t="str">
            <v/>
          </cell>
          <cell r="AI1042" t="str">
            <v/>
          </cell>
          <cell r="AJ1042" t="str">
            <v/>
          </cell>
          <cell r="AK1042" t="str">
            <v/>
          </cell>
          <cell r="AL1042" t="str">
            <v/>
          </cell>
          <cell r="AM1042" t="str">
            <v/>
          </cell>
          <cell r="AN1042">
            <v>0</v>
          </cell>
        </row>
        <row r="1043">
          <cell r="B1043" t="str">
            <v>GL502219</v>
          </cell>
          <cell r="C1043" t="str">
            <v>NE 东北大区</v>
          </cell>
          <cell r="D1043" t="str">
            <v>DC 华盛顿片区</v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  <cell r="Z1043" t="str">
            <v/>
          </cell>
          <cell r="AA1043" t="str">
            <v/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  <cell r="AG1043" t="str">
            <v/>
          </cell>
          <cell r="AH1043" t="str">
            <v/>
          </cell>
          <cell r="AI1043" t="str">
            <v/>
          </cell>
          <cell r="AJ1043" t="str">
            <v/>
          </cell>
          <cell r="AK1043" t="str">
            <v/>
          </cell>
          <cell r="AL1043" t="str">
            <v/>
          </cell>
          <cell r="AM1043" t="str">
            <v/>
          </cell>
          <cell r="AN1043">
            <v>19.05</v>
          </cell>
        </row>
        <row r="1044">
          <cell r="B1044" t="str">
            <v>GL500106</v>
          </cell>
          <cell r="C1044" t="str">
            <v>TX 德州大区</v>
          </cell>
          <cell r="D1044" t="str">
            <v>运营支持部</v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  <cell r="Z1044" t="str">
            <v/>
          </cell>
          <cell r="AA1044" t="str">
            <v/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  <cell r="AG1044" t="str">
            <v/>
          </cell>
          <cell r="AH1044" t="str">
            <v/>
          </cell>
          <cell r="AI1044" t="str">
            <v/>
          </cell>
          <cell r="AJ1044" t="str">
            <v/>
          </cell>
          <cell r="AK1044" t="str">
            <v/>
          </cell>
          <cell r="AL1044" t="str">
            <v/>
          </cell>
          <cell r="AM1044" t="str">
            <v/>
          </cell>
          <cell r="AN1044">
            <v>16.83</v>
          </cell>
        </row>
        <row r="1045">
          <cell r="B1045" t="str">
            <v>GL502790</v>
          </cell>
          <cell r="C1045" t="str">
            <v>Ground项目部</v>
          </cell>
          <cell r="D1045" t="str">
            <v>OG 美中区</v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  <cell r="Z1045" t="str">
            <v/>
          </cell>
          <cell r="AA1045" t="str">
            <v/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  <cell r="AG1045" t="str">
            <v/>
          </cell>
          <cell r="AH1045" t="str">
            <v/>
          </cell>
          <cell r="AI1045" t="str">
            <v/>
          </cell>
          <cell r="AJ1045" t="str">
            <v/>
          </cell>
          <cell r="AK1045" t="str">
            <v/>
          </cell>
          <cell r="AL1045" t="str">
            <v/>
          </cell>
          <cell r="AM1045" t="str">
            <v/>
          </cell>
          <cell r="AN1045">
            <v>15.96</v>
          </cell>
        </row>
        <row r="1046">
          <cell r="B1046" t="str">
            <v>GL502522</v>
          </cell>
          <cell r="C1046" t="str">
            <v>WE 美西大区</v>
          </cell>
          <cell r="D1046" t="str">
            <v>NC 北加片区</v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  <cell r="Z1046" t="str">
            <v/>
          </cell>
          <cell r="AA1046" t="str">
            <v/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  <cell r="AG1046" t="str">
            <v/>
          </cell>
          <cell r="AH1046" t="str">
            <v/>
          </cell>
          <cell r="AI1046" t="str">
            <v/>
          </cell>
          <cell r="AJ1046" t="str">
            <v/>
          </cell>
          <cell r="AK1046" t="str">
            <v/>
          </cell>
          <cell r="AL1046" t="str">
            <v/>
          </cell>
          <cell r="AM1046" t="str">
            <v/>
          </cell>
          <cell r="AN1046">
            <v>0</v>
          </cell>
        </row>
        <row r="1047">
          <cell r="B1047" t="str">
            <v>GL502894</v>
          </cell>
          <cell r="C1047" t="str">
            <v>NE 东北大区</v>
          </cell>
          <cell r="D1047" t="str">
            <v>DC 华盛顿片区</v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str">
            <v/>
          </cell>
          <cell r="Z1047" t="str">
            <v/>
          </cell>
          <cell r="AA1047" t="str">
            <v/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  <cell r="AG1047" t="str">
            <v/>
          </cell>
          <cell r="AH1047" t="str">
            <v/>
          </cell>
          <cell r="AI1047" t="str">
            <v/>
          </cell>
          <cell r="AJ1047" t="str">
            <v/>
          </cell>
          <cell r="AK1047" t="str">
            <v/>
          </cell>
          <cell r="AL1047" t="str">
            <v/>
          </cell>
          <cell r="AM1047" t="str">
            <v/>
          </cell>
          <cell r="AN1047">
            <v>7.87</v>
          </cell>
        </row>
        <row r="1048">
          <cell r="B1048" t="str">
            <v>GL501527</v>
          </cell>
          <cell r="C1048" t="str">
            <v>GL 大湖大区</v>
          </cell>
          <cell r="D1048" t="str">
            <v>EG 东大湖片区</v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str">
            <v/>
          </cell>
          <cell r="Z1048" t="str">
            <v/>
          </cell>
          <cell r="AA1048" t="str">
            <v/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  <cell r="AG1048" t="str">
            <v/>
          </cell>
          <cell r="AH1048" t="str">
            <v/>
          </cell>
          <cell r="AI1048" t="str">
            <v/>
          </cell>
          <cell r="AJ1048" t="str">
            <v/>
          </cell>
          <cell r="AK1048" t="str">
            <v/>
          </cell>
          <cell r="AL1048" t="str">
            <v/>
          </cell>
          <cell r="AM1048" t="str">
            <v/>
          </cell>
          <cell r="AN1048">
            <v>8.38</v>
          </cell>
        </row>
        <row r="1049">
          <cell r="B1049" t="str">
            <v>GL502474</v>
          </cell>
          <cell r="C1049" t="str">
            <v>WE 美西大区</v>
          </cell>
          <cell r="D1049" t="str">
            <v>NC 北加片区</v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str">
            <v/>
          </cell>
          <cell r="Z1049" t="str">
            <v/>
          </cell>
          <cell r="AA1049" t="str">
            <v/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  <cell r="AG1049" t="str">
            <v/>
          </cell>
          <cell r="AH1049" t="str">
            <v/>
          </cell>
          <cell r="AI1049" t="str">
            <v/>
          </cell>
          <cell r="AJ1049" t="str">
            <v/>
          </cell>
          <cell r="AK1049" t="str">
            <v/>
          </cell>
          <cell r="AL1049" t="str">
            <v/>
          </cell>
          <cell r="AM1049" t="str">
            <v/>
          </cell>
          <cell r="AN1049">
            <v>16.77</v>
          </cell>
        </row>
        <row r="1050">
          <cell r="B1050" t="str">
            <v>GL501149</v>
          </cell>
          <cell r="C1050" t="str">
            <v>FL 佛州大区</v>
          </cell>
          <cell r="D1050" t="str">
            <v>NF 北佛片区</v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str">
            <v/>
          </cell>
          <cell r="Z1050" t="str">
            <v/>
          </cell>
          <cell r="AA1050" t="str">
            <v/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  <cell r="AG1050" t="str">
            <v/>
          </cell>
          <cell r="AH1050" t="str">
            <v/>
          </cell>
          <cell r="AI1050" t="str">
            <v/>
          </cell>
          <cell r="AJ1050" t="str">
            <v/>
          </cell>
          <cell r="AK1050" t="str">
            <v/>
          </cell>
          <cell r="AL1050" t="str">
            <v/>
          </cell>
          <cell r="AM1050" t="str">
            <v/>
          </cell>
          <cell r="AN1050">
            <v>0</v>
          </cell>
        </row>
        <row r="1051">
          <cell r="B1051" t="str">
            <v>GL502556</v>
          </cell>
          <cell r="C1051" t="str">
            <v>GL 大湖大区</v>
          </cell>
          <cell r="D1051" t="str">
            <v>CM 中西部中心片区</v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  <cell r="Z1051" t="str">
            <v/>
          </cell>
          <cell r="AA1051" t="str">
            <v/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  <cell r="AG1051" t="str">
            <v/>
          </cell>
          <cell r="AH1051" t="str">
            <v/>
          </cell>
          <cell r="AI1051" t="str">
            <v/>
          </cell>
          <cell r="AJ1051" t="str">
            <v/>
          </cell>
          <cell r="AK1051" t="str">
            <v/>
          </cell>
          <cell r="AL1051" t="str">
            <v/>
          </cell>
          <cell r="AM1051" t="str">
            <v/>
          </cell>
          <cell r="AN1051">
            <v>8.08</v>
          </cell>
        </row>
        <row r="1052">
          <cell r="B1052" t="str">
            <v>GL502657</v>
          </cell>
          <cell r="C1052" t="str">
            <v>WE 美西大区</v>
          </cell>
          <cell r="D1052" t="str">
            <v>CNO.H</v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  <cell r="Z1052" t="str">
            <v/>
          </cell>
          <cell r="AA1052" t="str">
            <v/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  <cell r="AG1052" t="str">
            <v/>
          </cell>
          <cell r="AH1052" t="str">
            <v/>
          </cell>
          <cell r="AI1052" t="str">
            <v/>
          </cell>
          <cell r="AJ1052" t="str">
            <v/>
          </cell>
          <cell r="AK1052" t="str">
            <v/>
          </cell>
          <cell r="AL1052" t="str">
            <v/>
          </cell>
          <cell r="AM1052" t="str">
            <v/>
          </cell>
          <cell r="AN1052">
            <v>23.94</v>
          </cell>
        </row>
        <row r="1053">
          <cell r="B1053" t="str">
            <v>GL500116</v>
          </cell>
          <cell r="C1053" t="str">
            <v>GL 大湖大区</v>
          </cell>
          <cell r="D1053" t="str">
            <v>MKE01</v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  <cell r="Z1053" t="str">
            <v/>
          </cell>
          <cell r="AA1053" t="str">
            <v/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  <cell r="AG1053" t="str">
            <v/>
          </cell>
          <cell r="AH1053" t="str">
            <v/>
          </cell>
          <cell r="AI1053" t="str">
            <v/>
          </cell>
          <cell r="AJ1053" t="str">
            <v/>
          </cell>
          <cell r="AK1053" t="str">
            <v/>
          </cell>
          <cell r="AL1053" t="str">
            <v/>
          </cell>
          <cell r="AM1053" t="str">
            <v/>
          </cell>
          <cell r="AN1053">
            <v>0</v>
          </cell>
        </row>
        <row r="1054">
          <cell r="B1054" t="str">
            <v>GL502173</v>
          </cell>
          <cell r="C1054" t="str">
            <v>US人力资源部</v>
          </cell>
          <cell r="D1054" t="str">
            <v>美洲HRBP组</v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  <cell r="Z1054" t="str">
            <v/>
          </cell>
          <cell r="AA1054" t="str">
            <v/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  <cell r="AG1054" t="str">
            <v/>
          </cell>
          <cell r="AH1054" t="str">
            <v/>
          </cell>
          <cell r="AI1054" t="str">
            <v/>
          </cell>
          <cell r="AJ1054" t="str">
            <v/>
          </cell>
          <cell r="AK1054" t="str">
            <v/>
          </cell>
          <cell r="AL1054" t="str">
            <v/>
          </cell>
          <cell r="AM1054" t="str">
            <v/>
          </cell>
          <cell r="AN1054">
            <v>20.2</v>
          </cell>
        </row>
        <row r="1055">
          <cell r="B1055" t="str">
            <v>GL502421</v>
          </cell>
          <cell r="C1055" t="str">
            <v>MS 中南大区</v>
          </cell>
          <cell r="D1055" t="str">
            <v>CS 夏洛特及周边片区</v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str">
            <v/>
          </cell>
          <cell r="Z1055" t="str">
            <v/>
          </cell>
          <cell r="AA1055" t="str">
            <v/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  <cell r="AG1055" t="str">
            <v/>
          </cell>
          <cell r="AH1055" t="str">
            <v/>
          </cell>
          <cell r="AI1055" t="str">
            <v/>
          </cell>
          <cell r="AJ1055" t="str">
            <v/>
          </cell>
          <cell r="AK1055" t="str">
            <v/>
          </cell>
          <cell r="AL1055" t="str">
            <v/>
          </cell>
          <cell r="AM1055" t="str">
            <v/>
          </cell>
          <cell r="AN1055">
            <v>0</v>
          </cell>
        </row>
        <row r="1056">
          <cell r="B1056" t="str">
            <v>GL502832</v>
          </cell>
          <cell r="C1056" t="str">
            <v>TX 德州大区</v>
          </cell>
          <cell r="D1056" t="str">
            <v>IAH.H</v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  <cell r="Z1056" t="str">
            <v/>
          </cell>
          <cell r="AA1056" t="str">
            <v/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  <cell r="AG1056" t="str">
            <v/>
          </cell>
          <cell r="AH1056" t="str">
            <v/>
          </cell>
          <cell r="AI1056" t="str">
            <v/>
          </cell>
          <cell r="AJ1056" t="str">
            <v/>
          </cell>
          <cell r="AK1056" t="str">
            <v/>
          </cell>
          <cell r="AL1056" t="str">
            <v/>
          </cell>
          <cell r="AM1056" t="str">
            <v/>
          </cell>
          <cell r="AN1056">
            <v>17.67</v>
          </cell>
        </row>
        <row r="1057">
          <cell r="B1057" t="str">
            <v>GL500542</v>
          </cell>
          <cell r="C1057" t="str">
            <v>WE 美西大区</v>
          </cell>
          <cell r="D1057" t="str">
            <v>SC 南加片区</v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str">
            <v/>
          </cell>
          <cell r="Z1057" t="str">
            <v/>
          </cell>
          <cell r="AA1057" t="str">
            <v/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  <cell r="AG1057" t="str">
            <v/>
          </cell>
          <cell r="AH1057" t="str">
            <v/>
          </cell>
          <cell r="AI1057" t="str">
            <v/>
          </cell>
          <cell r="AJ1057" t="str">
            <v/>
          </cell>
          <cell r="AK1057" t="str">
            <v/>
          </cell>
          <cell r="AL1057" t="str">
            <v/>
          </cell>
          <cell r="AM1057" t="str">
            <v/>
          </cell>
          <cell r="AN1057">
            <v>9.73</v>
          </cell>
        </row>
        <row r="1058">
          <cell r="B1058" t="str">
            <v>GL500193</v>
          </cell>
          <cell r="C1058" t="str">
            <v>WE 美西大区</v>
          </cell>
          <cell r="D1058" t="str">
            <v>NC 北加片区</v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str">
            <v/>
          </cell>
          <cell r="Z1058" t="str">
            <v/>
          </cell>
          <cell r="AA1058" t="str">
            <v/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  <cell r="AG1058" t="str">
            <v/>
          </cell>
          <cell r="AH1058" t="str">
            <v/>
          </cell>
          <cell r="AI1058" t="str">
            <v/>
          </cell>
          <cell r="AJ1058" t="str">
            <v/>
          </cell>
          <cell r="AK1058" t="str">
            <v/>
          </cell>
          <cell r="AL1058" t="str">
            <v/>
          </cell>
          <cell r="AM1058" t="str">
            <v/>
          </cell>
          <cell r="AN1058">
            <v>21.54</v>
          </cell>
        </row>
        <row r="1059">
          <cell r="B1059" t="str">
            <v>GL500316</v>
          </cell>
          <cell r="C1059" t="str">
            <v>WE 美西大区</v>
          </cell>
          <cell r="D1059" t="str">
            <v>运营支持部</v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  <cell r="Z1059" t="str">
            <v/>
          </cell>
          <cell r="AA1059" t="str">
            <v/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  <cell r="AG1059" t="str">
            <v/>
          </cell>
          <cell r="AH1059" t="str">
            <v/>
          </cell>
          <cell r="AI1059" t="str">
            <v/>
          </cell>
          <cell r="AJ1059" t="str">
            <v/>
          </cell>
          <cell r="AK1059" t="str">
            <v/>
          </cell>
          <cell r="AL1059" t="str">
            <v/>
          </cell>
          <cell r="AM1059" t="str">
            <v/>
          </cell>
          <cell r="AN1059">
            <v>16.17</v>
          </cell>
        </row>
        <row r="1060">
          <cell r="B1060" t="str">
            <v>GL500937</v>
          </cell>
          <cell r="C1060" t="str">
            <v>MS 中南大区</v>
          </cell>
          <cell r="D1060" t="str">
            <v>CS 夏洛特及周边片区</v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str">
            <v/>
          </cell>
          <cell r="Z1060" t="str">
            <v/>
          </cell>
          <cell r="AA1060" t="str">
            <v/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  <cell r="AG1060" t="str">
            <v/>
          </cell>
          <cell r="AH1060" t="str">
            <v/>
          </cell>
          <cell r="AI1060" t="str">
            <v/>
          </cell>
          <cell r="AJ1060" t="str">
            <v/>
          </cell>
          <cell r="AK1060" t="str">
            <v/>
          </cell>
          <cell r="AL1060" t="str">
            <v/>
          </cell>
          <cell r="AM1060" t="str">
            <v/>
          </cell>
          <cell r="AN1060">
            <v>13.08</v>
          </cell>
        </row>
        <row r="1061">
          <cell r="B1061" t="str">
            <v>GL502578</v>
          </cell>
          <cell r="C1061" t="str">
            <v>DO 数字运营部</v>
          </cell>
          <cell r="D1061" t="str">
            <v>美国技术支持组</v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str">
            <v/>
          </cell>
          <cell r="Z1061" t="str">
            <v/>
          </cell>
          <cell r="AA1061" t="str">
            <v/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  <cell r="AG1061" t="str">
            <v/>
          </cell>
          <cell r="AH1061" t="str">
            <v/>
          </cell>
          <cell r="AI1061" t="str">
            <v/>
          </cell>
          <cell r="AJ1061" t="str">
            <v/>
          </cell>
          <cell r="AK1061" t="str">
            <v/>
          </cell>
          <cell r="AL1061" t="str">
            <v/>
          </cell>
          <cell r="AM1061" t="str">
            <v/>
          </cell>
          <cell r="AN1061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7001041667" refreshedBy="Administrator" recordCount="990">
  <cacheSource type="worksheet">
    <worksheetSource ref="A2:AB992" sheet="每日打卡工时推送模版"/>
  </cacheSource>
  <cacheFields count="28">
    <cacheField name="考勤日期" numFmtId="0">
      <sharedItems count="2">
        <s v=""/>
        <s v="2026/05/12"/>
      </sharedItems>
    </cacheField>
    <cacheField name="姓名" numFmtId="0">
      <sharedItems count="990">
        <s v="Alessan South"/>
        <s v="Caleb Aaron Kenmar"/>
        <s v="Kareem Stuart"/>
        <s v="Tara S Austin"/>
        <s v="刘建好Gaby（Jianhao Liu)"/>
        <s v="刘梓宸 James (Zichen Liu)"/>
        <s v="吴金生 Jason (Jinsheng Wu)"/>
        <s v="左越 Phil (Yue Zuo)"/>
        <s v="张译丹 Edan （Yidan Zhang）"/>
        <s v="李育珊Amber （Yushan Li）"/>
        <s v="李致远Brian (Zhiyuan Li)"/>
        <s v="胡丹妮Danni（Danni Hu）"/>
        <s v="赵旸悦𮭦Fiona（Yangyuechen Zhao）"/>
        <s v="邱俊达Jayden（Junda Qiu）"/>
        <s v="陈淑茵 Nicole （Shuyin Chen）"/>
        <s v="陈玥丹Karol（Yuedan Chen）"/>
        <s v="Alabran (Alabran Reyes)"/>
        <s v="Alexis (Alexis Castillo)"/>
        <s v="Alexis Villanueva"/>
        <s v="Alfaro, Walter Jessie（Alfaro, Walter Jessie）"/>
        <s v="Andrea （Andrea Silva）"/>
        <s v="Andrea(Andrea Velez)"/>
        <s v="Andrew Michael Garcia"/>
        <s v="Annie Wang"/>
        <s v="Antonio (Antonio Yong Liang)"/>
        <s v="Arielle (Arielle Ho)"/>
        <s v="Ben(Neng Xiong)"/>
        <s v="Benjamin Alejandro Zendejas"/>
        <s v="Ben苏国邦（Ben Su）"/>
        <s v="Bobby Barry"/>
        <s v="Cameron Tabatabaei Roudsari"/>
        <s v="Canzhe Tang"/>
        <s v="Cao Yijin (Yijin Cao)"/>
        <s v="Chad Emerson"/>
        <s v="Chavez William（Chavez William）"/>
        <s v="Cristobal Ybarra（Cristobal）"/>
        <s v="Daniel Z Rodriguez（Daniel Z Rodriguez）"/>
        <s v="Darryl (Darryl Reyes Cruz)"/>
        <s v="David (WENQI WANG)"/>
        <s v="David Thompson"/>
        <s v="Dayna (Dayna Robles)"/>
        <s v="Denisse (Denisse Morales Alva)"/>
        <s v="Derek (Derek Cheung)"/>
        <s v="Derek Kissel"/>
        <s v="Diego (Diego Perez)"/>
        <s v="Dinoshka (Dinoshka Colon)"/>
        <s v="Duan Wenfeng"/>
        <s v="Edmund(Edmund Rivera)"/>
        <s v="Effy Wang"/>
        <s v="Elizabeth Guynn"/>
        <s v="Elyse（Elyse Sandra Ellenwood）"/>
        <s v="Eric (Eric Salas Salcedo)"/>
        <s v="Eric Xiong"/>
        <s v="Erik (Erik Perez)"/>
        <s v="Ethan Thomas"/>
        <s v="Fay Geng"/>
        <s v="Fidel (Fidel Diaz Gonzalez)"/>
        <s v="Fode (Fode Oumar Gueye)"/>
        <s v="Francisco Espinoza（Francisco Espinoza）"/>
        <s v="Freddy (Freddy Sanchez Romero)"/>
        <s v="Gabriela（Gabriela Nunez）"/>
        <s v="Garcia Keith Joseph（Garcia Keith Joseph）"/>
        <s v="Garcia Kyle Joshua"/>
        <s v="Gema（Gema Palma Zambrano）"/>
        <s v="Geovanny (Geovanny Eusebio)"/>
        <s v="Gerson (Gerson Vargas)"/>
        <s v="Hauon Lo"/>
        <s v="Huang Leiming"/>
        <s v="Isa（Isa Alybaev）"/>
        <s v="Isis Bonilla"/>
        <s v="Ismael (Ismael Bizarretty)"/>
        <s v="Ismaray (Ismaray Arencibia Garcia)"/>
        <s v="Isnaika (Isnaika elissa Pierre)"/>
        <s v="Itzel Azucena Lopez Banuelos"/>
        <s v="Jareier Eduardo Lopez"/>
        <s v="Jarmila (Jarmila Romero)"/>
        <s v="Jasmine Dong（Jasmine Dong）"/>
        <s v="Jeffrey（Jeffrey Demarrio Dennis）"/>
        <s v="Jenny Paola Gutierrez"/>
        <s v="Jerry Liang You（Jerry）"/>
        <s v="Jerry(Shun Yang)"/>
        <s v="Jhosmeity (Jhosmeity Lopez)"/>
        <s v="Johnathan Edward Ladson Jr（Johnathan Edward Ladson"/>
        <s v="Jose (Jose Ochoa)"/>
        <s v="Jose G Esquivias Terraza"/>
        <s v="Juan (Juan Mendez)"/>
        <s v="Juan (Juan Velazquez)"/>
        <s v="Juan Carlos Jr Vargas（Juan Carlos Jr Vargas）"/>
        <s v="Julio (Julio Almanzar)"/>
        <s v="Justin (Justin Quesada)"/>
        <s v="Kelvin Siu（Kelvin Siu）"/>
        <s v="Kevin (Kevin Jimenez)"/>
        <s v="Kiaramarie Munoz"/>
        <s v="Kyle  (Kyle Arden Berry)"/>
        <s v="Lai Guoxiang"/>
        <s v="Lazaro (Lazaro C. Gonzalez)"/>
        <s v="Leo Schauer"/>
        <s v="Leroy (Leroy Jackson)"/>
        <s v="Li Dehua"/>
        <s v="Lily Smith"/>
        <s v="Liu Xinghai"/>
        <s v="Lu Lifeng"/>
        <s v="Luna Pan"/>
        <s v="Mahendra (Mahendra Kumar Gummadi)"/>
        <s v="Man Yee Yolanda Yip（Man Yee Yolanda Yip）"/>
        <s v="Mario Miguel Pena"/>
        <s v="Max Baehr"/>
        <s v="Max Tao"/>
        <s v="Michael Bemis"/>
        <s v="Michael(Michael Antonio Bowles Jr.)"/>
        <s v="Michael（Michael He）"/>
        <s v="Miguel Angel Correa"/>
        <s v="Minqing (Minqing Xu)"/>
        <s v="Nehemiah Angelo Cortinas"/>
        <s v="Nekole (Nekole Rider)"/>
        <s v="Nicolás（Nicolás Suárez Ríos）"/>
        <s v="Noor (Noor Sultana)"/>
        <s v="Nora Garza"/>
        <s v="Omar Aguirre"/>
        <s v="Omar Avianeda"/>
        <s v="Oscar Coronado"/>
        <s v="Oscar Diaz（Oscar Alonzo Diaz）"/>
        <s v="Ossiel（Eduardo Medina）"/>
        <s v="Oswall A Duran Rodriguez"/>
        <s v="PEDRO MUÑOZ"/>
        <s v="Qianqian Li"/>
        <s v="Rafael (Rafael Rossmann)"/>
        <s v="Rene (Rene David Perez)"/>
        <s v="Rene (Rene Deulofeu Alvarez)"/>
        <s v="Richard Anthony Munoz（Richard Anthony Munoz）"/>
        <s v="Roberto (Roberto Fenton)"/>
        <s v="Roberto (Roberto Fonseca)"/>
        <s v="Roberto （Roberto Medina）"/>
        <s v="Ronald Kellogg"/>
        <s v="Rossanny Rodriguez-Reyes"/>
        <s v="Ruyu Chen"/>
        <s v="SANCHEZ RODOLFO SALVADOR（SANCHEZ RODOLFO SALVADOR）"/>
        <s v="Samuel Lazarus"/>
        <s v="Sarafina (Sarafina Boireau)"/>
        <s v="Shi Ruixiang"/>
        <s v="Sofia（Sofia Veronica Gloria Gomez）"/>
        <s v="Steven Si"/>
        <s v="Sydney Blackmon（Sydney Olivia Blackmon）"/>
        <s v="Tony (Chan Kit Fai)"/>
        <s v="Treasure （Treasure Thomas）"/>
        <s v="Tremayne (Tremayne Henry Jr.)"/>
        <s v="Tysean (Tysean Kaliq Hough)"/>
        <s v="Tzuyang Fu (Nick)"/>
        <s v="Uriel Aguirre (Uriel Aguirre）"/>
        <s v="Victor (Victor Williams)"/>
        <s v="Wei Deng（Wei Deng）"/>
        <s v="Wesley Martinez"/>
        <s v="Yan Zhenni"/>
        <s v="Yang Xuan"/>
        <s v="Yasser (Yasser Hernandez Diaz)"/>
        <s v="Yeralys (Yeralys de Leon de Jesus)"/>
        <s v="Zheng Jialin"/>
        <s v="万象Jeremy (Xiang Wan)"/>
        <s v="严启文Yolanda (Qiwen Yan)"/>
        <s v="乔晓艳Lois（Xiaoyan Qiao）"/>
        <s v="于尚琨Richard (Shangkun Yu)"/>
        <s v="于成龙Lucas（Chenglong Yu）"/>
        <s v="于文康 Henry (Wenkang Yu)"/>
        <s v="于曼 Pamela（Man YU）"/>
        <s v="于淼Maggie（Miao Yu）"/>
        <s v="仇璐Lucia(Lu Qiu)"/>
        <s v="仲青淼Abigail（Qingmiao Zhong）"/>
        <s v="任传兵（Chuanbing Ren）"/>
        <s v="任博通Raul (Botong Ren)"/>
        <s v="任楚涵Nora(Chuhan Ren)"/>
        <s v="任洁琼Rachel（Jieqiong Ren）"/>
        <s v="任运丹Ella (Yundan Ren)"/>
        <s v="伦伟华Alan (Weihua Lun)"/>
        <s v="何东海（Donghai He）"/>
        <s v="何仪Phil（Yi He）"/>
        <s v="何大沁Meek (Ta-Chin Ho)"/>
        <s v="何宗益Heather（Zongyi He）"/>
        <s v="何昊源Hank（Haoyuan He）"/>
        <s v="何洋Yang（Yang He）"/>
        <s v="何琼joan(Qiong He)"/>
        <s v="何音达(Yinda He)"/>
        <s v="余伟能William (Weineng Yu)"/>
        <s v="余傲（Ao Yu）"/>
        <s v="余典 Radian（Dian Yu）"/>
        <s v="余卓然Zoe （Zhuoran Yu）"/>
        <s v="余璟丰Daniel (Jingfeng Yu)"/>
        <s v="余雷"/>
        <s v="佟佳益（Jason）"/>
        <s v="依丽旦娜·依明江Dana （Yilidanna Yimingjiang）"/>
        <s v="侯菲菲（Feifei Hou）"/>
        <s v="侴雅婷Taylor (Yating Chou)"/>
        <s v="傅耀辉Kris (Yaohui Fu)"/>
        <s v="兰江Samuel（Jiang Lan）"/>
        <s v="兰鹏Peng（Peng Lan）"/>
        <s v="关明阳Scott (Mingyang Guan)"/>
        <s v="冯宇寿Edward（Yushou Feng）"/>
        <s v="冯师耀Peter (Shiyao Feng)"/>
        <s v="冯彦凯Kai (Yenkai Feng)"/>
        <s v="冯旭（Klaus）Xu Feng"/>
        <s v="冯洋Feng Yang(Yang Feng)"/>
        <s v="冯知津 (Zhijin Feng)"/>
        <s v="冯章 Andy Feng (Zhang Feng)"/>
        <s v="冯细妹 Ximei Feng (Ximei Feng)"/>
        <s v="冯银凤Fiona（Yinfeng Feng）"/>
        <s v="刘之元Sam (Zhiyuan Liu)"/>
        <s v="刘书睿Daniel (Shurui Liu)"/>
        <s v="刘亚林 (Yalin Liu)"/>
        <s v="刘伟程Max（Weicheng Liu）"/>
        <s v="刘佳琪Maggie (Jiaqi Liu)"/>
        <s v="刘俊甜Verity（Juntian Liu）"/>
        <s v="刘冰Johnny (Bing Liu)"/>
        <s v="刘博Bob(Bo Liu)"/>
        <s v="刘名(Ming Liu)"/>
        <s v="刘天慧Tiffany（Tianhui Liu）"/>
        <s v="刘奕轩Eric（Yixuan Liu）"/>
        <s v="刘威威Wesson（Weiwei Liu）"/>
        <s v="刘子牧 Jacob（Zimu Liu）"/>
        <s v="刘季阳Zoe (Jiyang Liu)"/>
        <s v="刘宏果（Hongguo Liu）"/>
        <s v="刘宏森（Hongsen Liu）"/>
        <s v="刘小娜Shannah（Xiaona Liu）"/>
        <s v="刘庭均（Tingjun Liu）"/>
        <s v="刘庭语Tia (Tingyu Liu)"/>
        <s v="刘强强（Kimi）"/>
        <s v="刘思Cici （Si Liu）"/>
        <s v="刘怡佳Jenna （Yijia Liu）"/>
        <s v="刘成龙Chris (Chenglong Liu)"/>
        <s v="刘政渠 (Zhengqu Liu)"/>
        <s v="刘文静Wendy（Wenjing Liu）"/>
        <s v="刘晓东Tony (Xiaodong Liu)"/>
        <s v="刘晴欣Kathy (Qingxin Liu)"/>
        <s v="刘朝臣（Chaochen Liu）"/>
        <s v="刘梓童Zukie(Zitong Liu)"/>
        <s v="刘武宸 Patrick (Wuchen Liu)"/>
        <s v="刘洋硕（Yangshuo Liu）"/>
        <s v="刘澐 Yuna（Yun Liu)"/>
        <s v="刘爽Joy (Shuang Liu)"/>
        <s v="刘畅 Vincent (Chang Liu)"/>
        <s v="刘祥栋 Brian (Xiangdong Liu)"/>
        <s v="刘秋岐Chelsea（Qiuqi Liu）"/>
        <s v="刘纯Jessie（Chun Liu）"/>
        <s v="刘闽东Eric（Mingdong Liu）"/>
        <s v="刘雨星Lesley（Yuxing Liu）"/>
        <s v="刘青松leo (qingsong liu)"/>
        <s v="刘鼎威 （Dingwei Liu）"/>
        <s v="卢鹭（Lu Lu）"/>
        <s v="危坦然（Tanran Wei）"/>
        <s v="史健琦Eason（Jianqi Shi）"/>
        <s v="史成圆Alexia (Chengyuan Shi)"/>
        <s v="叶云汉Irvin （Yunhan Ye）"/>
        <s v="叶家豪Issac（Jiahao Ye）"/>
        <s v="叶小菁Summer(Xiaojing Ye)"/>
        <s v="叶文洁Ye（Wenjie Ye）"/>
        <s v="叶珍萌Aria (Zhenmeng Ye)"/>
        <s v="叶理(Li Ye)"/>
        <s v="叶秀芳Freya (Xiufang Ye)"/>
        <s v="叶青Charlie（Qing Ye）"/>
        <s v="司徒群娣（Qundi Situ）"/>
        <s v="吉海（Hai Ji）"/>
        <s v="向虹宇Faye (Hongyu Xiang)"/>
        <s v="吕芳凯 (Fangkai Lyu)"/>
        <s v="吴亚玲Tina (Yaling Wu)"/>
        <s v="吴宇暄Wilson (Yuxuan Wu)"/>
        <s v="吴彬Frank(Bin Wu)"/>
        <s v="吴忻隆Max（Xinlong Wu）"/>
        <s v="吴欣玥 Destinee (Xinyue Wu)"/>
        <s v="吴毅 (Yi Wu)"/>
        <s v="吴璇 Sylvia (Xuan Wu)"/>
        <s v="吴翊沛（Jack）Yipei Wu"/>
        <s v="吴若熹 Cici (Ruoxi Wu)"/>
        <s v="吴雨霏"/>
        <s v="吴颖霏Rinna（Yingfei Wu）"/>
        <s v="周乐瀛 (Eric)"/>
        <s v="周信华 Sophie Johnson (Xinhua Zhou)"/>
        <s v="周奕彤Jessi（Yitong Zhou）"/>
        <s v="周安琪（Anqi Zhou）"/>
        <s v="周延舒Isabel（Yanshu Zhou）"/>
        <s v="周彦君 Clivia (Yanjun Zhou)"/>
        <s v="周恒佑 Jerry（Hengyou Zhou）"/>
        <s v="周星辰Joe（Xingchen Zhou）"/>
        <s v="周晓燕Sarah (Xiaoyan Zhou)"/>
        <s v="周玥莹Kristine（Yueying Zhou）"/>
        <s v="周琦KrisY（Qi Zhou)"/>
        <s v="周璐葶Eva（Luting Zhou）"/>
        <s v="唐嫣遥Kate (Yanyao Tang)"/>
        <s v="唐宝权 Bowen （Baoquan Tang)"/>
        <s v="唐沛琦 Peter（Peiqi Tang）"/>
        <s v="唐浩Thomas(Hao Tang)"/>
        <s v="唐睿雯Raven (Ruiwen Tang)"/>
        <s v="唐诚皓Michael (Chenghao Tang)"/>
        <s v="商兆军Shawn（Zhaojun Shang）"/>
        <s v="夏佳泽Jay (Jiaze Xia)"/>
        <s v="夏天淼 Alex（Tianmiao Xia）"/>
        <s v="夏羽 Summer （Yu Xia）"/>
        <s v="姚尧（Yao Yao）"/>
        <s v="姚约瑟Joseph（Yuese Yao）"/>
        <s v="姜承佑Mike（Chengyou Jiang）"/>
        <s v="姜睿承Richard （Ruicheng Jiang）"/>
        <s v="姜祎明（Yiming.Jiang）"/>
        <s v="姜雪 (Xue Jiang)"/>
        <s v="姜顾宁Ivy(Guning Jiang)"/>
        <s v="姜飞伯Jackson (Feibo Jiang)"/>
        <s v="娄译文 Lucas (Yiwen Lou)"/>
        <s v="孙东生Eric（Dongsheng Sun）"/>
        <s v="孙伟鹏Will（Weipeng Sun）"/>
        <s v="孙可君Monica（Kejun Sun）"/>
        <s v="孙嘉驹 Chris （Jiaju Sun）"/>
        <s v="孙国瑜Tony（Guoyu Sun）"/>
        <s v="孙士皓（Shihao Sun）"/>
        <s v="孙婕 Jasmine（Sunjie）"/>
        <s v="孙昊月Matthew（Haoyue Sun）"/>
        <s v="孙皓晨Harlan（Haochen Sun）"/>
        <s v="孙睿紫Aurora(Ruizi Sun)"/>
        <s v="孙芃（Peng Sun）"/>
        <s v="孙覃思 Stephen（Tansi Sun）"/>
        <s v="孙颖 Sandy（Ying Sun Spears）"/>
        <s v="孟祥晓 （Xiangxiao Meng）"/>
        <s v="宁殿龙Leo（Dianlong Ning）"/>
        <s v="宋佳牧 Dorian (Jiamu Song)"/>
        <s v="宋嘉牧Daniel（Jiamu Song）"/>
        <s v="宋奕霏 Faye (Yifei Song)"/>
        <s v="宋宜烜（Yixuan Song）"/>
        <s v="宋昊阳Chris(Haoyang Song)"/>
        <s v="宋智力Sheng（Zhili Song）"/>
        <s v="尚梓阳Ronnie (Ziyang Shang)"/>
        <s v="尚青蓓 Suki （Qingbei Shang）"/>
        <s v="尤梦楠Yuko（Mengnan You）"/>
        <s v="尹晓伟Ethan（Xiaowei Yin）"/>
        <s v="尹杰Jay（Jie Yin）"/>
        <s v="尹蓉Ina (Rong Yin)"/>
        <s v="屈静帆Summer（Jingfan Qu）"/>
        <s v="岑淑玲 Kristy (shuling Cen)"/>
        <s v="岳奕辰（Yichen Yue）"/>
        <s v="崔云平 Yunping (Yunping Cui)"/>
        <s v="崔倩茹Casey（Qianru Cui)"/>
        <s v="崔若瑾 Stacy (Ruojin Cui)"/>
        <s v="崔飞飞Grace（Feifei Cui）"/>
        <s v="巴天奇（Tianqi Ba)"/>
        <s v="干宇轩 (Yuxuan Gan)"/>
        <s v="康海春Haichun (Haichun Kang)"/>
        <s v="廖国英 Lisa （Guoying Liao）"/>
        <s v="廖敏 Mina (Min Liao)"/>
        <s v="廖文菁Jin（Wenjing Liao）"/>
        <s v="廖诗辰（Shichen Liao）"/>
        <s v="廖鑫磊 Leo (Xinlei Liao)"/>
        <s v="开欣Kai (Xin Kai)"/>
        <s v="张一怡 Elena (Yiyi Zhang)"/>
        <s v="张世霞Eunice（Shixia Zhang）"/>
        <s v="张书畅Bruce (Shuchang Zhang)"/>
        <s v="张传胤（Chuanyin Zhang）"/>
        <s v="张佩敏 Carmen （Carmen pei min Zhang)"/>
        <s v="张佳萌 Rita (Jiameng Zhang)"/>
        <s v="张利Nick（Li Zhang）"/>
        <s v="张千千Ruby (Qianqian Zhang)"/>
        <s v="张华 Danny(Hua Zhang)"/>
        <s v="张华Leah（Hua Zhang）"/>
        <s v="张双甫(Shuangfu Zhang)"/>
        <s v="张可欣 Kexin (Kexin Zhang)"/>
        <s v="张啸"/>
        <s v="张天玮Violet (Tianwei Zhang)"/>
        <s v="张奕 (Yi Zhang)"/>
        <s v="张子伦（Zilun Zhang)"/>
        <s v="张子夜Sabrina（Ziye Zhang）"/>
        <s v="张家义 Awan（Jiayi Zhang）"/>
        <s v="张容 （Rong Zhang）"/>
        <s v="张小燕Carina(Xiaoyan Zhang)"/>
        <s v="张建平Grace（Jianping Zhang）"/>
        <s v="张建辉Mario（Jianhui Zhang）"/>
        <s v="张弘毅 Hongyi （Hongyi Zhang）"/>
        <s v="张恩泽Vincent（Enze Zhang）"/>
        <s v="张悦Mia（Yue Zhang）"/>
        <s v="张振林Jax (Zhenlin Zhang)"/>
        <s v="张挽强 (Max)"/>
        <s v="张昊阳 Fabio (Haoyang Zhang)"/>
        <s v="张晓婉Christy（Xiaowan Zhang）"/>
        <s v="张望Wang（Wang Zhang)"/>
        <s v="张朱同 Thomson（Zhutong Zhang）"/>
        <s v="张林萱 Charlotte （Linxuan Zhang）"/>
        <s v="张枭(Xiao Zhang)"/>
        <s v="张梓皓 Howard (Zihao Zhang)"/>
        <s v="张梓祺Vivian （Ziqi Zhang）"/>
        <s v="张森 (Sen Zhang)"/>
        <s v="张法礼 Farley (Fali Zhang)"/>
        <s v="张洁雨Jaye（Jieyu Zhang）"/>
        <s v="张潇予（Angelia）Xiaoyu Zhang"/>
        <s v="张瀚文 John （Hanwen Zhang）"/>
        <s v="张瀚清 Han （Hanqing Zhang）"/>
        <s v="张然Miles（Ran Zhang）"/>
        <s v="张燕Amy（Yan Zhang）"/>
        <s v="张玉田Silvia（Yutian Zhang）"/>
        <s v="张玉贵（Yugui Zhang）"/>
        <s v="张琪Jet（Qi Zhang）"/>
        <s v="张琳枫Arthur（Linfeng Zhang）"/>
        <s v="张磊（Lei Zhang）"/>
        <s v="张紫嫣Cecilia（Ziyan Zhang）"/>
        <s v="张翠英Journey (Cuiying Zhang)"/>
        <s v="张腾"/>
        <s v="张航Abby(Hang Zhang)"/>
        <s v="张艺宁（Yining Zhang）"/>
        <s v="张译心Fiona (Yixin Zhang)"/>
        <s v="张贤洺(RYAN)"/>
        <s v="张迈月Charlotte (Maiyue Zhang)"/>
        <s v="张铁林Terry (Tielin Zhang)"/>
        <s v="张雅兰 Eve (Yalan Zhang)"/>
        <s v="张雅婷Caca （Yating Zhang）"/>
        <s v="张霄鹏Shawn (Xiaopeng Zhang)"/>
        <s v="张馨匀 Zoe（Xinyun Zhang）"/>
        <s v="张骞文Grace (Qianwen Zhang)"/>
        <s v="张骥Ji Zhang (Ji Zhang)"/>
        <s v="张鹏翔 Peazy (Pengxiang Zhang)"/>
        <s v="彭君韬Julius（Juntao Peng）"/>
        <s v="彭昕亮Bruce（Xinliang Peng）"/>
        <s v="徐丹Mary(Dan Xu)"/>
        <s v="徐伟航Kevin（Weihang Xu）"/>
        <s v="徐子涵Chloe（Zihan Xu）"/>
        <s v="徐易航 Henry (Yihang Xu)"/>
        <s v="徐智达Aidan(Zhida Xu)"/>
        <s v="徐浚凌（Breeze）"/>
        <s v="徐润生Dragon (Runsheng Xu)"/>
        <s v="徐瑞梓Roy（Ruizi Xu)"/>
        <s v="徐秀琴Prisca（Hsiuchin Hsu）"/>
        <s v="徐紫珏 Jessie (Zijue Xu)"/>
        <s v="徐绍伦Shawn (Shaolun Xu)"/>
        <s v="徐驰Chase（Chi Xu）"/>
        <s v="恽思成Ashley（Sicheng Yun）"/>
        <s v="戚逸文(Yiwen Qi)"/>
        <s v="戴钰芝"/>
        <s v="拜二勇(Eryong Bai)"/>
        <s v="敖海韬Haitao（Haitao Ao）"/>
        <s v="方晨滋 Chenzi (Chenzi Fang)"/>
        <s v="方景宏（Jinghong Fang）"/>
        <s v="方林立（Linli Fang）"/>
        <s v="方琦 Jacky (Qi Fang)"/>
        <s v="方维维Vivian ( Weiwei Fang）"/>
        <s v="方舟Eva (Zhou Giangrasso)"/>
        <s v="施志鹏 Rick (Zhipeng Shi)"/>
        <s v="施慧 Alice（Hui Shi）"/>
        <s v="施罕鑫 Queenie (Hanxin Shi)"/>
        <s v="明杰麟Jennie (Jielin Ming)"/>
        <s v="易涛Tonni（Tao Yi）"/>
        <s v="易至聪Zac (Zhicong Yi)"/>
        <s v="智卓（Zhuo Zhi）"/>
        <s v="曲阳 Leo (Yang Qu)"/>
        <s v="曹杨清清(Encore)"/>
        <s v="曹楚颖（Chuying Cao）"/>
        <s v="曹裴绘Peihui（Peihui Cao）"/>
        <s v="曾令桓（Linghuan Zeng）"/>
        <s v="朱伟沛Aiden（Weipei Zhu)"/>
        <s v="朱嘉希 Roger（Jiaxi Zhu）"/>
        <s v="朱子辰Rain (Zichen Zhu)"/>
        <s v="朱家仡Andrew (Jiayi Zhu)"/>
        <s v="朱晗宇 Peter (Hanyu Zhu)"/>
        <s v="朱涛 Dyna (Tao Zhu)"/>
        <s v="朱盈池 Junie (Yingchi Zhu)"/>
        <s v="朱茹茹 Linda（Ruru Zhu)"/>
        <s v="朱行健 Jason (Xingjian Zhu)"/>
        <s v="朱讯 Lorance（Xun Zhu）"/>
        <s v="朱越汀Alex（Yueting Zhu）"/>
        <s v="朴仁玉 Rachel（Renyu Piao）"/>
        <s v="李一楠Kyle (Yinan Li）"/>
        <s v="李一诺 Doris（Yinuo Li）"/>
        <s v="李万杰Tim  (Wanjie Li)"/>
        <s v="李丹华Blanche(Danhua Li)"/>
        <s v="李今为 Amanda （Jinwei Li）"/>
        <s v="李佳慧Holly（Jiahui Li）"/>
        <s v="李信南 (Xinnan Li）"/>
        <s v="李元希 Lia (Yuanxi Li)"/>
        <s v="李剑Jay（Jian Li）"/>
        <s v="李卓霖 （Zhuolin Li）"/>
        <s v="李嘉怡Lya (Jiayi Li)"/>
        <s v="李士龙 (Shilong Li)"/>
        <s v="李妮珊Stella（Nishan Li)"/>
        <s v="李宁Simon (Ning Li)"/>
        <s v="李宗泽Zack(Zongze Li)"/>
        <s v="李家琦Jackie（Jiaqi Li）"/>
        <s v="李家蕙Krystal（Jiahui Li）"/>
        <s v="李小涵Jane (Xiaohan Li)"/>
        <s v="李彦希Lizzy（Yanxi Li）"/>
        <s v="李心月Amaris (Xinyue Li)"/>
        <s v="李思霖 (Silin Li)"/>
        <s v="李政航Ken(Zhenghang Li)"/>
        <s v="李政轩(Zhengxuan Li)"/>
        <s v="李文旭 Leo  (WENXU LI)"/>
        <s v="李昊澄（Haocheng Li）"/>
        <s v="李明Lawrence（Ming Li）"/>
        <s v="李明峰Lucas(Mingfeng Li)"/>
        <s v="李明远Eddie （Mingyuan Li）"/>
        <s v="李易峰Franklin (Yifeng Li)"/>
        <s v="李星诺（Xingnuo Li）"/>
        <s v="李显瀚Bosco（Xianhan Li）"/>
        <s v="李晓（Xiao Li)"/>
        <s v="李枭文Andy (Xiaowen Li)"/>
        <s v="李梦想Mason (Mengxiang Li)"/>
        <s v="李泽森Biu（Zesen Li）"/>
        <s v="李海 Hai (Hai Li)"/>
        <s v="李海洋（Haiyang Li)"/>
        <s v="李海燕Haiyan（Haiyan Li）"/>
        <s v="李煜桐 Sherry （Yutong Li）"/>
        <s v="李王阳Sunny (Wangyang Li)"/>
        <s v="李睿馨Ori（Ruixin Li）"/>
        <s v="李秋仪Chloe（Qiuyi Li）"/>
        <s v="李秋妍Angela（Qiuyan Li）"/>
        <s v="李翔之Benson（Benson Lee）"/>
        <s v="李胜君Cathy (Shengjun Li)"/>
        <s v="李若男Mignon（Mignon Li）"/>
        <s v="李莹(Ying Li)"/>
        <s v="李蜜Amy (Mi Li)"/>
        <s v="李远Mark（Yuan Li）"/>
        <s v="李钟鸣Zhongming（Zhongming Li）"/>
        <s v="李锦琦Arther (Jinqi Li)"/>
        <s v="李阳阳 (Yangyang Li)"/>
        <s v="李雨薇Ivy（Yuwei Li)"/>
        <s v="李雪（Shirley）Xue Li"/>
        <s v="杜彤Alex (Tong Du)"/>
        <s v="杜金Jin (Jin Du)"/>
        <s v="杜鹏吉Bruce (Pengji Du)"/>
        <s v="杨丁丁 Lorraine (Dingding Yang)"/>
        <s v="杨万Young (Wan Yang)"/>
        <s v="杨东旭Jessie (Dongxu Yang)"/>
        <s v="杨书锐Shurui（Shurui Yang）"/>
        <s v="杨云逸菲Freya (Yunyifei Yang)"/>
        <s v="杨云飞"/>
        <s v="杨凯钦（Kaiqin Yang）"/>
        <s v="杨卓浩Icarus (Zhuohao Yang)"/>
        <s v="杨子豪（Zee）Zihao Yang"/>
        <s v="杨帆（Fan Yang）"/>
        <s v="杨广宁Jack（Guangning Yang)"/>
        <s v="杨广斌Guangbin Yang"/>
        <s v="杨敏Min (Min Yang)"/>
        <s v="杨文博 Joe (Wenbo Yang)"/>
        <s v="杨智博Eddy（Zhibo Yang）"/>
        <s v="杨梓涵 Harry (Zihan Yang)"/>
        <s v="杨洁 Jade（Jie Yang）"/>
        <s v="杨洁敏 Jeremy (Jiemin Yang)"/>
        <s v="杨琳 (Lin Yang）"/>
        <s v="杨益洲Young（Yizhou Yang）"/>
        <s v="杨芊雨Taylor (Qianyu Yang)"/>
        <s v="杨英Esther (Ying Yang)"/>
        <s v="林冠华Mark（Guanhua Lin)"/>
        <s v="林勇Nathan（Yong Lin）"/>
        <s v="林君毅Jun（Junyi Lin）"/>
        <s v="林唯伟 Weiwei （Weiwei Lin）"/>
        <s v="林圣贤Alex（Alex Lin）"/>
        <s v="林志强Max（Zhiqiang Lin）"/>
        <s v="林思慧 Gloria（Sihui Lin）"/>
        <s v="林捷Jie（Jie Lin）"/>
        <s v="林晓妮Nikki(Xiaoni Lin)"/>
        <s v="林晓涵 Emma(Xiaohan Lin)"/>
        <s v="林泽晃Spark (Zehuang Lin)"/>
        <s v="林渝雯Avery (Yuwen Lin)"/>
        <s v="林美浚（Meijun Lin）"/>
        <s v="林艳 Alina （Yan Lin)"/>
        <s v="林超鸿Gorton （Chaohong Lin）"/>
        <s v="林道望Daryl（Daowang Lin）"/>
        <s v="查震升Charlie（Zhensheng Cha）"/>
        <s v="柳建顺（Jianshun Liu）"/>
        <s v="梁心怡Chloe（Xinyi Liang）"/>
        <s v="梁思圣 Chris (Sisheng Liang)"/>
        <s v="梁惠玲（Huiling Liang）"/>
        <s v="梁海龙Ruben (Ruben Liang Huang)"/>
        <s v="梅俊明Jimmy（Junming Mei）"/>
        <s v="梅村May（Chun Mei）"/>
        <s v="梅雨润 (Yurun Mei)"/>
        <s v="欧和枫 Henry (HeFeng Ou)"/>
        <s v="欧阳溢巍 Nathan (Yiwei Ouyang)"/>
        <s v="欧阳莹润Paopao（Yingrun Ouyang）"/>
        <s v="欧阳迎春Flower（Yingchun Ouyang）"/>
        <s v="武子璇Zoe（Zixuan Wu）"/>
        <s v="武思杰"/>
        <s v="武杰 Jay（Jie Wu）"/>
        <s v="武迪 Di (Brave_D)"/>
        <s v="段特特Max (Dete duan)"/>
        <s v="殷沫璠 Mofan （Mofan Yin)"/>
        <s v="殷颖智Ally （Yingzhi Yin）"/>
        <s v="毛星润Mark（Xingrun Mao)"/>
        <s v="江健敏 Carrie (jianmin Jiang）"/>
        <s v="江曾瀚 Han (Zenghan Jiang)"/>
        <s v="汤洁雯Angel（Jiewen Tang）"/>
        <s v="汪哲民Jimmy（Zhemin Wang）"/>
        <s v="汪靖博Charles(Jingbo Wang)"/>
        <s v="沈慧珮 Branda（Huipei Shen）"/>
        <s v="沈来瑞Lawrence（Lawrence Shen）"/>
        <s v="沈椒晏 Caroline (Jiaoyan Shen)"/>
        <s v="沈玲（Ling Shen）"/>
        <s v="沈琦雨Qiyu（Qiyu Shen）"/>
        <s v="沈瑜辰Chloe （Yuchen Shen）"/>
        <s v="沈阳Shen (Yang Shen)"/>
        <s v="洪忻宜Bella（Xinyi Hong）"/>
        <s v="洪静萱Juno（Jingxuan Hong）"/>
        <s v="温其亮lucas（Qiliang Wen）"/>
        <s v="温宝鹰（Baoying）"/>
        <s v="湛梓誉 (Ziyu Zhan)"/>
        <s v="湛颜驰Yulia(Yanchi Zhan)"/>
        <s v="滕哲骏Tim (Zhejun Teng)"/>
        <s v="滕子淏Zack（Zihao Teng）"/>
        <s v="潘佳磊Jelly（Jialei Pan）"/>
        <s v="潘典夏Erron (Dianxia Pan)"/>
        <s v="潘家维Kary (Ka Wai Poon)"/>
        <s v="潘庭丞Tingcheng (Tingcheng Pan)"/>
        <s v="潘明珠Mitzi (Mingzhu Pan)"/>
        <s v="潘梓璇 （Zixuan Pan）"/>
        <s v="潘雨欣Michelle（Yuxin Pan）"/>
        <s v="濮子臻Zeon (Zizhen Pu)"/>
        <s v="焦述乾 Eureka (Shuqian Jiao)"/>
        <s v="熊逸豪Harlin(Yihao Xiong)"/>
        <s v="熊雨 Bella（Yu Xiong）"/>
        <s v="王丙坤Ash (Bingkun Wang)"/>
        <s v="王伯宇William (Boyu Wang)"/>
        <s v="王佳昊 Jason (Jiahao Wang)"/>
        <s v="王俊鹏Mike (Junpeng Wang)"/>
        <s v="王兵 Allen (Bing Wang)"/>
        <s v="王凯源 (Kaiyuan Wang)"/>
        <s v="王叶峰yefeng（Yefeng Wang）"/>
        <s v="王嘉毅Henry（Jiayi Wang）"/>
        <s v="王天灿Candice (Tiancan Wang)"/>
        <s v="王天炜 Alex (Tianwei Wang)"/>
        <s v="王奕扬Yiyang (Yiyang Wang)"/>
        <s v="王姝涵Function（Shuhan Wang)"/>
        <s v="王婷Emily（Ting Wang）"/>
        <s v="王子键 Jackson（Zijian Wang)"/>
        <s v="王安琪 (Anqi Wang)"/>
        <s v="王安琪（Anqi）"/>
        <s v="王家琦Joe（Jiaqi Wang）"/>
        <s v="王建棋 Alan (Jianqi Wang)"/>
        <s v="王弃疾Qiji（Qiji Wang）"/>
        <s v="王心怡Lucia（Xinyi Wang)"/>
        <s v="王志泽Yoyo(Zhize Wang)"/>
        <s v="王志鹏 Toby (Zhipeng Wang)"/>
        <s v="王思超Scott（Sichao Wang）"/>
        <s v="王怡婷（Yiting Wang）"/>
        <s v="王成槐Richard(Chenghuai Wang)"/>
        <s v="王成龙Demos（Chenglong Wang）"/>
        <s v="王振先Charles（Zhenxian Wang）"/>
        <s v="王文博 Jane (Wenbo Wang)"/>
        <s v="王斯翰Sihan（Sihan Wang）"/>
        <s v="王新婷Mindy（Xinting Wang）"/>
        <s v="王新宇Amber（Xinyu Wang）"/>
        <s v="王旗桦Arvin（Qihua Wang）"/>
        <s v="王晓丹 Jasmine（Xiaodan Wang）"/>
        <s v="王晗 Han (Han Wang)"/>
        <s v="王欣玥（Crystal）"/>
        <s v="王江静Justine(Jiangjing Wang)"/>
        <s v="王泽盛Jason (Zesheng Wang）"/>
        <s v="王浩辰（Jack）Haochen Wang"/>
        <s v="王潇冉Astria (Xiaoran Wang)"/>
        <s v="王濮睿Rachel（Purui Wang）"/>
        <s v="王玉龙 Lin（Yulong Wang）"/>
        <s v="王瑜Vivian（Yu Wang）"/>
        <s v="王磊Lei（Lei Wang）"/>
        <s v="王立彬 Martin (Martin Wang)"/>
        <s v="王章昱Victor (Zhangyu Wang)"/>
        <s v="王笑寒Hank（Xiaohan Wang）"/>
        <s v="王航 Hang (Hang Wang)"/>
        <s v="王艳萍（Yanping Wang）"/>
        <s v="王蔚Wei（Wei Wang）"/>
        <s v="王虹霖Lee（Honglin Wang）"/>
        <s v="王鑫（Xin Wang）"/>
        <s v="王阳 Danny (Yang Wang)"/>
        <s v="王雨妍Rebekah (Yuyan Wang)"/>
        <s v="王雪铭Vivian（Xueming Wang）"/>
        <s v="王顶 Daniel (Ding Wang)"/>
        <s v="王馨悦Wendy（Xinyue Wang）"/>
        <s v="王骞Ariel（Qian Wang）"/>
        <s v="王高飞Nora (Gaofei Wang)"/>
        <s v="王鸿鹏Roc (Hongpeng Wang)"/>
        <s v="田原Rye (Yuan Tian)"/>
        <s v="田普森 Tim (Pusen Tian)"/>
        <s v="申素然（Suran Shen）"/>
        <s v="白悦新（Yuexin Bai）"/>
        <s v="白通翔Tung（Tung Hsiang Pai）"/>
        <s v="白雪儿Xueer(Xueer Bai)"/>
        <s v="盖文莉Gina（Wenli Gai）"/>
        <s v="盛嘉楠Jenny（Jianan Sheng）"/>
        <s v="石晓龙Jimmy (Xiaolong Shi)"/>
        <s v="祝子恩Aiden (Zien Zhu)"/>
        <s v="祝子涵Hannah（Zihan Zhu）"/>
        <s v="祝心安Andy（Xinan Zhu）"/>
        <s v="秦利闯Nathan (Lee Chong Chun)"/>
        <s v="秦子涵Zihan（Zihan Qin）"/>
        <s v="秦宗华David（Zonghua Qin）"/>
        <s v="秦思遥Andersen (Siyao Qin)"/>
        <s v="秦颖豪Evren(Yinghao Qin)"/>
        <s v="穆帅 Mu Shuai (Shuai Mu)"/>
        <s v="章佳媛 Claire (Jiayuan Zhang)"/>
        <s v="章刘晓Catherine (Liuxiao Zhang)"/>
        <s v="章峻铭 J (Junming Zhang)"/>
        <s v="童沙沙Sha sha（Shasha Tong)"/>
        <s v="简圣尧Rhea (Shengyao Jian)"/>
        <s v="简沛Payton（Pei Jian）"/>
        <s v="续朵Flores (Duo Xu)"/>
        <s v="缪逸舟 Kartal（Yizhou Miao）"/>
        <s v="罗嘉欣Jamie（Jiaxin Luo）"/>
        <s v="罗成Cheng（Cheng Luo）"/>
        <s v="罗晓霞 Frida (Xiaoxia Luo)"/>
        <s v="罗梦云Shelly(Mengyun Luo)"/>
        <s v="罗永泰（Yongtai Luo）"/>
        <s v="罗煜雄 Mike (Yuxiong Luo)"/>
        <s v="罗筱（Xiao Luo）"/>
        <s v="罗逸飞 Louis (Yifei Luo)"/>
        <s v="翟宇轩 Jimmy (Yuxuan Zhai)"/>
        <s v="耿小雅Alicia（Xiaoya Geng）"/>
        <s v="聂思元 Brentluy (Siyuan Nie）"/>
        <s v="聂文成Winston（Wencheng Nie）"/>
        <s v="肖姝宸Lucy（Shuchen Xiao）"/>
        <s v="肖泓杰 Leo （hongjie Xiao）"/>
        <s v="肖涵Jenny（Han Xiao）"/>
        <s v="肖芦莉Lily (Luli Xiao)"/>
        <s v="胡嘉楠 (Jianan)"/>
        <s v="胡慜佳Estella（Minjia Hu）"/>
        <s v="胡方舟（Zoe）"/>
        <s v="胡柯雨 Andrew (Keyu Hu)"/>
        <s v="胡楠 (Nan Hu)"/>
        <s v="胡波Daniel（Bo Hu）"/>
        <s v="胡焱琨 Andy (Yankun Hu)"/>
        <s v="胡瑞 Kevin （Rui Hu）"/>
        <s v="胡锦彪 Jinbiao (Jinbiao Hu)"/>
        <s v="臧书蕾Luna（Shulei Zang）"/>
        <s v="舒伟明 (Weiming Shu)"/>
        <s v="舒展（Zhan Shu）"/>
        <s v="舒湜Troy（Shi Shu）"/>
        <s v="舒聪（Cong Shu）"/>
        <s v="花玉幸Elke（Hang Ngoc Hoa）"/>
        <s v="苏凯文（Kaiwen Su）"/>
        <s v="苏博宇 Edison (Boyu Su)"/>
        <s v="苏政欣Sue（Zhengxin Su）"/>
        <s v="苏海日文 (Hairiwen Su)"/>
        <s v="苏盈如Sophie(Yingru Su)"/>
        <s v="苏语童  Yolanda（Yutong Su）"/>
        <s v="苏雁妮Rita（Yanni Su）"/>
        <s v="苗汲函玉Miao （Jihanyu Miao）"/>
        <s v="范宸瑞Carlos（Chenrui Fan）"/>
        <s v="范洳铖 Gabriel （Rucheng Fan）"/>
        <s v="范紫东（Zidong Fan）"/>
        <s v="范雨瑶Sophie（Yuyao Fan）"/>
        <s v="莫熙荣Simon（Xirong Mo）"/>
        <s v="葛颂Alex (Song Ge)"/>
        <s v="董双（shuang Dong)"/>
        <s v="董承飞Gino（Chengfei Dong）"/>
        <s v="蒋佩纹Klein (Peiwen Jiang)"/>
        <s v="蒲奕霖Steven（Yilin Pu）"/>
        <s v="蔡娜 （Lana）（Na Cai）"/>
        <s v="蔡钧玮 Magnus (Chun W Tsai)"/>
        <s v="薛亦樊 Eason(Yifan Xue)"/>
        <s v="薛佳玥Hailey (Jiayue Xue)"/>
        <s v="薛宁 Alice（Ning Xue）"/>
        <s v="薛莉娜Nina（Nina Xue）"/>
        <s v="虞凯同（Kai）"/>
        <s v="袁乐芸 (Leyun Yuan)"/>
        <s v="袁伟（Wei Yuan）"/>
        <s v="袁博闻 (Bowen Yuan)"/>
        <s v="袁晓瑞 Riley"/>
        <s v="袁木榮Patrick（Patrick Yuan）"/>
        <s v="袁梓桐Nick（Zitong Yuan）"/>
        <s v="袁琳（Lin Yuan）"/>
        <s v="袁航 Hang（Hang Yuan）"/>
        <s v="覃超群Jessica（Chaoqun Qin）"/>
        <s v="詹云 Alan（Yun Zhan）"/>
        <s v="计颉Jie（Jie Ji）"/>
        <s v="许玉（Yu Xu）"/>
        <s v="许红（Hong Xu）"/>
        <s v="许辰圆 Eric(Chenyuan Xu)"/>
        <s v="谢嘉旭 Edison （Jiaxu Xie）"/>
        <s v="谢斯维Rox (Siwei Xie)"/>
        <s v="谢旭侃（Xukan Xie）"/>
        <s v="谢昊岑Mark(Haocen Xie)"/>
        <s v="谢枫旭Felix（Fengxu Xie）"/>
        <s v="谭一鸣 Jack （Yiming Tan）"/>
        <s v="谭元豪Alan (Yuanhao Tan)"/>
        <s v="谭进华 (Jinhua Tan)"/>
        <s v="费宏翔Jason（Hongxiang Fei)"/>
        <s v="贺子强Jeff (Ziqiang He)"/>
        <s v="贾天依Pamela（Tianyi Jia）"/>
        <s v="贾婷婷Crystal （Tingting Jia）"/>
        <s v="贾贻臻 Julie (Yizhen Jia)"/>
        <s v="赵一泽Zac (Yize Zhao)"/>
        <s v="赵劲超George（Jinchao Zhao）"/>
        <s v="赵发Fa (Zhao Fa)"/>
        <s v="赵天薇 Alice (Tianwei Zhao)"/>
        <s v="赵媛Coco(Yuan Zhao)"/>
        <s v="赵康 Steven (Kang Zhao)"/>
        <s v="赵心瑜 Cindy (Xinyu zhao)"/>
        <s v="赵悦含Hannah (Yuehan Zhao)"/>
        <s v="赵文沃Warren (Wenwo Zhao)"/>
        <s v="赵文笮 Susan (Wenze Zhao)"/>
        <s v="赵济淳 Jackson （JiChun Zhao）"/>
        <s v="赵渝胜Jackson（Yusheng Zhao）"/>
        <s v="赵犇Ben（Ben Zhao）"/>
        <s v="赵玥棋 (Yueqi Zhao)"/>
        <s v="赵珷玚John (Wuyang Zhao)"/>
        <s v="赵盛龙Stanley（Shenglong Zhao）"/>
        <s v="赵蓓蓓Amber（Beibei Zhao）"/>
        <s v="路翘楚 Nora (Qiaochu Lu)"/>
        <s v="路野 (Ye Lu)"/>
        <s v="辛奇秀 Chelsea (Qixiu Xin)"/>
        <s v="迟海潮Harper(Haichao Chi)"/>
        <s v="邓嘉纬 (Jiawei Deng)"/>
        <s v="邓文铎 Stephen（Wenduo Deng）"/>
        <s v="邓誉行Jason（Yuxing Deng）"/>
        <s v="邓飞（Fei Deng）"/>
        <s v="邢思雨Kelsa（Siyu Xing）"/>
        <s v="邢飞（Fei Xing）"/>
        <s v="邱一鸣Laughing（Yiming Qiu）"/>
        <s v="邱嘉威Jerry（Jiawei Qiu）"/>
        <s v="邱宁Allen（Ning Qiu）"/>
        <s v="邱文萍Christine（Wenping Qiu）"/>
        <s v="邱琳颖 Michelle（Linying Qiu）"/>
        <s v="邱锦辉Chris（Jinhui Qiu）"/>
        <s v="邵博雅Rachel（Boya Shao）"/>
        <s v="邵春鑫Chris（Chunxin Shao）"/>
        <s v="邹依琳Elaine (Yilin Zou)"/>
        <s v="邹妍Yanny（Yan Zou）"/>
        <s v="邹筱薇Shirley（Xiaowei Zou）"/>
        <s v="郑人元Andrew (Renyuan Zheng)"/>
        <s v="郑学勤Jen（Xueqin Zheng）"/>
        <s v="郑旭雯Phoebe（Xuwen Zheng)"/>
        <s v="郑江山Johnson (Jiangshan Zheng)"/>
        <s v="郑胤达 Jim（Yinda Zheng）"/>
        <s v="郑雅洁Sarah （Yajie Zheng"/>
        <s v="郑雪锋Crystal (Xuefeng Zheng)"/>
        <s v="郝佳楠Jianan（Jianan Hao）"/>
        <s v="郝俊龙James（Junlong Hao）"/>
        <s v="郝宇轩Jimmy (Yuxuan Hao)"/>
        <s v="郝然 (Ran Hao)"/>
        <s v="郭亚伦 Alan （Alan Quach）"/>
        <s v="郭健（Jian Guo）"/>
        <s v="郭嘉龙（keaton）Jialong Guo"/>
        <s v="郭宇昂Tony（Yuang Guo）"/>
        <s v="郭岩yan（yanguo）"/>
        <s v="郭春亮Michael (Chunliang Guo)"/>
        <s v="郭林琛Linchen（Linchen Guo）"/>
        <s v="郭睿Renee（Rui Guo）"/>
        <s v="郭静Anna（Jing Guo）"/>
        <s v="鄧亦翔Sean (Yi-Hsiang Teng)"/>
        <s v="金川Jullian（Chuan Jin）"/>
        <s v="金燕Anna（Yan Jin）"/>
        <s v="金磊Brian（LEI JIN）"/>
        <s v="金筱燕Sharon（Xiaoyan Jin）"/>
        <s v="金美英 Claire (Claire Jin) "/>
        <s v="金赛帅Jason（Saishuai Jin）"/>
        <s v="钟婉贤Wendy（Wanxian Zhong）"/>
        <s v="钟无影（Wuying Zhong）"/>
        <s v="钟致远Jason (Zhiyuan Zhong)"/>
        <s v="钱冠霖 (Guanlin Qian)"/>
        <s v="钱玉霞Milani（Yuxia Qian)"/>
        <s v="钱龙 Lonnie（Qian Long）"/>
        <s v="闫佳炫Jaslyn(Jiaxuan Yan)"/>
        <s v="闫堡涵Eric (Baohan Yan)"/>
        <s v="闫岳洋Ryan(Yueyang Yan)"/>
        <s v="闫知非Feifei (Zhifei Yan)"/>
        <s v="闵婕 Emily（Jie Min）"/>
        <s v="阎硕Sam（Shuo Yan）"/>
        <s v="阿杜 Adu（Adu Amatai）"/>
        <s v="阿里（Ali Alsoufi）"/>
        <s v="陆冠宇（Guanyu Lu）"/>
        <s v="陆国豪Gordon （Guohao Lu）"/>
        <s v="陆扬Louis (Yang Lu)"/>
        <s v="陆梓嘉Lydia（Zijia Lu）"/>
        <s v="陆铃Cassie（Ling Lu）"/>
        <s v="陈一帆Ivan (Yifan Chen)"/>
        <s v="陈佳硕Thomas (Jiashuo Chen）"/>
        <s v="陈佳馨 Stella (Jiaxin Chen)"/>
        <s v="陈俊Chun (Chun Chan)"/>
        <s v="陈俊赫Junhe (Junhe Chen)"/>
        <s v="陈光杰（Guangjie Chen）"/>
        <s v="陈华建Eric (Huajian Chen)"/>
        <s v="陈可佳Naomi(kejia Chen)"/>
        <s v="陈嘉鑫Jason (Jiaxin Chen)"/>
        <s v="陈圣Sheng（Sheng Chen）"/>
        <s v="陈天Tiana(Tian Chen)"/>
        <s v="陈奕如Ruby (Yiru Chen)"/>
        <s v="陈子愚 Chase (Ziyu Chen)"/>
        <s v="陈子昊 Louisen（Zihao Chen）"/>
        <s v="陈宇宸Arthur (Yuchen Chen)"/>
        <s v="陈宇聪Jason（Yucong Chen）"/>
        <s v="陈宇轩Chikara（Yuxuan Chen）"/>
        <s v="陈实Sharon（Shi Chen）"/>
        <s v="陈家伟William（Jiawei Chen）"/>
        <s v="陈家欣Kirk（Jiaxin Chen）"/>
        <s v="陈少光（Shaoguang Chen）"/>
        <s v="陈尔东 Oliver（Erdong Chen）"/>
        <s v="陈希Diana（Xi Chen）"/>
        <s v="陈征武Breeze（Zhengwu Chen）"/>
        <s v="陈德伦 (Delun Chen)"/>
        <s v="陈思源Greed（Siyuan Chen）"/>
        <s v="陈怡轩 Christine (Yixuan Chen )"/>
        <s v="陈悦Jessie（Yue Chen）"/>
        <s v="陈文娟Karida（Wenjuan Chen）"/>
        <s v="陈文杰Vangie (Wenjie Chen)"/>
        <s v="陈晓莉Grace（Xiaoli Chen）"/>
        <s v="陈晶晶(Jingjing Chen)"/>
        <s v="陈柏熹 Kiki (Baixi Chen)"/>
        <s v="陈江Thomas（Jiang Chen）"/>
        <s v="陈江安(Jiangan Chen)"/>
        <s v="陈涵（Han Chen）"/>
        <s v="陈潇剑Echo(Xiaojian Chen)"/>
        <s v="陈灿荣Cameron (Canrong Chen)"/>
        <s v="陈熠（Yi Chen）"/>
        <s v="陈玲佳Linda（Lingjia Chen）"/>
        <s v="陈琳Lin（Lin Chen）"/>
        <s v="陈盈蓉Ivy (Yingrong Chen)"/>
        <s v="陈祥Evan（Xiang Chen）"/>
        <s v="陈秉新（Bingxin Chen)"/>
        <s v="陈群 (Qun Chen)"/>
        <s v="陈舒 Sushu (Shu Chen)"/>
        <s v="陈舒彦Yolo（Shuyan Chen）"/>
        <s v="陈芃芃（Pengpeng Chen）"/>
        <s v="陈谕凯Jim（Yukai Chen）"/>
        <s v="陈达强 David (Daqiang Chen)"/>
        <s v="陈邦彦 (Bangyan Chen)"/>
        <s v="陈陟阳 Kenny （Zhiyang Chen）"/>
        <s v="陈雨彤Chen（Yutong Chen）"/>
        <s v="陈青华Lucy (Qinghua Chen)"/>
        <s v="陳文愷Kevin（Wen-Kai Chen）"/>
        <s v="陳玥妡 Selina (Yueh Hsin Chen)"/>
        <s v="陶思宇Danny (SIYU TAO)"/>
        <s v="陶瀚卿 (Hanqing Tao)"/>
        <s v="陶然 Nicole （Ran Tao）"/>
        <s v="隋宇涵 Jacky (Yuhan Sui)"/>
        <s v="隋文龙Jackson（Wenlong Sui）"/>
        <s v="随晨耀Chenyao（Chenyao Sui）"/>
        <s v="雷梓明Zi（Ziming Lei）"/>
        <s v="霍世行Shawn (Shihang Huo)"/>
        <s v="韦思宁ning（Sining Wei）"/>
        <s v="韦悦Bella（Yue Wei）"/>
        <s v="韦紫琼Alice (Ziqiong Wei)"/>
        <s v="韩佳欣 Reina (Jiaxin Han)"/>
        <s v="韩梓芸Ziyun (Ziyun Han)"/>
        <s v="韩潇 Jessica (Xiao Han)"/>
        <s v="韩童谣Garcia (Tongyao Han)"/>
        <s v="韩蕊遥CHELSEA(RUIYAO)"/>
        <s v="韩鹏飞Frank (Pengfei Han)"/>
        <s v="项高敏Caroline（Gaomin Xiang)"/>
        <s v="顾天琛 Gabriel（Tianchen Gu）"/>
        <s v="顾强（Qiang Gu）"/>
        <s v="顾文杰Jack (Wenjie Gu)"/>
        <s v="顾清Grant(Qing Gu)"/>
        <s v="颜家谱Jeff (Jiapu Yan)"/>
        <s v="颜鲁东（Ludong Yan）"/>
        <s v="马天怡 Cecilia (Tianyi Ma)"/>
        <s v="马学莉Sherry ( Xueli Ma)"/>
        <s v="马怡然Sunny（Yiran Ma）"/>
        <s v="马显俊（Xianjun Ma）"/>
        <s v="马欢Martin（Huan Ma）"/>
        <s v="马聪Cong (Cong Ma)"/>
        <s v="马轶友Oliver（Yiyou Ma）"/>
        <s v="马铭 Ming (Ming Ma)"/>
        <s v="马驹Aaron（Ju Ma）"/>
        <s v="骆先宏William（Xianhong Luo）"/>
        <s v="骆婕Jamie (Jie Luo)"/>
        <s v="骆晗菁Sylvia (Hanjing Luo)"/>
        <s v="高义Eddie (Yi Gao）"/>
        <s v="高依羔（Yigao Gao）"/>
        <s v="高嘉廷Jerry（Jiating Gao）"/>
        <s v="高子淳 Alex (Zichun Gao)"/>
        <s v="高志远Ethan (Zhiyuan Gao)"/>
        <s v="高澄Eve（Cheng Gao）"/>
        <s v="高磊（Lei Gao）"/>
        <s v="高赫Gordon（He Gao）"/>
        <s v="魏书涵Shuhan（Shuhan Wei）"/>
        <s v="魏函栖Cici（Hanxi Wei）"/>
        <s v="魏博 (Bo Wei)"/>
        <s v="魏强(QiangWei)"/>
        <s v="鲍思远（SiYuan Bao）"/>
        <s v="黄一言（Yiyan Huang）"/>
        <s v="黄伟杰Jeremy（Weijie Huang）"/>
        <s v="黄佳怡 Phoebe (Jiayi Huang)"/>
        <s v="黄俊凯Kevin (Junkai Huang)"/>
        <s v="黄俊盈Iris（Junying Huang）"/>
        <s v="黄兆雯Kelly (Zhaowen Huang)"/>
        <s v="黄勤轾Kevin（Qinzhi Huang）"/>
        <s v="黄嘉仪Chloe(Jiayi Huang)"/>
        <s v="黄志慧 Becky (Zhihui Huang)"/>
        <s v="黄振邦（Zhenbang Huang）"/>
        <s v="黄斯昵 Bonnie (Sini Huang)"/>
        <s v="黄栩峰 Charlie（Xufeng Huang）"/>
        <s v="黄永杰Ricky (Yongjie Huang)"/>
        <s v="黄洁梅Amanda（Jiemei Huang）"/>
        <s v="黄满（Man Huang）"/>
        <s v="黄燕娜 Nana (Yanna Huang)"/>
        <s v="黄燕宇(Yanyu Huang)"/>
        <s v="黄玲Linda (Ling Huang)"/>
        <s v="黄翊霆 Johnny (Yiting Huang)"/>
        <s v="黄芷晴Yili (Zhiqing Huang)"/>
        <s v="黄释右Quinton（Shiyou Huang）"/>
        <s v="黎娜 (Na Li)"/>
        <s v="黎泽麒Martin (Zeqi Li)"/>
        <s v="黎经林Leiland（Jinglin Li）"/>
        <s v="齐瀚飞（Hanfei Qi）"/>
        <s v="龙柏熹Percy(Baixi Long)"/>
        <s v="龚近琦 Jerry (Jinqi Gong)"/>
      </sharedItems>
    </cacheField>
    <cacheField name="工号" numFmtId="0">
      <sharedItems count="990">
        <s v="GL502870"/>
        <s v="GL502898"/>
        <s v="GL502718"/>
        <s v="GL502869"/>
        <s v="GL502829"/>
        <s v="GL500866"/>
        <s v="GL500670"/>
        <s v="GL502814"/>
        <s v="GL501628"/>
        <s v="GL502554"/>
        <s v="GL502889"/>
        <s v="GL500675"/>
        <s v="GL502418"/>
        <s v="GL502769"/>
        <s v="GL501463"/>
        <s v="GL501694"/>
        <s v="GL501448"/>
        <s v="GL502454"/>
        <s v="GL502827"/>
        <s v="GL500434"/>
        <s v="GL501635"/>
        <s v="GL500972"/>
        <s v="GL502227"/>
        <s v="GL501231"/>
        <s v="GL502356"/>
        <s v="GL500334"/>
        <s v="GL502559"/>
        <s v="GL502177"/>
        <s v="GL502562"/>
        <s v="GL502239"/>
        <s v="GL502241"/>
        <s v="GL502245"/>
        <s v="GL500938"/>
        <s v="GL502240"/>
        <s v="GL500500"/>
        <s v="GL502172"/>
        <s v="GL500389"/>
        <s v="GL501561"/>
        <s v="GL502560"/>
        <s v="GL502788"/>
        <s v="GL500309"/>
        <s v="GL500354"/>
        <s v="GL500461"/>
        <s v="GL501860"/>
        <s v="GL501516"/>
        <s v="GL501246"/>
        <s v="GL502235"/>
        <s v="GL502747"/>
        <s v="GL502234"/>
        <s v="GL502467"/>
        <s v="GL501568"/>
        <s v="GL501002"/>
        <s v="GL502741"/>
        <s v="GL501546"/>
        <s v="GL502087"/>
        <s v="GL502226"/>
        <s v="GL500295"/>
        <s v="GL502624"/>
        <s v="GL501201"/>
        <s v="GL501659"/>
        <s v="GL501380"/>
        <s v="GL500499"/>
        <s v="GL502812"/>
        <s v="GL501678"/>
        <s v="GL501581"/>
        <s v="GL501004"/>
        <s v="GL502299"/>
        <s v="GL500508"/>
        <s v="GL501646"/>
        <s v="GL501909"/>
        <s v="GL502488"/>
        <s v="GL500551"/>
        <s v="GL501000"/>
        <s v="GL502840"/>
        <s v="GL501761"/>
        <s v="GL501250"/>
        <s v="GL500262"/>
        <s v="GL502218"/>
        <s v="GL501966"/>
        <s v="GL502514"/>
        <s v="GL500462"/>
        <s v="GL501249"/>
        <s v="GL501103"/>
        <s v="GL500997"/>
        <s v="GL501916"/>
        <s v="GL500080"/>
        <s v="GL502368"/>
        <s v="GL500498"/>
        <s v="GL501929"/>
        <s v="GL502486"/>
        <s v="GL500226"/>
        <s v="GL501547"/>
        <s v="GL502015"/>
        <s v="GL502369"/>
        <s v="GL500506"/>
        <s v="GL500254"/>
        <s v="GL502740"/>
        <s v="GL500342"/>
        <s v="GL500505"/>
        <s v="GL502381"/>
        <s v="GL500504"/>
        <s v="GL500612"/>
        <s v="GL502246"/>
        <s v="GL501896"/>
        <s v="GL500603"/>
        <s v="GL502510"/>
        <s v="GL502229"/>
        <s v="GL502244"/>
        <s v="GL502237"/>
        <s v="GL502175"/>
        <s v="GL501913"/>
        <s v="GL502416"/>
        <s v="GL501077"/>
        <s v="GL502778"/>
        <s v="GL501505"/>
        <s v="GL502707"/>
        <s v="GL501820"/>
        <s v="GL502328"/>
        <s v="GL501807"/>
        <s v="GL501862"/>
        <s v="GL502620"/>
        <s v="GL502492"/>
        <s v="GL502491"/>
        <s v="GL502428"/>
        <s v="GL502451"/>
        <s v="GL500509"/>
        <s v="GL502404"/>
        <s v="GL502660"/>
        <s v="GL501259"/>
        <s v="GL501500"/>
        <s v="GL502662"/>
        <s v="GL501640"/>
        <s v="GL502417"/>
        <s v="GL502781"/>
        <s v="GL502845"/>
        <s v="GL502592"/>
        <s v="GL500497"/>
        <s v="GL502332"/>
        <s v="GL500974"/>
        <s v="GL502233"/>
        <s v="GL502546"/>
        <s v="GL502231"/>
        <s v="GL502547"/>
        <s v="GL500514"/>
        <s v="GL502816"/>
        <s v="GL501456"/>
        <s v="GL502671"/>
        <s v="GL500275"/>
        <s v="GL501586"/>
        <s v="GL501627"/>
        <s v="GL500810"/>
        <s v="GL501685"/>
        <s v="GL500503"/>
        <s v="GL502564"/>
        <s v="GL502355"/>
        <s v="GL501510"/>
        <s v="GL500501"/>
        <s v="GL501560"/>
        <s v="GL501135"/>
        <s v="GL500387"/>
        <s v="GL501720"/>
        <s v="GL500069"/>
        <s v="GL500204"/>
        <s v="GL502538"/>
        <s v="GL501265"/>
        <s v="GL502646"/>
        <s v="GL502069"/>
        <s v="GL500040"/>
        <s v="GL502892"/>
        <s v="GL502065"/>
        <s v="GL501468"/>
        <s v="GL502508"/>
        <s v="GL502652"/>
        <s v="GL500158"/>
        <s v="GL500618"/>
        <s v="GL501948"/>
        <s v="GL502386"/>
        <s v="GL501290"/>
        <s v="GL501400"/>
        <s v="GL500270"/>
        <s v="GL502387"/>
        <s v="GL501790"/>
        <s v="GL500795"/>
        <s v="GL501607"/>
        <s v="GL501734"/>
        <s v="GL500621"/>
        <s v="GL000434"/>
        <s v="GL501579"/>
        <s v="GL501897"/>
        <s v="GL500013"/>
        <s v="GL502867"/>
        <s v="GL502301"/>
        <s v="GL500130"/>
        <s v="GL502271"/>
        <s v="GL502317"/>
        <s v="GL502100"/>
        <s v="GL502375"/>
        <s v="GL500252"/>
        <s v="GL501753"/>
        <s v="GL502727"/>
        <s v="GL501082"/>
        <s v="GL500896"/>
        <s v="GL500912"/>
        <s v="GL501777"/>
        <s v="GL501910"/>
        <s v="GL502019"/>
        <s v="GL500717"/>
        <s v="GL502054"/>
        <s v="GL501495"/>
        <s v="GL502475"/>
        <s v="GL502784"/>
        <s v="GL502352"/>
        <s v="GL502699"/>
        <s v="GL500397"/>
        <s v="GL502303"/>
        <s v="GL502693"/>
        <s v="GL502487"/>
        <s v="GL500338"/>
        <s v="GL501570"/>
        <s v="GL502441"/>
        <s v="GL502839"/>
        <s v="GL502516"/>
        <s v="GL502571"/>
        <s v="GL501485"/>
        <s v="GL501642"/>
        <s v="GL501507"/>
        <s v="GL502458"/>
        <s v="GL502804"/>
        <s v="GL502435"/>
        <s v="GL501464"/>
        <s v="GL502082"/>
        <s v="GL501029"/>
        <s v="GL500770"/>
        <s v="GL500882"/>
        <s v="GL501859"/>
        <s v="GL500249"/>
        <s v="GL500009"/>
        <s v="GL501411"/>
        <s v="GL501257"/>
        <s v="GL501223"/>
        <s v="GL500836"/>
        <s v="GL500135"/>
        <s v="GL502329"/>
        <s v="GL500925"/>
        <s v="GL502091"/>
        <s v="GL500998"/>
        <s v="GL500236"/>
        <s v="GL500914"/>
        <s v="GL500184"/>
        <s v="GL500548"/>
        <s v="GL501078"/>
        <s v="GL501169"/>
        <s v="GL500502"/>
        <s v="GL502090"/>
        <s v="GL502131"/>
        <s v="GL502092"/>
        <s v="GL501198"/>
        <s v="GL500517"/>
        <s v="GL502525"/>
        <s v="GL501344"/>
        <s v="GL501762"/>
        <s v="GL502587"/>
        <s v="GL502067"/>
        <s v="GL500136"/>
        <s v="GL500586"/>
        <s v="GL500163"/>
        <s v="GL502490"/>
        <s v="GL502533"/>
        <s v="GL502481"/>
        <s v="GL502760"/>
        <s v="GL501470"/>
        <s v="GL500727"/>
        <s v="GL501460"/>
        <s v="GL502581"/>
        <s v="GL502536"/>
        <s v="GL502066"/>
        <s v="GL501804"/>
        <s v="GL502348"/>
        <s v="GL500915"/>
        <s v="GL501888"/>
        <s v="GL502775"/>
        <s v="GL501175"/>
        <s v="GL500378"/>
        <s v="GL500323"/>
        <s v="GL502040"/>
        <s v="GL500785"/>
        <s v="GL502187"/>
        <s v="GL501521"/>
        <s v="GL501327"/>
        <s v="GL501835"/>
        <s v="GL502457"/>
        <s v="GL501756"/>
        <s v="GL502419"/>
        <s v="GL502155"/>
        <s v="GL500954"/>
        <s v="GL500155"/>
        <s v="GL500833"/>
        <s v="GL500694"/>
        <s v="GL500190"/>
        <s v="GL501717"/>
        <s v="GL502579"/>
        <s v="GL502628"/>
        <s v="GL500787"/>
        <s v="GL502434"/>
        <s v="GL501310"/>
        <s v="GL500140"/>
        <s v="GL502217"/>
        <s v="GL501031"/>
        <s v="GL501298"/>
        <s v="GL501296"/>
        <s v="GL502199"/>
        <s v="GL502372"/>
        <s v="GL502846"/>
        <s v="GL500872"/>
        <s v="GL500523"/>
        <s v="GL500118"/>
        <s v="GL502028"/>
        <s v="GL502261"/>
        <s v="GL500849"/>
        <s v="GL502580"/>
        <s v="GL501163"/>
        <s v="GL500264"/>
        <s v="GL500898"/>
        <s v="GL500128"/>
        <s v="GL502509"/>
        <s v="GL501614"/>
        <s v="GL500317"/>
        <s v="GL501759"/>
        <s v="GL501269"/>
        <s v="GL501208"/>
        <s v="GL501081"/>
        <s v="GL500755"/>
        <s v="GL501097"/>
        <s v="GL501040"/>
        <s v="GL502820"/>
        <s v="GL502844"/>
        <s v="GL501564"/>
        <s v="GL501864"/>
        <s v="GL501604"/>
        <s v="GL502768"/>
        <s v="GL500852"/>
        <s v="GL501529"/>
        <s v="GL502732"/>
        <s v="GL502436"/>
        <s v="GL501012"/>
        <s v="GL502280"/>
        <s v="GL502148"/>
        <s v="GL500050"/>
        <s v="GL501829"/>
        <s v="GL500326"/>
        <s v="GL501014"/>
        <s v="GL502695"/>
        <s v="GL501137"/>
        <s v="GL501747"/>
        <s v="GL502020"/>
        <s v="GL502626"/>
        <s v="GL501791"/>
        <s v="GL501679"/>
        <s v="GL001344"/>
        <s v="GL502630"/>
        <s v="GL501865"/>
        <s v="GL500245"/>
        <s v="GL501338"/>
        <s v="GL500096"/>
        <s v="GL502060"/>
        <s v="GL501551"/>
        <s v="GL500946"/>
        <s v="GL501399"/>
        <s v="GL501506"/>
        <s v="GL502216"/>
        <s v="GL500751"/>
        <s v="GL501293"/>
        <s v="GL501406"/>
        <s v="GL501633"/>
        <s v="GL500211"/>
        <s v="GL500199"/>
        <s v="GL502466"/>
        <s v="GL502711"/>
        <s v="GL502618"/>
        <s v="GL501307"/>
        <s v="GL501785"/>
        <s v="GL500711"/>
        <s v="GL501209"/>
        <s v="GL502761"/>
        <s v="GL502477"/>
        <s v="GL502553"/>
        <s v="GL501515"/>
        <s v="GL502601"/>
        <s v="GL501095"/>
        <s v="GL501153"/>
        <s v="GL500565"/>
        <s v="GL501011"/>
        <s v="GL500298"/>
        <s v="GL500459"/>
        <s v="GL502406"/>
        <s v="GL500999"/>
        <s v="GL000004"/>
        <s v="GL502782"/>
        <s v="GL502591"/>
        <s v="GL502878"/>
        <s v="GL501483"/>
        <s v="GL500732"/>
        <s v="GL502059"/>
        <s v="GL501228"/>
        <s v="GL501194"/>
        <s v="GL502263"/>
        <s v="GL502742"/>
        <s v="GL502476"/>
        <s v="GL500467"/>
        <s v="GL501152"/>
        <s v="GL500528"/>
        <s v="GL501427"/>
        <s v="GL502802"/>
        <s v="GL501497"/>
        <s v="GL502461"/>
        <s v="GL501602"/>
        <s v="GL502565"/>
        <s v="GL501517"/>
        <s v="GL500718"/>
        <s v="GL501079"/>
        <s v="GL502468"/>
        <s v="GL502858"/>
        <s v="GL502304"/>
        <s v="GL502715"/>
        <s v="GL501093"/>
        <s v="GL501662"/>
        <s v="GL000440"/>
        <s v="GL502273"/>
        <s v="GL501795"/>
        <s v="GL502374"/>
        <s v="GL500568"/>
        <s v="GL502708"/>
        <s v="GL501333"/>
        <s v="GL502505"/>
        <s v="GL501428"/>
        <s v="GL501832"/>
        <s v="GL501692"/>
        <s v="GL501261"/>
        <s v="GL502168"/>
        <s v="GL501858"/>
        <s v="GL500233"/>
        <s v="GL502017"/>
        <s v="GL501337"/>
        <s v="GL501420"/>
        <s v="GL500107"/>
        <s v="GL500595"/>
        <s v="GL502350"/>
        <s v="GL502395"/>
        <s v="GL500203"/>
        <s v="GL501254"/>
        <s v="GL500182"/>
        <s v="GL501834"/>
        <s v="GL501978"/>
        <s v="GL501599"/>
        <s v="GL502507"/>
        <s v="GL501222"/>
        <s v="GL501982"/>
        <s v="GL502038"/>
        <s v="GL502688"/>
        <s v="GL501431"/>
        <s v="GL502675"/>
        <s v="GL501243"/>
        <s v="GL501263"/>
        <s v="GL501541"/>
        <s v="GL502113"/>
        <s v="GL502030"/>
        <s v="GL500933"/>
        <s v="GL501839"/>
        <s v="GL502133"/>
        <s v="GL500640"/>
        <s v="GL502763"/>
        <s v="GL502378"/>
        <s v="GL502697"/>
        <s v="GL502539"/>
        <s v="GL500138"/>
        <s v="GL501326"/>
        <s v="GL501710"/>
        <s v="GL500463"/>
        <s v="GL501874"/>
        <s v="GL502041"/>
        <s v="GL500676"/>
        <s v="GL502247"/>
        <s v="GL501013"/>
        <s v="GL502004"/>
        <s v="GL501189"/>
        <s v="GL501051"/>
        <s v="GL502385"/>
        <s v="GL502310"/>
        <s v="GL501136"/>
        <s v="GL500806"/>
        <s v="GL501188"/>
        <s v="GL500800"/>
        <s v="GL502111"/>
        <s v="GL502282"/>
        <s v="GL501039"/>
        <s v="GL501181"/>
        <s v="GL500282"/>
        <s v="GL502176"/>
        <s v="GL501540"/>
        <s v="GL502648"/>
        <s v="GL502325"/>
        <s v="GL500884"/>
        <s v="GL500788"/>
        <s v="GL502300"/>
        <s v="GL502336"/>
        <s v="GL502811"/>
        <s v="GL501245"/>
        <s v="GL502524"/>
        <s v="GL500485"/>
        <s v="GL501412"/>
        <s v="GL502906"/>
        <s v="GL500422"/>
        <s v="GL502495"/>
        <s v="GL502573"/>
        <s v="GL500702"/>
        <s v="GL500782"/>
        <s v="GL501732"/>
        <s v="GL501900"/>
        <s v="GL502459"/>
        <s v="GL502847"/>
        <s v="GL502442"/>
        <s v="GL000446"/>
        <s v="GL501280"/>
        <s v="GL502668"/>
        <s v="GL501622"/>
        <s v="GL501766"/>
        <s v="GL501809"/>
        <s v="GL501757"/>
        <s v="GL501099"/>
        <s v="GL502550"/>
        <s v="GL501603"/>
        <s v="GL501311"/>
        <s v="GL500221"/>
        <s v="GL501739"/>
        <s v="GL502557"/>
        <s v="GL502302"/>
        <s v="GL501797"/>
        <s v="GL502709"/>
        <s v="GL502333"/>
        <s v="GL501942"/>
        <s v="GL500420"/>
        <s v="GL501408"/>
        <s v="GL500352"/>
        <s v="GL501419"/>
        <s v="GL501619"/>
        <s v="GL500683"/>
        <s v="GL502429"/>
        <s v="GL502803"/>
        <s v="GL502305"/>
        <s v="GL501362"/>
        <s v="GL500247"/>
        <s v="GL501416"/>
        <s v="GL502498"/>
        <s v="GL500609"/>
        <s v="GL501314"/>
        <s v="GL500848"/>
        <s v="GL500689"/>
        <s v="GL501686"/>
        <s v="GL501596"/>
        <s v="GL502735"/>
        <s v="GL500332"/>
        <s v="GL502545"/>
        <s v="GL501784"/>
        <s v="GL502655"/>
        <s v="GL500188"/>
        <s v="GL501059"/>
        <s v="GL501536"/>
        <s v="GL501215"/>
        <s v="GL500206"/>
        <s v="GL500091"/>
        <s v="GL500296"/>
        <s v="GL500492"/>
        <s v="GL500114"/>
        <s v="GL501565"/>
        <s v="GL501558"/>
        <s v="GL501899"/>
        <s v="GL500005"/>
        <s v="GL501576"/>
        <s v="GL501444"/>
        <s v="GL502506"/>
        <s v="GL502758"/>
        <s v="GL502292"/>
        <s v="GL500832"/>
        <s v="GL500024"/>
        <s v="GL502158"/>
        <s v="GL500131"/>
        <s v="GL502526"/>
        <s v="GL502786"/>
        <s v="GL500524"/>
        <s v="GL502312"/>
        <s v="GL501481"/>
        <s v="GL502014"/>
        <s v="GL501959"/>
        <s v="GL501867"/>
        <s v="GL500527"/>
        <s v="GL501469"/>
        <s v="GL502656"/>
        <s v="GL502619"/>
        <s v="GL500841"/>
        <s v="GL502440"/>
        <s v="GL502169"/>
        <s v="GL502410"/>
        <s v="GL502698"/>
        <s v="GL501714"/>
        <s v="GL501752"/>
        <s v="GL500162"/>
        <s v="GL500553"/>
        <s v="GL501751"/>
        <s v="GL502748"/>
        <s v="GL501548"/>
        <s v="GL500879"/>
        <s v="GL502736"/>
        <s v="GL501363"/>
        <s v="GL501667"/>
        <s v="GL502076"/>
        <s v="GL502623"/>
        <s v="GL501357"/>
        <s v="GL500153"/>
        <s v="GL500847"/>
        <s v="GL502453"/>
        <s v="GL502860"/>
        <s v="GL500966"/>
        <s v="GL501774"/>
        <s v="GL501676"/>
        <s v="GL500805"/>
        <s v="GL502279"/>
        <s v="GL501821"/>
        <s v="GL500710"/>
        <s v="GL502583"/>
        <s v="GL500055"/>
        <s v="GL502589"/>
        <s v="GL501857"/>
        <s v="GL502254"/>
        <s v="GL500235"/>
        <s v="GL500779"/>
        <s v="GL501501"/>
        <s v="GL502285"/>
        <s v="GL501746"/>
        <s v="GL500599"/>
        <s v="GL501300"/>
        <s v="GL501447"/>
        <s v="GL502073"/>
        <s v="GL502834"/>
        <s v="GL502358"/>
        <s v="GL502357"/>
        <s v="GL500955"/>
        <s v="GL501455"/>
        <s v="GL500192"/>
        <s v="GL500367"/>
        <s v="GL500861"/>
        <s v="GL502753"/>
        <s v="GL500481"/>
        <s v="GL501219"/>
        <s v="GL500796"/>
        <s v="GL500665"/>
        <s v="GL502746"/>
        <s v="GL500324"/>
        <s v="GL501346"/>
        <s v="GL501193"/>
        <s v="GL500726"/>
        <s v="GL502393"/>
        <s v="GL500234"/>
        <s v="GL500374"/>
        <s v="GL502422"/>
        <s v="GL502598"/>
        <s v="GL501931"/>
        <s v="GL501655"/>
        <s v="GL500917"/>
        <s v="GL501345"/>
        <s v="GL500708"/>
        <s v="GL501943"/>
        <s v="GL502191"/>
        <s v="GL501104"/>
        <s v="GL502902"/>
        <s v="GL502478"/>
        <s v="GL502319"/>
        <s v="GL501204"/>
        <s v="GL500547"/>
        <s v="GL500794"/>
        <s v="GL502821"/>
        <s v="GL500421"/>
        <s v="GL501811"/>
        <s v="GL500693"/>
        <s v="GL502318"/>
        <s v="GL501197"/>
        <s v="GL502150"/>
        <s v="GL501073"/>
        <s v="GL502212"/>
        <s v="GL502879"/>
        <s v="GL500860"/>
        <s v="GL502548"/>
        <s v="GL502316"/>
        <s v="GL502826"/>
        <s v="GL500854"/>
        <s v="GL501123"/>
        <s v="GL502058"/>
        <s v="GL500189"/>
        <s v="GL500054"/>
        <s v="GL501305"/>
        <s v="GL501342"/>
        <s v="GL502251"/>
        <s v="GL501920"/>
        <s v="GL502555"/>
        <s v="GL500023"/>
        <s v="GL500051"/>
        <s v="GL502716"/>
        <s v="GL500144"/>
        <s v="GL501461"/>
        <s v="GL500639"/>
        <s v="GL500368"/>
        <s v="GL500148"/>
        <s v="GL501695"/>
        <s v="GL502759"/>
        <s v="GL501875"/>
        <s v="GL501840"/>
        <s v="GL501035"/>
        <s v="GL500775"/>
        <s v="GL502584"/>
        <s v="GL500748"/>
        <s v="GL502661"/>
        <s v="GL501768"/>
        <s v="GL501096"/>
        <s v="GL500667"/>
        <s v="GL502096"/>
        <s v="GL502098"/>
        <s v="GL502413"/>
        <s v="GL500105"/>
        <s v="GL501260"/>
        <s v="GL502412"/>
        <s v="GL502107"/>
        <s v="GL500600"/>
        <s v="GL501620"/>
        <s v="GL501805"/>
        <s v="GL501689"/>
        <s v="GL502308"/>
        <s v="GL501092"/>
        <s v="GL500589"/>
        <s v="GL501588"/>
        <s v="GL502400"/>
        <s v="GL500557"/>
        <s v="GL501046"/>
        <s v="GL501275"/>
        <s v="GL502540"/>
        <s v="GL500370"/>
        <s v="GL500602"/>
        <s v="GL501022"/>
        <s v="GL501394"/>
        <s v="GL502513"/>
        <s v="GL502677"/>
        <s v="GL500363"/>
        <s v="GL500217"/>
        <s v="GL501128"/>
        <s v="GL500745"/>
        <s v="GL502188"/>
        <s v="GL502327"/>
        <s v="GL501432"/>
        <s v="GL501214"/>
        <s v="GL502794"/>
        <s v="GL501901"/>
        <s v="GL501297"/>
        <s v="GL500121"/>
        <s v="GL500940"/>
        <s v="GL502489"/>
        <s v="GL500538"/>
        <s v="GL502762"/>
        <s v="GL502528"/>
        <s v="GL502848"/>
        <s v="GL502401"/>
        <s v="GL501852"/>
        <s v="GL502259"/>
        <s v="GL500384"/>
        <s v="GL501430"/>
        <s v="GL501349"/>
        <s v="GL501033"/>
        <s v="GL501990"/>
        <s v="GL500803"/>
        <s v="GL500081"/>
        <s v="GL500858"/>
        <s v="GL500831"/>
        <s v="GL501922"/>
        <s v="GL501684"/>
        <s v="GL501883"/>
        <s v="GL500619"/>
        <s v="GL501328"/>
        <s v="GL502460"/>
        <s v="GL501487"/>
        <s v="GL500260"/>
        <s v="GL501926"/>
        <s v="GL502423"/>
        <s v="GL501116"/>
        <s v="GL502042"/>
        <s v="GL501273"/>
        <s v="GL502160"/>
        <s v="GL502382"/>
        <s v="GL502152"/>
        <s v="GL502463"/>
        <s v="GL500321"/>
        <s v="GL501375"/>
        <s v="GL500266"/>
        <s v="GL502132"/>
        <s v="GL500103"/>
        <s v="GL501060"/>
        <s v="GL500567"/>
        <s v="GL502644"/>
        <s v="GL500248"/>
        <s v="GL501386"/>
        <s v="GL502255"/>
        <s v="GL501936"/>
        <s v="GL500250"/>
        <s v="GL502315"/>
        <s v="GL501359"/>
        <s v="GL501129"/>
        <s v="GL502322"/>
        <s v="GL502101"/>
        <s v="GL502171"/>
        <s v="GL502789"/>
        <s v="GL500348"/>
        <s v="GL501024"/>
        <s v="GL502485"/>
        <s v="GL502717"/>
        <s v="GL500274"/>
        <s v="GL502749"/>
        <s v="GL502689"/>
        <s v="GL501207"/>
        <s v="GL501871"/>
        <s v="GL502313"/>
        <s v="GL502384"/>
        <s v="GL501108"/>
        <s v="GL501894"/>
        <s v="GL502439"/>
        <s v="GL500613"/>
        <s v="GL500465"/>
        <s v="GL501393"/>
        <s v="GL501339"/>
        <s v="GL501038"/>
        <s v="GL500340"/>
        <s v="GL502743"/>
        <s v="GL501072"/>
        <s v="GL500905"/>
        <s v="GL502831"/>
        <s v="GL502739"/>
        <s v="GL500826"/>
        <s v="GL501744"/>
        <s v="GL501109"/>
        <s v="GL501522"/>
        <s v="GL502737"/>
        <s v="GL502181"/>
        <s v="GL502473"/>
        <s v="GL500738"/>
        <s v="GL501670"/>
        <s v="GL500918"/>
        <s v="GL500825"/>
        <s v="GL501462"/>
        <s v="GL500315"/>
        <s v="GL501815"/>
        <s v="GL502046"/>
        <s v="GL502021"/>
        <s v="GL501866"/>
        <s v="GL502882"/>
        <s v="GL502512"/>
        <s v="GL502272"/>
        <s v="GL502634"/>
        <s v="GL500688"/>
        <s v="GL502818"/>
        <s v="GL502659"/>
        <s v="GL502537"/>
        <s v="GL500837"/>
        <s v="GL502676"/>
        <s v="GL502621"/>
        <s v="GL502427"/>
        <s v="GL500646"/>
        <s v="GL502198"/>
        <s v="GL502504"/>
        <s v="GL500042"/>
        <s v="GL500682"/>
        <s v="GL501027"/>
        <s v="GL501598"/>
        <s v="GL502452"/>
        <s v="GL502654"/>
        <s v="GL500674"/>
        <s v="GL500038"/>
        <s v="GL501498"/>
        <s v="GL501965"/>
        <s v="GL500614"/>
        <s v="GL502817"/>
        <s v="GL501459"/>
        <s v="GL501490"/>
        <s v="GL500493"/>
        <s v="GL500855"/>
        <s v="GL502197"/>
        <s v="GL501120"/>
        <s v="GL501580"/>
        <s v="GL502810"/>
        <s v="GL500558"/>
        <s v="GL500183"/>
        <s v="GL500746"/>
        <s v="GL501636"/>
        <s v="GL500540"/>
        <s v="GL500336"/>
        <s v="GL501638"/>
        <s v="GL500617"/>
        <s v="GL502632"/>
        <s v="GL502893"/>
        <s v="GL502523"/>
        <s v="GL500543"/>
        <s v="GL501653"/>
        <s v="GL501526"/>
        <s v="GL500747"/>
        <s v="GL502653"/>
        <s v="GL501770"/>
        <s v="GL502600"/>
        <s v="GL502266"/>
        <s v="GL501509"/>
        <s v="GL500556"/>
        <s v="GL501170"/>
        <s v="GL502511"/>
        <s v="GL502359"/>
        <s v="GL500784"/>
        <s v="GL501110"/>
        <s v="GL502326"/>
        <s v="GL500094"/>
        <s v="GL501915"/>
        <s v="GL501240"/>
        <s v="GL502561"/>
        <s v="GL500093"/>
        <s v="GL501660"/>
        <s v="GL502141"/>
        <s v="GL501822"/>
        <s v="GL502123"/>
        <s v="GL501997"/>
        <s v="GL501939"/>
        <s v="GL501674"/>
        <s v="GL500750"/>
        <s v="GL500196"/>
        <s v="GL502296"/>
        <s v="GL502005"/>
        <s v="GL500529"/>
        <s v="GL501028"/>
        <s v="GL501566"/>
        <s v="GL501324"/>
        <s v="GL501869"/>
        <s v="GL502007"/>
        <s v="GL500047"/>
        <s v="GL500129"/>
        <s v="GL501873"/>
        <s v="GL500406"/>
        <s v="GL501728"/>
        <s v="GL500329"/>
        <s v="GL501930"/>
        <s v="GL502738"/>
        <s v="GL502783"/>
        <s v="GL501856"/>
        <s v="GL502899"/>
        <s v="GL501940"/>
        <s v="GL500346"/>
        <s v="GL502830"/>
        <s v="GL501645"/>
        <s v="GL502766"/>
        <s v="GL500834"/>
        <s v="GL500956"/>
        <s v="GL501792"/>
        <s v="GL500580"/>
        <s v="GL502026"/>
        <s v="GL502593"/>
        <s v="GL501631"/>
        <s v="GL502517"/>
        <s v="GL501949"/>
        <s v="GL500662"/>
        <s v="GL502687"/>
        <s v="GL501730"/>
        <s v="GL501796"/>
        <s v="GL501374"/>
        <s v="GL502219"/>
        <s v="GL500106"/>
        <s v="GL502790"/>
        <s v="GL502522"/>
        <s v="GL502894"/>
        <s v="GL502474"/>
        <s v="GL501149"/>
        <s v="GL502556"/>
        <s v="GL502657"/>
        <s v="GL500116"/>
        <s v="GL502173"/>
        <s v="GL502421"/>
        <s v="GL502832"/>
        <s v="GL500542"/>
        <s v="GL500193"/>
        <s v="GL500316"/>
        <s v="GL500937"/>
        <s v="GL502578"/>
      </sharedItems>
    </cacheField>
    <cacheField name="三级部门" numFmtId="0">
      <sharedItems count="23">
        <s v="MS 中南大区"/>
        <s v="Ground项目部"/>
        <s v="FL 佛州大区"/>
        <s v="GL 大湖大区"/>
        <s v="TX 德州大区"/>
        <s v="NE 东北大区"/>
        <s v="WE 美西大区"/>
        <s v="BD 本地客户部"/>
        <s v="AS 审计监察部"/>
        <s v="CS 客户服务部"/>
        <s v="OM 操作管理部"/>
        <s v="DO 数字运营部"/>
        <s v="US人力资源部"/>
        <s v="QC 质量控制部"/>
        <s v="IC 跨境客户部"/>
        <s v="NP 网络规划部"/>
        <s v="SM 站点管理部"/>
        <s v="CM 运力管理部"/>
        <s v="BM 品牌市场部"/>
        <s v="SM 战略管理部"/>
        <s v="AD 行政部"/>
        <s v="Gofo财务部"/>
        <s v="LD 法务部"/>
      </sharedItems>
    </cacheField>
    <cacheField name="四级部门" numFmtId="0">
      <sharedItems count="103">
        <s v="RE 北卡和东南海岸片区"/>
        <s v="AS 亚特兰大和南阿拉巴马片区"/>
        <s v="OG 美南区"/>
        <s v="MIA.H"/>
        <s v="ORD.H"/>
        <s v="SF 南佛片区"/>
        <s v="CS 夏洛特及周边片区"/>
        <s v="NT 北德州片区"/>
        <s v="NY 纽约片区"/>
        <s v="车辆管理部"/>
        <s v="运营支持部"/>
        <s v="TPA01"/>
        <s v="GC 墨湾片区"/>
        <s v="LAV.H"/>
        <s v="客服组"/>
        <s v=""/>
        <s v="CLT.H"/>
        <s v="SC 南加片区"/>
        <s v="北美销售组"/>
        <s v="加拿大运营组"/>
        <s v="MCO.H"/>
        <s v="DS 丹佛·盐湖城片区"/>
        <s v="IAH.H"/>
        <s v="MCO01"/>
        <s v="OG 美中区"/>
        <s v="定价分析组"/>
        <s v="DFW.H"/>
        <s v="NF 北佛片区"/>
        <s v="CNO.H"/>
        <s v="ATL.H"/>
        <s v="OCF01"/>
        <s v="JFK.H"/>
        <s v="EWR.H"/>
        <s v="CM 中西部中心片区"/>
        <s v="CT 中德州片区"/>
        <s v="WF 西佛片区"/>
        <s v="WG 西大湖片区"/>
        <s v="销售支持组"/>
        <s v="BN 田纳西和北阿拉巴马片区"/>
        <s v="OG 美东区"/>
        <s v="MA 新英格兰片区"/>
        <s v="OG 美西区"/>
        <s v="MF 中佛片区"/>
        <s v="揽收部"/>
        <s v="消费者客服组"/>
        <s v="实施运营组"/>
        <s v="FTM01"/>
        <s v="美国技术支持组"/>
        <s v="PA 宾州片区"/>
        <s v="美洲HRBP组"/>
        <s v="BWI.H"/>
        <s v="SP 西雅图·波特兰片区"/>
        <s v="AS 奥萨查沿海片区"/>
        <s v="DC 华盛顿片区"/>
        <s v="质量改善组"/>
        <s v="BN 布法罗片区"/>
        <s v="LA揽收部"/>
        <s v="NC 北加片区"/>
        <s v="WPB01"/>
        <s v="仓库租赁组"/>
        <s v="NM 中西部北片区"/>
        <s v="海外客户组"/>
        <s v="MCI01"/>
        <s v="设备规划组"/>
        <s v="站点实施组"/>
        <s v="美西运力组"/>
        <s v="派送管理部"/>
        <s v="CVG.H"/>
        <s v="BWI01"/>
        <s v="IND01"/>
        <s v="美东组"/>
        <s v="美西组"/>
        <s v="BUF01"/>
        <s v="CLE01"/>
        <s v="PDK.H"/>
        <s v="美东运力组"/>
        <s v="MKE01"/>
        <s v="美国项目交付组"/>
        <s v="美中组"/>
        <s v="MIA01"/>
        <s v="综合管理组"/>
        <s v="自营运力组"/>
        <s v="SRQ01"/>
        <s v="产品运营组"/>
        <s v="BDL01"/>
        <s v="调度运营组"/>
        <s v="美区财务组"/>
        <s v="美洲法务组"/>
        <s v="CMH01"/>
        <s v="ORD01"/>
        <s v="运营管理部"/>
        <s v="BOS01"/>
        <s v="精益改善组"/>
        <s v="EG 东大湖片区"/>
        <s v="综合财务组"/>
        <s v="PIT01"/>
        <s v="PHL01"/>
        <s v="运营分析组"/>
        <s v="EWR01"/>
        <s v="美中运力组"/>
        <s v="RIC01"/>
        <s v="JFK01"/>
        <s v="全链路组"/>
      </sharedItems>
    </cacheField>
    <cacheField name="五级部门" numFmtId="0">
      <sharedItems count="150">
        <s v="ILM01"/>
        <s v="MOB01"/>
        <s v="ATL.G"/>
        <s v="MYR01"/>
        <s v="综办组"/>
        <s v=""/>
        <s v="CLT01"/>
        <s v="CLT02"/>
        <s v="SPR01"/>
        <s v="LGA01"/>
        <s v="AT303"/>
        <s v="区域支持组"/>
        <s v="操作组"/>
        <s v="MFE01"/>
        <s v="ATL01"/>
        <s v="调度组"/>
        <s v="FAT01"/>
        <s v="DFW01"/>
        <s v="分拣组"/>
        <s v="ABQ01"/>
        <s v="SFV01"/>
        <s v="异常处理组"/>
        <s v="ORD.G"/>
        <s v="GSP01"/>
        <s v="二程管理组"/>
        <s v="DEN.H"/>
        <s v="TAL01"/>
        <s v="MSY01"/>
        <s v="CH600"/>
        <s v="CMH01"/>
        <s v="ACT01"/>
        <s v="FTM01"/>
        <s v="MSN01"/>
        <s v="BDR01"/>
        <s v="CHA01"/>
        <s v="EWR.G"/>
        <s v="MHT01"/>
        <s v="BHM01"/>
        <s v="CNO.G"/>
        <s v="ORD01"/>
        <s v="合流合包组"/>
        <s v="HSV01"/>
        <s v="WPB02"/>
        <s v="BTR01"/>
        <s v="海外客服组"/>
        <s v="CAE01"/>
        <s v="PIT01"/>
        <s v="德州区HR组"/>
        <s v="BA210"/>
        <s v="MIA01"/>
        <s v="PDX01"/>
        <s v="加拿大HR组"/>
        <s v="AGS01"/>
        <s v="DCA01"/>
        <s v="DEN01"/>
        <s v="SYR01"/>
        <s v="揽收调度组"/>
        <s v="SFO.H"/>
        <s v="BUF01"/>
        <s v="SFO01"/>
        <s v="SMF01"/>
        <s v="LA917"/>
        <s v="ATL揽收组"/>
        <s v="JFK01"/>
        <s v="IAH01"/>
        <s v="BO021"/>
        <s v="LA900"/>
        <s v="JAX01"/>
        <s v="ELP01"/>
        <s v="运营支持组"/>
        <s v="维保组"/>
        <s v="招聘组"/>
        <s v="LA揽收部"/>
        <s v="LAX01"/>
        <s v="OMA01"/>
        <s v="ORF01"/>
        <s v="美西区HR组"/>
        <s v="TPA01"/>
        <s v="OKC01"/>
        <s v="揽收支持组"/>
        <s v="FRG01"/>
        <s v="CHS01"/>
        <s v="PVD01"/>
        <s v="SEA.H"/>
        <s v="TUL01"/>
        <s v="PX850"/>
        <s v="RDU01"/>
        <s v="大湖区HR组"/>
        <s v="中南区HR组"/>
        <s v="东北区HR组"/>
        <s v="运力开发组"/>
        <s v="TEB01"/>
        <s v="CNO01"/>
        <s v="BWI01"/>
        <s v="IAD01"/>
        <s v="SD921"/>
        <s v="佛州区HR组"/>
        <s v="SLC01"/>
        <s v="SAV01"/>
        <s v="NY118"/>
        <s v="MIA02"/>
        <s v="Ground项目HR组"/>
        <s v="JAN01"/>
        <s v="HNL01"/>
        <s v="AUS01"/>
        <s v="WPB01"/>
        <s v="SRQ01"/>
        <s v="STL01"/>
        <s v="SAN01"/>
        <s v="PT972"/>
        <s v="GRR01"/>
        <s v="GED01"/>
        <s v="MDT01"/>
        <s v="CB080"/>
        <s v="综合HRBP组"/>
        <s v="SFO.G"/>
        <s v="LV891"/>
        <s v="SEA01"/>
        <s v="SE981"/>
        <s v="PNE01"/>
        <s v="LAS01"/>
        <s v="合规及本地支持组"/>
        <s v="MKE01"/>
        <s v="CLT揽收组"/>
        <s v="BOS01"/>
        <s v="PHX01"/>
        <s v="MCI01"/>
        <s v="CVG01"/>
        <s v="精益管理组"/>
        <s v="PHL01"/>
        <s v="MCO01"/>
        <s v="MSP01"/>
        <s v="美区核算组"/>
        <s v="SAT01"/>
        <s v="NY112"/>
        <s v="DTW01"/>
        <s v="FAY01"/>
        <s v="BNA01"/>
        <s v="LIT01"/>
        <s v="CRP01"/>
        <s v="MAF01"/>
        <s v="LDJ01"/>
        <s v="站点管理组"/>
        <s v="ROC01"/>
        <s v="ST958"/>
        <s v="MEM01"/>
        <s v="OCF01"/>
        <s v="BPT01"/>
        <s v="RIC01"/>
        <s v="TRI01"/>
      </sharedItems>
    </cacheField>
    <cacheField name="hub分类" numFmtId="0">
      <sharedItems containsBlank="1" count="2">
        <m/>
        <s v="HUB"/>
      </sharedItems>
    </cacheField>
    <cacheField name="辅助" numFmtId="0">
      <sharedItems count="330">
        <s v="MS 中南大区RE 北卡和东南海岸片区ILM01"/>
        <s v="MS 中南大区AS 亚特兰大和南阿拉巴马片区MOB01"/>
        <s v="Ground项目部OG 美南区ATL.G"/>
        <s v="MS 中南大区RE 北卡和东南海岸片区MYR01"/>
        <s v="FL 佛州大区MIA.H综办组"/>
        <s v="GL 大湖大区ORD.H"/>
        <s v="FL 佛州大区SF 南佛片区"/>
        <s v="MS 中南大区CS 夏洛特及周边片区CLT01"/>
        <s v="MS 中南大区CS 夏洛特及周边片区CLT02"/>
        <s v="TX 德州大区NT 北德州片区SPR01"/>
        <s v="NE 东北大区NY 纽约片区LGA01"/>
        <s v="GL 大湖大区车辆管理部"/>
        <s v="Ground项目部OG 美南区AT303"/>
        <s v="MS 中南大区运营支持部区域支持组"/>
        <s v="FL 佛州大区TPA01"/>
        <s v="FL 佛州大区MIA.H操作组"/>
        <s v="TX 德州大区GC 墨湾片区MFE01"/>
        <s v="WE 美西大区LAV.H操作组"/>
        <s v="MS 中南大区AS 亚特兰大和南阿拉巴马片区ATL01"/>
        <s v="BD 本地客户部客服组"/>
        <s v="AS 审计监察部"/>
        <s v="FL 佛州大区MIA.H调度组"/>
        <s v="MS 中南大区CLT.H操作组"/>
        <s v="WE 美西大区SC 南加片区FAT01"/>
        <s v="TX 德州大区NT 北德州片区DFW01"/>
        <s v="BD 本地客户部北美销售组"/>
        <s v="BD 本地客户部加拿大运营组"/>
        <s v="FL 佛州大区MCO.H分拣组"/>
        <s v="WE 美西大区DS 丹佛·盐湖城片区ABQ01"/>
        <s v="WE 美西大区SC 南加片区SFV01"/>
        <s v="FL 佛州大区MCO.H操作组"/>
        <s v="TX 德州大区IAH.H分拣组"/>
        <s v="FL 佛州大区MCO01"/>
        <s v="FL 佛州大区MIA.H异常处理组"/>
        <s v="Ground项目部OG 美中区ORD.G"/>
        <s v="BD 本地客户部定价分析组"/>
        <s v="MS 中南大区CS 夏洛特及周边片区GSP01"/>
        <s v="TX 德州大区DFW.H操作组"/>
        <s v="FL 佛州大区MIA.H二程管理组"/>
        <s v="WE 美西大区DS 丹佛·盐湖城片区DEN.H"/>
        <s v="FL 佛州大区NF 北佛片区TAL01"/>
        <s v="WE 美西大区CNO.H操作组"/>
        <s v="MS 中南大区ATL.H分拣组"/>
        <s v="FL 佛州大区OCF01"/>
        <s v="TX 德州大区GC 墨湾片区MSY01"/>
        <s v="NE 东北大区JFK.H操作组"/>
        <s v="Ground项目部OG 美中区CH600"/>
        <s v="FL 佛州大区MIA.H分拣组"/>
        <s v="WE 美西大区CNO.H分拣组"/>
        <s v="WE 美西大区运营支持部区域支持组"/>
        <s v="NE 东北大区EWR.H分拣组"/>
        <s v="GL 大湖大区CM 中西部中心片区CMH01"/>
        <s v="MS 中南大区ATL.H操作组"/>
        <s v="NE 东北大区EWR.H操作组"/>
        <s v="TX 德州大区CT 中德州片区ACT01"/>
        <s v="FL 佛州大区WF 西佛片区FTM01"/>
        <s v="GL 大湖大区WG 西大湖片区MSN01"/>
        <s v="BD 本地客户部"/>
        <s v="BD 本地客户部销售支持组"/>
        <s v="NE 东北大区NY 纽约片区BDR01"/>
        <s v="WE 美西大区LAV.H调度组"/>
        <s v="MS 中南大区BN 田纳西和北阿拉巴马片区CHA01"/>
        <s v="Ground项目部OG 美东区EWR.G"/>
        <s v="MS 中南大区ATL.H调度组"/>
        <s v="MS 中南大区CLT.H分拣组"/>
        <s v="NE 东北大区MA 新英格兰片区MHT01"/>
        <s v="MS 中南大区BN 田纳西和北阿拉巴马片区BHM01"/>
        <s v="GL 大湖大区ORD.H分拣组"/>
        <s v="Ground项目部OG 美西区CNO.G"/>
        <s v="GL 大湖大区WG 西大湖片区ORD01"/>
        <s v="WE 美西大区LAV.H合流合包组"/>
        <s v="MS 中南大区BN 田纳西和北阿拉巴马片区HSV01"/>
        <s v="FL 佛州大区MF 中佛片区WPB02"/>
        <s v="TX 德州大区GC 墨湾片区BTR01"/>
        <s v="NE 东北大区运营支持部区域支持组"/>
        <s v="TX 德州大区揽收部"/>
        <s v="CS 客户服务部消费者客服组海外客服组"/>
        <s v="OM 操作管理部实施运营组"/>
        <s v="MS 中南大区CS 夏洛特及周边片区CAE01"/>
        <s v="FL 佛州大区FTM01"/>
        <s v="DO 数字运营部美国技术支持组"/>
        <s v="WE 美西大区CNO.H"/>
        <s v="NE 东北大区EWR.H综办组"/>
        <s v="NE 东北大区PA 宾州片区PIT01"/>
        <s v="US人力资源部美洲HRBP组德州区HR组"/>
        <s v="WE 美西大区SC 南加片区"/>
        <s v="Ground项目部OG 美东区BA210"/>
        <s v="FL 佛州大区WF 西佛片区"/>
        <s v="FL 佛州大区SF 南佛片区MIA01"/>
        <s v="NE 东北大区BWI.H综办组"/>
        <s v="NE 东北大区EWR.H调度组"/>
        <s v="WE 美西大区SP 西雅图·波特兰片区PDX01"/>
        <s v="US人力资源部美洲HRBP组加拿大HR组"/>
        <s v="MS 中南大区AS 奥萨查沿海片区AGS01"/>
        <s v="NE 东北大区DC 华盛顿片区DCA01"/>
        <s v="WE 美西大区DS 丹佛·盐湖城片区DEN01"/>
        <s v="NE 东北大区JFK.H"/>
        <s v="QC 质量控制部质量改善组"/>
        <s v="NE 东北大区BN 布法罗片区SYR01"/>
        <s v="WE 美西大区LA揽收部揽收调度组"/>
        <s v="WE 美西大区NC 北加片区SFO.H"/>
        <s v="TX 德州大区NT 北德州片区"/>
        <s v="NE 东北大区BN 布法罗片区BUF01"/>
        <s v="WE 美西大区NC 北加片区SFO01"/>
        <s v="WE 美西大区NC 北加片区SMF01"/>
        <s v="MS 中南大区车辆管理部"/>
        <s v="Ground项目部OG 美西区LA917"/>
        <s v="NE 东北大区EWR.H"/>
        <s v="FL 佛州大区MCO.H异常处理组"/>
        <s v="MS 中南大区揽收部ATL揽收组"/>
        <s v="WE 美西大区LAV.H异常处理组"/>
        <s v="WE 美西大区LAV.H分拣组"/>
        <s v="NE 东北大区NY 纽约片区JFK01"/>
        <s v="TX 德州大区GC 墨湾片区IAH01"/>
        <s v="Ground项目部OG 美东区BO021"/>
        <s v="Ground项目部OG 美西区LA900"/>
        <s v="MS 中南大区AS 亚特兰大和南阿拉巴马片区"/>
        <s v="FL 佛州大区NF 北佛片区JAX01"/>
        <s v="FL 佛州大区WPB01"/>
        <s v="FL 佛州大区MCO.H"/>
        <s v="TX 德州大区NT 北德州片区ELP01"/>
        <s v="GL 大湖大区运营支持部区域支持组"/>
        <s v="Ground项目部OG 美西区运营支持组"/>
        <s v="OM 操作管理部仓库租赁组"/>
        <s v="TX 德州大区IAH.H维保组"/>
        <s v="US人力资源部美洲HRBP组"/>
        <s v="US人力资源部美洲HRBP组招聘组"/>
        <s v="WE 美西大区SC 南加片区LA揽收部"/>
        <s v="TX 德州大区IAH.H调度组"/>
        <s v="WE 美西大区SC 南加片区LAX01"/>
        <s v="MS 中南大区CLT.H调度组"/>
        <s v="GL 大湖大区NM 中西部北片区OMA01"/>
        <s v="NE 东北大区DC 华盛顿片区ORF01"/>
        <s v="US人力资源部美洲HRBP组美西区HR组"/>
        <s v="WE 美西大区CNO.H维保组"/>
        <s v="TX 德州大区DFW.H维保组"/>
        <s v="TX 德州大区DFW.H综办组"/>
        <s v="FL 佛州大区WF 西佛片区TPA01"/>
        <s v="TX 德州大区NT 北德州片区OKC01"/>
        <s v="WE 美西大区LAV.H维保组"/>
        <s v="IC 跨境客户部海外客户组"/>
        <s v="TX 德州大区DFW.H调度组"/>
        <s v="TX 德州大区运营支持部"/>
        <s v="NE 东北大区揽收部揽收支持组"/>
        <s v="GL 大湖大区MCI01"/>
        <s v="NP 网络规划部"/>
        <s v="NE 东北大区NY 纽约片区FRG01"/>
        <s v="OM 操作管理部设备规划组"/>
        <s v="GL 大湖大区"/>
        <s v="WE 美西大区SP 西雅图·波特兰片区"/>
        <s v="NE 东北大区车辆管理部"/>
        <s v="NE 东北大区JFK.H综办组"/>
        <s v="MS 中南大区AS 奥萨查沿海片区CHS01"/>
        <s v="SM 站点管理部站点实施组"/>
        <s v="TX 德州大区DFW.H分拣组"/>
        <s v="MS 中南大区ATL.H异常处理组"/>
        <s v="NE 东北大区MA 新英格兰片区PVD01"/>
        <s v="WE 美西大区SP 西雅图·波特兰片区SEA.H"/>
        <s v="CM 运力管理部美西运力组"/>
        <s v="TX 德州大区NT 北德州片区TUL01"/>
        <s v="NE 东北大区揽收部揽收调度组"/>
        <s v="Ground项目部OG 美西区PX850"/>
        <s v="MS 中南大区RE 北卡和东南海岸片区RDU01"/>
        <s v="US人力资源部美洲HRBP组大湖区HR组"/>
        <s v="TX 德州大区运营支持部区域支持组"/>
        <s v="US人力资源部美洲HRBP组中南区HR组"/>
        <s v="BM 品牌市场部"/>
        <s v="SM 战略管理部"/>
        <s v="MS 中南大区CLT.H综办组"/>
        <s v="US人力资源部美洲HRBP组东北区HR组"/>
        <s v="Ground项目部派送管理部运力开发组"/>
        <s v="GL 大湖大区CVG.H调度组"/>
        <s v="NE 东北大区PA 宾州片区TEB01"/>
        <s v="WE 美西大区SC 南加片区CNO01"/>
        <s v="NE 东北大区BWI01"/>
        <s v="CM 运力管理部"/>
        <s v="NE 东北大区DC 华盛顿片区BWI01"/>
        <s v="WE 美西大区CNO.H调度组"/>
        <s v="NE 东北大区DC 华盛顿片区IAD01"/>
        <s v="GL 大湖大区IND01"/>
        <s v="Ground项目部OG 美西区SD921"/>
        <s v="WE 美西大区CNO.H异常处理组"/>
        <s v="US人力资源部美洲HRBP组佛州区HR组"/>
        <s v="WE 美西大区DS 丹佛·盐湖城片区SLC01"/>
        <s v="MS 中南大区AS 奥萨查沿海片区SAV01"/>
        <s v="GL 大湖大区ORD.H综办组"/>
        <s v="WE 美西大区运营支持部"/>
        <s v="Ground项目部OG 美东区NY118"/>
        <s v="AD 行政部美东组"/>
        <s v="TX 德州大区DFW.H异常处理组"/>
        <s v="FL 佛州大区运营支持部区域支持组"/>
        <s v="Ground项目部OG 美南区运营支持组"/>
        <s v="TX 德州大区IAH.H异常处理组"/>
        <s v="FL 佛州大区SF 南佛片区MIA02"/>
        <s v="GL 大湖大区ORD.H调度组"/>
        <s v="FL 佛州大区MCO.H综办组"/>
        <s v="TX 德州大区IAH.H"/>
        <s v="GL 大湖大区揽收部揽收支持组"/>
        <s v="WE 美西大区LAV.H综办组"/>
        <s v="AD 行政部"/>
        <s v="WE 美西大区车辆管理部"/>
        <s v="US人力资源部美洲HRBP组Ground项目HR组"/>
        <s v="GL 大湖大区ORD.H操作组"/>
        <s v="AD 行政部美西组"/>
        <s v="NE 东北大区BUF01"/>
        <s v="WE 美西大区CNO.H综办组"/>
        <s v="MS 中南大区ATL.H综办组"/>
        <s v="GL 大湖大区ORD.H异常处理组"/>
        <s v="TX 德州大区GC 墨湾片区JAN01"/>
        <s v="WE 美西大区SC 南加片区HNL01"/>
        <s v="FL 佛州大区MCO.H调度组"/>
        <s v="Ground项目部OG 美东区运营支持组"/>
        <s v="TX 德州大区"/>
        <s v="GL 大湖大区CLE01"/>
        <s v="TX 德州大区IAH.H操作组"/>
        <s v="MS 中南大区PDK.H"/>
        <s v="GL 大湖大区运营支持部"/>
        <s v="NE 东北大区BWI.H分拣组"/>
        <s v="TX 德州大区CT 中德州片区AUS01"/>
        <s v="CM 运力管理部美东运力组"/>
        <s v="GL 大湖大区MKE01"/>
        <s v="FL 佛州大区SF 南佛片区WPB01"/>
        <s v="TX 德州大区IAH.H综办组"/>
        <s v="GL 大湖大区WG 西大湖片区"/>
        <s v="DO 数字运营部美国项目交付组"/>
        <s v="FL 佛州大区MF 中佛片区"/>
        <s v="AD 行政部美中组"/>
        <s v="GL 大湖大区ORD.H维保组"/>
        <s v="FL 佛州大区WF 西佛片区SRQ01"/>
        <s v="FL 佛州大区MIA01"/>
        <s v="GL 大湖大区NM 中西部北片区STL01"/>
        <s v="WE 美西大区SC 南加片区SAN01"/>
        <s v="Ground项目部OG 美西区PT972"/>
        <s v="MS 中南大区ATL.H维保组"/>
        <s v="GL 大湖大区WG 西大湖片区GRR01"/>
        <s v="GL 大湖大区揽收部"/>
        <s v="NE 东北大区DC 华盛顿片区GED01"/>
        <s v="NE 东北大区PA 宾州片区MDT01"/>
        <s v="Ground项目部OG 美东区CB080"/>
        <s v="US人力资源部美洲HRBP组综合HRBP组"/>
        <s v="AD 行政部综合管理组"/>
        <s v="Ground项目部OG 美西区SFO.G"/>
        <s v="WE 美西大区LAV.H"/>
        <s v="NE 东北大区运营支持部"/>
        <s v="CM 运力管理部自营运力组"/>
        <s v="Ground项目部OG 美西区LV891"/>
        <s v="MS 中南大区"/>
        <s v="FL 佛州大区SRQ01"/>
        <s v="WE 美西大区SP 西雅图·波特兰片区SEA01"/>
        <s v="SM 站点管理部产品运营组"/>
        <s v="NE 东北大区BDL01"/>
        <s v="GL 大湖大区揽收部揽收调度组"/>
        <s v="CM 运力管理部调度运营组"/>
        <s v="Ground项目部OG 美西区SE981"/>
        <s v="NE 东北大区JFK.H调度组"/>
        <s v="NE 东北大区DC 华盛顿片区PNE01"/>
        <s v="NE 东北大区NY 纽约片区"/>
        <s v="WE 美西大区SC 南加片区LAS01"/>
        <s v="GL 大湖大区CM 中西部中心片区"/>
        <s v="Gofo财务部美区财务组合规及本地支持组"/>
        <s v="GL 大湖大区NM 中西部北片区"/>
        <s v="FL 佛州大区MIA.H"/>
        <s v="GL 大湖大区WG 西大湖片区MKE01"/>
        <s v="MS 中南大区揽收部CLT揽收组"/>
        <s v="LD 法务部美洲法务组"/>
        <s v="NE 东北大区MA 新英格兰片区BOS01"/>
        <s v="WE 美西大区SC 南加片区PHX01"/>
        <s v="Ground项目部OG 美中区运营支持组"/>
        <s v="GL 大湖大区NM 中西部北片区MCI01"/>
        <s v="GL 大湖大区CMH01"/>
        <s v="GL 大湖大区ORD01"/>
        <s v="NE 东北大区揽收部"/>
        <s v="GL 大湖大区CM 中西部中心片区CVG01"/>
        <s v="NE 东北大区EWR.H维保组"/>
        <s v="Ground项目部运营管理部精益管理组"/>
        <s v="NE 东北大区MA 新英格兰片区"/>
        <s v="NE 东北大区JFK.H异常处理组"/>
        <s v="NE 东北大区BOS01"/>
        <s v="OM 操作管理部精益改善组"/>
        <s v="NE 东北大区DC 华盛顿片区PHL01"/>
        <s v="MS 中南大区RE 北卡和东南海岸片区"/>
        <s v="FL 佛州大区MF 中佛片区MCO01"/>
        <s v="TX 德州大区DFW.H"/>
        <s v="WE 美西大区LA揽收部揽收支持组"/>
        <s v="GL 大湖大区EG 东大湖片区"/>
        <s v="GL 大湖大区NM 中西部北片区MSP01"/>
        <s v="Gofo财务部综合财务组美区核算组"/>
        <s v="TX 德州大区CT 中德州片区SAT01"/>
        <s v="NE 东北大区PIT01"/>
        <s v="Ground项目部OG 美东区NY112"/>
        <s v="GL 大湖大区EG 东大湖片区DTW01"/>
        <s v="MS 中南大区RE 北卡和东南海岸片区FAY01"/>
        <s v="MS 中南大区BN 田纳西和北阿拉巴马片区BNA01"/>
        <s v="NE 东北大区PHL01"/>
        <s v="TX 德州大区CT 中德州片区LIT01"/>
        <s v="CS 客户服务部"/>
        <s v="NE 东北大区BWI.H异常处理组"/>
        <s v="TX 德州大区GC 墨湾片区CRP01"/>
        <s v="FL 佛州大区"/>
        <s v="Ground项目部运营管理部"/>
        <s v="CS 客户服务部运营分析组"/>
        <s v="TX 德州大区NT 北德州片区MAF01"/>
        <s v="Ground项目部OG 美东区"/>
        <s v="WE 美西大区NC 北加片区"/>
        <s v="WE 美西大区DS 丹佛·盐湖城片区"/>
        <s v="Ground项目部OG 美西区"/>
        <s v="NE 东北大区PA 宾州片区LDJ01"/>
        <s v="NE 东北大区BWI.H"/>
        <s v="Ground项目部运营管理部站点管理组"/>
        <s v="MS 中南大区AS 亚特兰大和南阿拉巴马片区BHM01"/>
        <s v="TX 德州大区GC 墨湾片区"/>
        <s v="MS 中南大区CLT.H异常处理组"/>
        <s v="NE 东北大区BN 布法罗片区ROC01"/>
        <s v="Ground项目部OG 美西区ST958"/>
        <s v="NE 东北大区EWR01"/>
        <s v="CM 运力管理部美中运力组"/>
        <s v="NE 东北大区JFK.H分拣组"/>
        <s v="NE 东北大区EWR.H异常处理组"/>
        <s v="TX 德州大区CT 中德州片区MEM01"/>
        <s v="FL 佛州大区MF 中佛片区OCF01"/>
        <s v="TX 德州大区GC 墨湾片区BPT01"/>
        <s v="NE 东北大区RIC01"/>
        <s v="NE 东北大区"/>
        <s v="TX 德州大区CT 中德州片区"/>
        <s v="NE 东北大区JFK01"/>
        <s v="NE 东北大区BWI.H调度组"/>
        <s v="QC 质量控制部全链路组"/>
        <s v="NE 东北大区DC 华盛顿片区RIC01"/>
        <s v="MS 中南大区CS 夏洛特及周边片区TRI01"/>
        <s v="MS 中南大区CS 夏洛特及周边片区BNA01"/>
      </sharedItems>
    </cacheField>
    <cacheField name="职位" numFmtId="0">
      <sharedItems count="134">
        <s v="Warehouse Operator 操作员(兼)"/>
        <s v="Warehouse Operator 操作员"/>
        <s v="Dispatcher 调度员"/>
        <s v="Warehouse Clerk 仓库文员"/>
        <s v="Deputy Hub Head（Probation） 副仓长（见习）"/>
        <s v="District Head 片区长"/>
        <s v="Station Operations Specialist 站点运营专员"/>
        <s v="Deputy Vehicle Management Supervisor 车辆管理部副主管"/>
        <s v="Station Trainee 站点培训生"/>
        <s v="Regional Support Specialist 区域支持专员"/>
        <s v="Customer Service Specialist 客服专员"/>
        <s v="Senior Overseas Audit Manager 高级海外审计经理"/>
        <s v="Dispatch Lead 调度组长"/>
        <s v="Sales Supervisor 销售主管"/>
        <s v="Junior Operations Support Specialist 初级运营支持专员"/>
        <s v="Sorting Lead 分拣组长"/>
        <s v="Warehouse Lead 操作组长"/>
        <s v="Sorter 分拣员"/>
        <s v="Returns Specialist 退件员"/>
        <s v="Operations Support Specialist 运营支持专员"/>
        <s v="Senior Product Specialist 高级产品专员"/>
        <s v="Senior Sales Specialist 高级销售专员"/>
        <s v="Second-leg air freight Specialist 二程发货员"/>
        <s v="Product Supervisor 产品主管"/>
        <s v="Station Head （Probation）站长（见习）"/>
        <s v="Senior Account  Specialist 高级客户专员"/>
        <s v="Junior AR Specialist 初级应收专员"/>
        <s v="Product Specialist 产品专员"/>
        <s v="Exception Handling Specialist 异常处理专员"/>
        <s v="Pickup Dispatcher 揽收调度员"/>
        <s v="Senior Hotline CS Specialist 高级热线客服专员"/>
        <s v="Implementation Operations Specialist 实施运营专员"/>
        <s v="IT support 技术支持工程师"/>
        <s v="Deputy Hub Head 副仓长"/>
        <s v="Warehouse Clerk 仓库文员(兼)"/>
        <s v="Recruitment Specialist 招聘专员"/>
        <s v="District Head（Probation）片区长（见习）"/>
        <s v="Station Head 站长"/>
        <s v="HRBP Supervisor HRBP主管"/>
        <s v="Hub Head 仓长"/>
        <s v="Quality Improvement Specialist 质量改善专员"/>
        <s v="Pickup Dispatch Lead 揽收调度组长"/>
        <s v="Vehicle Management Specialist 车辆管理专员"/>
        <s v="Returns Lead 退件组长"/>
        <s v="Pickup Specialist 揽收专员"/>
        <s v="Warehouse Leasing Supervisor 仓库租赁主管"/>
        <s v="Maintenance Specialist 维保员"/>
        <s v="US HRBP Manager 美洲HRBP组经理"/>
        <s v="Recruitment Assistant 招聘助理"/>
        <s v="Deputy Pickup Supervisor 揽收部副主管"/>
        <s v="Station Head（Probation）站长（见习）"/>
        <s v="Senior Oversea Client Specialist 高级海外客户专员"/>
        <s v="Operation Support Supervisor 运营支持部主管"/>
        <s v="Pickup Support Specialist 揽收支持专员"/>
        <s v="Senior ENP Specialist 高级网络规划专员"/>
        <s v="Senior MRO Specialist 高级设备运营专员"/>
        <s v="Management Trainee 管培生"/>
        <s v="Hub Head（Probation） 仓长（见习）"/>
        <s v="Fleet Support Specialist 车队支持专员"/>
        <s v="HRBP Assistant HRBP助理"/>
        <s v="Station Implementation  Specialist 站点实施专员"/>
        <s v="Transportation Supervisor 运力主管"/>
        <s v="Junior Warehouse Leasing Specialist 初级仓库租赁专员"/>
        <s v="HRBP Specialist HRBP专员"/>
        <s v="Marketing Specialist 市场专员"/>
        <s v="Junior Station Implementation  Specialist 初级站点实施专员"/>
        <s v="Senior Strategic Management Specialist 高级战略管理专员"/>
        <s v="Junior Recruitment Specialist 初级招聘专员"/>
        <s v="Junior Quality Improvement Specialist 初级质量改善专员"/>
        <s v="Capacity Development Supervisor 运力开发主管"/>
        <s v="Junior Transportation Capacity Data Analysis Specialist 初级运力数据分析专员"/>
        <s v="Junior Oversea Client Specialist 初级海外客户专员"/>
        <s v="Junior HRBP Specialist 初级HRBP专员"/>
        <s v="Admin Assistant 行政助理"/>
        <s v="Capacity Development Specialist 运力开发专员"/>
        <s v="EHS Specialist EHS专员"/>
        <s v="Implementation Operations Manager 实施运营经理"/>
        <s v="Admin Manager 行政经理"/>
        <s v="Delivery Driver 司机"/>
        <s v="Brand Marketing Manager 品牌市场部经理"/>
        <s v="Implementation Operations Supervisor 实施运营主管"/>
        <s v="Regional Head 区长"/>
        <s v="Senior Regional Support Specialist 高级区域支持专员"/>
        <s v="Senior Operations Support Supervisor 高级运营支持主管"/>
        <s v="Senior Transportation Supervisor 高级运力主管"/>
        <s v="Product Manager 产品经理"/>
        <s v="Hotline CS Specialist 热线客服专员"/>
        <s v="Junior Admin Specialist 初级行政专员"/>
        <s v="Senior Implementation Operations Supervisor 高级实施运营主管"/>
        <s v="Deputy Regional Support Supervisor 区域支持组副主管"/>
        <s v="Oversea Client Specialist 海外客户专员"/>
        <s v="Junior Capacity Development Specialist 初级运力开发专员"/>
        <s v="Senior Admin Specialist 高级行政专员"/>
        <s v="Senior Warehouse Leasing Supervisor 高级仓库租赁主管"/>
        <s v="Pickup Supervisor 揽收部主管"/>
        <s v="Senior Station Implementation  Specialist 高级站点实施专员"/>
        <s v="Admin Specialist 行政专员"/>
        <s v="Junior In-house Capacity Data Specialist 初级自营运力数据专员"/>
        <s v="Junior Product Operation Specialist 初级产品运营专员"/>
        <s v="Junior Dispatching Operations Specialist 初级调度运营专员"/>
        <s v="高级海外会计"/>
        <s v="Transportation Capacity Manager 运力管理部经理"/>
        <s v="Risk Control Specialist"/>
        <s v="Project Specialist 项目专员"/>
        <s v="Senior HRBP Specialist 高级HRBP专员"/>
        <s v="HRBP助理"/>
        <s v="Operations Optimization Supervisor 操作优化主管"/>
        <s v="Legal Assistant法务助理"/>
        <s v="Dispatch Operations Manager 调度运营经理"/>
        <s v="Deputy WE HR Supervisor 美西区HR组副主管"/>
        <s v="Senior In-house Capacity Supervisor 高级自营运力主管"/>
        <s v="LI Supervisor 精益改善主管"/>
        <s v="Dispatching Operations Specialist 调度运营专员"/>
        <s v="Implementation Operations Manager 实施运营组经理"/>
        <s v="高级财务专员"/>
        <s v="Junior Implementation Operations Specialist 初级实施运营专员"/>
        <s v="Senior Warehouse Leasing Specialist 高级仓库租赁专员"/>
        <s v="Senior General Affairs Supervisor 高级综合事务主管"/>
        <s v="Junior Operations Analysis Specialist 初级运营分析专员"/>
        <s v="Station Head （Probation）站长（见习）(兼)"/>
        <s v="Deputy Regional Head 副区长"/>
        <s v="Senior Overseas Audit Specialist 高级海外审计专员"/>
        <s v="Deputy Regional Head（Probation）副区长（见习）"/>
        <s v="Senior Product Manager 高级产品经理"/>
        <s v="Maintenance Lead 维保组长"/>
        <s v="Senior Station Support Specialist 高级站点支持专员"/>
        <s v="Product Operation Specialist 产品运营专员"/>
        <s v="Operations Analysis Specialist 运营分析专员"/>
        <s v="Station Implementation  Assistant 站点实施助理"/>
        <s v="Junior In-house Capacity Specialist 初级自营运力专员"/>
        <s v="Junior transportation Specialist 初级运力专员"/>
        <s v="Junior End-to-End QC Specialist 初级全链路质控专员"/>
        <s v="Station Operations Specialist 站点运营专员(兼)"/>
        <s v="System Training Specialist 系统培训专员"/>
      </sharedItems>
    </cacheField>
    <cacheField name="班次名称" numFmtId="0">
      <sharedItems count="42">
        <s v=""/>
        <s v="TY_04:00"/>
        <s v="TY_08:00"/>
        <s v="TY_休息日"/>
        <s v="TY_05:00"/>
        <s v="TY_06:30"/>
        <s v="TY_09:30"/>
        <s v="TY_18:00"/>
        <s v="TY_11:00"/>
        <s v="TY_04:30"/>
        <s v="TY_10:00"/>
        <s v="TY_09:00"/>
        <s v="TY_16:00"/>
        <s v="TY_15:00"/>
        <s v="TY_06:00"/>
        <s v="TY_13:00"/>
        <s v="TY_20:00"/>
        <s v="TY_07:00"/>
        <s v="TY_16:30"/>
        <s v="TY_12:00"/>
        <s v="TY_08:30"/>
        <s v="TY_22:30"/>
        <s v="TY_17:00"/>
        <s v="TY_05:30"/>
        <s v="TY_23:30"/>
        <s v="TY_21:00"/>
        <s v="TY_14:30"/>
        <s v="TY_02:00"/>
        <s v="TY_14:00"/>
        <s v="TY_03:00"/>
        <s v="TY_10:30"/>
        <s v="TY_13:30"/>
        <s v="TY_07:30"/>
        <s v="TY_21:30"/>
        <s v="TY_12:30"/>
        <s v="TY_美国节假日（9点-18点）"/>
        <s v="TY_19:00"/>
        <s v="TY_11:30"/>
        <s v="TY_22:00"/>
        <s v="TY_00:00"/>
        <s v="TY_01:00"/>
        <s v="TY_15:30"/>
      </sharedItems>
    </cacheField>
    <cacheField name="班次上班时间" numFmtId="177">
      <sharedItems containsString="0" containsBlank="1" containsNonDate="0" containsDate="1" minDate="1899-12-30T00:00:00" maxDate="1899-12-30T23:30:00" count="40">
        <m/>
        <d v="1899-12-30T04:00:00"/>
        <d v="1899-12-30T08:00:00"/>
        <d v="1899-12-30T09:30:00"/>
        <d v="1899-12-30T05:00:00"/>
        <d v="1899-12-30T06:30:00"/>
        <d v="1899-12-30T18:00:00"/>
        <d v="1899-12-30T11:00:00"/>
        <d v="1899-12-30T04:30:00"/>
        <d v="1899-12-30T10:00:00"/>
        <d v="1899-12-30T09:00:00"/>
        <d v="1899-12-30T16:00:00"/>
        <d v="1899-12-30T15:00:00"/>
        <d v="1899-12-30T06:00:00"/>
        <d v="1899-12-30T13:00:00"/>
        <d v="1899-12-30T20:00:00"/>
        <d v="1899-12-30T07:00:00"/>
        <d v="1899-12-30T16:30:00"/>
        <d v="1899-12-30T12:00:00"/>
        <d v="1899-12-30T08:30:00"/>
        <d v="1899-12-30T22:30:00"/>
        <d v="1899-12-30T17:00:00"/>
        <d v="1899-12-30T05:30:00"/>
        <d v="1899-12-30T23:30:00"/>
        <d v="1899-12-30T21:00:00"/>
        <d v="1899-12-30T14:30:00"/>
        <d v="1899-12-30T02:00:00"/>
        <d v="1899-12-30T14:00:00"/>
        <d v="1899-12-30T03:00:00"/>
        <d v="1899-12-30T10:30:00"/>
        <d v="1899-12-30T13:30:00"/>
        <d v="1899-12-30T07:30:00"/>
        <d v="1899-12-30T21:30:00"/>
        <d v="1899-12-30T12:30:00"/>
        <d v="1899-12-30T19:00:00"/>
        <d v="1899-12-30T11:30:00"/>
        <d v="1899-12-30T22:00:00"/>
        <d v="1899-12-30T00:00:00"/>
        <d v="1899-12-30T01:00:00"/>
        <d v="1899-12-30T15:30:00"/>
      </sharedItems>
    </cacheField>
    <cacheField name="班次下班时间" numFmtId="177">
      <sharedItems count="40">
        <s v=""/>
        <s v="12:30"/>
        <s v="16:30"/>
        <s v="18:00"/>
        <s v="13:30"/>
        <s v="15:00"/>
        <s v="02:30"/>
        <s v="19:30"/>
        <s v="13:00"/>
        <s v="18:30"/>
        <s v="17:30"/>
        <s v="00:30"/>
        <s v="23:30"/>
        <s v="14:30"/>
        <s v="21:30"/>
        <s v="04:30"/>
        <s v="15:30"/>
        <s v="01:00"/>
        <s v="20:30"/>
        <s v="17:00"/>
        <s v="07:00"/>
        <s v="01:30"/>
        <s v="14:00"/>
        <s v="08:00"/>
        <s v="05:30"/>
        <s v="23:00"/>
        <s v="10:30"/>
        <s v="22:30"/>
        <s v="11:30"/>
        <s v="19:00"/>
        <s v="22:00"/>
        <s v="16:00"/>
        <s v="06:00"/>
        <s v="21:00"/>
        <s v="03:30"/>
        <s v="20:00"/>
        <s v="06:30"/>
        <s v="08:30"/>
        <s v="09:30"/>
        <s v="00:00"/>
      </sharedItems>
    </cacheField>
    <cacheField name="首打卡时间" numFmtId="177">
      <sharedItems containsString="0" containsBlank="1" containsNonDate="0" containsDate="1" minDate="1899-12-30T00:15:00" maxDate="1899-12-30T23:21:00" count="391">
        <m/>
        <d v="1899-12-30T05:05:00"/>
        <d v="1899-12-30T08:09:00"/>
        <d v="1899-12-30T06:35:00"/>
        <d v="1899-12-30T09:30:00"/>
        <d v="1899-12-30T17:54:00"/>
        <d v="1899-12-30T10:43:00"/>
        <d v="1899-12-30T04:29:00"/>
        <d v="1899-12-30T07:53:00"/>
        <d v="1899-12-30T07:31:00"/>
        <d v="1899-12-30T16:03:00"/>
        <d v="1899-12-30T03:30:00"/>
        <d v="1899-12-30T10:50:00"/>
        <d v="1899-12-30T08:46:00"/>
        <d v="1899-12-30T06:03:00"/>
        <d v="1899-12-30T12:22:00"/>
        <d v="1899-12-30T07:58:00"/>
        <d v="1899-12-30T08:06:00"/>
        <d v="1899-12-30T20:37:00"/>
        <d v="1899-12-30T05:01:00"/>
        <d v="1899-12-30T07:39:00"/>
        <d v="1899-12-30T05:06:00"/>
        <d v="1899-12-30T09:35:00"/>
        <d v="1899-12-30T16:35:00"/>
        <d v="1899-12-30T18:43:00"/>
        <d v="1899-12-30T04:46:00"/>
        <d v="1899-12-30T11:53:00"/>
        <d v="1899-12-30T06:32:00"/>
        <d v="1899-12-30T23:21:00"/>
        <d v="1899-12-30T15:59:00"/>
        <d v="1899-12-30T04:51:00"/>
        <d v="1899-12-30T08:58:00"/>
        <d v="1899-12-30T04:55:00"/>
        <d v="1899-12-30T09:52:00"/>
        <d v="1899-12-30T09:00:00"/>
        <d v="1899-12-30T07:47:00"/>
        <d v="1899-12-30T07:09:00"/>
        <d v="1899-12-30T04:57:00"/>
        <d v="1899-12-30T03:45:00"/>
        <d v="1899-12-30T07:55:00"/>
        <d v="1899-12-30T11:52:00"/>
        <d v="1899-12-30T22:41:00"/>
        <d v="1899-12-30T04:49:00"/>
        <d v="1899-12-30T21:04:00"/>
        <d v="1899-12-30T04:24:00"/>
        <d v="1899-12-30T12:21:00"/>
        <d v="1899-12-30T04:07:00"/>
        <d v="1899-12-30T17:59:00"/>
        <d v="1899-12-30T08:12:00"/>
        <d v="1899-12-30T09:37:00"/>
        <d v="1899-12-30T15:22:00"/>
        <d v="1899-12-30T14:54:00"/>
        <d v="1899-12-30T08:38:00"/>
        <d v="1899-12-30T05:55:00"/>
        <d v="1899-12-30T05:29:00"/>
        <d v="1899-12-30T15:53:00"/>
        <d v="1899-12-30T05:31:00"/>
        <d v="1899-12-30T14:58:00"/>
        <d v="1899-12-30T04:37:00"/>
        <d v="1899-12-30T11:16:00"/>
        <d v="1899-12-30T04:58:00"/>
        <d v="1899-12-30T12:31:00"/>
        <d v="1899-12-30T12:27:00"/>
        <d v="1899-12-30T06:12:00"/>
        <d v="1899-12-30T04:26:00"/>
        <d v="1899-12-30T21:06:00"/>
        <d v="1899-12-30T07:30:00"/>
        <d v="1899-12-30T16:28:00"/>
        <d v="1899-12-30T06:11:00"/>
        <d v="1899-12-30T14:39:00"/>
        <d v="1899-12-30T09:03:00"/>
        <d v="1899-12-30T06:08:00"/>
        <d v="1899-12-30T04:44:00"/>
        <d v="1899-12-30T06:00:00"/>
        <d v="1899-12-30T15:48:00"/>
        <d v="1899-12-30T10:00:00"/>
        <d v="1899-12-30T07:02:00"/>
        <d v="1899-12-30T09:31:00"/>
        <d v="1899-12-30T08:43:00"/>
        <d v="1899-12-30T06:41:00"/>
        <d v="1899-12-30T09:18:00"/>
        <d v="1899-12-30T10:55:00"/>
        <d v="1899-12-30T04:16:00"/>
        <d v="1899-12-30T06:59:00"/>
        <d v="1899-12-30T06:16:00"/>
        <d v="1899-12-30T01:33:00"/>
        <d v="1899-12-30T14:51:00"/>
        <d v="1899-12-30T07:37:00"/>
        <d v="1899-12-30T10:37:00"/>
        <d v="1899-12-30T05:56:00"/>
        <d v="1899-12-30T11:21:00"/>
        <d v="1899-12-30T09:46:00"/>
        <d v="1899-12-30T12:51:00"/>
        <d v="1899-12-30T22:16:00"/>
        <d v="1899-12-30T05:07:00"/>
        <d v="1899-12-30T15:36:00"/>
        <d v="1899-12-30T06:44:00"/>
        <d v="1899-12-30T06:48:00"/>
        <d v="1899-12-30T07:56:00"/>
        <d v="1899-12-30T05:32:00"/>
        <d v="1899-12-30T05:17:00"/>
        <d v="1899-12-30T08:56:00"/>
        <d v="1899-12-30T08:50:00"/>
        <d v="1899-12-30T15:25:00"/>
        <d v="1899-12-30T16:06:00"/>
        <d v="1899-12-30T08:49:00"/>
        <d v="1899-12-30T05:30:00"/>
        <d v="1899-12-30T13:02:00"/>
        <d v="1899-12-30T10:13:00"/>
        <d v="1899-12-30T09:29:00"/>
        <d v="1899-12-30T08:53:00"/>
        <d v="1899-12-30T10:04:00"/>
        <d v="1899-12-30T06:53:00"/>
        <d v="1899-12-30T09:09:00"/>
        <d v="1899-12-30T04:56:00"/>
        <d v="1899-12-30T14:45:00"/>
        <d v="1899-12-30T04:48:00"/>
        <d v="1899-12-30T04:50:00"/>
        <d v="1899-12-30T13:47:00"/>
        <d v="1899-12-30T06:04:00"/>
        <d v="1899-12-30T09:24:00"/>
        <d v="1899-12-30T16:02:00"/>
        <d v="1899-12-30T12:45:00"/>
        <d v="1899-12-30T09:20:00"/>
        <d v="1899-12-30T05:20:00"/>
        <d v="1899-12-30T16:04:00"/>
        <d v="1899-12-30T08:54:00"/>
        <d v="1899-12-30T09:05:00"/>
        <d v="1899-12-30T16:31:00"/>
        <d v="1899-12-30T05:24:00"/>
        <d v="1899-12-30T11:43:00"/>
        <d v="1899-12-30T16:16:00"/>
        <d v="1899-12-30T05:49:00"/>
        <d v="1899-12-30T13:27:00"/>
        <d v="1899-12-30T11:50:00"/>
        <d v="1899-12-30T15:20:00"/>
        <d v="1899-12-30T06:25:00"/>
        <d v="1899-12-30T07:38:00"/>
        <d v="1899-12-30T09:01:00"/>
        <d v="1899-12-30T05:40:00"/>
        <d v="1899-12-30T05:47:00"/>
        <d v="1899-12-30T05:26:00"/>
        <d v="1899-12-30T09:13:00"/>
        <d v="1899-12-30T08:35:00"/>
        <d v="1899-12-30T06:20:00"/>
        <d v="1899-12-30T08:48:00"/>
        <d v="1899-12-30T05:42:00"/>
        <d v="1899-12-30T10:12:00"/>
        <d v="1899-12-30T09:14:00"/>
        <d v="1899-12-30T09:08:00"/>
        <d v="1899-12-30T16:52:00"/>
        <d v="1899-12-30T22:47:00"/>
        <d v="1899-12-30T08:28:00"/>
        <d v="1899-12-30T09:55:00"/>
        <d v="1899-12-30T12:44:00"/>
        <d v="1899-12-30T16:24:00"/>
        <d v="1899-12-30T05:58:00"/>
        <d v="1899-12-30T11:26:00"/>
        <d v="1899-12-30T10:36:00"/>
        <d v="1899-12-30T04:32:00"/>
        <d v="1899-12-30T08:47:00"/>
        <d v="1899-12-30T06:05:00"/>
        <d v="1899-12-30T09:53:00"/>
        <d v="1899-12-30T07:45:00"/>
        <d v="1899-12-30T08:22:00"/>
        <d v="1899-12-30T11:19:00"/>
        <d v="1899-12-30T09:44:00"/>
        <d v="1899-12-30T15:12:00"/>
        <d v="1899-12-30T06:39:00"/>
        <d v="1899-12-30T06:56:00"/>
        <d v="1899-12-30T14:57:00"/>
        <d v="1899-12-30T09:28:00"/>
        <d v="1899-12-30T11:57:00"/>
        <d v="1899-12-30T06:06:00"/>
        <d v="1899-12-30T17:52:00"/>
        <d v="1899-12-30T03:42:00"/>
        <d v="1899-12-30T05:50:00"/>
        <d v="1899-12-30T15:46:00"/>
        <d v="1899-12-30T10:46:00"/>
        <d v="1899-12-30T11:59:00"/>
        <d v="1899-12-30T05:35:00"/>
        <d v="1899-12-30T15:49:00"/>
        <d v="1899-12-30T13:28:00"/>
        <d v="1899-12-30T10:03:00"/>
        <d v="1899-12-30T07:19:00"/>
        <d v="1899-12-30T10:15:00"/>
        <d v="1899-12-30T16:56:00"/>
        <d v="1899-12-30T09:07:00"/>
        <d v="1899-12-30T09:06:00"/>
        <d v="1899-12-30T09:38:00"/>
        <d v="1899-12-30T09:15:00"/>
        <d v="1899-12-30T18:16:00"/>
        <d v="1899-12-30T09:26:00"/>
        <d v="1899-12-30T09:16:00"/>
        <d v="1899-12-30T17:04:00"/>
        <d v="1899-12-30T17:50:00"/>
        <d v="1899-12-30T05:46:00"/>
        <d v="1899-12-30T06:09:00"/>
        <d v="1899-12-30T11:22:00"/>
        <d v="1899-12-30T12:39:00"/>
        <d v="1899-12-30T09:49:00"/>
        <d v="1899-12-30T09:36:00"/>
        <d v="1899-12-30T14:32:00"/>
        <d v="1899-12-30T08:41:00"/>
        <d v="1899-12-30T14:12:00"/>
        <d v="1899-12-30T08:14:00"/>
        <d v="1899-12-30T09:33:00"/>
        <d v="1899-12-30T15:29:00"/>
        <d v="1899-12-30T04:27:00"/>
        <d v="1899-12-30T06:23:00"/>
        <d v="1899-12-30T08:55:00"/>
        <d v="1899-12-30T16:40:00"/>
        <d v="1899-12-30T07:12:00"/>
        <d v="1899-12-30T12:33:00"/>
        <d v="1899-12-30T09:41:00"/>
        <d v="1899-12-30T08:37:00"/>
        <d v="1899-12-30T04:52:00"/>
        <d v="1899-12-30T11:32:00"/>
        <d v="1899-12-30T05:51:00"/>
        <d v="1899-12-30T08:45:00"/>
        <d v="1899-12-30T16:50:00"/>
        <d v="1899-12-30T07:50:00"/>
        <d v="1899-12-30T09:42:00"/>
        <d v="1899-12-30T09:21:00"/>
        <d v="1899-12-30T22:22:00"/>
        <d v="1899-12-30T04:45:00"/>
        <d v="1899-12-30T22:30:00"/>
        <d v="1899-12-30T06:19:00"/>
        <d v="1899-12-30T06:30:00"/>
        <d v="1899-12-30T10:10:00"/>
        <d v="1899-12-30T10:49:00"/>
        <d v="1899-12-30T05:00:00"/>
        <d v="1899-12-30T05:12:00"/>
        <d v="1899-12-30T04:03:00"/>
        <d v="1899-12-30T20:14:00"/>
        <d v="1899-12-30T07:22:00"/>
        <d v="1899-12-30T06:02:00"/>
        <d v="1899-12-30T04:30:00"/>
        <d v="1899-12-30T05:36:00"/>
        <d v="1899-12-30T04:40:00"/>
        <d v="1899-12-30T09:32:00"/>
        <d v="1899-12-30T12:37:00"/>
        <d v="1899-12-30T07:43:00"/>
        <d v="1899-12-30T08:11:00"/>
        <d v="1899-12-30T07:49:00"/>
        <d v="1899-12-30T08:01:00"/>
        <d v="1899-12-30T08:32:00"/>
        <d v="1899-12-30T08:00:00"/>
        <d v="1899-12-30T10:45:00"/>
        <d v="1899-12-30T12:49:00"/>
        <d v="1899-12-30T09:47:00"/>
        <d v="1899-12-30T14:33:00"/>
        <d v="1899-12-30T06:42:00"/>
        <d v="1899-12-30T08:25:00"/>
        <d v="1899-12-30T18:10:00"/>
        <d v="1899-12-30T13:09:00"/>
        <d v="1899-12-30T07:14:00"/>
        <d v="1899-12-30T14:50:00"/>
        <d v="1899-12-30T10:51:00"/>
        <d v="1899-12-30T09:40:00"/>
        <d v="1899-12-30T08:19:00"/>
        <d v="1899-12-30T14:38:00"/>
        <d v="1899-12-30T05:59:00"/>
        <d v="1899-12-30T05:16:00"/>
        <d v="1899-12-30T13:21:00"/>
        <d v="1899-12-30T09:43:00"/>
        <d v="1899-12-30T10:59:00"/>
        <d v="1899-12-30T13:01:00"/>
        <d v="1899-12-30T08:10:00"/>
        <d v="1899-12-30T10:29:00"/>
        <d v="1899-12-30T05:53:00"/>
        <d v="1899-12-30T09:04:00"/>
        <d v="1899-12-30T10:02:00"/>
        <d v="1899-12-30T21:49:00"/>
        <d v="1899-12-30T05:11:00"/>
        <d v="1899-12-30T05:13:00"/>
        <d v="1899-12-30T17:10:00"/>
        <d v="1899-12-30T08:34:00"/>
        <d v="1899-12-30T11:20:00"/>
        <d v="1899-12-30T10:41:00"/>
        <d v="1899-12-30T15:09:00"/>
        <d v="1899-12-30T07:15:00"/>
        <d v="1899-12-30T05:44:00"/>
        <d v="1899-12-30T09:58:00"/>
        <d v="1899-12-30T09:02:00"/>
        <d v="1899-12-30T09:34:00"/>
        <d v="1899-12-30T22:20:00"/>
        <d v="1899-12-30T03:27:00"/>
        <d v="1899-12-30T05:39:00"/>
        <d v="1899-12-30T12:47:00"/>
        <d v="1899-12-30T08:04:00"/>
        <d v="1899-12-30T11:01:00"/>
        <d v="1899-12-30T10:30:00"/>
        <d v="1899-12-30T08:17:00"/>
        <d v="1899-12-30T04:00:00"/>
        <d v="1899-12-30T08:31:00"/>
        <d v="1899-12-30T14:30:00"/>
        <d v="1899-12-30T07:57:00"/>
        <d v="1899-12-30T11:51:00"/>
        <d v="1899-12-30T06:37:00"/>
        <d v="1899-12-30T05:10:00"/>
        <d v="1899-12-30T10:11:00"/>
        <d v="1899-12-30T07:41:00"/>
        <d v="1899-12-30T06:01:00"/>
        <d v="1899-12-30T08:23:00"/>
        <d v="1899-12-30T22:14:00"/>
        <d v="1899-12-30T10:33:00"/>
        <d v="1899-12-30T04:54:00"/>
        <d v="1899-12-30T09:19:00"/>
        <d v="1899-12-30T09:25:00"/>
        <d v="1899-12-30T03:41:00"/>
        <d v="1899-12-30T06:45:00"/>
        <d v="1899-12-30T10:09:00"/>
        <d v="1899-12-30T08:27:00"/>
        <d v="1899-12-30T03:59:00"/>
        <d v="1899-12-30T09:23:00"/>
        <d v="1899-12-30T13:41:00"/>
        <d v="1899-12-30T15:05:00"/>
        <d v="1899-12-30T00:15:00"/>
        <d v="1899-12-30T05:54:00"/>
        <d v="1899-12-30T08:29:00"/>
        <d v="1899-12-30T09:45:00"/>
        <d v="1899-12-30T11:31:00"/>
        <d v="1899-12-30T08:16:00"/>
        <d v="1899-12-30T07:52:00"/>
        <d v="1899-12-30T12:01:00"/>
        <d v="1899-12-30T01:11:00"/>
        <d v="1899-12-30T15:01:00"/>
        <d v="1899-12-30T10:35:00"/>
        <d v="1899-12-30T08:42:00"/>
        <d v="1899-12-30T10:16:00"/>
        <d v="1899-12-30T14:44:00"/>
        <d v="1899-12-30T05:38:00"/>
        <d v="1899-12-30T12:00:00"/>
        <d v="1899-12-30T07:00:00"/>
        <d v="1899-12-30T08:30:00"/>
        <d v="1899-12-30T13:25:00"/>
        <d v="1899-12-30T05:18:00"/>
        <d v="1899-12-30T12:30:00"/>
        <d v="1899-12-30T05:45:00"/>
        <d v="1899-12-30T07:51:00"/>
        <d v="1899-12-30T07:34:00"/>
        <d v="1899-12-30T06:49:00"/>
        <d v="1899-12-30T14:49:00"/>
        <d v="1899-12-30T05:23:00"/>
        <d v="1899-12-30T07:10:00"/>
        <d v="1899-12-30T08:51:00"/>
        <d v="1899-12-30T10:06:00"/>
        <d v="1899-12-30T09:11:00"/>
        <d v="1899-12-30T15:47:00"/>
        <d v="1899-12-30T15:55:00"/>
        <d v="1899-12-30T16:37:00"/>
        <d v="1899-12-30T08:40:00"/>
        <d v="1899-12-30T16:51:00"/>
        <d v="1899-12-30T10:01:00"/>
        <d v="1899-12-30T11:30:00"/>
        <d v="1899-12-30T09:22:00"/>
        <d v="1899-12-30T06:36:00"/>
        <d v="1899-12-30T05:52:00"/>
        <d v="1899-12-30T13:18:00"/>
        <d v="1899-12-30T09:59:00"/>
        <d v="1899-12-30T06:22:00"/>
        <d v="1899-12-30T10:05:00"/>
        <d v="1899-12-30T06:34:00"/>
        <d v="1899-12-30T06:54:00"/>
        <d v="1899-12-30T16:38:00"/>
        <d v="1899-12-30T06:43:00"/>
        <d v="1899-12-30T19:49:00"/>
        <d v="1899-12-30T05:22:00"/>
        <d v="1899-12-30T15:13:00"/>
        <d v="1899-12-30T09:56:00"/>
        <d v="1899-12-30T09:12:00"/>
        <d v="1899-12-30T10:23:00"/>
        <d v="1899-12-30T15:03:00"/>
        <d v="1899-12-30T10:14:00"/>
        <d v="1899-12-30T08:59:00"/>
        <d v="1899-12-30T16:18:00"/>
        <d v="1899-12-30T04:59:00"/>
        <d v="1899-12-30T09:17:00"/>
        <d v="1899-12-30T10:47:00"/>
        <d v="1899-12-30T06:46:00"/>
        <d v="1899-12-30T14:00:00"/>
        <d v="1899-12-30T06:07:00"/>
        <d v="1899-12-30T17:46:00"/>
        <d v="1899-12-30T06:33:00"/>
        <d v="1899-12-30T06:10:00"/>
        <d v="1899-12-30T13:59:00"/>
        <d v="1899-12-30T07:16:00"/>
        <d v="1899-12-30T18:03:00"/>
        <d v="1899-12-30T05:43:00"/>
        <d v="1899-12-30T08:26:00"/>
      </sharedItems>
    </cacheField>
    <cacheField name="末打卡时间" numFmtId="0">
      <sharedItems containsBlank="1" count="356">
        <s v=""/>
        <m/>
        <s v="12:06"/>
        <s v="17:32"/>
        <s v="14:50"/>
        <s v="18:00"/>
        <s v="21:33"/>
        <s v="17:00"/>
        <s v="13:00"/>
        <s v="19:19"/>
        <s v="18:29"/>
        <s v="11:37"/>
        <s v="16:59"/>
        <s v="01:07"/>
        <s v="12:42"/>
        <s v="17:10"/>
        <s v="20:52"/>
        <s v="17:30"/>
        <s v="23:01"/>
        <s v="16:53"/>
        <s v="13:34"/>
        <s v="16:26"/>
        <s v="13:42"/>
        <s v="18:56"/>
        <s v="14:02"/>
        <s v="22:32"/>
        <s v="18:14"/>
        <s v="16:23"/>
        <s v="17:38"/>
        <s v="19:54"/>
        <s v="22:08"/>
        <s v="15:36"/>
        <s v="15:58"/>
        <s v="19:49"/>
        <s v="16:15"/>
        <s v="12:30"/>
        <s v="17:31"/>
        <s v="21:59"/>
        <s v="02:30"/>
        <s v="19:00"/>
        <s v="13:01"/>
        <s v="11:57"/>
        <s v="16:33"/>
        <s v="18:08"/>
        <s v="23:56"/>
        <s v="00:21"/>
        <s v="18:39"/>
        <s v="14:28"/>
        <s v="13:08"/>
        <s v="22:42"/>
        <s v="12:45"/>
        <s v="16:55"/>
        <s v="00:50"/>
        <s v="13:49"/>
        <s v="21:13"/>
        <s v="11:38"/>
        <s v="21:31"/>
        <s v="23:10"/>
        <s v="17:03"/>
        <s v="13:30"/>
        <s v="15:52"/>
        <s v="17:07"/>
        <s v="15:24"/>
        <s v="16:31"/>
        <s v="15:44"/>
        <s v="11:31"/>
        <s v="11:30"/>
        <s v="17:49"/>
        <s v="19:06"/>
        <s v="22:13"/>
        <s v="16:02"/>
        <s v="18:16"/>
        <s v="15:14"/>
        <s v="18:01"/>
        <s v="16:09"/>
        <s v="21:11"/>
        <s v="14:22"/>
        <s v="21:50"/>
        <s v="16:37"/>
        <s v="20:48"/>
        <s v="16:27"/>
        <s v="18:59"/>
        <s v="20:38"/>
        <s v="15:19"/>
        <s v="21:43"/>
        <s v="16:32"/>
        <s v="14:38"/>
        <s v="11:41"/>
        <s v="16:48"/>
        <s v="19:46"/>
        <s v="01:44"/>
        <s v="21:07"/>
        <s v="15:00"/>
        <s v="22:00"/>
        <s v="19:05"/>
        <s v="18:03"/>
        <s v="18:37"/>
        <s v="15:39"/>
        <s v="17:37"/>
        <s v="13:53"/>
        <s v="22:10"/>
        <s v="16:46"/>
        <s v="18:45"/>
        <s v="21:03"/>
        <s v="13:39"/>
        <s v="16:29"/>
        <s v="23:27"/>
        <s v="17:20"/>
        <s v="20:22"/>
        <s v="14:16"/>
        <s v="18:28"/>
        <s v="20:14"/>
        <s v="22:24"/>
        <s v="18:58"/>
        <s v="22:54"/>
        <s v="20:45"/>
        <s v="20:31"/>
        <s v="14:12"/>
        <s v="16:13"/>
        <s v="18:26"/>
        <s v="19:58"/>
        <s v="15:30"/>
        <s v="18:05"/>
        <s v="16:30"/>
        <s v="13:50"/>
        <s v="21:15"/>
        <s v="14:52"/>
        <s v="18:31"/>
        <s v="18:53"/>
        <s v="20:30"/>
        <s v="18:33"/>
        <s v="19:07"/>
        <s v="19:36"/>
        <s v="18:54"/>
        <s v="16:18"/>
        <s v="22:30"/>
        <s v="15:59"/>
        <s v="20:26"/>
        <s v="17:26"/>
        <s v="19:10"/>
        <s v="14:57"/>
        <s v="18:23"/>
        <s v="20:07"/>
        <s v="18:34"/>
        <s v="17:04"/>
        <s v="14:46"/>
        <s v="23:32"/>
        <s v="16:24"/>
        <s v="21:30"/>
        <s v="13:37"/>
        <s v="00:55"/>
        <s v="15:46"/>
        <s v="19:13"/>
        <s v="11:45"/>
        <s v="18:18"/>
        <s v="22:50"/>
        <s v="14:53"/>
        <s v="15:23"/>
        <s v="17:56"/>
        <s v="16:34"/>
        <s v="20:24"/>
        <s v="13:20"/>
        <s v="18:32"/>
        <s v="13:43"/>
        <s v="12:46"/>
        <s v="21:14"/>
        <s v="17:58"/>
        <s v="19:29"/>
        <s v="21:18"/>
        <s v="18:41"/>
        <s v="18:06"/>
        <s v="17:33"/>
        <s v="16:35"/>
        <s v="19:32"/>
        <s v="18:02"/>
        <s v="17:57"/>
        <s v="13:55"/>
        <s v="23:09"/>
        <s v="02:22"/>
        <s v="20:17"/>
        <s v="18:20"/>
        <s v="21:16"/>
        <s v="19:48"/>
        <s v="17:35"/>
        <s v="20:01"/>
        <s v="18:57"/>
        <s v="18:49"/>
        <s v="13:02"/>
        <s v="16:40"/>
        <s v="19:37"/>
        <s v="19:38"/>
        <s v="18:17"/>
        <s v="21:08"/>
        <s v="14:36"/>
        <s v="14:04"/>
        <s v="20:23"/>
        <s v="20:34"/>
        <s v="19:23"/>
        <s v="21:54"/>
        <s v="22:38"/>
        <s v="21:19"/>
        <s v="18:40"/>
        <s v="13:51"/>
        <s v="17:11"/>
        <s v="21:47"/>
        <s v="19:20"/>
        <s v="18:10"/>
        <s v="21:04"/>
        <s v="16:22"/>
        <s v="15:33"/>
        <s v="14:34"/>
        <s v="14:06"/>
        <s v="10:30"/>
        <s v="14:11"/>
        <s v="22:04"/>
        <s v="16:41"/>
        <s v="18:27"/>
        <s v="16:44"/>
        <s v="17:47"/>
        <s v="16:51"/>
        <s v="18:43"/>
        <s v="23:08"/>
        <s v="21:42"/>
        <s v="17:28"/>
        <s v="20:04"/>
        <s v="16:54"/>
        <s v="17:15"/>
        <s v="00:14"/>
        <s v="18:51"/>
        <s v="01:35"/>
        <s v="17:05"/>
        <s v="21:52"/>
        <s v="15:40"/>
        <s v="15:11"/>
        <s v="15:17"/>
        <s v="13:21"/>
        <s v="22:18"/>
        <s v="20:42"/>
        <s v="21:10"/>
        <s v="17:40"/>
        <s v="23:11"/>
        <s v="17:21"/>
        <s v="11:07"/>
        <s v="19:53"/>
        <s v="21:58"/>
        <s v="14:51"/>
        <s v="18:12"/>
        <s v="14:21"/>
        <s v="14:49"/>
        <s v="19:55"/>
        <s v="18:11"/>
        <s v="17:29"/>
        <s v="13:57"/>
        <s v="19:45"/>
        <s v="20:41"/>
        <s v="16:01"/>
        <s v="13:32"/>
        <s v="23:26"/>
        <s v="15:01"/>
        <s v="14:03"/>
        <s v="18:42"/>
        <s v="13:31"/>
        <s v="15:35"/>
        <s v="21:20"/>
        <s v="20:11"/>
        <s v="19:22"/>
        <s v="18:52"/>
        <s v="16:11"/>
        <s v="18:22"/>
        <s v="23:53"/>
        <s v="17:44"/>
        <s v="14:00"/>
        <s v="16:00"/>
        <s v="19:04"/>
        <s v="12:50"/>
        <s v="21:27"/>
        <s v="14:31"/>
        <s v="11:08"/>
        <s v="22:52"/>
        <s v="23:04"/>
        <s v="11:05"/>
        <s v="14:35"/>
        <s v="17:39"/>
        <s v="16:14"/>
        <s v="22:57"/>
        <s v="17:41"/>
        <s v="13:59"/>
        <s v="14:55"/>
        <s v="21:02"/>
        <s v="19:34"/>
        <s v="19:02"/>
        <s v="10:04"/>
        <s v="21:01"/>
        <s v="19:18"/>
        <s v="14:33"/>
        <s v="18:30"/>
        <s v="17:25"/>
        <s v="16:03"/>
        <s v="18:50"/>
        <s v="17:48"/>
        <s v="15:20"/>
        <s v="13:58"/>
        <s v="17:54"/>
        <s v="22:01"/>
        <s v="01:03"/>
        <s v="19:15"/>
        <s v="14:07"/>
        <s v="15:26"/>
        <s v="17:50"/>
        <s v="15:02"/>
        <s v="20:12"/>
        <s v="18:38"/>
        <s v="00:07"/>
        <s v="13:12"/>
        <s v="19:43"/>
        <s v="15:12"/>
        <s v="16:07"/>
        <s v="18:13"/>
        <s v="16:19"/>
        <s v="15:06"/>
        <s v="22:35"/>
        <s v="23:23"/>
        <s v="14:39"/>
        <s v="15:05"/>
        <s v="19:30"/>
        <s v="16:50"/>
        <s v="00:37"/>
        <s v="15:18"/>
        <s v="15:34"/>
        <s v="22:53"/>
        <s v="21:29"/>
        <s v="13:41"/>
        <s v="23:54"/>
        <s v="18:04"/>
        <s v="17:34"/>
        <s v="17:52"/>
        <s v="19:26"/>
        <s v="19:21"/>
        <s v="20:35"/>
        <s v="14:14"/>
        <s v="16:36"/>
        <s v="20:05"/>
        <s v="22:16"/>
        <s v="14:30"/>
        <s v="14:23"/>
        <s v="16:05"/>
        <s v="19:35"/>
        <s v="13:07"/>
        <s v="17:09"/>
        <s v="20:46"/>
        <s v="13:33"/>
        <s v="19:59"/>
        <s v="15:50"/>
        <s v="14:01"/>
        <s v="12:35"/>
        <s v="18:15"/>
      </sharedItems>
    </cacheField>
    <cacheField name="是否排班正确" numFmtId="0">
      <sharedItems count="3">
        <s v="/"/>
        <s v="正确"/>
        <s v="不正确"/>
      </sharedItems>
    </cacheField>
    <cacheField name="居家办公工时（全）合计" numFmtId="2">
      <sharedItems containsSemiMixedTypes="0" containsString="0" containsNumber="1" minValue="0" maxValue="9.3" count="10">
        <n v="0"/>
        <n v="1.9"/>
        <n v="1"/>
        <n v="1.3"/>
        <n v="7"/>
        <n v="2"/>
        <n v="1.8"/>
        <n v="9.3"/>
        <n v="8.5"/>
        <n v="4"/>
      </sharedItems>
    </cacheField>
    <cacheField name="每日总工时(公式：末打卡-首打卡-班次午休时间+居家办公时长)合计" numFmtId="2">
      <sharedItems containsSemiMixedTypes="0" containsString="0" containsNumber="1" minValue="0" maxValue="16.52" count="248">
        <n v="0"/>
        <n v="6.52"/>
        <n v="8.88"/>
        <n v="7.75"/>
        <n v="8"/>
        <n v="10.33"/>
        <n v="8.35"/>
        <n v="8.02"/>
        <n v="10.1"/>
        <n v="8.97"/>
        <n v="8.57"/>
        <n v="8.7"/>
        <n v="9.53"/>
        <n v="8.23"/>
        <n v="10.15"/>
        <n v="9.07"/>
        <n v="8.28"/>
        <n v="8.05"/>
        <n v="8.1"/>
        <n v="8.85"/>
        <n v="8.77"/>
        <n v="11.2"/>
        <n v="11.03"/>
        <n v="8.17"/>
        <n v="12.63"/>
        <n v="7.32"/>
        <n v="8.32"/>
        <n v="10.8"/>
        <n v="8.25"/>
        <n v="9.1"/>
        <n v="9.62"/>
        <n v="4.93"/>
        <n v="9.5"/>
        <n v="8.12"/>
        <n v="7.33"/>
        <n v="7.85"/>
        <n v="8.07"/>
        <n v="8.95"/>
        <n v="9.52"/>
        <n v="7.15"/>
        <n v="6.32"/>
        <n v="6.73"/>
        <n v="9.37"/>
        <n v="9.45"/>
        <n v="6.17"/>
        <n v="8.5"/>
        <n v="10.22"/>
        <n v="10.35"/>
        <n v="7.87"/>
        <n v="7.03"/>
        <n v="8.72"/>
        <n v="8.13"/>
        <n v="6.28"/>
        <n v="6.27"/>
        <n v="11.32"/>
        <n v="8.6"/>
        <n v="9.83"/>
        <n v="8.42"/>
        <n v="8.22"/>
        <n v="8.67"/>
        <n v="14.42"/>
        <n v="12.32"/>
        <n v="6.48"/>
        <n v="9.68"/>
        <n v="10.02"/>
        <n v="12.43"/>
        <n v="8.78"/>
        <n v="8.37"/>
        <n v="10.92"/>
        <n v="7.4"/>
        <n v="4.38"/>
        <n v="7.23"/>
        <n v="9.82"/>
        <n v="11.8"/>
        <n v="9"/>
        <n v="8.47"/>
        <n v="7.42"/>
        <n v="8.27"/>
        <n v="7.97"/>
        <n v="6.2"/>
        <n v="8.58"/>
        <n v="7.88"/>
        <n v="10.2"/>
        <n v="7.8"/>
        <n v="8.4"/>
        <n v="7.82"/>
        <n v="14.05"/>
        <n v="7.93"/>
        <n v="10.78"/>
        <n v="6.25"/>
        <n v="10.58"/>
        <n v="5.18"/>
        <n v="12.42"/>
        <n v="10.57"/>
        <n v="4.92"/>
        <n v="9.23"/>
        <n v="11"/>
        <n v="8.03"/>
        <n v="9.93"/>
        <n v="7.72"/>
        <n v="10.28"/>
        <n v="7"/>
        <n v="11.95"/>
        <n v="8.18"/>
        <n v="10.5"/>
        <n v="7.98"/>
        <n v="8.48"/>
        <n v="5.6"/>
        <n v="9.92"/>
        <n v="9.08"/>
        <n v="9.18"/>
        <n v="9.38"/>
        <n v="12"/>
        <n v="8.2"/>
        <n v="2.95"/>
        <n v="9.25"/>
        <n v="14.07"/>
        <n v="8.15"/>
        <n v="9.47"/>
        <n v="9.2"/>
        <n v="5.15"/>
        <n v="4.47"/>
        <n v="10.68"/>
        <n v="10.23"/>
        <n v="9.13"/>
        <n v="1.35"/>
        <n v="9.02"/>
        <n v="7.63"/>
        <n v="7.35"/>
        <n v="8.43"/>
        <n v="8.73"/>
        <n v="8.9"/>
        <n v="8.33"/>
        <n v="7.83"/>
        <n v="8.65"/>
        <n v="5.58"/>
        <n v="9.75"/>
        <n v="9.35"/>
        <n v="9.95"/>
        <n v="10.13"/>
        <n v="8.68"/>
        <n v="5.32"/>
        <n v="10.48"/>
        <n v="8.98"/>
        <n v="8.08"/>
        <n v="9.78"/>
        <n v="10.7"/>
        <n v="10.67"/>
        <n v="10.95"/>
        <n v="8.63"/>
        <n v="10.52"/>
        <n v="13.65"/>
        <n v="13.38"/>
        <n v="3.98"/>
        <n v="11.05"/>
        <n v="8.82"/>
        <n v="12.07"/>
        <n v="11.12"/>
        <n v="9.57"/>
        <n v="9.97"/>
        <n v="16.52"/>
        <n v="8.3"/>
        <n v="7.1"/>
        <n v="8.62"/>
        <n v="4.4"/>
        <n v="9.28"/>
        <n v="11.88"/>
        <n v="8.38"/>
        <n v="7.45"/>
        <n v="8.75"/>
        <n v="9.7"/>
        <n v="10.25"/>
        <n v="7.65"/>
        <n v="12.95"/>
        <n v="9.9"/>
        <n v="11.7"/>
        <n v="6.37"/>
        <n v="11.08"/>
        <n v="8.8"/>
        <n v="7.58"/>
        <n v="8.45"/>
        <n v="9.67"/>
        <n v="9.33"/>
        <n v="8.93"/>
        <n v="9.22"/>
        <n v="11.1"/>
        <n v="7.47"/>
        <n v="7.62"/>
        <n v="9.4"/>
        <n v="9.05"/>
        <n v="9.3"/>
        <n v="6.15"/>
        <n v="10.03"/>
        <n v="9.03"/>
        <n v="10.37"/>
        <n v="4.48"/>
        <n v="10.3"/>
        <n v="10.55"/>
        <n v="8.87"/>
        <n v="10.07"/>
        <n v="9.43"/>
        <n v="11.27"/>
        <n v="9.77"/>
        <n v="10.87"/>
        <n v="7.92"/>
        <n v="11.55"/>
        <n v="11.57"/>
        <n v="7.68"/>
        <n v="5.37"/>
        <n v="7.48"/>
        <n v="8.52"/>
        <n v="10.38"/>
        <n v="5.05"/>
        <n v="8.92"/>
        <n v="7.43"/>
        <n v="5.7"/>
        <n v="9.88"/>
        <n v="7.02"/>
        <n v="9.63"/>
        <n v="8.55"/>
        <n v="9.12"/>
        <n v="7.78"/>
        <n v="12.35"/>
        <n v="11.25"/>
        <n v="9.73"/>
        <n v="9.6"/>
        <n v="7.52"/>
        <n v="11.73"/>
        <n v="4.15"/>
        <n v="3.2"/>
        <n v="9.17"/>
        <n v="10.77"/>
        <n v="10.08"/>
        <n v="12.9"/>
        <n v="9.48"/>
        <n v="10.93"/>
        <n v="7.7"/>
        <n v="13.23"/>
        <n v="11.78"/>
        <n v="9.87"/>
        <n v="10"/>
        <n v="3.22"/>
        <n v="12.97"/>
        <n v="4.53"/>
        <n v="11.15"/>
        <n v="9.55"/>
        <n v="11.92"/>
        <n v="10.62"/>
      </sharedItems>
    </cacheField>
    <cacheField name="居家办公合计（审批中）" numFmtId="2">
      <sharedItems containsSemiMixedTypes="0" containsString="0" containsNumber="1" minValue="0" maxValue="9.3" count="9">
        <n v="0"/>
        <n v="3.9"/>
        <n v="1"/>
        <n v="1.3"/>
        <n v="7"/>
        <n v="2"/>
        <n v="1.8"/>
        <n v="9.3"/>
        <n v="4"/>
      </sharedItems>
    </cacheField>
    <cacheField name="每日总工时(公式：末打卡-首打卡-班次午休时间+居家办公时长)合计2" numFmtId="2">
      <sharedItems containsSemiMixedTypes="0" containsString="0" containsNumber="1" minValue="0" maxValue="16.52" count="247">
        <n v="0"/>
        <n v="6.52"/>
        <n v="8.88"/>
        <n v="7.75"/>
        <n v="8"/>
        <n v="10.33"/>
        <n v="8.35"/>
        <n v="8.02"/>
        <n v="10.1"/>
        <n v="8.97"/>
        <n v="8.57"/>
        <n v="8.7"/>
        <n v="9.53"/>
        <n v="8.23"/>
        <n v="10.15"/>
        <n v="9.07"/>
        <n v="8.28"/>
        <n v="8.05"/>
        <n v="8.1"/>
        <n v="8.85"/>
        <n v="8.77"/>
        <n v="11.2"/>
        <n v="11.03"/>
        <n v="8.17"/>
        <n v="12.63"/>
        <n v="7.32"/>
        <n v="8.32"/>
        <n v="10.8"/>
        <n v="8.25"/>
        <n v="9.1"/>
        <n v="9.62"/>
        <n v="4.93"/>
        <n v="9.5"/>
        <n v="8.12"/>
        <n v="7.33"/>
        <n v="7.85"/>
        <n v="8.07"/>
        <n v="8.95"/>
        <n v="9.52"/>
        <n v="7.15"/>
        <n v="6.32"/>
        <n v="6.73"/>
        <n v="9.37"/>
        <n v="9.45"/>
        <n v="10.07"/>
        <n v="8.5"/>
        <n v="10.22"/>
        <n v="10.35"/>
        <n v="7.87"/>
        <n v="7.03"/>
        <n v="8.72"/>
        <n v="8.13"/>
        <n v="6.28"/>
        <n v="6.27"/>
        <n v="11.32"/>
        <n v="8.6"/>
        <n v="9.83"/>
        <n v="8.42"/>
        <n v="8.22"/>
        <n v="8.67"/>
        <n v="14.42"/>
        <n v="12.32"/>
        <n v="6.48"/>
        <n v="9.68"/>
        <n v="10.02"/>
        <n v="12.43"/>
        <n v="8.78"/>
        <n v="8.37"/>
        <n v="10.92"/>
        <n v="7.4"/>
        <n v="4.38"/>
        <n v="7.23"/>
        <n v="9.82"/>
        <n v="11.8"/>
        <n v="9"/>
        <n v="8.47"/>
        <n v="7.42"/>
        <n v="8.27"/>
        <n v="7.97"/>
        <n v="6.2"/>
        <n v="8.58"/>
        <n v="7.88"/>
        <n v="10.2"/>
        <n v="7.8"/>
        <n v="8.4"/>
        <n v="7.82"/>
        <n v="14.05"/>
        <n v="7.93"/>
        <n v="10.78"/>
        <n v="6.25"/>
        <n v="10.58"/>
        <n v="5.18"/>
        <n v="12.42"/>
        <n v="10.57"/>
        <n v="4.92"/>
        <n v="9.23"/>
        <n v="11"/>
        <n v="8.03"/>
        <n v="9.93"/>
        <n v="7.72"/>
        <n v="10.28"/>
        <n v="11.95"/>
        <n v="8.18"/>
        <n v="10.5"/>
        <n v="7.98"/>
        <n v="9.48"/>
        <n v="5.6"/>
        <n v="9.92"/>
        <n v="9.08"/>
        <n v="9.18"/>
        <n v="9.38"/>
        <n v="12"/>
        <n v="8.2"/>
        <n v="2.95"/>
        <n v="9.25"/>
        <n v="14.07"/>
        <n v="8.15"/>
        <n v="9.47"/>
        <n v="9.2"/>
        <n v="5.15"/>
        <n v="4.47"/>
        <n v="10.68"/>
        <n v="10.23"/>
        <n v="9.13"/>
        <n v="1.35"/>
        <n v="9.02"/>
        <n v="8.63"/>
        <n v="8.65"/>
        <n v="8.43"/>
        <n v="8.73"/>
        <n v="8.9"/>
        <n v="8.33"/>
        <n v="7.83"/>
        <n v="5.58"/>
        <n v="9.75"/>
        <n v="9.35"/>
        <n v="9.95"/>
        <n v="10.13"/>
        <n v="8.68"/>
        <n v="5.32"/>
        <n v="10.48"/>
        <n v="8.98"/>
        <n v="8.08"/>
        <n v="10.7"/>
        <n v="10.67"/>
        <n v="10.95"/>
        <n v="10.52"/>
        <n v="13.65"/>
        <n v="7"/>
        <n v="13.38"/>
        <n v="3.98"/>
        <n v="11.05"/>
        <n v="8.82"/>
        <n v="12.07"/>
        <n v="11.12"/>
        <n v="9.57"/>
        <n v="9.97"/>
        <n v="16.52"/>
        <n v="8.3"/>
        <n v="7.1"/>
        <n v="8.62"/>
        <n v="4.4"/>
        <n v="9.28"/>
        <n v="11.88"/>
        <n v="8.38"/>
        <n v="9.78"/>
        <n v="7.45"/>
        <n v="8.75"/>
        <n v="9.7"/>
        <n v="10.25"/>
        <n v="7.65"/>
        <n v="12.95"/>
        <n v="9.9"/>
        <n v="11.7"/>
        <n v="6.37"/>
        <n v="11.08"/>
        <n v="8.8"/>
        <n v="7.58"/>
        <n v="8.45"/>
        <n v="9.67"/>
        <n v="9.33"/>
        <n v="8.93"/>
        <n v="9.22"/>
        <n v="11.1"/>
        <n v="7.47"/>
        <n v="7.62"/>
        <n v="9.4"/>
        <n v="9.05"/>
        <n v="9.3"/>
        <n v="6.15"/>
        <n v="10.03"/>
        <n v="9.03"/>
        <n v="2"/>
        <n v="10.37"/>
        <n v="4.48"/>
        <n v="10.3"/>
        <n v="10.55"/>
        <n v="8.87"/>
        <n v="9.43"/>
        <n v="11.27"/>
        <n v="12.28"/>
        <n v="9.77"/>
        <n v="10.87"/>
        <n v="7.92"/>
        <n v="11.55"/>
        <n v="11.57"/>
        <n v="7.68"/>
        <n v="5.37"/>
        <n v="7.48"/>
        <n v="8.52"/>
        <n v="10.38"/>
        <n v="5.05"/>
        <n v="8.92"/>
        <n v="7.43"/>
        <n v="5.7"/>
        <n v="9.88"/>
        <n v="7.02"/>
        <n v="9.63"/>
        <n v="8.55"/>
        <n v="9.12"/>
        <n v="7.78"/>
        <n v="12.35"/>
        <n v="11.25"/>
        <n v="9.73"/>
        <n v="9.6"/>
        <n v="7.52"/>
        <n v="11.73"/>
        <n v="4.15"/>
        <n v="3.2"/>
        <n v="9.17"/>
        <n v="10.77"/>
        <n v="10.08"/>
        <n v="12.9"/>
        <n v="10.93"/>
        <n v="7.7"/>
        <n v="13.23"/>
        <n v="11.78"/>
        <n v="9.87"/>
        <n v="10"/>
        <n v="3.22"/>
        <n v="12.97"/>
        <n v="4.53"/>
        <n v="11.15"/>
        <n v="9.55"/>
        <n v="4"/>
        <n v="11.92"/>
        <n v="10.62"/>
      </sharedItems>
    </cacheField>
    <cacheField name="日超8H" numFmtId="2">
      <sharedItems containsSemiMixedTypes="0" containsString="0" containsNumber="1" minValue="0" maxValue="8.52" count="181">
        <n v="0"/>
        <n v="0.880000000000001"/>
        <n v="2.33"/>
        <n v="0.35"/>
        <n v="0.0199999999999996"/>
        <n v="2.1"/>
        <n v="0.970000000000001"/>
        <n v="0.57"/>
        <n v="0.699999999999999"/>
        <n v="1.53"/>
        <n v="0.23"/>
        <n v="2.15"/>
        <n v="1.07"/>
        <n v="0.279999999999999"/>
        <n v="0.0500000000000007"/>
        <n v="0.0999999999999997"/>
        <n v="0.85"/>
        <n v="0.77"/>
        <n v="3.2"/>
        <n v="3.03"/>
        <n v="0.17"/>
        <n v="4.63"/>
        <n v="0.32"/>
        <n v="2.8"/>
        <n v="0.25"/>
        <n v="1.1"/>
        <n v="1.62"/>
        <n v="1.5"/>
        <n v="0.119999999999999"/>
        <n v="0.0700000000000003"/>
        <n v="0.949999999999999"/>
        <n v="1.52"/>
        <n v="1.37"/>
        <n v="1.45"/>
        <n v="2.07"/>
        <n v="0.5"/>
        <n v="2.22"/>
        <n v="2.35"/>
        <n v="0.720000000000001"/>
        <n v="0.130000000000001"/>
        <n v="3.32"/>
        <n v="0.6"/>
        <n v="1.83"/>
        <n v="0.42"/>
        <n v="0.220000000000001"/>
        <n v="0.67"/>
        <n v="6.42"/>
        <n v="4.32"/>
        <n v="1.68"/>
        <n v="2.02"/>
        <n v="4.43"/>
        <n v="0.779999999999999"/>
        <n v="0.369999999999999"/>
        <n v="2.92"/>
        <n v="1.82"/>
        <n v="3.8"/>
        <n v="1"/>
        <n v="0.470000000000001"/>
        <n v="0.27"/>
        <n v="0.58"/>
        <n v="2.2"/>
        <n v="0.4"/>
        <n v="6.05"/>
        <n v="2.78"/>
        <n v="2.58"/>
        <n v="4.42"/>
        <n v="2.57"/>
        <n v="1.23"/>
        <n v="3"/>
        <n v="0.0299999999999994"/>
        <n v="1.93"/>
        <n v="2.28"/>
        <n v="3.95"/>
        <n v="0.18"/>
        <n v="2.5"/>
        <n v="1.48"/>
        <n v="1.92"/>
        <n v="1.08"/>
        <n v="1.18"/>
        <n v="1.38"/>
        <n v="4"/>
        <n v="0.199999999999999"/>
        <n v="1.25"/>
        <n v="6.07"/>
        <n v="0.15"/>
        <n v="1.47"/>
        <n v="1.2"/>
        <n v="2.68"/>
        <n v="2.23"/>
        <n v="1.13"/>
        <n v="1.02"/>
        <n v="0.629999999999999"/>
        <n v="0.65"/>
        <n v="0.43"/>
        <n v="0.73"/>
        <n v="0.9"/>
        <n v="0.33"/>
        <n v="1.75"/>
        <n v="1.35"/>
        <n v="1.95"/>
        <n v="2.13"/>
        <n v="0.68"/>
        <n v="2.48"/>
        <n v="0.98"/>
        <n v="0.0800000000000001"/>
        <n v="2.7"/>
        <n v="2.67"/>
        <n v="2.95"/>
        <n v="0.630000000000001"/>
        <n v="2.52"/>
        <n v="5.65"/>
        <n v="5.38"/>
        <n v="3.05"/>
        <n v="0.82"/>
        <n v="4.07"/>
        <n v="3.12"/>
        <n v="1.57"/>
        <n v="1.97"/>
        <n v="8.52"/>
        <n v="0.300000000000001"/>
        <n v="0.619999999999999"/>
        <n v="1.28"/>
        <n v="3.88"/>
        <n v="0.380000000000001"/>
        <n v="1.78"/>
        <n v="0.75"/>
        <n v="1.7"/>
        <n v="2.25"/>
        <n v="4.95"/>
        <n v="1.9"/>
        <n v="3.7"/>
        <n v="3.08"/>
        <n v="0.800000000000001"/>
        <n v="0.449999999999999"/>
        <n v="1.67"/>
        <n v="1.33"/>
        <n v="0.93"/>
        <n v="1.22"/>
        <n v="3.1"/>
        <n v="1.4"/>
        <n v="1.05"/>
        <n v="1.3"/>
        <n v="2.03"/>
        <n v="1.03"/>
        <n v="2.37"/>
        <n v="2.3"/>
        <n v="2.55"/>
        <n v="0.869999999999999"/>
        <n v="1.43"/>
        <n v="3.27"/>
        <n v="4.28"/>
        <n v="1.77"/>
        <n v="2.87"/>
        <n v="3.55"/>
        <n v="3.57"/>
        <n v="0.52"/>
        <n v="2.38"/>
        <n v="0.92"/>
        <n v="1.88"/>
        <n v="1.63"/>
        <n v="0.550000000000001"/>
        <n v="1.12"/>
        <n v="4.35"/>
        <n v="3.25"/>
        <n v="1.73"/>
        <n v="1.6"/>
        <n v="3.73"/>
        <n v="1.17"/>
        <n v="2.77"/>
        <n v="2.08"/>
        <n v="4.9"/>
        <n v="2.93"/>
        <n v="5.23"/>
        <n v="3.78"/>
        <n v="1.87"/>
        <n v="2"/>
        <n v="4.97"/>
        <n v="3.15"/>
        <n v="1.55"/>
        <n v="3.92"/>
        <n v="2.62"/>
      </sharedItems>
    </cacheField>
    <cacheField name="是否日超8H" numFmtId="2">
      <sharedItems count="2">
        <s v="否"/>
        <s v="是"/>
      </sharedItems>
    </cacheField>
    <cacheField name="累计总工时" numFmtId="2">
      <sharedItems containsSemiMixedTypes="0" containsString="0" containsNumber="1" minValue="0" maxValue="88.23" count="84">
        <n v="0"/>
        <n v="74.97"/>
        <n v="44.8"/>
        <n v="56.29"/>
        <n v="56.34"/>
        <n v="38.21"/>
        <n v="49.2"/>
        <n v="42.94"/>
        <n v="54.01"/>
        <n v="55.8"/>
        <n v="47.28"/>
        <n v="40.94"/>
        <n v="8.3"/>
        <n v="57.07"/>
        <n v="49.85"/>
        <n v="68.99"/>
        <n v="9.4"/>
        <n v="57.8"/>
        <n v="48"/>
        <n v="51.89"/>
        <n v="64"/>
        <n v="72.74"/>
        <n v="58.4"/>
        <n v="7.23"/>
        <n v="63.74"/>
        <n v="66.31"/>
        <n v="42.28"/>
        <n v="45.72"/>
        <n v="59.31"/>
        <n v="57.09"/>
        <n v="88.23"/>
        <n v="52.7"/>
        <n v="63.44"/>
        <n v="23.65"/>
        <n v="52.62"/>
        <n v="33.02"/>
        <n v="59.15"/>
        <n v="55.43"/>
        <n v="61.15"/>
        <n v="41.32"/>
        <n v="45.49"/>
        <n v="45.36"/>
        <n v="17.95"/>
        <n v="49.92"/>
        <n v="51.83"/>
        <n v="51.19"/>
        <n v="59.82"/>
        <n v="80"/>
        <n v="52.82"/>
        <n v="64.64"/>
        <n v="65.77"/>
        <n v="66.75"/>
        <n v="53.38"/>
        <n v="45.19"/>
        <n v="48.27"/>
        <n v="47.22"/>
        <n v="48.23"/>
        <n v="82.6"/>
        <n v="55.57"/>
        <n v="50.81"/>
        <n v="55.23"/>
        <n v="67.35"/>
        <n v="53.23"/>
        <n v="49.26"/>
        <n v="53.87"/>
        <n v="40.13"/>
        <n v="53.63"/>
        <n v="53.89"/>
        <n v="15.2"/>
        <n v="62"/>
        <n v="27.8"/>
        <n v="69"/>
        <n v="59.04"/>
        <n v="50.38"/>
        <n v="41.71"/>
        <n v="58.78"/>
        <n v="40.21"/>
        <n v="48.87"/>
        <n v="77"/>
        <n v="38.43"/>
        <n v="41.42"/>
        <n v="73.19"/>
        <n v="18.3"/>
        <n v="49.9"/>
      </sharedItems>
    </cacheField>
    <cacheField name="本周加班工时" numFmtId="2">
      <sharedItems containsSemiMixedTypes="0" containsString="0" containsNumber="1" minValue="0" maxValue="48.23" count="73">
        <n v="0"/>
        <n v="34.97"/>
        <n v="4.8"/>
        <n v="16.29"/>
        <n v="16.34"/>
        <n v="9.2"/>
        <n v="2.94"/>
        <n v="14.01"/>
        <n v="15.8"/>
        <n v="7.28"/>
        <n v="0.94"/>
        <n v="17.07"/>
        <n v="9.85"/>
        <n v="28.99"/>
        <n v="17.8"/>
        <n v="8"/>
        <n v="11.89"/>
        <n v="24"/>
        <n v="32.74"/>
        <n v="18.4"/>
        <n v="23.74"/>
        <n v="26.31"/>
        <n v="2.28"/>
        <n v="5.72"/>
        <n v="19.31"/>
        <n v="17.09"/>
        <n v="48.23"/>
        <n v="12.7"/>
        <n v="23.44"/>
        <n v="12.62"/>
        <n v="19.15"/>
        <n v="15.43"/>
        <n v="21.15"/>
        <n v="1.32"/>
        <n v="5.49"/>
        <n v="5.36"/>
        <n v="9.92"/>
        <n v="11.83"/>
        <n v="11.19"/>
        <n v="19.82"/>
        <n v="40"/>
        <n v="12.82"/>
        <n v="24.64"/>
        <n v="25.77"/>
        <n v="26.75"/>
        <n v="13.38"/>
        <n v="5.19"/>
        <n v="8.27"/>
        <n v="7.22"/>
        <n v="8.23"/>
        <n v="42.6"/>
        <n v="15.57"/>
        <n v="10.81"/>
        <n v="15.23"/>
        <n v="27.35"/>
        <n v="13.23"/>
        <n v="9.26"/>
        <n v="13.87"/>
        <n v="0.13"/>
        <n v="13.63"/>
        <n v="13.89"/>
        <n v="22"/>
        <n v="29"/>
        <n v="19.04"/>
        <n v="10.38"/>
        <n v="1.71"/>
        <n v="18.78"/>
        <n v="0.21"/>
        <n v="8.87"/>
        <n v="37"/>
        <n v="1.42"/>
        <n v="33.19"/>
        <n v="9.9"/>
      </sharedItems>
    </cacheField>
    <cacheField name="班次内打卡次数" numFmtId="0">
      <sharedItems containsSemiMixedTypes="0" containsString="0" containsNumber="1" containsInteger="1" minValue="0" maxValue="6" count="7">
        <n v="0"/>
        <n v="2"/>
        <n v="4"/>
        <n v="1"/>
        <n v="3"/>
        <n v="5"/>
        <n v="6"/>
      </sharedItems>
    </cacheField>
    <cacheField name="标准打卡数" numFmtId="0">
      <sharedItems containsSemiMixedTypes="0" containsString="0" containsNumber="1" containsInteger="1" minValue="0" maxValue="4" count="2">
        <n v="0"/>
        <n v="4"/>
      </sharedItems>
    </cacheField>
    <cacheField name="缺卡次数" numFmtId="0">
      <sharedItems containsSemiMixedTypes="0" containsString="0" containsNumber="1" containsInteger="1" minValue="0" maxValue="4" count="5">
        <n v="0"/>
        <n v="2"/>
        <n v="4"/>
        <n v="3"/>
        <n v="1"/>
      </sharedItems>
    </cacheField>
    <cacheField name="是否排班" numFmtId="0">
      <sharedItems count="2">
        <s v="否"/>
        <s v="是"/>
      </sharedItems>
    </cacheField>
    <cacheField name="备注（GF）" numFmtId="0">
      <sharedItems count="58">
        <s v=""/>
        <s v="年假2026/05/12 06:00-2026/05/12 14:30[已完成]"/>
        <s v="年假2026/05/12 09:30-2026/05/12 18:00[已完成]"/>
        <s v="病假2026/05/12 09:00-2026/05/12 17:30[已完成]"/>
        <s v="出差申请2026/05/12 09:30-2026/05/12 18:00[已完成]"/>
        <s v="出差申请2026/05/12 09:30-2026/05/12 18:00[审批中]"/>
        <s v="居家办公申请2026/05/12 19:00-2026/05/12 21:00[审批中],居家办公申请2026/05/12 11:38-2026/05/12 13:30[审批中]"/>
        <s v="无薪病假2026/05/12 02:00-2026/05/12 10:30[已完成]"/>
        <s v="出差申请2026/05/12 09:00-2026/05/12 17:30[已完成]"/>
        <s v="出差申请2026/05/12 04:00-2026/05/12 12:30[已完成]"/>
        <s v="出差申请2026/05/12 06:30-2026/05/12 15:00[已完成]"/>
        <s v="病假2026/05/12 09:30-2026/05/12 18:00[已完成]"/>
        <s v="无薪病假2026/05/12 09:30-2026/05/12 18:00[已完成]"/>
        <s v="出差申请2026/05/12 13:00-2026/05/12 21:30[审批中]"/>
        <s v="出差申请2026/05/12 11:00-2026/05/12 19:30[审批中]"/>
        <s v="出差申请2026/05/12 09:00-2026/05/12 17:30[审批中]"/>
        <s v="居家办公申请2026/05/12 20:00-2026/05/12 21:00[审批中]"/>
        <s v="居家办公申请2026/05/12 20:40-2026/05/12 21:42[审批中]"/>
        <s v="出差申请2026/05/12 05:00-2026/05/12 13:30[已完成]"/>
        <s v="居家办公申请2026/05/12 13:40-2026/05/12 14:40[审批中]"/>
        <s v="居家办公申请2026/05/12 13:40-2026/05/12 15:00[审批中]"/>
        <s v="病假2026/05/12 13:30-2026/05/12 22:00[已撤回]"/>
        <s v="病假2026/05/12 09:30-2026/05/12 15:00[已完成]"/>
        <s v="销假申请2026/05/12 10:00-2026/05/12 18:30[已完成],产假2026/05/12 10:00-2026/05/12 18:30[已完成]"/>
        <s v="病假2026/05/12 06:00-2026/05/12 14:30[已完成]"/>
        <s v="无薪病假2026/05/12 09:00-2026/05/12 17:30[已完成]"/>
        <s v="病假2026/05/12 19:00-2026/05/13 03:30[已完成]"/>
        <s v="出差申请2026/05/12 07:30-2026/05/12 16:00[已完成]"/>
        <s v="居家办公申请2026/05/12 14:30-2026/05/12 21:30[审批中]"/>
        <s v="年假2026/05/12 09:30-2026/05/12 18:00[审批中]"/>
        <s v="无薪病假2026/05/12 09:30-2026/05/12 18:00[审批中]"/>
        <s v="出差申请2026/05/12 09:00-2026/05/12 17:30[审批中],出差申请2026/05/12 09:00-2026/05/12 17:30[已废弃]"/>
        <s v="出差申请2026/05/12 06:00-2026/05/12 14:30[已完成]"/>
        <s v="出差申请2026/05/12 05:30-2026/05/12 14:00[审批中]"/>
        <s v="无薪年假2026/05/12 13:00-2026/05/12 21:30[已完成]"/>
        <s v="居家办公申请2026/05/12 14:00-2026/05/12 16:00[审批中]"/>
        <s v="无薪年假2026/05/12 05:30-2026/05/12 14:00[已完成]"/>
        <s v="出差申请2026/05/12 09:30-2026/05/12 18:00[已完成],出差申请2026/05/12 09:30-2026/05/12 18:00[已废弃]"/>
        <s v="无薪年假2026/05/12 09:30-2026/05/12 18:00[审批中]"/>
        <s v="出差申请2026/05/12 06:00-2026/05/12 14:30[审批中]"/>
        <s v="出差申请2026/05/12 05:00-2026/05/12 13:30[审批中]"/>
        <s v="病假2026/05/12 09:00-2026/05/12 17:00[审批中]"/>
        <s v="居家办公申请2026/05/12 19:00-2026/05/12 21:00[审批中]"/>
        <s v="居家办公申请2026/05/12 21:00-2026/05/12 22:45[审批中]"/>
        <s v="年假2026/05/12 13:00-2026/05/12 21:30[已完成]"/>
        <s v="出差申请2026/05/12 05:00-2026/05/12 13:30[审批中],出差申请2026/05/12 05:00-2026/05/12 13:30[已废弃]"/>
        <s v="无薪年假2026/05/12 07:00-2026/05/12 15:30[已完成],无薪年假2026/05/12 07:00-2026/05/12 15:30[已废弃]"/>
        <s v="居家办公申请2026/05/12 09:30-2026/05/12 18:50[审批中]"/>
        <s v="病假2026/05/12 16:30-2026/05/13 01:00[审批中]"/>
        <s v="出差申请2026/05/12 09:00-2026/05/12 17:30[已完成],出差申请2026/05/12 09:00-2026/05/12 17:30[已撤回]"/>
        <s v="年假2026/05/12 06:00-2026/05/12 14:30[审批中]"/>
        <s v="出差申请2026/05/12 06:30-2026/05/12 15:00[审批中]"/>
        <s v="无薪年假2026/05/12 09:30-2026/05/12 18:00[已完成]"/>
        <s v="年假2026/05/12 18:00-2026/05/13 02:30[已完成]"/>
        <s v="居家办公申请2026/05/12 09:00-2026/05/12 17:30[已完成]"/>
        <s v="居家办公申请2026/05/12 09:30-2026/05/12 18:00[已完成]"/>
        <s v="居家办公申请2026/05/12 11:00-2026/05/12 15:00[审批中]"/>
        <s v="病假2026/05/12 10:30-2026/05/12 19:00[审批中]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"/>
    <x v="2"/>
    <x v="1"/>
    <x v="2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4"/>
    <x v="4"/>
    <x v="2"/>
    <x v="3"/>
    <x v="4"/>
    <x v="1"/>
    <x v="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5"/>
    <x v="5"/>
    <x v="3"/>
    <x v="4"/>
    <x v="5"/>
    <x v="1"/>
    <x v="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6"/>
    <x v="2"/>
    <x v="5"/>
    <x v="5"/>
    <x v="0"/>
    <x v="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7"/>
    <x v="7"/>
    <x v="0"/>
    <x v="6"/>
    <x v="6"/>
    <x v="0"/>
    <x v="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8"/>
    <x v="8"/>
    <x v="0"/>
    <x v="6"/>
    <x v="7"/>
    <x v="0"/>
    <x v="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9"/>
    <x v="9"/>
    <x v="4"/>
    <x v="7"/>
    <x v="8"/>
    <x v="0"/>
    <x v="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0"/>
    <x v="10"/>
    <x v="5"/>
    <x v="8"/>
    <x v="9"/>
    <x v="0"/>
    <x v="1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11"/>
    <x v="3"/>
    <x v="9"/>
    <x v="5"/>
    <x v="0"/>
    <x v="1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2"/>
    <x v="12"/>
    <x v="0"/>
    <x v="6"/>
    <x v="6"/>
    <x v="0"/>
    <x v="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3"/>
    <x v="13"/>
    <x v="1"/>
    <x v="2"/>
    <x v="10"/>
    <x v="0"/>
    <x v="12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4"/>
    <x v="14"/>
    <x v="0"/>
    <x v="6"/>
    <x v="7"/>
    <x v="0"/>
    <x v="8"/>
    <x v="6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</r>
  <r>
    <x v="0"/>
    <x v="15"/>
    <x v="15"/>
    <x v="0"/>
    <x v="10"/>
    <x v="11"/>
    <x v="0"/>
    <x v="13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6"/>
    <x v="16"/>
    <x v="2"/>
    <x v="11"/>
    <x v="5"/>
    <x v="0"/>
    <x v="14"/>
    <x v="6"/>
    <x v="1"/>
    <x v="1"/>
    <x v="1"/>
    <x v="1"/>
    <x v="2"/>
    <x v="1"/>
    <x v="0"/>
    <x v="1"/>
    <x v="0"/>
    <x v="1"/>
    <x v="0"/>
    <x v="0"/>
    <x v="0"/>
    <x v="0"/>
    <x v="1"/>
    <x v="1"/>
    <x v="1"/>
    <x v="1"/>
    <x v="0"/>
  </r>
  <r>
    <x v="1"/>
    <x v="17"/>
    <x v="17"/>
    <x v="2"/>
    <x v="3"/>
    <x v="12"/>
    <x v="1"/>
    <x v="15"/>
    <x v="1"/>
    <x v="2"/>
    <x v="2"/>
    <x v="2"/>
    <x v="2"/>
    <x v="3"/>
    <x v="1"/>
    <x v="0"/>
    <x v="2"/>
    <x v="0"/>
    <x v="2"/>
    <x v="1"/>
    <x v="1"/>
    <x v="0"/>
    <x v="0"/>
    <x v="2"/>
    <x v="1"/>
    <x v="0"/>
    <x v="1"/>
    <x v="0"/>
  </r>
  <r>
    <x v="1"/>
    <x v="18"/>
    <x v="18"/>
    <x v="4"/>
    <x v="12"/>
    <x v="13"/>
    <x v="0"/>
    <x v="16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9"/>
    <x v="19"/>
    <x v="6"/>
    <x v="13"/>
    <x v="12"/>
    <x v="1"/>
    <x v="17"/>
    <x v="1"/>
    <x v="4"/>
    <x v="4"/>
    <x v="4"/>
    <x v="0"/>
    <x v="0"/>
    <x v="2"/>
    <x v="0"/>
    <x v="0"/>
    <x v="0"/>
    <x v="0"/>
    <x v="0"/>
    <x v="0"/>
    <x v="0"/>
    <x v="0"/>
    <x v="0"/>
    <x v="0"/>
    <x v="0"/>
    <x v="1"/>
    <x v="1"/>
  </r>
  <r>
    <x v="1"/>
    <x v="20"/>
    <x v="20"/>
    <x v="2"/>
    <x v="3"/>
    <x v="12"/>
    <x v="1"/>
    <x v="15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1"/>
    <x v="21"/>
    <x v="0"/>
    <x v="1"/>
    <x v="14"/>
    <x v="0"/>
    <x v="18"/>
    <x v="1"/>
    <x v="5"/>
    <x v="5"/>
    <x v="5"/>
    <x v="3"/>
    <x v="4"/>
    <x v="1"/>
    <x v="0"/>
    <x v="3"/>
    <x v="0"/>
    <x v="3"/>
    <x v="0"/>
    <x v="0"/>
    <x v="0"/>
    <x v="0"/>
    <x v="2"/>
    <x v="1"/>
    <x v="0"/>
    <x v="1"/>
    <x v="0"/>
  </r>
  <r>
    <x v="1"/>
    <x v="22"/>
    <x v="22"/>
    <x v="7"/>
    <x v="14"/>
    <x v="5"/>
    <x v="0"/>
    <x v="19"/>
    <x v="1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3"/>
    <x v="23"/>
    <x v="8"/>
    <x v="15"/>
    <x v="5"/>
    <x v="0"/>
    <x v="20"/>
    <x v="11"/>
    <x v="6"/>
    <x v="3"/>
    <x v="3"/>
    <x v="4"/>
    <x v="5"/>
    <x v="1"/>
    <x v="0"/>
    <x v="4"/>
    <x v="0"/>
    <x v="4"/>
    <x v="0"/>
    <x v="0"/>
    <x v="0"/>
    <x v="0"/>
    <x v="1"/>
    <x v="0"/>
    <x v="0"/>
    <x v="1"/>
    <x v="2"/>
  </r>
  <r>
    <x v="1"/>
    <x v="24"/>
    <x v="24"/>
    <x v="2"/>
    <x v="3"/>
    <x v="15"/>
    <x v="1"/>
    <x v="21"/>
    <x v="12"/>
    <x v="7"/>
    <x v="6"/>
    <x v="6"/>
    <x v="5"/>
    <x v="0"/>
    <x v="1"/>
    <x v="0"/>
    <x v="0"/>
    <x v="0"/>
    <x v="0"/>
    <x v="0"/>
    <x v="0"/>
    <x v="0"/>
    <x v="0"/>
    <x v="3"/>
    <x v="1"/>
    <x v="3"/>
    <x v="1"/>
    <x v="0"/>
  </r>
  <r>
    <x v="1"/>
    <x v="25"/>
    <x v="25"/>
    <x v="2"/>
    <x v="3"/>
    <x v="15"/>
    <x v="1"/>
    <x v="21"/>
    <x v="12"/>
    <x v="8"/>
    <x v="7"/>
    <x v="7"/>
    <x v="6"/>
    <x v="6"/>
    <x v="1"/>
    <x v="0"/>
    <x v="5"/>
    <x v="0"/>
    <x v="5"/>
    <x v="2"/>
    <x v="1"/>
    <x v="0"/>
    <x v="0"/>
    <x v="4"/>
    <x v="1"/>
    <x v="4"/>
    <x v="1"/>
    <x v="0"/>
  </r>
  <r>
    <x v="1"/>
    <x v="26"/>
    <x v="26"/>
    <x v="0"/>
    <x v="16"/>
    <x v="12"/>
    <x v="1"/>
    <x v="22"/>
    <x v="1"/>
    <x v="2"/>
    <x v="2"/>
    <x v="2"/>
    <x v="2"/>
    <x v="7"/>
    <x v="1"/>
    <x v="0"/>
    <x v="6"/>
    <x v="0"/>
    <x v="6"/>
    <x v="3"/>
    <x v="1"/>
    <x v="0"/>
    <x v="0"/>
    <x v="1"/>
    <x v="1"/>
    <x v="1"/>
    <x v="1"/>
    <x v="0"/>
  </r>
  <r>
    <x v="1"/>
    <x v="27"/>
    <x v="27"/>
    <x v="6"/>
    <x v="17"/>
    <x v="16"/>
    <x v="0"/>
    <x v="23"/>
    <x v="6"/>
    <x v="9"/>
    <x v="8"/>
    <x v="8"/>
    <x v="7"/>
    <x v="8"/>
    <x v="1"/>
    <x v="0"/>
    <x v="7"/>
    <x v="0"/>
    <x v="7"/>
    <x v="4"/>
    <x v="1"/>
    <x v="0"/>
    <x v="0"/>
    <x v="2"/>
    <x v="1"/>
    <x v="0"/>
    <x v="1"/>
    <x v="0"/>
  </r>
  <r>
    <x v="1"/>
    <x v="28"/>
    <x v="28"/>
    <x v="4"/>
    <x v="7"/>
    <x v="17"/>
    <x v="0"/>
    <x v="24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9"/>
    <x v="29"/>
    <x v="7"/>
    <x v="18"/>
    <x v="5"/>
    <x v="0"/>
    <x v="25"/>
    <x v="13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0"/>
    <x v="30"/>
    <x v="7"/>
    <x v="18"/>
    <x v="5"/>
    <x v="0"/>
    <x v="25"/>
    <x v="13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1"/>
    <x v="31"/>
    <x v="7"/>
    <x v="19"/>
    <x v="5"/>
    <x v="0"/>
    <x v="26"/>
    <x v="14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2"/>
    <x v="32"/>
    <x v="2"/>
    <x v="20"/>
    <x v="18"/>
    <x v="1"/>
    <x v="27"/>
    <x v="15"/>
    <x v="3"/>
    <x v="3"/>
    <x v="3"/>
    <x v="0"/>
    <x v="0"/>
    <x v="1"/>
    <x v="0"/>
    <x v="0"/>
    <x v="0"/>
    <x v="0"/>
    <x v="0"/>
    <x v="0"/>
    <x v="1"/>
    <x v="1"/>
    <x v="0"/>
    <x v="0"/>
    <x v="0"/>
    <x v="1"/>
    <x v="0"/>
  </r>
  <r>
    <x v="1"/>
    <x v="33"/>
    <x v="33"/>
    <x v="7"/>
    <x v="18"/>
    <x v="5"/>
    <x v="0"/>
    <x v="25"/>
    <x v="13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4"/>
    <x v="34"/>
    <x v="6"/>
    <x v="13"/>
    <x v="12"/>
    <x v="1"/>
    <x v="17"/>
    <x v="16"/>
    <x v="10"/>
    <x v="9"/>
    <x v="9"/>
    <x v="0"/>
    <x v="9"/>
    <x v="2"/>
    <x v="0"/>
    <x v="0"/>
    <x v="0"/>
    <x v="0"/>
    <x v="0"/>
    <x v="0"/>
    <x v="0"/>
    <x v="0"/>
    <x v="4"/>
    <x v="1"/>
    <x v="4"/>
    <x v="1"/>
    <x v="0"/>
  </r>
  <r>
    <x v="1"/>
    <x v="35"/>
    <x v="35"/>
    <x v="6"/>
    <x v="21"/>
    <x v="19"/>
    <x v="0"/>
    <x v="28"/>
    <x v="6"/>
    <x v="4"/>
    <x v="4"/>
    <x v="4"/>
    <x v="8"/>
    <x v="10"/>
    <x v="2"/>
    <x v="0"/>
    <x v="8"/>
    <x v="0"/>
    <x v="8"/>
    <x v="5"/>
    <x v="1"/>
    <x v="0"/>
    <x v="0"/>
    <x v="1"/>
    <x v="1"/>
    <x v="1"/>
    <x v="1"/>
    <x v="0"/>
  </r>
  <r>
    <x v="1"/>
    <x v="36"/>
    <x v="36"/>
    <x v="6"/>
    <x v="17"/>
    <x v="20"/>
    <x v="0"/>
    <x v="29"/>
    <x v="1"/>
    <x v="1"/>
    <x v="1"/>
    <x v="1"/>
    <x v="0"/>
    <x v="11"/>
    <x v="2"/>
    <x v="0"/>
    <x v="0"/>
    <x v="0"/>
    <x v="0"/>
    <x v="0"/>
    <x v="0"/>
    <x v="0"/>
    <x v="0"/>
    <x v="3"/>
    <x v="1"/>
    <x v="3"/>
    <x v="1"/>
    <x v="0"/>
  </r>
  <r>
    <x v="1"/>
    <x v="37"/>
    <x v="37"/>
    <x v="2"/>
    <x v="20"/>
    <x v="12"/>
    <x v="1"/>
    <x v="30"/>
    <x v="1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3"/>
  </r>
  <r>
    <x v="1"/>
    <x v="38"/>
    <x v="38"/>
    <x v="0"/>
    <x v="16"/>
    <x v="12"/>
    <x v="1"/>
    <x v="22"/>
    <x v="16"/>
    <x v="2"/>
    <x v="2"/>
    <x v="2"/>
    <x v="9"/>
    <x v="12"/>
    <x v="1"/>
    <x v="0"/>
    <x v="9"/>
    <x v="0"/>
    <x v="9"/>
    <x v="6"/>
    <x v="1"/>
    <x v="0"/>
    <x v="0"/>
    <x v="1"/>
    <x v="1"/>
    <x v="1"/>
    <x v="1"/>
    <x v="0"/>
  </r>
  <r>
    <x v="1"/>
    <x v="39"/>
    <x v="39"/>
    <x v="4"/>
    <x v="22"/>
    <x v="18"/>
    <x v="1"/>
    <x v="31"/>
    <x v="17"/>
    <x v="12"/>
    <x v="11"/>
    <x v="11"/>
    <x v="10"/>
    <x v="13"/>
    <x v="1"/>
    <x v="0"/>
    <x v="10"/>
    <x v="0"/>
    <x v="10"/>
    <x v="7"/>
    <x v="1"/>
    <x v="0"/>
    <x v="0"/>
    <x v="1"/>
    <x v="1"/>
    <x v="1"/>
    <x v="1"/>
    <x v="0"/>
  </r>
  <r>
    <x v="1"/>
    <x v="40"/>
    <x v="40"/>
    <x v="2"/>
    <x v="23"/>
    <x v="5"/>
    <x v="0"/>
    <x v="32"/>
    <x v="6"/>
    <x v="9"/>
    <x v="8"/>
    <x v="8"/>
    <x v="11"/>
    <x v="14"/>
    <x v="1"/>
    <x v="0"/>
    <x v="11"/>
    <x v="0"/>
    <x v="11"/>
    <x v="8"/>
    <x v="1"/>
    <x v="0"/>
    <x v="0"/>
    <x v="2"/>
    <x v="1"/>
    <x v="0"/>
    <x v="1"/>
    <x v="0"/>
  </r>
  <r>
    <x v="1"/>
    <x v="41"/>
    <x v="41"/>
    <x v="2"/>
    <x v="3"/>
    <x v="21"/>
    <x v="1"/>
    <x v="33"/>
    <x v="18"/>
    <x v="11"/>
    <x v="10"/>
    <x v="10"/>
    <x v="0"/>
    <x v="15"/>
    <x v="2"/>
    <x v="0"/>
    <x v="0"/>
    <x v="0"/>
    <x v="0"/>
    <x v="0"/>
    <x v="0"/>
    <x v="0"/>
    <x v="0"/>
    <x v="4"/>
    <x v="1"/>
    <x v="4"/>
    <x v="1"/>
    <x v="0"/>
  </r>
  <r>
    <x v="1"/>
    <x v="42"/>
    <x v="42"/>
    <x v="2"/>
    <x v="3"/>
    <x v="12"/>
    <x v="1"/>
    <x v="15"/>
    <x v="1"/>
    <x v="8"/>
    <x v="7"/>
    <x v="7"/>
    <x v="12"/>
    <x v="16"/>
    <x v="1"/>
    <x v="0"/>
    <x v="12"/>
    <x v="0"/>
    <x v="12"/>
    <x v="9"/>
    <x v="1"/>
    <x v="0"/>
    <x v="0"/>
    <x v="2"/>
    <x v="1"/>
    <x v="0"/>
    <x v="1"/>
    <x v="0"/>
  </r>
  <r>
    <x v="1"/>
    <x v="43"/>
    <x v="43"/>
    <x v="7"/>
    <x v="18"/>
    <x v="5"/>
    <x v="0"/>
    <x v="25"/>
    <x v="13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4"/>
    <x v="44"/>
    <x v="0"/>
    <x v="1"/>
    <x v="14"/>
    <x v="0"/>
    <x v="18"/>
    <x v="1"/>
    <x v="5"/>
    <x v="5"/>
    <x v="5"/>
    <x v="3"/>
    <x v="4"/>
    <x v="1"/>
    <x v="0"/>
    <x v="3"/>
    <x v="0"/>
    <x v="3"/>
    <x v="0"/>
    <x v="0"/>
    <x v="0"/>
    <x v="0"/>
    <x v="2"/>
    <x v="1"/>
    <x v="0"/>
    <x v="1"/>
    <x v="0"/>
  </r>
  <r>
    <x v="1"/>
    <x v="45"/>
    <x v="45"/>
    <x v="2"/>
    <x v="20"/>
    <x v="18"/>
    <x v="1"/>
    <x v="27"/>
    <x v="17"/>
    <x v="11"/>
    <x v="10"/>
    <x v="10"/>
    <x v="13"/>
    <x v="17"/>
    <x v="1"/>
    <x v="0"/>
    <x v="13"/>
    <x v="0"/>
    <x v="13"/>
    <x v="10"/>
    <x v="1"/>
    <x v="0"/>
    <x v="0"/>
    <x v="2"/>
    <x v="1"/>
    <x v="0"/>
    <x v="1"/>
    <x v="0"/>
  </r>
  <r>
    <x v="1"/>
    <x v="46"/>
    <x v="46"/>
    <x v="7"/>
    <x v="19"/>
    <x v="5"/>
    <x v="0"/>
    <x v="26"/>
    <x v="19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7"/>
    <x v="47"/>
    <x v="1"/>
    <x v="24"/>
    <x v="22"/>
    <x v="0"/>
    <x v="34"/>
    <x v="1"/>
    <x v="13"/>
    <x v="12"/>
    <x v="1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8"/>
    <x v="48"/>
    <x v="7"/>
    <x v="25"/>
    <x v="5"/>
    <x v="0"/>
    <x v="35"/>
    <x v="2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9"/>
    <x v="49"/>
    <x v="7"/>
    <x v="18"/>
    <x v="5"/>
    <x v="0"/>
    <x v="25"/>
    <x v="21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50"/>
    <x v="50"/>
    <x v="0"/>
    <x v="6"/>
    <x v="23"/>
    <x v="0"/>
    <x v="36"/>
    <x v="6"/>
    <x v="14"/>
    <x v="13"/>
    <x v="13"/>
    <x v="14"/>
    <x v="0"/>
    <x v="1"/>
    <x v="0"/>
    <x v="0"/>
    <x v="0"/>
    <x v="0"/>
    <x v="0"/>
    <x v="0"/>
    <x v="0"/>
    <x v="0"/>
    <x v="2"/>
    <x v="1"/>
    <x v="0"/>
    <x v="1"/>
    <x v="0"/>
  </r>
  <r>
    <x v="1"/>
    <x v="51"/>
    <x v="51"/>
    <x v="2"/>
    <x v="20"/>
    <x v="18"/>
    <x v="1"/>
    <x v="27"/>
    <x v="17"/>
    <x v="15"/>
    <x v="14"/>
    <x v="14"/>
    <x v="15"/>
    <x v="18"/>
    <x v="1"/>
    <x v="0"/>
    <x v="14"/>
    <x v="0"/>
    <x v="14"/>
    <x v="11"/>
    <x v="1"/>
    <x v="0"/>
    <x v="0"/>
    <x v="2"/>
    <x v="1"/>
    <x v="0"/>
    <x v="1"/>
    <x v="0"/>
  </r>
  <r>
    <x v="1"/>
    <x v="52"/>
    <x v="52"/>
    <x v="4"/>
    <x v="26"/>
    <x v="12"/>
    <x v="1"/>
    <x v="37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3"/>
    <x v="53"/>
    <x v="2"/>
    <x v="3"/>
    <x v="24"/>
    <x v="1"/>
    <x v="38"/>
    <x v="22"/>
    <x v="2"/>
    <x v="2"/>
    <x v="2"/>
    <x v="16"/>
    <x v="3"/>
    <x v="1"/>
    <x v="0"/>
    <x v="15"/>
    <x v="0"/>
    <x v="15"/>
    <x v="12"/>
    <x v="1"/>
    <x v="0"/>
    <x v="0"/>
    <x v="1"/>
    <x v="1"/>
    <x v="1"/>
    <x v="1"/>
    <x v="0"/>
  </r>
  <r>
    <x v="1"/>
    <x v="54"/>
    <x v="54"/>
    <x v="6"/>
    <x v="21"/>
    <x v="25"/>
    <x v="0"/>
    <x v="39"/>
    <x v="17"/>
    <x v="2"/>
    <x v="2"/>
    <x v="2"/>
    <x v="17"/>
    <x v="19"/>
    <x v="1"/>
    <x v="0"/>
    <x v="16"/>
    <x v="0"/>
    <x v="16"/>
    <x v="13"/>
    <x v="1"/>
    <x v="0"/>
    <x v="0"/>
    <x v="2"/>
    <x v="1"/>
    <x v="0"/>
    <x v="1"/>
    <x v="0"/>
  </r>
  <r>
    <x v="1"/>
    <x v="55"/>
    <x v="55"/>
    <x v="7"/>
    <x v="25"/>
    <x v="5"/>
    <x v="0"/>
    <x v="35"/>
    <x v="23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6"/>
    <x v="56"/>
    <x v="2"/>
    <x v="3"/>
    <x v="12"/>
    <x v="1"/>
    <x v="15"/>
    <x v="1"/>
    <x v="16"/>
    <x v="15"/>
    <x v="15"/>
    <x v="18"/>
    <x v="0"/>
    <x v="1"/>
    <x v="0"/>
    <x v="0"/>
    <x v="0"/>
    <x v="0"/>
    <x v="0"/>
    <x v="0"/>
    <x v="0"/>
    <x v="0"/>
    <x v="3"/>
    <x v="1"/>
    <x v="3"/>
    <x v="1"/>
    <x v="0"/>
  </r>
  <r>
    <x v="1"/>
    <x v="57"/>
    <x v="57"/>
    <x v="2"/>
    <x v="27"/>
    <x v="26"/>
    <x v="0"/>
    <x v="40"/>
    <x v="6"/>
    <x v="4"/>
    <x v="4"/>
    <x v="4"/>
    <x v="19"/>
    <x v="20"/>
    <x v="1"/>
    <x v="0"/>
    <x v="17"/>
    <x v="0"/>
    <x v="17"/>
    <x v="14"/>
    <x v="1"/>
    <x v="0"/>
    <x v="0"/>
    <x v="2"/>
    <x v="1"/>
    <x v="0"/>
    <x v="1"/>
    <x v="0"/>
  </r>
  <r>
    <x v="1"/>
    <x v="58"/>
    <x v="58"/>
    <x v="6"/>
    <x v="28"/>
    <x v="12"/>
    <x v="1"/>
    <x v="41"/>
    <x v="1"/>
    <x v="17"/>
    <x v="16"/>
    <x v="16"/>
    <x v="20"/>
    <x v="21"/>
    <x v="1"/>
    <x v="0"/>
    <x v="16"/>
    <x v="0"/>
    <x v="16"/>
    <x v="13"/>
    <x v="1"/>
    <x v="0"/>
    <x v="0"/>
    <x v="2"/>
    <x v="1"/>
    <x v="0"/>
    <x v="1"/>
    <x v="0"/>
  </r>
  <r>
    <x v="1"/>
    <x v="59"/>
    <x v="59"/>
    <x v="1"/>
    <x v="2"/>
    <x v="2"/>
    <x v="0"/>
    <x v="2"/>
    <x v="16"/>
    <x v="4"/>
    <x v="4"/>
    <x v="4"/>
    <x v="21"/>
    <x v="22"/>
    <x v="1"/>
    <x v="0"/>
    <x v="18"/>
    <x v="0"/>
    <x v="18"/>
    <x v="15"/>
    <x v="1"/>
    <x v="0"/>
    <x v="0"/>
    <x v="2"/>
    <x v="1"/>
    <x v="0"/>
    <x v="1"/>
    <x v="0"/>
  </r>
  <r>
    <x v="1"/>
    <x v="60"/>
    <x v="60"/>
    <x v="0"/>
    <x v="29"/>
    <x v="18"/>
    <x v="1"/>
    <x v="42"/>
    <x v="15"/>
    <x v="11"/>
    <x v="10"/>
    <x v="10"/>
    <x v="22"/>
    <x v="23"/>
    <x v="1"/>
    <x v="0"/>
    <x v="19"/>
    <x v="0"/>
    <x v="19"/>
    <x v="16"/>
    <x v="1"/>
    <x v="0"/>
    <x v="0"/>
    <x v="2"/>
    <x v="1"/>
    <x v="0"/>
    <x v="1"/>
    <x v="0"/>
  </r>
  <r>
    <x v="1"/>
    <x v="61"/>
    <x v="61"/>
    <x v="6"/>
    <x v="13"/>
    <x v="12"/>
    <x v="1"/>
    <x v="17"/>
    <x v="16"/>
    <x v="18"/>
    <x v="17"/>
    <x v="17"/>
    <x v="23"/>
    <x v="0"/>
    <x v="1"/>
    <x v="0"/>
    <x v="0"/>
    <x v="0"/>
    <x v="0"/>
    <x v="0"/>
    <x v="0"/>
    <x v="0"/>
    <x v="0"/>
    <x v="4"/>
    <x v="1"/>
    <x v="4"/>
    <x v="1"/>
    <x v="0"/>
  </r>
  <r>
    <x v="1"/>
    <x v="62"/>
    <x v="62"/>
    <x v="6"/>
    <x v="13"/>
    <x v="12"/>
    <x v="1"/>
    <x v="17"/>
    <x v="1"/>
    <x v="18"/>
    <x v="17"/>
    <x v="17"/>
    <x v="23"/>
    <x v="0"/>
    <x v="1"/>
    <x v="0"/>
    <x v="0"/>
    <x v="0"/>
    <x v="0"/>
    <x v="0"/>
    <x v="0"/>
    <x v="0"/>
    <x v="0"/>
    <x v="4"/>
    <x v="1"/>
    <x v="4"/>
    <x v="1"/>
    <x v="0"/>
  </r>
  <r>
    <x v="1"/>
    <x v="63"/>
    <x v="63"/>
    <x v="0"/>
    <x v="29"/>
    <x v="18"/>
    <x v="1"/>
    <x v="42"/>
    <x v="15"/>
    <x v="7"/>
    <x v="6"/>
    <x v="6"/>
    <x v="24"/>
    <x v="0"/>
    <x v="1"/>
    <x v="0"/>
    <x v="0"/>
    <x v="0"/>
    <x v="0"/>
    <x v="0"/>
    <x v="0"/>
    <x v="0"/>
    <x v="0"/>
    <x v="3"/>
    <x v="1"/>
    <x v="3"/>
    <x v="1"/>
    <x v="0"/>
  </r>
  <r>
    <x v="1"/>
    <x v="64"/>
    <x v="64"/>
    <x v="2"/>
    <x v="30"/>
    <x v="5"/>
    <x v="0"/>
    <x v="43"/>
    <x v="6"/>
    <x v="4"/>
    <x v="4"/>
    <x v="4"/>
    <x v="25"/>
    <x v="24"/>
    <x v="1"/>
    <x v="0"/>
    <x v="20"/>
    <x v="0"/>
    <x v="20"/>
    <x v="17"/>
    <x v="1"/>
    <x v="0"/>
    <x v="0"/>
    <x v="1"/>
    <x v="1"/>
    <x v="1"/>
    <x v="1"/>
    <x v="0"/>
  </r>
  <r>
    <x v="1"/>
    <x v="65"/>
    <x v="65"/>
    <x v="2"/>
    <x v="20"/>
    <x v="18"/>
    <x v="1"/>
    <x v="27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6"/>
    <x v="66"/>
    <x v="4"/>
    <x v="12"/>
    <x v="27"/>
    <x v="0"/>
    <x v="44"/>
    <x v="6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7"/>
    <x v="67"/>
    <x v="5"/>
    <x v="31"/>
    <x v="12"/>
    <x v="1"/>
    <x v="45"/>
    <x v="1"/>
    <x v="19"/>
    <x v="18"/>
    <x v="18"/>
    <x v="26"/>
    <x v="25"/>
    <x v="1"/>
    <x v="0"/>
    <x v="14"/>
    <x v="0"/>
    <x v="14"/>
    <x v="11"/>
    <x v="1"/>
    <x v="0"/>
    <x v="0"/>
    <x v="2"/>
    <x v="1"/>
    <x v="0"/>
    <x v="1"/>
    <x v="0"/>
  </r>
  <r>
    <x v="1"/>
    <x v="68"/>
    <x v="68"/>
    <x v="1"/>
    <x v="24"/>
    <x v="28"/>
    <x v="0"/>
    <x v="46"/>
    <x v="24"/>
    <x v="20"/>
    <x v="19"/>
    <x v="19"/>
    <x v="27"/>
    <x v="26"/>
    <x v="2"/>
    <x v="0"/>
    <x v="21"/>
    <x v="0"/>
    <x v="21"/>
    <x v="18"/>
    <x v="1"/>
    <x v="0"/>
    <x v="0"/>
    <x v="1"/>
    <x v="1"/>
    <x v="1"/>
    <x v="1"/>
    <x v="0"/>
  </r>
  <r>
    <x v="1"/>
    <x v="69"/>
    <x v="69"/>
    <x v="4"/>
    <x v="12"/>
    <x v="27"/>
    <x v="0"/>
    <x v="44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0"/>
    <x v="70"/>
    <x v="2"/>
    <x v="3"/>
    <x v="18"/>
    <x v="1"/>
    <x v="47"/>
    <x v="15"/>
    <x v="21"/>
    <x v="20"/>
    <x v="20"/>
    <x v="28"/>
    <x v="0"/>
    <x v="1"/>
    <x v="0"/>
    <x v="0"/>
    <x v="0"/>
    <x v="0"/>
    <x v="0"/>
    <x v="0"/>
    <x v="2"/>
    <x v="2"/>
    <x v="3"/>
    <x v="1"/>
    <x v="3"/>
    <x v="1"/>
    <x v="0"/>
  </r>
  <r>
    <x v="1"/>
    <x v="71"/>
    <x v="71"/>
    <x v="2"/>
    <x v="3"/>
    <x v="12"/>
    <x v="1"/>
    <x v="15"/>
    <x v="1"/>
    <x v="16"/>
    <x v="15"/>
    <x v="15"/>
    <x v="18"/>
    <x v="0"/>
    <x v="1"/>
    <x v="0"/>
    <x v="0"/>
    <x v="0"/>
    <x v="0"/>
    <x v="0"/>
    <x v="0"/>
    <x v="0"/>
    <x v="0"/>
    <x v="3"/>
    <x v="1"/>
    <x v="3"/>
    <x v="1"/>
    <x v="0"/>
  </r>
  <r>
    <x v="1"/>
    <x v="72"/>
    <x v="72"/>
    <x v="2"/>
    <x v="20"/>
    <x v="18"/>
    <x v="1"/>
    <x v="27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3"/>
    <x v="73"/>
    <x v="6"/>
    <x v="28"/>
    <x v="18"/>
    <x v="1"/>
    <x v="48"/>
    <x v="17"/>
    <x v="22"/>
    <x v="21"/>
    <x v="21"/>
    <x v="29"/>
    <x v="0"/>
    <x v="2"/>
    <x v="0"/>
    <x v="0"/>
    <x v="0"/>
    <x v="0"/>
    <x v="0"/>
    <x v="0"/>
    <x v="0"/>
    <x v="0"/>
    <x v="4"/>
    <x v="1"/>
    <x v="4"/>
    <x v="1"/>
    <x v="0"/>
  </r>
  <r>
    <x v="1"/>
    <x v="74"/>
    <x v="74"/>
    <x v="6"/>
    <x v="13"/>
    <x v="12"/>
    <x v="1"/>
    <x v="17"/>
    <x v="1"/>
    <x v="4"/>
    <x v="4"/>
    <x v="4"/>
    <x v="30"/>
    <x v="27"/>
    <x v="1"/>
    <x v="0"/>
    <x v="22"/>
    <x v="0"/>
    <x v="22"/>
    <x v="19"/>
    <x v="1"/>
    <x v="0"/>
    <x v="0"/>
    <x v="2"/>
    <x v="1"/>
    <x v="0"/>
    <x v="1"/>
    <x v="0"/>
  </r>
  <r>
    <x v="1"/>
    <x v="75"/>
    <x v="75"/>
    <x v="2"/>
    <x v="20"/>
    <x v="18"/>
    <x v="1"/>
    <x v="27"/>
    <x v="17"/>
    <x v="11"/>
    <x v="10"/>
    <x v="10"/>
    <x v="31"/>
    <x v="28"/>
    <x v="1"/>
    <x v="0"/>
    <x v="23"/>
    <x v="0"/>
    <x v="23"/>
    <x v="20"/>
    <x v="1"/>
    <x v="0"/>
    <x v="0"/>
    <x v="2"/>
    <x v="1"/>
    <x v="0"/>
    <x v="1"/>
    <x v="0"/>
  </r>
  <r>
    <x v="1"/>
    <x v="76"/>
    <x v="76"/>
    <x v="6"/>
    <x v="10"/>
    <x v="11"/>
    <x v="0"/>
    <x v="49"/>
    <x v="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77"/>
    <x v="77"/>
    <x v="1"/>
    <x v="2"/>
    <x v="2"/>
    <x v="0"/>
    <x v="2"/>
    <x v="17"/>
    <x v="4"/>
    <x v="4"/>
    <x v="4"/>
    <x v="32"/>
    <x v="22"/>
    <x v="1"/>
    <x v="0"/>
    <x v="16"/>
    <x v="0"/>
    <x v="16"/>
    <x v="13"/>
    <x v="1"/>
    <x v="3"/>
    <x v="3"/>
    <x v="2"/>
    <x v="1"/>
    <x v="0"/>
    <x v="1"/>
    <x v="0"/>
  </r>
  <r>
    <x v="1"/>
    <x v="78"/>
    <x v="78"/>
    <x v="5"/>
    <x v="32"/>
    <x v="18"/>
    <x v="1"/>
    <x v="50"/>
    <x v="17"/>
    <x v="19"/>
    <x v="18"/>
    <x v="18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9"/>
    <x v="79"/>
    <x v="3"/>
    <x v="33"/>
    <x v="29"/>
    <x v="0"/>
    <x v="51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80"/>
    <x v="80"/>
    <x v="0"/>
    <x v="29"/>
    <x v="12"/>
    <x v="1"/>
    <x v="52"/>
    <x v="16"/>
    <x v="10"/>
    <x v="9"/>
    <x v="9"/>
    <x v="33"/>
    <x v="29"/>
    <x v="1"/>
    <x v="0"/>
    <x v="12"/>
    <x v="0"/>
    <x v="12"/>
    <x v="9"/>
    <x v="1"/>
    <x v="4"/>
    <x v="4"/>
    <x v="2"/>
    <x v="1"/>
    <x v="0"/>
    <x v="1"/>
    <x v="0"/>
  </r>
  <r>
    <x v="1"/>
    <x v="81"/>
    <x v="81"/>
    <x v="2"/>
    <x v="20"/>
    <x v="18"/>
    <x v="1"/>
    <x v="27"/>
    <x v="17"/>
    <x v="11"/>
    <x v="10"/>
    <x v="10"/>
    <x v="34"/>
    <x v="30"/>
    <x v="1"/>
    <x v="0"/>
    <x v="24"/>
    <x v="0"/>
    <x v="24"/>
    <x v="21"/>
    <x v="1"/>
    <x v="0"/>
    <x v="0"/>
    <x v="2"/>
    <x v="1"/>
    <x v="0"/>
    <x v="1"/>
    <x v="0"/>
  </r>
  <r>
    <x v="1"/>
    <x v="82"/>
    <x v="82"/>
    <x v="6"/>
    <x v="28"/>
    <x v="12"/>
    <x v="1"/>
    <x v="41"/>
    <x v="1"/>
    <x v="2"/>
    <x v="2"/>
    <x v="2"/>
    <x v="35"/>
    <x v="31"/>
    <x v="1"/>
    <x v="0"/>
    <x v="25"/>
    <x v="0"/>
    <x v="25"/>
    <x v="0"/>
    <x v="0"/>
    <x v="0"/>
    <x v="0"/>
    <x v="2"/>
    <x v="1"/>
    <x v="0"/>
    <x v="1"/>
    <x v="0"/>
  </r>
  <r>
    <x v="1"/>
    <x v="83"/>
    <x v="83"/>
    <x v="2"/>
    <x v="3"/>
    <x v="12"/>
    <x v="1"/>
    <x v="15"/>
    <x v="1"/>
    <x v="17"/>
    <x v="16"/>
    <x v="16"/>
    <x v="36"/>
    <x v="32"/>
    <x v="1"/>
    <x v="0"/>
    <x v="26"/>
    <x v="0"/>
    <x v="26"/>
    <x v="22"/>
    <x v="1"/>
    <x v="0"/>
    <x v="0"/>
    <x v="2"/>
    <x v="1"/>
    <x v="0"/>
    <x v="1"/>
    <x v="0"/>
  </r>
  <r>
    <x v="1"/>
    <x v="84"/>
    <x v="84"/>
    <x v="6"/>
    <x v="28"/>
    <x v="12"/>
    <x v="1"/>
    <x v="41"/>
    <x v="1"/>
    <x v="22"/>
    <x v="21"/>
    <x v="21"/>
    <x v="0"/>
    <x v="0"/>
    <x v="2"/>
    <x v="0"/>
    <x v="0"/>
    <x v="0"/>
    <x v="0"/>
    <x v="0"/>
    <x v="0"/>
    <x v="0"/>
    <x v="0"/>
    <x v="1"/>
    <x v="1"/>
    <x v="1"/>
    <x v="1"/>
    <x v="0"/>
  </r>
  <r>
    <x v="1"/>
    <x v="85"/>
    <x v="85"/>
    <x v="2"/>
    <x v="3"/>
    <x v="12"/>
    <x v="1"/>
    <x v="15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6"/>
    <x v="86"/>
    <x v="2"/>
    <x v="3"/>
    <x v="15"/>
    <x v="1"/>
    <x v="21"/>
    <x v="2"/>
    <x v="3"/>
    <x v="3"/>
    <x v="3"/>
    <x v="0"/>
    <x v="33"/>
    <x v="2"/>
    <x v="0"/>
    <x v="0"/>
    <x v="0"/>
    <x v="0"/>
    <x v="0"/>
    <x v="0"/>
    <x v="5"/>
    <x v="0"/>
    <x v="3"/>
    <x v="0"/>
    <x v="0"/>
    <x v="1"/>
    <x v="0"/>
  </r>
  <r>
    <x v="1"/>
    <x v="87"/>
    <x v="87"/>
    <x v="6"/>
    <x v="13"/>
    <x v="12"/>
    <x v="1"/>
    <x v="17"/>
    <x v="1"/>
    <x v="4"/>
    <x v="4"/>
    <x v="4"/>
    <x v="37"/>
    <x v="34"/>
    <x v="1"/>
    <x v="0"/>
    <x v="27"/>
    <x v="0"/>
    <x v="27"/>
    <x v="23"/>
    <x v="1"/>
    <x v="0"/>
    <x v="0"/>
    <x v="2"/>
    <x v="1"/>
    <x v="0"/>
    <x v="1"/>
    <x v="0"/>
  </r>
  <r>
    <x v="1"/>
    <x v="88"/>
    <x v="88"/>
    <x v="5"/>
    <x v="32"/>
    <x v="12"/>
    <x v="1"/>
    <x v="53"/>
    <x v="1"/>
    <x v="1"/>
    <x v="1"/>
    <x v="1"/>
    <x v="38"/>
    <x v="35"/>
    <x v="1"/>
    <x v="0"/>
    <x v="28"/>
    <x v="0"/>
    <x v="28"/>
    <x v="24"/>
    <x v="1"/>
    <x v="6"/>
    <x v="5"/>
    <x v="2"/>
    <x v="1"/>
    <x v="0"/>
    <x v="1"/>
    <x v="0"/>
  </r>
  <r>
    <x v="1"/>
    <x v="89"/>
    <x v="89"/>
    <x v="2"/>
    <x v="3"/>
    <x v="15"/>
    <x v="1"/>
    <x v="21"/>
    <x v="2"/>
    <x v="16"/>
    <x v="15"/>
    <x v="15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0"/>
    <x v="90"/>
    <x v="6"/>
    <x v="17"/>
    <x v="20"/>
    <x v="0"/>
    <x v="29"/>
    <x v="1"/>
    <x v="1"/>
    <x v="1"/>
    <x v="1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1"/>
    <x v="91"/>
    <x v="2"/>
    <x v="3"/>
    <x v="24"/>
    <x v="1"/>
    <x v="38"/>
    <x v="22"/>
    <x v="2"/>
    <x v="2"/>
    <x v="2"/>
    <x v="39"/>
    <x v="36"/>
    <x v="1"/>
    <x v="0"/>
    <x v="29"/>
    <x v="0"/>
    <x v="29"/>
    <x v="25"/>
    <x v="1"/>
    <x v="0"/>
    <x v="0"/>
    <x v="2"/>
    <x v="1"/>
    <x v="0"/>
    <x v="1"/>
    <x v="0"/>
  </r>
  <r>
    <x v="1"/>
    <x v="92"/>
    <x v="92"/>
    <x v="4"/>
    <x v="34"/>
    <x v="30"/>
    <x v="0"/>
    <x v="54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3"/>
    <x v="93"/>
    <x v="2"/>
    <x v="35"/>
    <x v="31"/>
    <x v="0"/>
    <x v="55"/>
    <x v="6"/>
    <x v="1"/>
    <x v="1"/>
    <x v="1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4"/>
    <x v="94"/>
    <x v="5"/>
    <x v="31"/>
    <x v="12"/>
    <x v="1"/>
    <x v="45"/>
    <x v="1"/>
    <x v="19"/>
    <x v="18"/>
    <x v="18"/>
    <x v="40"/>
    <x v="37"/>
    <x v="1"/>
    <x v="0"/>
    <x v="30"/>
    <x v="0"/>
    <x v="30"/>
    <x v="26"/>
    <x v="1"/>
    <x v="0"/>
    <x v="0"/>
    <x v="2"/>
    <x v="1"/>
    <x v="0"/>
    <x v="1"/>
    <x v="0"/>
  </r>
  <r>
    <x v="1"/>
    <x v="95"/>
    <x v="95"/>
    <x v="2"/>
    <x v="11"/>
    <x v="5"/>
    <x v="0"/>
    <x v="14"/>
    <x v="6"/>
    <x v="24"/>
    <x v="23"/>
    <x v="23"/>
    <x v="41"/>
    <x v="0"/>
    <x v="1"/>
    <x v="0"/>
    <x v="0"/>
    <x v="0"/>
    <x v="0"/>
    <x v="0"/>
    <x v="0"/>
    <x v="0"/>
    <x v="0"/>
    <x v="3"/>
    <x v="1"/>
    <x v="3"/>
    <x v="1"/>
    <x v="0"/>
  </r>
  <r>
    <x v="1"/>
    <x v="96"/>
    <x v="96"/>
    <x v="3"/>
    <x v="36"/>
    <x v="32"/>
    <x v="0"/>
    <x v="56"/>
    <x v="6"/>
    <x v="4"/>
    <x v="4"/>
    <x v="4"/>
    <x v="42"/>
    <x v="0"/>
    <x v="1"/>
    <x v="0"/>
    <x v="0"/>
    <x v="0"/>
    <x v="0"/>
    <x v="0"/>
    <x v="0"/>
    <x v="0"/>
    <x v="0"/>
    <x v="3"/>
    <x v="1"/>
    <x v="3"/>
    <x v="1"/>
    <x v="0"/>
  </r>
  <r>
    <x v="1"/>
    <x v="97"/>
    <x v="97"/>
    <x v="2"/>
    <x v="3"/>
    <x v="18"/>
    <x v="1"/>
    <x v="47"/>
    <x v="17"/>
    <x v="25"/>
    <x v="24"/>
    <x v="24"/>
    <x v="43"/>
    <x v="38"/>
    <x v="1"/>
    <x v="0"/>
    <x v="31"/>
    <x v="0"/>
    <x v="31"/>
    <x v="0"/>
    <x v="0"/>
    <x v="7"/>
    <x v="6"/>
    <x v="4"/>
    <x v="1"/>
    <x v="4"/>
    <x v="1"/>
    <x v="0"/>
  </r>
  <r>
    <x v="1"/>
    <x v="98"/>
    <x v="98"/>
    <x v="5"/>
    <x v="31"/>
    <x v="12"/>
    <x v="1"/>
    <x v="45"/>
    <x v="1"/>
    <x v="11"/>
    <x v="10"/>
    <x v="10"/>
    <x v="34"/>
    <x v="39"/>
    <x v="1"/>
    <x v="0"/>
    <x v="32"/>
    <x v="0"/>
    <x v="32"/>
    <x v="27"/>
    <x v="1"/>
    <x v="8"/>
    <x v="7"/>
    <x v="2"/>
    <x v="1"/>
    <x v="0"/>
    <x v="1"/>
    <x v="0"/>
  </r>
  <r>
    <x v="1"/>
    <x v="99"/>
    <x v="99"/>
    <x v="7"/>
    <x v="15"/>
    <x v="5"/>
    <x v="0"/>
    <x v="57"/>
    <x v="25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5"/>
  </r>
  <r>
    <x v="1"/>
    <x v="100"/>
    <x v="100"/>
    <x v="5"/>
    <x v="31"/>
    <x v="12"/>
    <x v="1"/>
    <x v="45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01"/>
    <x v="101"/>
    <x v="5"/>
    <x v="31"/>
    <x v="12"/>
    <x v="1"/>
    <x v="45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02"/>
    <x v="102"/>
    <x v="7"/>
    <x v="37"/>
    <x v="5"/>
    <x v="0"/>
    <x v="58"/>
    <x v="26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03"/>
    <x v="103"/>
    <x v="5"/>
    <x v="8"/>
    <x v="33"/>
    <x v="0"/>
    <x v="59"/>
    <x v="6"/>
    <x v="23"/>
    <x v="22"/>
    <x v="22"/>
    <x v="44"/>
    <x v="40"/>
    <x v="2"/>
    <x v="0"/>
    <x v="33"/>
    <x v="0"/>
    <x v="33"/>
    <x v="28"/>
    <x v="1"/>
    <x v="0"/>
    <x v="0"/>
    <x v="2"/>
    <x v="1"/>
    <x v="0"/>
    <x v="1"/>
    <x v="0"/>
  </r>
  <r>
    <x v="1"/>
    <x v="104"/>
    <x v="104"/>
    <x v="6"/>
    <x v="13"/>
    <x v="15"/>
    <x v="1"/>
    <x v="60"/>
    <x v="2"/>
    <x v="19"/>
    <x v="18"/>
    <x v="18"/>
    <x v="45"/>
    <x v="0"/>
    <x v="1"/>
    <x v="0"/>
    <x v="0"/>
    <x v="0"/>
    <x v="0"/>
    <x v="0"/>
    <x v="0"/>
    <x v="0"/>
    <x v="0"/>
    <x v="4"/>
    <x v="1"/>
    <x v="4"/>
    <x v="1"/>
    <x v="0"/>
  </r>
  <r>
    <x v="1"/>
    <x v="105"/>
    <x v="105"/>
    <x v="0"/>
    <x v="38"/>
    <x v="34"/>
    <x v="0"/>
    <x v="61"/>
    <x v="1"/>
    <x v="1"/>
    <x v="1"/>
    <x v="1"/>
    <x v="46"/>
    <x v="41"/>
    <x v="1"/>
    <x v="0"/>
    <x v="34"/>
    <x v="0"/>
    <x v="34"/>
    <x v="0"/>
    <x v="0"/>
    <x v="0"/>
    <x v="0"/>
    <x v="5"/>
    <x v="1"/>
    <x v="0"/>
    <x v="1"/>
    <x v="0"/>
  </r>
  <r>
    <x v="1"/>
    <x v="106"/>
    <x v="106"/>
    <x v="7"/>
    <x v="18"/>
    <x v="5"/>
    <x v="0"/>
    <x v="25"/>
    <x v="21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07"/>
    <x v="107"/>
    <x v="7"/>
    <x v="25"/>
    <x v="5"/>
    <x v="0"/>
    <x v="35"/>
    <x v="27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08"/>
    <x v="108"/>
    <x v="7"/>
    <x v="18"/>
    <x v="5"/>
    <x v="0"/>
    <x v="25"/>
    <x v="21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09"/>
    <x v="109"/>
    <x v="1"/>
    <x v="2"/>
    <x v="2"/>
    <x v="0"/>
    <x v="2"/>
    <x v="1"/>
    <x v="7"/>
    <x v="6"/>
    <x v="6"/>
    <x v="47"/>
    <x v="0"/>
    <x v="1"/>
    <x v="0"/>
    <x v="0"/>
    <x v="0"/>
    <x v="0"/>
    <x v="0"/>
    <x v="0"/>
    <x v="0"/>
    <x v="0"/>
    <x v="3"/>
    <x v="1"/>
    <x v="3"/>
    <x v="1"/>
    <x v="0"/>
  </r>
  <r>
    <x v="1"/>
    <x v="110"/>
    <x v="110"/>
    <x v="1"/>
    <x v="39"/>
    <x v="35"/>
    <x v="1"/>
    <x v="62"/>
    <x v="28"/>
    <x v="2"/>
    <x v="2"/>
    <x v="2"/>
    <x v="48"/>
    <x v="42"/>
    <x v="1"/>
    <x v="0"/>
    <x v="35"/>
    <x v="0"/>
    <x v="35"/>
    <x v="0"/>
    <x v="0"/>
    <x v="0"/>
    <x v="0"/>
    <x v="2"/>
    <x v="1"/>
    <x v="0"/>
    <x v="1"/>
    <x v="0"/>
  </r>
  <r>
    <x v="1"/>
    <x v="111"/>
    <x v="111"/>
    <x v="6"/>
    <x v="10"/>
    <x v="11"/>
    <x v="0"/>
    <x v="49"/>
    <x v="9"/>
    <x v="6"/>
    <x v="3"/>
    <x v="3"/>
    <x v="49"/>
    <x v="43"/>
    <x v="1"/>
    <x v="0"/>
    <x v="7"/>
    <x v="0"/>
    <x v="7"/>
    <x v="4"/>
    <x v="1"/>
    <x v="0"/>
    <x v="0"/>
    <x v="2"/>
    <x v="1"/>
    <x v="0"/>
    <x v="1"/>
    <x v="0"/>
  </r>
  <r>
    <x v="1"/>
    <x v="112"/>
    <x v="112"/>
    <x v="2"/>
    <x v="3"/>
    <x v="4"/>
    <x v="1"/>
    <x v="4"/>
    <x v="3"/>
    <x v="26"/>
    <x v="25"/>
    <x v="25"/>
    <x v="50"/>
    <x v="44"/>
    <x v="1"/>
    <x v="0"/>
    <x v="36"/>
    <x v="0"/>
    <x v="36"/>
    <x v="29"/>
    <x v="1"/>
    <x v="9"/>
    <x v="8"/>
    <x v="2"/>
    <x v="1"/>
    <x v="0"/>
    <x v="1"/>
    <x v="0"/>
  </r>
  <r>
    <x v="1"/>
    <x v="113"/>
    <x v="113"/>
    <x v="6"/>
    <x v="21"/>
    <x v="25"/>
    <x v="0"/>
    <x v="39"/>
    <x v="1"/>
    <x v="13"/>
    <x v="12"/>
    <x v="12"/>
    <x v="51"/>
    <x v="45"/>
    <x v="1"/>
    <x v="0"/>
    <x v="37"/>
    <x v="0"/>
    <x v="37"/>
    <x v="30"/>
    <x v="1"/>
    <x v="0"/>
    <x v="0"/>
    <x v="1"/>
    <x v="1"/>
    <x v="1"/>
    <x v="1"/>
    <x v="0"/>
  </r>
  <r>
    <x v="1"/>
    <x v="114"/>
    <x v="114"/>
    <x v="0"/>
    <x v="29"/>
    <x v="15"/>
    <x v="1"/>
    <x v="63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15"/>
    <x v="115"/>
    <x v="0"/>
    <x v="16"/>
    <x v="18"/>
    <x v="1"/>
    <x v="64"/>
    <x v="15"/>
    <x v="6"/>
    <x v="3"/>
    <x v="3"/>
    <x v="52"/>
    <x v="46"/>
    <x v="1"/>
    <x v="0"/>
    <x v="38"/>
    <x v="0"/>
    <x v="38"/>
    <x v="31"/>
    <x v="1"/>
    <x v="0"/>
    <x v="0"/>
    <x v="2"/>
    <x v="1"/>
    <x v="0"/>
    <x v="1"/>
    <x v="0"/>
  </r>
  <r>
    <x v="1"/>
    <x v="116"/>
    <x v="116"/>
    <x v="5"/>
    <x v="40"/>
    <x v="36"/>
    <x v="0"/>
    <x v="65"/>
    <x v="6"/>
    <x v="14"/>
    <x v="13"/>
    <x v="13"/>
    <x v="53"/>
    <x v="47"/>
    <x v="1"/>
    <x v="0"/>
    <x v="17"/>
    <x v="0"/>
    <x v="17"/>
    <x v="14"/>
    <x v="1"/>
    <x v="0"/>
    <x v="0"/>
    <x v="2"/>
    <x v="1"/>
    <x v="0"/>
    <x v="1"/>
    <x v="0"/>
  </r>
  <r>
    <x v="1"/>
    <x v="117"/>
    <x v="117"/>
    <x v="4"/>
    <x v="12"/>
    <x v="13"/>
    <x v="0"/>
    <x v="16"/>
    <x v="6"/>
    <x v="23"/>
    <x v="22"/>
    <x v="22"/>
    <x v="54"/>
    <x v="48"/>
    <x v="1"/>
    <x v="0"/>
    <x v="39"/>
    <x v="0"/>
    <x v="39"/>
    <x v="0"/>
    <x v="0"/>
    <x v="0"/>
    <x v="0"/>
    <x v="2"/>
    <x v="1"/>
    <x v="0"/>
    <x v="1"/>
    <x v="0"/>
  </r>
  <r>
    <x v="1"/>
    <x v="118"/>
    <x v="118"/>
    <x v="6"/>
    <x v="28"/>
    <x v="12"/>
    <x v="1"/>
    <x v="41"/>
    <x v="1"/>
    <x v="12"/>
    <x v="11"/>
    <x v="11"/>
    <x v="55"/>
    <x v="49"/>
    <x v="1"/>
    <x v="0"/>
    <x v="40"/>
    <x v="0"/>
    <x v="40"/>
    <x v="0"/>
    <x v="0"/>
    <x v="0"/>
    <x v="0"/>
    <x v="4"/>
    <x v="1"/>
    <x v="4"/>
    <x v="1"/>
    <x v="0"/>
  </r>
  <r>
    <x v="1"/>
    <x v="119"/>
    <x v="119"/>
    <x v="0"/>
    <x v="38"/>
    <x v="37"/>
    <x v="0"/>
    <x v="66"/>
    <x v="1"/>
    <x v="23"/>
    <x v="22"/>
    <x v="22"/>
    <x v="56"/>
    <x v="50"/>
    <x v="1"/>
    <x v="0"/>
    <x v="41"/>
    <x v="0"/>
    <x v="41"/>
    <x v="0"/>
    <x v="0"/>
    <x v="0"/>
    <x v="0"/>
    <x v="2"/>
    <x v="1"/>
    <x v="0"/>
    <x v="1"/>
    <x v="0"/>
  </r>
  <r>
    <x v="1"/>
    <x v="120"/>
    <x v="120"/>
    <x v="3"/>
    <x v="4"/>
    <x v="18"/>
    <x v="1"/>
    <x v="67"/>
    <x v="15"/>
    <x v="17"/>
    <x v="16"/>
    <x v="16"/>
    <x v="17"/>
    <x v="51"/>
    <x v="2"/>
    <x v="0"/>
    <x v="26"/>
    <x v="0"/>
    <x v="26"/>
    <x v="22"/>
    <x v="1"/>
    <x v="0"/>
    <x v="0"/>
    <x v="2"/>
    <x v="1"/>
    <x v="0"/>
    <x v="1"/>
    <x v="0"/>
  </r>
  <r>
    <x v="1"/>
    <x v="121"/>
    <x v="121"/>
    <x v="1"/>
    <x v="41"/>
    <x v="38"/>
    <x v="1"/>
    <x v="68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22"/>
    <x v="122"/>
    <x v="1"/>
    <x v="41"/>
    <x v="38"/>
    <x v="1"/>
    <x v="68"/>
    <x v="1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23"/>
    <x v="123"/>
    <x v="4"/>
    <x v="26"/>
    <x v="12"/>
    <x v="1"/>
    <x v="37"/>
    <x v="1"/>
    <x v="13"/>
    <x v="12"/>
    <x v="12"/>
    <x v="57"/>
    <x v="52"/>
    <x v="1"/>
    <x v="0"/>
    <x v="42"/>
    <x v="0"/>
    <x v="42"/>
    <x v="32"/>
    <x v="1"/>
    <x v="0"/>
    <x v="0"/>
    <x v="2"/>
    <x v="1"/>
    <x v="0"/>
    <x v="1"/>
    <x v="0"/>
  </r>
  <r>
    <x v="1"/>
    <x v="124"/>
    <x v="124"/>
    <x v="3"/>
    <x v="36"/>
    <x v="39"/>
    <x v="0"/>
    <x v="69"/>
    <x v="6"/>
    <x v="4"/>
    <x v="4"/>
    <x v="4"/>
    <x v="58"/>
    <x v="53"/>
    <x v="1"/>
    <x v="0"/>
    <x v="11"/>
    <x v="0"/>
    <x v="11"/>
    <x v="8"/>
    <x v="1"/>
    <x v="0"/>
    <x v="0"/>
    <x v="2"/>
    <x v="1"/>
    <x v="0"/>
    <x v="1"/>
    <x v="0"/>
  </r>
  <r>
    <x v="1"/>
    <x v="125"/>
    <x v="125"/>
    <x v="6"/>
    <x v="13"/>
    <x v="40"/>
    <x v="1"/>
    <x v="70"/>
    <x v="16"/>
    <x v="10"/>
    <x v="9"/>
    <x v="9"/>
    <x v="59"/>
    <x v="54"/>
    <x v="2"/>
    <x v="0"/>
    <x v="43"/>
    <x v="0"/>
    <x v="43"/>
    <x v="33"/>
    <x v="1"/>
    <x v="0"/>
    <x v="0"/>
    <x v="2"/>
    <x v="1"/>
    <x v="0"/>
    <x v="1"/>
    <x v="0"/>
  </r>
  <r>
    <x v="1"/>
    <x v="126"/>
    <x v="126"/>
    <x v="0"/>
    <x v="38"/>
    <x v="41"/>
    <x v="0"/>
    <x v="71"/>
    <x v="6"/>
    <x v="4"/>
    <x v="4"/>
    <x v="4"/>
    <x v="60"/>
    <x v="55"/>
    <x v="1"/>
    <x v="1"/>
    <x v="44"/>
    <x v="1"/>
    <x v="44"/>
    <x v="34"/>
    <x v="1"/>
    <x v="0"/>
    <x v="0"/>
    <x v="2"/>
    <x v="1"/>
    <x v="0"/>
    <x v="1"/>
    <x v="6"/>
  </r>
  <r>
    <x v="1"/>
    <x v="127"/>
    <x v="127"/>
    <x v="2"/>
    <x v="20"/>
    <x v="12"/>
    <x v="1"/>
    <x v="30"/>
    <x v="1"/>
    <x v="15"/>
    <x v="14"/>
    <x v="14"/>
    <x v="61"/>
    <x v="56"/>
    <x v="1"/>
    <x v="0"/>
    <x v="45"/>
    <x v="0"/>
    <x v="45"/>
    <x v="35"/>
    <x v="1"/>
    <x v="10"/>
    <x v="9"/>
    <x v="2"/>
    <x v="1"/>
    <x v="0"/>
    <x v="1"/>
    <x v="0"/>
  </r>
  <r>
    <x v="1"/>
    <x v="128"/>
    <x v="128"/>
    <x v="2"/>
    <x v="20"/>
    <x v="12"/>
    <x v="1"/>
    <x v="30"/>
    <x v="1"/>
    <x v="15"/>
    <x v="14"/>
    <x v="14"/>
    <x v="62"/>
    <x v="57"/>
    <x v="1"/>
    <x v="0"/>
    <x v="46"/>
    <x v="0"/>
    <x v="46"/>
    <x v="36"/>
    <x v="1"/>
    <x v="0"/>
    <x v="0"/>
    <x v="2"/>
    <x v="1"/>
    <x v="0"/>
    <x v="1"/>
    <x v="0"/>
  </r>
  <r>
    <x v="1"/>
    <x v="129"/>
    <x v="129"/>
    <x v="6"/>
    <x v="28"/>
    <x v="12"/>
    <x v="1"/>
    <x v="41"/>
    <x v="1"/>
    <x v="14"/>
    <x v="13"/>
    <x v="13"/>
    <x v="63"/>
    <x v="58"/>
    <x v="1"/>
    <x v="0"/>
    <x v="47"/>
    <x v="0"/>
    <x v="47"/>
    <x v="37"/>
    <x v="1"/>
    <x v="0"/>
    <x v="0"/>
    <x v="2"/>
    <x v="1"/>
    <x v="0"/>
    <x v="1"/>
    <x v="0"/>
  </r>
  <r>
    <x v="1"/>
    <x v="130"/>
    <x v="130"/>
    <x v="2"/>
    <x v="42"/>
    <x v="42"/>
    <x v="0"/>
    <x v="72"/>
    <x v="6"/>
    <x v="9"/>
    <x v="8"/>
    <x v="8"/>
    <x v="64"/>
    <x v="59"/>
    <x v="1"/>
    <x v="0"/>
    <x v="10"/>
    <x v="0"/>
    <x v="10"/>
    <x v="7"/>
    <x v="1"/>
    <x v="0"/>
    <x v="0"/>
    <x v="1"/>
    <x v="1"/>
    <x v="1"/>
    <x v="1"/>
    <x v="0"/>
  </r>
  <r>
    <x v="1"/>
    <x v="131"/>
    <x v="131"/>
    <x v="2"/>
    <x v="3"/>
    <x v="18"/>
    <x v="1"/>
    <x v="47"/>
    <x v="15"/>
    <x v="25"/>
    <x v="24"/>
    <x v="24"/>
    <x v="65"/>
    <x v="0"/>
    <x v="1"/>
    <x v="0"/>
    <x v="0"/>
    <x v="0"/>
    <x v="0"/>
    <x v="0"/>
    <x v="0"/>
    <x v="0"/>
    <x v="0"/>
    <x v="3"/>
    <x v="1"/>
    <x v="3"/>
    <x v="1"/>
    <x v="0"/>
  </r>
  <r>
    <x v="1"/>
    <x v="132"/>
    <x v="132"/>
    <x v="1"/>
    <x v="41"/>
    <x v="38"/>
    <x v="1"/>
    <x v="68"/>
    <x v="1"/>
    <x v="27"/>
    <x v="26"/>
    <x v="26"/>
    <x v="0"/>
    <x v="0"/>
    <x v="2"/>
    <x v="0"/>
    <x v="0"/>
    <x v="0"/>
    <x v="0"/>
    <x v="0"/>
    <x v="0"/>
    <x v="0"/>
    <x v="0"/>
    <x v="0"/>
    <x v="0"/>
    <x v="0"/>
    <x v="1"/>
    <x v="7"/>
  </r>
  <r>
    <x v="1"/>
    <x v="133"/>
    <x v="133"/>
    <x v="4"/>
    <x v="12"/>
    <x v="43"/>
    <x v="0"/>
    <x v="73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34"/>
    <x v="134"/>
    <x v="5"/>
    <x v="10"/>
    <x v="11"/>
    <x v="0"/>
    <x v="74"/>
    <x v="9"/>
    <x v="6"/>
    <x v="3"/>
    <x v="3"/>
    <x v="66"/>
    <x v="60"/>
    <x v="2"/>
    <x v="0"/>
    <x v="48"/>
    <x v="0"/>
    <x v="48"/>
    <x v="0"/>
    <x v="0"/>
    <x v="11"/>
    <x v="10"/>
    <x v="4"/>
    <x v="1"/>
    <x v="4"/>
    <x v="1"/>
    <x v="0"/>
  </r>
  <r>
    <x v="1"/>
    <x v="135"/>
    <x v="135"/>
    <x v="4"/>
    <x v="43"/>
    <x v="5"/>
    <x v="0"/>
    <x v="75"/>
    <x v="29"/>
    <x v="6"/>
    <x v="3"/>
    <x v="3"/>
    <x v="22"/>
    <x v="61"/>
    <x v="1"/>
    <x v="0"/>
    <x v="49"/>
    <x v="0"/>
    <x v="49"/>
    <x v="0"/>
    <x v="0"/>
    <x v="0"/>
    <x v="0"/>
    <x v="2"/>
    <x v="1"/>
    <x v="0"/>
    <x v="1"/>
    <x v="0"/>
  </r>
  <r>
    <x v="1"/>
    <x v="136"/>
    <x v="136"/>
    <x v="6"/>
    <x v="13"/>
    <x v="12"/>
    <x v="1"/>
    <x v="17"/>
    <x v="1"/>
    <x v="18"/>
    <x v="17"/>
    <x v="17"/>
    <x v="67"/>
    <x v="0"/>
    <x v="1"/>
    <x v="0"/>
    <x v="0"/>
    <x v="0"/>
    <x v="0"/>
    <x v="0"/>
    <x v="0"/>
    <x v="0"/>
    <x v="0"/>
    <x v="4"/>
    <x v="1"/>
    <x v="4"/>
    <x v="1"/>
    <x v="0"/>
  </r>
  <r>
    <x v="1"/>
    <x v="137"/>
    <x v="137"/>
    <x v="9"/>
    <x v="44"/>
    <x v="44"/>
    <x v="0"/>
    <x v="76"/>
    <x v="30"/>
    <x v="14"/>
    <x v="13"/>
    <x v="13"/>
    <x v="68"/>
    <x v="62"/>
    <x v="1"/>
    <x v="0"/>
    <x v="50"/>
    <x v="0"/>
    <x v="50"/>
    <x v="38"/>
    <x v="1"/>
    <x v="0"/>
    <x v="0"/>
    <x v="2"/>
    <x v="1"/>
    <x v="0"/>
    <x v="1"/>
    <x v="0"/>
  </r>
  <r>
    <x v="1"/>
    <x v="138"/>
    <x v="138"/>
    <x v="2"/>
    <x v="20"/>
    <x v="18"/>
    <x v="1"/>
    <x v="27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39"/>
    <x v="139"/>
    <x v="7"/>
    <x v="19"/>
    <x v="5"/>
    <x v="0"/>
    <x v="26"/>
    <x v="14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40"/>
    <x v="140"/>
    <x v="1"/>
    <x v="41"/>
    <x v="38"/>
    <x v="1"/>
    <x v="68"/>
    <x v="16"/>
    <x v="13"/>
    <x v="12"/>
    <x v="12"/>
    <x v="69"/>
    <x v="0"/>
    <x v="1"/>
    <x v="0"/>
    <x v="0"/>
    <x v="0"/>
    <x v="0"/>
    <x v="0"/>
    <x v="0"/>
    <x v="0"/>
    <x v="0"/>
    <x v="4"/>
    <x v="1"/>
    <x v="4"/>
    <x v="1"/>
    <x v="0"/>
  </r>
  <r>
    <x v="1"/>
    <x v="141"/>
    <x v="141"/>
    <x v="7"/>
    <x v="25"/>
    <x v="5"/>
    <x v="0"/>
    <x v="35"/>
    <x v="2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42"/>
    <x v="142"/>
    <x v="1"/>
    <x v="2"/>
    <x v="10"/>
    <x v="0"/>
    <x v="12"/>
    <x v="6"/>
    <x v="2"/>
    <x v="2"/>
    <x v="2"/>
    <x v="8"/>
    <x v="63"/>
    <x v="1"/>
    <x v="0"/>
    <x v="51"/>
    <x v="0"/>
    <x v="51"/>
    <x v="39"/>
    <x v="1"/>
    <x v="0"/>
    <x v="0"/>
    <x v="4"/>
    <x v="1"/>
    <x v="4"/>
    <x v="1"/>
    <x v="0"/>
  </r>
  <r>
    <x v="1"/>
    <x v="143"/>
    <x v="143"/>
    <x v="10"/>
    <x v="45"/>
    <x v="5"/>
    <x v="0"/>
    <x v="77"/>
    <x v="31"/>
    <x v="6"/>
    <x v="3"/>
    <x v="3"/>
    <x v="70"/>
    <x v="19"/>
    <x v="1"/>
    <x v="0"/>
    <x v="34"/>
    <x v="0"/>
    <x v="34"/>
    <x v="0"/>
    <x v="0"/>
    <x v="0"/>
    <x v="0"/>
    <x v="2"/>
    <x v="1"/>
    <x v="0"/>
    <x v="1"/>
    <x v="0"/>
  </r>
  <r>
    <x v="1"/>
    <x v="144"/>
    <x v="144"/>
    <x v="0"/>
    <x v="6"/>
    <x v="45"/>
    <x v="0"/>
    <x v="78"/>
    <x v="6"/>
    <x v="14"/>
    <x v="13"/>
    <x v="13"/>
    <x v="71"/>
    <x v="64"/>
    <x v="1"/>
    <x v="0"/>
    <x v="29"/>
    <x v="0"/>
    <x v="29"/>
    <x v="25"/>
    <x v="1"/>
    <x v="0"/>
    <x v="0"/>
    <x v="2"/>
    <x v="1"/>
    <x v="0"/>
    <x v="1"/>
    <x v="0"/>
  </r>
  <r>
    <x v="1"/>
    <x v="145"/>
    <x v="145"/>
    <x v="2"/>
    <x v="46"/>
    <x v="5"/>
    <x v="0"/>
    <x v="79"/>
    <x v="6"/>
    <x v="1"/>
    <x v="1"/>
    <x v="1"/>
    <x v="72"/>
    <x v="65"/>
    <x v="1"/>
    <x v="0"/>
    <x v="52"/>
    <x v="0"/>
    <x v="52"/>
    <x v="0"/>
    <x v="0"/>
    <x v="0"/>
    <x v="0"/>
    <x v="1"/>
    <x v="1"/>
    <x v="1"/>
    <x v="1"/>
    <x v="0"/>
  </r>
  <r>
    <x v="1"/>
    <x v="146"/>
    <x v="146"/>
    <x v="2"/>
    <x v="35"/>
    <x v="31"/>
    <x v="0"/>
    <x v="55"/>
    <x v="6"/>
    <x v="1"/>
    <x v="1"/>
    <x v="1"/>
    <x v="72"/>
    <x v="66"/>
    <x v="1"/>
    <x v="0"/>
    <x v="53"/>
    <x v="0"/>
    <x v="53"/>
    <x v="0"/>
    <x v="0"/>
    <x v="0"/>
    <x v="0"/>
    <x v="1"/>
    <x v="1"/>
    <x v="1"/>
    <x v="1"/>
    <x v="0"/>
  </r>
  <r>
    <x v="1"/>
    <x v="147"/>
    <x v="147"/>
    <x v="11"/>
    <x v="47"/>
    <x v="5"/>
    <x v="0"/>
    <x v="80"/>
    <x v="32"/>
    <x v="14"/>
    <x v="13"/>
    <x v="13"/>
    <x v="73"/>
    <x v="67"/>
    <x v="1"/>
    <x v="0"/>
    <x v="54"/>
    <x v="0"/>
    <x v="54"/>
    <x v="40"/>
    <x v="1"/>
    <x v="0"/>
    <x v="0"/>
    <x v="1"/>
    <x v="1"/>
    <x v="1"/>
    <x v="1"/>
    <x v="0"/>
  </r>
  <r>
    <x v="1"/>
    <x v="148"/>
    <x v="148"/>
    <x v="6"/>
    <x v="28"/>
    <x v="12"/>
    <x v="1"/>
    <x v="41"/>
    <x v="1"/>
    <x v="22"/>
    <x v="21"/>
    <x v="21"/>
    <x v="74"/>
    <x v="0"/>
    <x v="2"/>
    <x v="0"/>
    <x v="0"/>
    <x v="0"/>
    <x v="0"/>
    <x v="0"/>
    <x v="0"/>
    <x v="0"/>
    <x v="0"/>
    <x v="3"/>
    <x v="1"/>
    <x v="3"/>
    <x v="1"/>
    <x v="0"/>
  </r>
  <r>
    <x v="1"/>
    <x v="149"/>
    <x v="149"/>
    <x v="0"/>
    <x v="29"/>
    <x v="12"/>
    <x v="1"/>
    <x v="52"/>
    <x v="1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50"/>
    <x v="150"/>
    <x v="6"/>
    <x v="28"/>
    <x v="5"/>
    <x v="1"/>
    <x v="81"/>
    <x v="33"/>
    <x v="28"/>
    <x v="27"/>
    <x v="27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51"/>
    <x v="151"/>
    <x v="2"/>
    <x v="3"/>
    <x v="15"/>
    <x v="1"/>
    <x v="21"/>
    <x v="2"/>
    <x v="12"/>
    <x v="11"/>
    <x v="11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52"/>
    <x v="152"/>
    <x v="5"/>
    <x v="31"/>
    <x v="12"/>
    <x v="1"/>
    <x v="45"/>
    <x v="1"/>
    <x v="10"/>
    <x v="9"/>
    <x v="9"/>
    <x v="75"/>
    <x v="68"/>
    <x v="1"/>
    <x v="0"/>
    <x v="55"/>
    <x v="0"/>
    <x v="55"/>
    <x v="41"/>
    <x v="1"/>
    <x v="0"/>
    <x v="0"/>
    <x v="2"/>
    <x v="1"/>
    <x v="0"/>
    <x v="1"/>
    <x v="0"/>
  </r>
  <r>
    <x v="1"/>
    <x v="153"/>
    <x v="153"/>
    <x v="5"/>
    <x v="32"/>
    <x v="4"/>
    <x v="1"/>
    <x v="82"/>
    <x v="34"/>
    <x v="19"/>
    <x v="18"/>
    <x v="18"/>
    <x v="26"/>
    <x v="69"/>
    <x v="1"/>
    <x v="0"/>
    <x v="56"/>
    <x v="0"/>
    <x v="56"/>
    <x v="42"/>
    <x v="1"/>
    <x v="0"/>
    <x v="0"/>
    <x v="4"/>
    <x v="1"/>
    <x v="4"/>
    <x v="1"/>
    <x v="0"/>
  </r>
  <r>
    <x v="1"/>
    <x v="154"/>
    <x v="154"/>
    <x v="2"/>
    <x v="3"/>
    <x v="18"/>
    <x v="1"/>
    <x v="47"/>
    <x v="15"/>
    <x v="17"/>
    <x v="16"/>
    <x v="16"/>
    <x v="76"/>
    <x v="70"/>
    <x v="1"/>
    <x v="0"/>
    <x v="45"/>
    <x v="0"/>
    <x v="45"/>
    <x v="35"/>
    <x v="1"/>
    <x v="0"/>
    <x v="0"/>
    <x v="2"/>
    <x v="1"/>
    <x v="0"/>
    <x v="1"/>
    <x v="0"/>
  </r>
  <r>
    <x v="1"/>
    <x v="155"/>
    <x v="155"/>
    <x v="2"/>
    <x v="20"/>
    <x v="18"/>
    <x v="1"/>
    <x v="27"/>
    <x v="17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56"/>
    <x v="156"/>
    <x v="5"/>
    <x v="31"/>
    <x v="12"/>
    <x v="1"/>
    <x v="45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57"/>
    <x v="157"/>
    <x v="5"/>
    <x v="48"/>
    <x v="46"/>
    <x v="0"/>
    <x v="83"/>
    <x v="24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58"/>
    <x v="158"/>
    <x v="12"/>
    <x v="49"/>
    <x v="47"/>
    <x v="0"/>
    <x v="84"/>
    <x v="35"/>
    <x v="6"/>
    <x v="3"/>
    <x v="3"/>
    <x v="77"/>
    <x v="0"/>
    <x v="1"/>
    <x v="0"/>
    <x v="0"/>
    <x v="0"/>
    <x v="0"/>
    <x v="0"/>
    <x v="0"/>
    <x v="0"/>
    <x v="0"/>
    <x v="3"/>
    <x v="1"/>
    <x v="3"/>
    <x v="1"/>
    <x v="0"/>
  </r>
  <r>
    <x v="1"/>
    <x v="159"/>
    <x v="159"/>
    <x v="6"/>
    <x v="17"/>
    <x v="5"/>
    <x v="0"/>
    <x v="85"/>
    <x v="36"/>
    <x v="11"/>
    <x v="10"/>
    <x v="10"/>
    <x v="0"/>
    <x v="71"/>
    <x v="2"/>
    <x v="0"/>
    <x v="0"/>
    <x v="0"/>
    <x v="0"/>
    <x v="0"/>
    <x v="0"/>
    <x v="12"/>
    <x v="0"/>
    <x v="3"/>
    <x v="1"/>
    <x v="3"/>
    <x v="1"/>
    <x v="0"/>
  </r>
  <r>
    <x v="1"/>
    <x v="160"/>
    <x v="160"/>
    <x v="1"/>
    <x v="39"/>
    <x v="48"/>
    <x v="0"/>
    <x v="86"/>
    <x v="37"/>
    <x v="11"/>
    <x v="10"/>
    <x v="10"/>
    <x v="78"/>
    <x v="28"/>
    <x v="1"/>
    <x v="0"/>
    <x v="57"/>
    <x v="0"/>
    <x v="57"/>
    <x v="43"/>
    <x v="1"/>
    <x v="0"/>
    <x v="0"/>
    <x v="4"/>
    <x v="1"/>
    <x v="4"/>
    <x v="1"/>
    <x v="0"/>
  </r>
  <r>
    <x v="1"/>
    <x v="161"/>
    <x v="161"/>
    <x v="6"/>
    <x v="13"/>
    <x v="15"/>
    <x v="1"/>
    <x v="60"/>
    <x v="2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162"/>
    <x v="162"/>
    <x v="2"/>
    <x v="35"/>
    <x v="5"/>
    <x v="0"/>
    <x v="87"/>
    <x v="5"/>
    <x v="1"/>
    <x v="1"/>
    <x v="1"/>
    <x v="0"/>
    <x v="0"/>
    <x v="2"/>
    <x v="0"/>
    <x v="0"/>
    <x v="0"/>
    <x v="0"/>
    <x v="0"/>
    <x v="0"/>
    <x v="0"/>
    <x v="0"/>
    <x v="0"/>
    <x v="0"/>
    <x v="0"/>
    <x v="1"/>
    <x v="9"/>
  </r>
  <r>
    <x v="1"/>
    <x v="163"/>
    <x v="163"/>
    <x v="2"/>
    <x v="5"/>
    <x v="49"/>
    <x v="0"/>
    <x v="88"/>
    <x v="6"/>
    <x v="5"/>
    <x v="5"/>
    <x v="5"/>
    <x v="79"/>
    <x v="72"/>
    <x v="1"/>
    <x v="0"/>
    <x v="17"/>
    <x v="0"/>
    <x v="17"/>
    <x v="14"/>
    <x v="1"/>
    <x v="0"/>
    <x v="0"/>
    <x v="4"/>
    <x v="1"/>
    <x v="4"/>
    <x v="1"/>
    <x v="0"/>
  </r>
  <r>
    <x v="1"/>
    <x v="164"/>
    <x v="164"/>
    <x v="6"/>
    <x v="28"/>
    <x v="5"/>
    <x v="1"/>
    <x v="81"/>
    <x v="33"/>
    <x v="20"/>
    <x v="19"/>
    <x v="19"/>
    <x v="80"/>
    <x v="73"/>
    <x v="1"/>
    <x v="0"/>
    <x v="58"/>
    <x v="0"/>
    <x v="58"/>
    <x v="44"/>
    <x v="1"/>
    <x v="0"/>
    <x v="0"/>
    <x v="1"/>
    <x v="1"/>
    <x v="1"/>
    <x v="1"/>
    <x v="0"/>
  </r>
  <r>
    <x v="1"/>
    <x v="165"/>
    <x v="165"/>
    <x v="5"/>
    <x v="50"/>
    <x v="4"/>
    <x v="1"/>
    <x v="89"/>
    <x v="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66"/>
    <x v="166"/>
    <x v="5"/>
    <x v="32"/>
    <x v="15"/>
    <x v="1"/>
    <x v="90"/>
    <x v="2"/>
    <x v="8"/>
    <x v="7"/>
    <x v="7"/>
    <x v="81"/>
    <x v="0"/>
    <x v="1"/>
    <x v="0"/>
    <x v="0"/>
    <x v="0"/>
    <x v="0"/>
    <x v="0"/>
    <x v="0"/>
    <x v="0"/>
    <x v="0"/>
    <x v="3"/>
    <x v="1"/>
    <x v="3"/>
    <x v="1"/>
    <x v="0"/>
  </r>
  <r>
    <x v="1"/>
    <x v="167"/>
    <x v="167"/>
    <x v="6"/>
    <x v="51"/>
    <x v="50"/>
    <x v="0"/>
    <x v="91"/>
    <x v="1"/>
    <x v="14"/>
    <x v="13"/>
    <x v="13"/>
    <x v="82"/>
    <x v="0"/>
    <x v="2"/>
    <x v="0"/>
    <x v="0"/>
    <x v="0"/>
    <x v="0"/>
    <x v="0"/>
    <x v="0"/>
    <x v="0"/>
    <x v="0"/>
    <x v="1"/>
    <x v="1"/>
    <x v="1"/>
    <x v="1"/>
    <x v="0"/>
  </r>
  <r>
    <x v="1"/>
    <x v="168"/>
    <x v="168"/>
    <x v="12"/>
    <x v="49"/>
    <x v="51"/>
    <x v="0"/>
    <x v="92"/>
    <x v="38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69"/>
    <x v="169"/>
    <x v="2"/>
    <x v="3"/>
    <x v="4"/>
    <x v="1"/>
    <x v="4"/>
    <x v="3"/>
    <x v="5"/>
    <x v="5"/>
    <x v="5"/>
    <x v="83"/>
    <x v="74"/>
    <x v="1"/>
    <x v="0"/>
    <x v="59"/>
    <x v="0"/>
    <x v="59"/>
    <x v="45"/>
    <x v="1"/>
    <x v="0"/>
    <x v="0"/>
    <x v="2"/>
    <x v="1"/>
    <x v="0"/>
    <x v="1"/>
    <x v="0"/>
  </r>
  <r>
    <x v="1"/>
    <x v="170"/>
    <x v="170"/>
    <x v="0"/>
    <x v="52"/>
    <x v="52"/>
    <x v="0"/>
    <x v="93"/>
    <x v="6"/>
    <x v="5"/>
    <x v="5"/>
    <x v="5"/>
    <x v="84"/>
    <x v="75"/>
    <x v="1"/>
    <x v="0"/>
    <x v="60"/>
    <x v="0"/>
    <x v="60"/>
    <x v="46"/>
    <x v="1"/>
    <x v="0"/>
    <x v="0"/>
    <x v="2"/>
    <x v="1"/>
    <x v="0"/>
    <x v="1"/>
    <x v="0"/>
  </r>
  <r>
    <x v="1"/>
    <x v="171"/>
    <x v="171"/>
    <x v="5"/>
    <x v="53"/>
    <x v="53"/>
    <x v="0"/>
    <x v="94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72"/>
    <x v="172"/>
    <x v="6"/>
    <x v="51"/>
    <x v="50"/>
    <x v="0"/>
    <x v="91"/>
    <x v="1"/>
    <x v="29"/>
    <x v="28"/>
    <x v="28"/>
    <x v="85"/>
    <x v="76"/>
    <x v="2"/>
    <x v="0"/>
    <x v="61"/>
    <x v="0"/>
    <x v="61"/>
    <x v="47"/>
    <x v="1"/>
    <x v="0"/>
    <x v="0"/>
    <x v="2"/>
    <x v="1"/>
    <x v="0"/>
    <x v="1"/>
    <x v="0"/>
  </r>
  <r>
    <x v="1"/>
    <x v="173"/>
    <x v="173"/>
    <x v="6"/>
    <x v="21"/>
    <x v="54"/>
    <x v="0"/>
    <x v="95"/>
    <x v="24"/>
    <x v="28"/>
    <x v="27"/>
    <x v="27"/>
    <x v="86"/>
    <x v="77"/>
    <x v="1"/>
    <x v="0"/>
    <x v="62"/>
    <x v="0"/>
    <x v="62"/>
    <x v="0"/>
    <x v="0"/>
    <x v="13"/>
    <x v="11"/>
    <x v="1"/>
    <x v="1"/>
    <x v="1"/>
    <x v="1"/>
    <x v="0"/>
  </r>
  <r>
    <x v="1"/>
    <x v="174"/>
    <x v="174"/>
    <x v="5"/>
    <x v="31"/>
    <x v="5"/>
    <x v="1"/>
    <x v="96"/>
    <x v="39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75"/>
    <x v="175"/>
    <x v="13"/>
    <x v="54"/>
    <x v="5"/>
    <x v="0"/>
    <x v="97"/>
    <x v="40"/>
    <x v="6"/>
    <x v="3"/>
    <x v="3"/>
    <x v="87"/>
    <x v="78"/>
    <x v="2"/>
    <x v="0"/>
    <x v="45"/>
    <x v="0"/>
    <x v="45"/>
    <x v="35"/>
    <x v="1"/>
    <x v="0"/>
    <x v="0"/>
    <x v="1"/>
    <x v="1"/>
    <x v="1"/>
    <x v="1"/>
    <x v="0"/>
  </r>
  <r>
    <x v="1"/>
    <x v="176"/>
    <x v="176"/>
    <x v="5"/>
    <x v="55"/>
    <x v="55"/>
    <x v="0"/>
    <x v="98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77"/>
    <x v="177"/>
    <x v="6"/>
    <x v="56"/>
    <x v="56"/>
    <x v="0"/>
    <x v="99"/>
    <x v="41"/>
    <x v="30"/>
    <x v="29"/>
    <x v="29"/>
    <x v="88"/>
    <x v="79"/>
    <x v="1"/>
    <x v="0"/>
    <x v="63"/>
    <x v="0"/>
    <x v="63"/>
    <x v="48"/>
    <x v="1"/>
    <x v="0"/>
    <x v="0"/>
    <x v="2"/>
    <x v="1"/>
    <x v="0"/>
    <x v="1"/>
    <x v="0"/>
  </r>
  <r>
    <x v="1"/>
    <x v="178"/>
    <x v="178"/>
    <x v="6"/>
    <x v="57"/>
    <x v="57"/>
    <x v="0"/>
    <x v="100"/>
    <x v="17"/>
    <x v="14"/>
    <x v="13"/>
    <x v="13"/>
    <x v="89"/>
    <x v="80"/>
    <x v="1"/>
    <x v="0"/>
    <x v="64"/>
    <x v="0"/>
    <x v="64"/>
    <x v="49"/>
    <x v="1"/>
    <x v="0"/>
    <x v="0"/>
    <x v="2"/>
    <x v="1"/>
    <x v="0"/>
    <x v="1"/>
    <x v="0"/>
  </r>
  <r>
    <x v="1"/>
    <x v="179"/>
    <x v="179"/>
    <x v="4"/>
    <x v="7"/>
    <x v="5"/>
    <x v="0"/>
    <x v="101"/>
    <x v="5"/>
    <x v="5"/>
    <x v="5"/>
    <x v="5"/>
    <x v="0"/>
    <x v="0"/>
    <x v="2"/>
    <x v="0"/>
    <x v="0"/>
    <x v="0"/>
    <x v="0"/>
    <x v="0"/>
    <x v="0"/>
    <x v="0"/>
    <x v="0"/>
    <x v="0"/>
    <x v="0"/>
    <x v="0"/>
    <x v="1"/>
    <x v="10"/>
  </r>
  <r>
    <x v="1"/>
    <x v="180"/>
    <x v="180"/>
    <x v="5"/>
    <x v="55"/>
    <x v="58"/>
    <x v="0"/>
    <x v="102"/>
    <x v="6"/>
    <x v="14"/>
    <x v="13"/>
    <x v="13"/>
    <x v="14"/>
    <x v="81"/>
    <x v="1"/>
    <x v="0"/>
    <x v="65"/>
    <x v="0"/>
    <x v="65"/>
    <x v="50"/>
    <x v="1"/>
    <x v="0"/>
    <x v="0"/>
    <x v="5"/>
    <x v="1"/>
    <x v="0"/>
    <x v="1"/>
    <x v="0"/>
  </r>
  <r>
    <x v="1"/>
    <x v="181"/>
    <x v="181"/>
    <x v="6"/>
    <x v="57"/>
    <x v="59"/>
    <x v="0"/>
    <x v="10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82"/>
    <x v="182"/>
    <x v="6"/>
    <x v="57"/>
    <x v="60"/>
    <x v="0"/>
    <x v="104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83"/>
    <x v="183"/>
    <x v="2"/>
    <x v="3"/>
    <x v="4"/>
    <x v="1"/>
    <x v="4"/>
    <x v="3"/>
    <x v="8"/>
    <x v="7"/>
    <x v="7"/>
    <x v="90"/>
    <x v="82"/>
    <x v="1"/>
    <x v="0"/>
    <x v="66"/>
    <x v="0"/>
    <x v="66"/>
    <x v="51"/>
    <x v="1"/>
    <x v="0"/>
    <x v="0"/>
    <x v="1"/>
    <x v="1"/>
    <x v="1"/>
    <x v="1"/>
    <x v="0"/>
  </r>
  <r>
    <x v="1"/>
    <x v="184"/>
    <x v="184"/>
    <x v="0"/>
    <x v="9"/>
    <x v="5"/>
    <x v="0"/>
    <x v="105"/>
    <x v="42"/>
    <x v="10"/>
    <x v="9"/>
    <x v="9"/>
    <x v="91"/>
    <x v="0"/>
    <x v="1"/>
    <x v="0"/>
    <x v="0"/>
    <x v="0"/>
    <x v="0"/>
    <x v="0"/>
    <x v="0"/>
    <x v="0"/>
    <x v="0"/>
    <x v="3"/>
    <x v="1"/>
    <x v="3"/>
    <x v="1"/>
    <x v="0"/>
  </r>
  <r>
    <x v="1"/>
    <x v="185"/>
    <x v="185"/>
    <x v="1"/>
    <x v="41"/>
    <x v="61"/>
    <x v="0"/>
    <x v="106"/>
    <x v="6"/>
    <x v="4"/>
    <x v="4"/>
    <x v="4"/>
    <x v="3"/>
    <x v="83"/>
    <x v="2"/>
    <x v="0"/>
    <x v="13"/>
    <x v="0"/>
    <x v="13"/>
    <x v="10"/>
    <x v="1"/>
    <x v="0"/>
    <x v="0"/>
    <x v="1"/>
    <x v="1"/>
    <x v="1"/>
    <x v="1"/>
    <x v="0"/>
  </r>
  <r>
    <x v="1"/>
    <x v="186"/>
    <x v="186"/>
    <x v="5"/>
    <x v="32"/>
    <x v="5"/>
    <x v="1"/>
    <x v="107"/>
    <x v="39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187"/>
    <x v="187"/>
    <x v="2"/>
    <x v="20"/>
    <x v="21"/>
    <x v="1"/>
    <x v="108"/>
    <x v="4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188"/>
    <x v="188"/>
    <x v="0"/>
    <x v="43"/>
    <x v="62"/>
    <x v="0"/>
    <x v="109"/>
    <x v="44"/>
    <x v="3"/>
    <x v="3"/>
    <x v="3"/>
    <x v="0"/>
    <x v="25"/>
    <x v="2"/>
    <x v="0"/>
    <x v="0"/>
    <x v="0"/>
    <x v="0"/>
    <x v="0"/>
    <x v="0"/>
    <x v="0"/>
    <x v="0"/>
    <x v="1"/>
    <x v="0"/>
    <x v="0"/>
    <x v="1"/>
    <x v="0"/>
  </r>
  <r>
    <x v="1"/>
    <x v="189"/>
    <x v="189"/>
    <x v="6"/>
    <x v="13"/>
    <x v="21"/>
    <x v="1"/>
    <x v="110"/>
    <x v="18"/>
    <x v="15"/>
    <x v="14"/>
    <x v="14"/>
    <x v="92"/>
    <x v="84"/>
    <x v="1"/>
    <x v="0"/>
    <x v="67"/>
    <x v="0"/>
    <x v="67"/>
    <x v="52"/>
    <x v="1"/>
    <x v="0"/>
    <x v="0"/>
    <x v="2"/>
    <x v="1"/>
    <x v="0"/>
    <x v="1"/>
    <x v="0"/>
  </r>
  <r>
    <x v="1"/>
    <x v="190"/>
    <x v="190"/>
    <x v="3"/>
    <x v="4"/>
    <x v="18"/>
    <x v="1"/>
    <x v="67"/>
    <x v="17"/>
    <x v="21"/>
    <x v="20"/>
    <x v="20"/>
    <x v="93"/>
    <x v="0"/>
    <x v="1"/>
    <x v="0"/>
    <x v="0"/>
    <x v="0"/>
    <x v="0"/>
    <x v="0"/>
    <x v="0"/>
    <x v="14"/>
    <x v="12"/>
    <x v="3"/>
    <x v="1"/>
    <x v="3"/>
    <x v="1"/>
    <x v="0"/>
  </r>
  <r>
    <x v="1"/>
    <x v="191"/>
    <x v="191"/>
    <x v="6"/>
    <x v="13"/>
    <x v="18"/>
    <x v="1"/>
    <x v="111"/>
    <x v="15"/>
    <x v="4"/>
    <x v="4"/>
    <x v="4"/>
    <x v="94"/>
    <x v="85"/>
    <x v="1"/>
    <x v="0"/>
    <x v="68"/>
    <x v="0"/>
    <x v="68"/>
    <x v="53"/>
    <x v="1"/>
    <x v="0"/>
    <x v="0"/>
    <x v="2"/>
    <x v="1"/>
    <x v="0"/>
    <x v="1"/>
    <x v="0"/>
  </r>
  <r>
    <x v="1"/>
    <x v="192"/>
    <x v="192"/>
    <x v="5"/>
    <x v="8"/>
    <x v="63"/>
    <x v="0"/>
    <x v="112"/>
    <x v="24"/>
    <x v="3"/>
    <x v="3"/>
    <x v="3"/>
    <x v="95"/>
    <x v="0"/>
    <x v="2"/>
    <x v="0"/>
    <x v="0"/>
    <x v="0"/>
    <x v="0"/>
    <x v="0"/>
    <x v="0"/>
    <x v="0"/>
    <x v="0"/>
    <x v="3"/>
    <x v="0"/>
    <x v="0"/>
    <x v="1"/>
    <x v="0"/>
  </r>
  <r>
    <x v="1"/>
    <x v="193"/>
    <x v="193"/>
    <x v="6"/>
    <x v="21"/>
    <x v="25"/>
    <x v="0"/>
    <x v="39"/>
    <x v="1"/>
    <x v="14"/>
    <x v="13"/>
    <x v="13"/>
    <x v="96"/>
    <x v="86"/>
    <x v="1"/>
    <x v="0"/>
    <x v="69"/>
    <x v="0"/>
    <x v="69"/>
    <x v="0"/>
    <x v="0"/>
    <x v="15"/>
    <x v="13"/>
    <x v="2"/>
    <x v="1"/>
    <x v="0"/>
    <x v="1"/>
    <x v="0"/>
  </r>
  <r>
    <x v="1"/>
    <x v="194"/>
    <x v="194"/>
    <x v="4"/>
    <x v="12"/>
    <x v="64"/>
    <x v="0"/>
    <x v="113"/>
    <x v="6"/>
    <x v="23"/>
    <x v="22"/>
    <x v="22"/>
    <x v="97"/>
    <x v="87"/>
    <x v="2"/>
    <x v="0"/>
    <x v="70"/>
    <x v="0"/>
    <x v="70"/>
    <x v="0"/>
    <x v="0"/>
    <x v="16"/>
    <x v="0"/>
    <x v="1"/>
    <x v="1"/>
    <x v="1"/>
    <x v="1"/>
    <x v="0"/>
  </r>
  <r>
    <x v="1"/>
    <x v="195"/>
    <x v="195"/>
    <x v="1"/>
    <x v="39"/>
    <x v="65"/>
    <x v="0"/>
    <x v="114"/>
    <x v="6"/>
    <x v="2"/>
    <x v="2"/>
    <x v="2"/>
    <x v="98"/>
    <x v="88"/>
    <x v="1"/>
    <x v="0"/>
    <x v="67"/>
    <x v="0"/>
    <x v="67"/>
    <x v="52"/>
    <x v="1"/>
    <x v="0"/>
    <x v="0"/>
    <x v="2"/>
    <x v="1"/>
    <x v="0"/>
    <x v="1"/>
    <x v="0"/>
  </r>
  <r>
    <x v="1"/>
    <x v="196"/>
    <x v="196"/>
    <x v="1"/>
    <x v="41"/>
    <x v="66"/>
    <x v="0"/>
    <x v="115"/>
    <x v="6"/>
    <x v="23"/>
    <x v="22"/>
    <x v="22"/>
    <x v="99"/>
    <x v="24"/>
    <x v="1"/>
    <x v="0"/>
    <x v="4"/>
    <x v="0"/>
    <x v="4"/>
    <x v="0"/>
    <x v="0"/>
    <x v="17"/>
    <x v="14"/>
    <x v="2"/>
    <x v="1"/>
    <x v="0"/>
    <x v="1"/>
    <x v="0"/>
  </r>
  <r>
    <x v="1"/>
    <x v="197"/>
    <x v="197"/>
    <x v="0"/>
    <x v="1"/>
    <x v="5"/>
    <x v="0"/>
    <x v="116"/>
    <x v="5"/>
    <x v="11"/>
    <x v="10"/>
    <x v="10"/>
    <x v="34"/>
    <x v="17"/>
    <x v="1"/>
    <x v="0"/>
    <x v="4"/>
    <x v="0"/>
    <x v="4"/>
    <x v="0"/>
    <x v="0"/>
    <x v="18"/>
    <x v="15"/>
    <x v="1"/>
    <x v="1"/>
    <x v="1"/>
    <x v="1"/>
    <x v="0"/>
  </r>
  <r>
    <x v="1"/>
    <x v="198"/>
    <x v="198"/>
    <x v="2"/>
    <x v="27"/>
    <x v="67"/>
    <x v="0"/>
    <x v="117"/>
    <x v="6"/>
    <x v="4"/>
    <x v="4"/>
    <x v="4"/>
    <x v="100"/>
    <x v="40"/>
    <x v="1"/>
    <x v="0"/>
    <x v="71"/>
    <x v="0"/>
    <x v="71"/>
    <x v="0"/>
    <x v="0"/>
    <x v="0"/>
    <x v="0"/>
    <x v="2"/>
    <x v="1"/>
    <x v="0"/>
    <x v="1"/>
    <x v="0"/>
  </r>
  <r>
    <x v="1"/>
    <x v="199"/>
    <x v="199"/>
    <x v="0"/>
    <x v="29"/>
    <x v="12"/>
    <x v="1"/>
    <x v="52"/>
    <x v="16"/>
    <x v="20"/>
    <x v="19"/>
    <x v="19"/>
    <x v="101"/>
    <x v="89"/>
    <x v="1"/>
    <x v="0"/>
    <x v="5"/>
    <x v="0"/>
    <x v="5"/>
    <x v="2"/>
    <x v="1"/>
    <x v="0"/>
    <x v="0"/>
    <x v="2"/>
    <x v="1"/>
    <x v="0"/>
    <x v="1"/>
    <x v="0"/>
  </r>
  <r>
    <x v="1"/>
    <x v="200"/>
    <x v="200"/>
    <x v="0"/>
    <x v="10"/>
    <x v="11"/>
    <x v="0"/>
    <x v="13"/>
    <x v="9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201"/>
    <x v="201"/>
    <x v="2"/>
    <x v="58"/>
    <x v="5"/>
    <x v="0"/>
    <x v="118"/>
    <x v="6"/>
    <x v="3"/>
    <x v="3"/>
    <x v="3"/>
    <x v="0"/>
    <x v="0"/>
    <x v="1"/>
    <x v="0"/>
    <x v="0"/>
    <x v="0"/>
    <x v="0"/>
    <x v="0"/>
    <x v="0"/>
    <x v="19"/>
    <x v="16"/>
    <x v="0"/>
    <x v="0"/>
    <x v="0"/>
    <x v="1"/>
    <x v="0"/>
  </r>
  <r>
    <x v="1"/>
    <x v="202"/>
    <x v="202"/>
    <x v="2"/>
    <x v="20"/>
    <x v="18"/>
    <x v="1"/>
    <x v="27"/>
    <x v="17"/>
    <x v="11"/>
    <x v="10"/>
    <x v="10"/>
    <x v="102"/>
    <x v="17"/>
    <x v="1"/>
    <x v="0"/>
    <x v="23"/>
    <x v="0"/>
    <x v="23"/>
    <x v="20"/>
    <x v="1"/>
    <x v="0"/>
    <x v="0"/>
    <x v="2"/>
    <x v="1"/>
    <x v="0"/>
    <x v="1"/>
    <x v="0"/>
  </r>
  <r>
    <x v="1"/>
    <x v="203"/>
    <x v="203"/>
    <x v="1"/>
    <x v="39"/>
    <x v="35"/>
    <x v="1"/>
    <x v="62"/>
    <x v="16"/>
    <x v="18"/>
    <x v="17"/>
    <x v="17"/>
    <x v="103"/>
    <x v="90"/>
    <x v="2"/>
    <x v="0"/>
    <x v="72"/>
    <x v="0"/>
    <x v="72"/>
    <x v="54"/>
    <x v="1"/>
    <x v="0"/>
    <x v="0"/>
    <x v="2"/>
    <x v="1"/>
    <x v="0"/>
    <x v="1"/>
    <x v="0"/>
  </r>
  <r>
    <x v="1"/>
    <x v="204"/>
    <x v="204"/>
    <x v="1"/>
    <x v="41"/>
    <x v="38"/>
    <x v="1"/>
    <x v="68"/>
    <x v="15"/>
    <x v="28"/>
    <x v="27"/>
    <x v="27"/>
    <x v="0"/>
    <x v="0"/>
    <x v="2"/>
    <x v="0"/>
    <x v="0"/>
    <x v="0"/>
    <x v="0"/>
    <x v="0"/>
    <x v="0"/>
    <x v="0"/>
    <x v="0"/>
    <x v="3"/>
    <x v="1"/>
    <x v="3"/>
    <x v="1"/>
    <x v="0"/>
  </r>
  <r>
    <x v="1"/>
    <x v="205"/>
    <x v="205"/>
    <x v="6"/>
    <x v="13"/>
    <x v="18"/>
    <x v="1"/>
    <x v="111"/>
    <x v="15"/>
    <x v="18"/>
    <x v="17"/>
    <x v="17"/>
    <x v="104"/>
    <x v="0"/>
    <x v="1"/>
    <x v="0"/>
    <x v="0"/>
    <x v="0"/>
    <x v="0"/>
    <x v="0"/>
    <x v="0"/>
    <x v="0"/>
    <x v="0"/>
    <x v="4"/>
    <x v="1"/>
    <x v="4"/>
    <x v="1"/>
    <x v="0"/>
  </r>
  <r>
    <x v="1"/>
    <x v="206"/>
    <x v="206"/>
    <x v="2"/>
    <x v="20"/>
    <x v="5"/>
    <x v="1"/>
    <x v="119"/>
    <x v="33"/>
    <x v="11"/>
    <x v="10"/>
    <x v="10"/>
    <x v="105"/>
    <x v="91"/>
    <x v="1"/>
    <x v="0"/>
    <x v="73"/>
    <x v="0"/>
    <x v="73"/>
    <x v="55"/>
    <x v="1"/>
    <x v="0"/>
    <x v="0"/>
    <x v="2"/>
    <x v="1"/>
    <x v="0"/>
    <x v="1"/>
    <x v="0"/>
  </r>
  <r>
    <x v="1"/>
    <x v="207"/>
    <x v="207"/>
    <x v="4"/>
    <x v="7"/>
    <x v="68"/>
    <x v="0"/>
    <x v="120"/>
    <x v="24"/>
    <x v="5"/>
    <x v="5"/>
    <x v="5"/>
    <x v="106"/>
    <x v="92"/>
    <x v="1"/>
    <x v="0"/>
    <x v="74"/>
    <x v="0"/>
    <x v="74"/>
    <x v="56"/>
    <x v="1"/>
    <x v="0"/>
    <x v="0"/>
    <x v="1"/>
    <x v="1"/>
    <x v="1"/>
    <x v="1"/>
    <x v="0"/>
  </r>
  <r>
    <x v="1"/>
    <x v="208"/>
    <x v="208"/>
    <x v="3"/>
    <x v="10"/>
    <x v="11"/>
    <x v="0"/>
    <x v="121"/>
    <x v="9"/>
    <x v="15"/>
    <x v="14"/>
    <x v="14"/>
    <x v="107"/>
    <x v="93"/>
    <x v="1"/>
    <x v="0"/>
    <x v="75"/>
    <x v="0"/>
    <x v="75"/>
    <x v="57"/>
    <x v="1"/>
    <x v="0"/>
    <x v="0"/>
    <x v="1"/>
    <x v="1"/>
    <x v="1"/>
    <x v="1"/>
    <x v="0"/>
  </r>
  <r>
    <x v="1"/>
    <x v="209"/>
    <x v="209"/>
    <x v="1"/>
    <x v="41"/>
    <x v="69"/>
    <x v="0"/>
    <x v="122"/>
    <x v="19"/>
    <x v="11"/>
    <x v="10"/>
    <x v="10"/>
    <x v="108"/>
    <x v="94"/>
    <x v="2"/>
    <x v="0"/>
    <x v="67"/>
    <x v="0"/>
    <x v="67"/>
    <x v="52"/>
    <x v="1"/>
    <x v="0"/>
    <x v="0"/>
    <x v="4"/>
    <x v="1"/>
    <x v="4"/>
    <x v="1"/>
    <x v="0"/>
  </r>
  <r>
    <x v="1"/>
    <x v="210"/>
    <x v="210"/>
    <x v="9"/>
    <x v="44"/>
    <x v="44"/>
    <x v="0"/>
    <x v="76"/>
    <x v="30"/>
    <x v="6"/>
    <x v="3"/>
    <x v="3"/>
    <x v="109"/>
    <x v="95"/>
    <x v="1"/>
    <x v="0"/>
    <x v="36"/>
    <x v="0"/>
    <x v="36"/>
    <x v="29"/>
    <x v="1"/>
    <x v="0"/>
    <x v="0"/>
    <x v="2"/>
    <x v="1"/>
    <x v="0"/>
    <x v="1"/>
    <x v="0"/>
  </r>
  <r>
    <x v="1"/>
    <x v="211"/>
    <x v="211"/>
    <x v="10"/>
    <x v="59"/>
    <x v="5"/>
    <x v="0"/>
    <x v="123"/>
    <x v="45"/>
    <x v="6"/>
    <x v="3"/>
    <x v="3"/>
    <x v="110"/>
    <x v="88"/>
    <x v="1"/>
    <x v="0"/>
    <x v="76"/>
    <x v="0"/>
    <x v="76"/>
    <x v="0"/>
    <x v="0"/>
    <x v="0"/>
    <x v="0"/>
    <x v="1"/>
    <x v="1"/>
    <x v="1"/>
    <x v="1"/>
    <x v="0"/>
  </r>
  <r>
    <x v="1"/>
    <x v="212"/>
    <x v="212"/>
    <x v="4"/>
    <x v="22"/>
    <x v="70"/>
    <x v="1"/>
    <x v="124"/>
    <x v="46"/>
    <x v="10"/>
    <x v="9"/>
    <x v="9"/>
    <x v="111"/>
    <x v="96"/>
    <x v="1"/>
    <x v="0"/>
    <x v="17"/>
    <x v="0"/>
    <x v="17"/>
    <x v="14"/>
    <x v="1"/>
    <x v="0"/>
    <x v="0"/>
    <x v="2"/>
    <x v="1"/>
    <x v="0"/>
    <x v="1"/>
    <x v="0"/>
  </r>
  <r>
    <x v="1"/>
    <x v="213"/>
    <x v="213"/>
    <x v="12"/>
    <x v="49"/>
    <x v="5"/>
    <x v="0"/>
    <x v="125"/>
    <x v="47"/>
    <x v="6"/>
    <x v="3"/>
    <x v="3"/>
    <x v="4"/>
    <x v="5"/>
    <x v="1"/>
    <x v="0"/>
    <x v="4"/>
    <x v="0"/>
    <x v="4"/>
    <x v="0"/>
    <x v="0"/>
    <x v="20"/>
    <x v="17"/>
    <x v="1"/>
    <x v="0"/>
    <x v="0"/>
    <x v="1"/>
    <x v="11"/>
  </r>
  <r>
    <x v="1"/>
    <x v="214"/>
    <x v="214"/>
    <x v="5"/>
    <x v="8"/>
    <x v="9"/>
    <x v="0"/>
    <x v="10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15"/>
    <x v="215"/>
    <x v="1"/>
    <x v="39"/>
    <x v="35"/>
    <x v="1"/>
    <x v="62"/>
    <x v="8"/>
    <x v="17"/>
    <x v="16"/>
    <x v="16"/>
    <x v="112"/>
    <x v="97"/>
    <x v="1"/>
    <x v="0"/>
    <x v="77"/>
    <x v="0"/>
    <x v="77"/>
    <x v="58"/>
    <x v="1"/>
    <x v="0"/>
    <x v="0"/>
    <x v="2"/>
    <x v="1"/>
    <x v="0"/>
    <x v="1"/>
    <x v="0"/>
  </r>
  <r>
    <x v="1"/>
    <x v="216"/>
    <x v="216"/>
    <x v="12"/>
    <x v="49"/>
    <x v="71"/>
    <x v="0"/>
    <x v="126"/>
    <x v="48"/>
    <x v="6"/>
    <x v="3"/>
    <x v="3"/>
    <x v="113"/>
    <x v="98"/>
    <x v="1"/>
    <x v="0"/>
    <x v="78"/>
    <x v="0"/>
    <x v="78"/>
    <x v="0"/>
    <x v="0"/>
    <x v="0"/>
    <x v="0"/>
    <x v="2"/>
    <x v="1"/>
    <x v="0"/>
    <x v="1"/>
    <x v="0"/>
  </r>
  <r>
    <x v="1"/>
    <x v="217"/>
    <x v="217"/>
    <x v="6"/>
    <x v="17"/>
    <x v="72"/>
    <x v="0"/>
    <x v="127"/>
    <x v="49"/>
    <x v="10"/>
    <x v="9"/>
    <x v="9"/>
    <x v="111"/>
    <x v="0"/>
    <x v="1"/>
    <x v="0"/>
    <x v="0"/>
    <x v="0"/>
    <x v="0"/>
    <x v="0"/>
    <x v="0"/>
    <x v="0"/>
    <x v="0"/>
    <x v="3"/>
    <x v="1"/>
    <x v="3"/>
    <x v="1"/>
    <x v="0"/>
  </r>
  <r>
    <x v="1"/>
    <x v="218"/>
    <x v="218"/>
    <x v="0"/>
    <x v="38"/>
    <x v="41"/>
    <x v="0"/>
    <x v="71"/>
    <x v="37"/>
    <x v="4"/>
    <x v="4"/>
    <x v="4"/>
    <x v="114"/>
    <x v="55"/>
    <x v="1"/>
    <x v="0"/>
    <x v="79"/>
    <x v="0"/>
    <x v="79"/>
    <x v="0"/>
    <x v="0"/>
    <x v="0"/>
    <x v="0"/>
    <x v="2"/>
    <x v="1"/>
    <x v="0"/>
    <x v="1"/>
    <x v="0"/>
  </r>
  <r>
    <x v="1"/>
    <x v="219"/>
    <x v="219"/>
    <x v="4"/>
    <x v="22"/>
    <x v="15"/>
    <x v="1"/>
    <x v="128"/>
    <x v="2"/>
    <x v="13"/>
    <x v="12"/>
    <x v="12"/>
    <x v="115"/>
    <x v="0"/>
    <x v="1"/>
    <x v="0"/>
    <x v="0"/>
    <x v="0"/>
    <x v="0"/>
    <x v="0"/>
    <x v="0"/>
    <x v="21"/>
    <x v="18"/>
    <x v="4"/>
    <x v="1"/>
    <x v="4"/>
    <x v="1"/>
    <x v="0"/>
  </r>
  <r>
    <x v="1"/>
    <x v="220"/>
    <x v="220"/>
    <x v="1"/>
    <x v="41"/>
    <x v="38"/>
    <x v="1"/>
    <x v="68"/>
    <x v="1"/>
    <x v="4"/>
    <x v="4"/>
    <x v="4"/>
    <x v="116"/>
    <x v="99"/>
    <x v="1"/>
    <x v="0"/>
    <x v="80"/>
    <x v="0"/>
    <x v="80"/>
    <x v="59"/>
    <x v="1"/>
    <x v="0"/>
    <x v="0"/>
    <x v="2"/>
    <x v="1"/>
    <x v="0"/>
    <x v="1"/>
    <x v="0"/>
  </r>
  <r>
    <x v="1"/>
    <x v="221"/>
    <x v="221"/>
    <x v="6"/>
    <x v="17"/>
    <x v="73"/>
    <x v="0"/>
    <x v="129"/>
    <x v="1"/>
    <x v="4"/>
    <x v="4"/>
    <x v="4"/>
    <x v="117"/>
    <x v="0"/>
    <x v="1"/>
    <x v="0"/>
    <x v="0"/>
    <x v="0"/>
    <x v="0"/>
    <x v="0"/>
    <x v="0"/>
    <x v="0"/>
    <x v="0"/>
    <x v="1"/>
    <x v="1"/>
    <x v="1"/>
    <x v="1"/>
    <x v="0"/>
  </r>
  <r>
    <x v="1"/>
    <x v="222"/>
    <x v="222"/>
    <x v="0"/>
    <x v="16"/>
    <x v="15"/>
    <x v="1"/>
    <x v="130"/>
    <x v="2"/>
    <x v="31"/>
    <x v="30"/>
    <x v="30"/>
    <x v="118"/>
    <x v="100"/>
    <x v="1"/>
    <x v="0"/>
    <x v="81"/>
    <x v="0"/>
    <x v="81"/>
    <x v="0"/>
    <x v="0"/>
    <x v="0"/>
    <x v="0"/>
    <x v="2"/>
    <x v="1"/>
    <x v="0"/>
    <x v="1"/>
    <x v="0"/>
  </r>
  <r>
    <x v="1"/>
    <x v="223"/>
    <x v="223"/>
    <x v="3"/>
    <x v="60"/>
    <x v="74"/>
    <x v="0"/>
    <x v="131"/>
    <x v="50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24"/>
    <x v="224"/>
    <x v="5"/>
    <x v="53"/>
    <x v="75"/>
    <x v="0"/>
    <x v="132"/>
    <x v="24"/>
    <x v="14"/>
    <x v="13"/>
    <x v="13"/>
    <x v="119"/>
    <x v="101"/>
    <x v="1"/>
    <x v="0"/>
    <x v="82"/>
    <x v="0"/>
    <x v="82"/>
    <x v="60"/>
    <x v="1"/>
    <x v="0"/>
    <x v="0"/>
    <x v="1"/>
    <x v="1"/>
    <x v="1"/>
    <x v="1"/>
    <x v="0"/>
  </r>
  <r>
    <x v="1"/>
    <x v="225"/>
    <x v="225"/>
    <x v="12"/>
    <x v="49"/>
    <x v="76"/>
    <x v="0"/>
    <x v="133"/>
    <x v="48"/>
    <x v="6"/>
    <x v="3"/>
    <x v="3"/>
    <x v="120"/>
    <x v="102"/>
    <x v="1"/>
    <x v="0"/>
    <x v="19"/>
    <x v="0"/>
    <x v="19"/>
    <x v="16"/>
    <x v="1"/>
    <x v="0"/>
    <x v="0"/>
    <x v="1"/>
    <x v="1"/>
    <x v="1"/>
    <x v="1"/>
    <x v="0"/>
  </r>
  <r>
    <x v="1"/>
    <x v="226"/>
    <x v="226"/>
    <x v="6"/>
    <x v="28"/>
    <x v="70"/>
    <x v="1"/>
    <x v="134"/>
    <x v="46"/>
    <x v="12"/>
    <x v="11"/>
    <x v="11"/>
    <x v="121"/>
    <x v="0"/>
    <x v="1"/>
    <x v="0"/>
    <x v="0"/>
    <x v="0"/>
    <x v="0"/>
    <x v="0"/>
    <x v="0"/>
    <x v="0"/>
    <x v="0"/>
    <x v="4"/>
    <x v="1"/>
    <x v="4"/>
    <x v="1"/>
    <x v="0"/>
  </r>
  <r>
    <x v="1"/>
    <x v="227"/>
    <x v="227"/>
    <x v="4"/>
    <x v="26"/>
    <x v="70"/>
    <x v="1"/>
    <x v="135"/>
    <x v="46"/>
    <x v="15"/>
    <x v="14"/>
    <x v="14"/>
    <x v="122"/>
    <x v="103"/>
    <x v="1"/>
    <x v="0"/>
    <x v="83"/>
    <x v="0"/>
    <x v="83"/>
    <x v="0"/>
    <x v="0"/>
    <x v="0"/>
    <x v="0"/>
    <x v="4"/>
    <x v="1"/>
    <x v="4"/>
    <x v="1"/>
    <x v="0"/>
  </r>
  <r>
    <x v="1"/>
    <x v="228"/>
    <x v="228"/>
    <x v="4"/>
    <x v="26"/>
    <x v="4"/>
    <x v="1"/>
    <x v="136"/>
    <x v="3"/>
    <x v="11"/>
    <x v="10"/>
    <x v="10"/>
    <x v="123"/>
    <x v="26"/>
    <x v="1"/>
    <x v="0"/>
    <x v="84"/>
    <x v="0"/>
    <x v="84"/>
    <x v="61"/>
    <x v="1"/>
    <x v="0"/>
    <x v="0"/>
    <x v="2"/>
    <x v="1"/>
    <x v="0"/>
    <x v="1"/>
    <x v="0"/>
  </r>
  <r>
    <x v="1"/>
    <x v="229"/>
    <x v="229"/>
    <x v="2"/>
    <x v="35"/>
    <x v="77"/>
    <x v="0"/>
    <x v="137"/>
    <x v="6"/>
    <x v="1"/>
    <x v="1"/>
    <x v="1"/>
    <x v="124"/>
    <x v="104"/>
    <x v="2"/>
    <x v="0"/>
    <x v="85"/>
    <x v="0"/>
    <x v="85"/>
    <x v="0"/>
    <x v="0"/>
    <x v="0"/>
    <x v="0"/>
    <x v="4"/>
    <x v="1"/>
    <x v="4"/>
    <x v="1"/>
    <x v="0"/>
  </r>
  <r>
    <x v="1"/>
    <x v="230"/>
    <x v="230"/>
    <x v="4"/>
    <x v="7"/>
    <x v="78"/>
    <x v="0"/>
    <x v="138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31"/>
    <x v="231"/>
    <x v="6"/>
    <x v="13"/>
    <x v="70"/>
    <x v="1"/>
    <x v="139"/>
    <x v="46"/>
    <x v="18"/>
    <x v="17"/>
    <x v="17"/>
    <x v="125"/>
    <x v="0"/>
    <x v="1"/>
    <x v="0"/>
    <x v="0"/>
    <x v="0"/>
    <x v="0"/>
    <x v="0"/>
    <x v="0"/>
    <x v="0"/>
    <x v="0"/>
    <x v="4"/>
    <x v="1"/>
    <x v="4"/>
    <x v="1"/>
    <x v="0"/>
  </r>
  <r>
    <x v="1"/>
    <x v="232"/>
    <x v="232"/>
    <x v="14"/>
    <x v="61"/>
    <x v="5"/>
    <x v="0"/>
    <x v="140"/>
    <x v="51"/>
    <x v="6"/>
    <x v="3"/>
    <x v="3"/>
    <x v="0"/>
    <x v="105"/>
    <x v="2"/>
    <x v="0"/>
    <x v="0"/>
    <x v="0"/>
    <x v="0"/>
    <x v="0"/>
    <x v="0"/>
    <x v="0"/>
    <x v="0"/>
    <x v="3"/>
    <x v="1"/>
    <x v="3"/>
    <x v="1"/>
    <x v="0"/>
  </r>
  <r>
    <x v="1"/>
    <x v="233"/>
    <x v="233"/>
    <x v="2"/>
    <x v="20"/>
    <x v="18"/>
    <x v="1"/>
    <x v="27"/>
    <x v="15"/>
    <x v="11"/>
    <x v="10"/>
    <x v="10"/>
    <x v="126"/>
    <x v="106"/>
    <x v="1"/>
    <x v="0"/>
    <x v="86"/>
    <x v="0"/>
    <x v="86"/>
    <x v="62"/>
    <x v="1"/>
    <x v="0"/>
    <x v="0"/>
    <x v="2"/>
    <x v="1"/>
    <x v="0"/>
    <x v="1"/>
    <x v="0"/>
  </r>
  <r>
    <x v="1"/>
    <x v="234"/>
    <x v="234"/>
    <x v="4"/>
    <x v="26"/>
    <x v="15"/>
    <x v="1"/>
    <x v="141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35"/>
    <x v="235"/>
    <x v="4"/>
    <x v="10"/>
    <x v="5"/>
    <x v="0"/>
    <x v="142"/>
    <x v="52"/>
    <x v="11"/>
    <x v="10"/>
    <x v="10"/>
    <x v="126"/>
    <x v="107"/>
    <x v="1"/>
    <x v="0"/>
    <x v="87"/>
    <x v="0"/>
    <x v="87"/>
    <x v="0"/>
    <x v="0"/>
    <x v="0"/>
    <x v="0"/>
    <x v="2"/>
    <x v="1"/>
    <x v="0"/>
    <x v="1"/>
    <x v="0"/>
  </r>
  <r>
    <x v="1"/>
    <x v="236"/>
    <x v="236"/>
    <x v="5"/>
    <x v="43"/>
    <x v="79"/>
    <x v="0"/>
    <x v="143"/>
    <x v="53"/>
    <x v="11"/>
    <x v="10"/>
    <x v="10"/>
    <x v="127"/>
    <x v="108"/>
    <x v="1"/>
    <x v="0"/>
    <x v="88"/>
    <x v="0"/>
    <x v="88"/>
    <x v="63"/>
    <x v="1"/>
    <x v="0"/>
    <x v="0"/>
    <x v="1"/>
    <x v="1"/>
    <x v="1"/>
    <x v="1"/>
    <x v="0"/>
  </r>
  <r>
    <x v="1"/>
    <x v="237"/>
    <x v="237"/>
    <x v="4"/>
    <x v="22"/>
    <x v="15"/>
    <x v="1"/>
    <x v="128"/>
    <x v="2"/>
    <x v="22"/>
    <x v="21"/>
    <x v="21"/>
    <x v="128"/>
    <x v="0"/>
    <x v="1"/>
    <x v="0"/>
    <x v="0"/>
    <x v="0"/>
    <x v="0"/>
    <x v="0"/>
    <x v="0"/>
    <x v="0"/>
    <x v="0"/>
    <x v="4"/>
    <x v="1"/>
    <x v="4"/>
    <x v="1"/>
    <x v="0"/>
  </r>
  <r>
    <x v="1"/>
    <x v="238"/>
    <x v="238"/>
    <x v="3"/>
    <x v="62"/>
    <x v="5"/>
    <x v="0"/>
    <x v="144"/>
    <x v="6"/>
    <x v="4"/>
    <x v="4"/>
    <x v="4"/>
    <x v="129"/>
    <x v="109"/>
    <x v="1"/>
    <x v="0"/>
    <x v="67"/>
    <x v="0"/>
    <x v="67"/>
    <x v="52"/>
    <x v="1"/>
    <x v="0"/>
    <x v="0"/>
    <x v="2"/>
    <x v="1"/>
    <x v="0"/>
    <x v="1"/>
    <x v="0"/>
  </r>
  <r>
    <x v="1"/>
    <x v="239"/>
    <x v="239"/>
    <x v="5"/>
    <x v="10"/>
    <x v="11"/>
    <x v="0"/>
    <x v="74"/>
    <x v="9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40"/>
    <x v="240"/>
    <x v="15"/>
    <x v="15"/>
    <x v="5"/>
    <x v="0"/>
    <x v="145"/>
    <x v="54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12"/>
  </r>
  <r>
    <x v="1"/>
    <x v="241"/>
    <x v="241"/>
    <x v="5"/>
    <x v="8"/>
    <x v="80"/>
    <x v="0"/>
    <x v="146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42"/>
    <x v="242"/>
    <x v="5"/>
    <x v="10"/>
    <x v="11"/>
    <x v="0"/>
    <x v="74"/>
    <x v="8"/>
    <x v="6"/>
    <x v="3"/>
    <x v="3"/>
    <x v="130"/>
    <x v="110"/>
    <x v="2"/>
    <x v="0"/>
    <x v="89"/>
    <x v="0"/>
    <x v="89"/>
    <x v="0"/>
    <x v="0"/>
    <x v="0"/>
    <x v="0"/>
    <x v="1"/>
    <x v="1"/>
    <x v="1"/>
    <x v="1"/>
    <x v="0"/>
  </r>
  <r>
    <x v="1"/>
    <x v="243"/>
    <x v="243"/>
    <x v="10"/>
    <x v="63"/>
    <x v="5"/>
    <x v="0"/>
    <x v="147"/>
    <x v="55"/>
    <x v="6"/>
    <x v="3"/>
    <x v="3"/>
    <x v="113"/>
    <x v="111"/>
    <x v="1"/>
    <x v="0"/>
    <x v="90"/>
    <x v="0"/>
    <x v="90"/>
    <x v="64"/>
    <x v="1"/>
    <x v="0"/>
    <x v="0"/>
    <x v="2"/>
    <x v="1"/>
    <x v="0"/>
    <x v="1"/>
    <x v="0"/>
  </r>
  <r>
    <x v="1"/>
    <x v="244"/>
    <x v="244"/>
    <x v="3"/>
    <x v="15"/>
    <x v="5"/>
    <x v="0"/>
    <x v="148"/>
    <x v="56"/>
    <x v="15"/>
    <x v="14"/>
    <x v="14"/>
    <x v="0"/>
    <x v="0"/>
    <x v="2"/>
    <x v="0"/>
    <x v="0"/>
    <x v="0"/>
    <x v="0"/>
    <x v="0"/>
    <x v="0"/>
    <x v="0"/>
    <x v="0"/>
    <x v="0"/>
    <x v="0"/>
    <x v="0"/>
    <x v="1"/>
    <x v="13"/>
  </r>
  <r>
    <x v="1"/>
    <x v="245"/>
    <x v="245"/>
    <x v="6"/>
    <x v="28"/>
    <x v="12"/>
    <x v="1"/>
    <x v="41"/>
    <x v="1"/>
    <x v="18"/>
    <x v="17"/>
    <x v="17"/>
    <x v="131"/>
    <x v="0"/>
    <x v="1"/>
    <x v="0"/>
    <x v="0"/>
    <x v="0"/>
    <x v="0"/>
    <x v="0"/>
    <x v="0"/>
    <x v="0"/>
    <x v="0"/>
    <x v="4"/>
    <x v="1"/>
    <x v="4"/>
    <x v="1"/>
    <x v="0"/>
  </r>
  <r>
    <x v="1"/>
    <x v="246"/>
    <x v="246"/>
    <x v="6"/>
    <x v="51"/>
    <x v="50"/>
    <x v="0"/>
    <x v="91"/>
    <x v="37"/>
    <x v="14"/>
    <x v="13"/>
    <x v="13"/>
    <x v="132"/>
    <x v="66"/>
    <x v="1"/>
    <x v="0"/>
    <x v="91"/>
    <x v="0"/>
    <x v="91"/>
    <x v="0"/>
    <x v="0"/>
    <x v="0"/>
    <x v="0"/>
    <x v="4"/>
    <x v="0"/>
    <x v="0"/>
    <x v="1"/>
    <x v="14"/>
  </r>
  <r>
    <x v="1"/>
    <x v="247"/>
    <x v="247"/>
    <x v="6"/>
    <x v="51"/>
    <x v="5"/>
    <x v="0"/>
    <x v="149"/>
    <x v="36"/>
    <x v="31"/>
    <x v="30"/>
    <x v="30"/>
    <x v="133"/>
    <x v="0"/>
    <x v="1"/>
    <x v="0"/>
    <x v="0"/>
    <x v="0"/>
    <x v="0"/>
    <x v="0"/>
    <x v="0"/>
    <x v="0"/>
    <x v="0"/>
    <x v="3"/>
    <x v="0"/>
    <x v="0"/>
    <x v="1"/>
    <x v="8"/>
  </r>
  <r>
    <x v="1"/>
    <x v="248"/>
    <x v="248"/>
    <x v="3"/>
    <x v="4"/>
    <x v="5"/>
    <x v="1"/>
    <x v="5"/>
    <x v="57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49"/>
    <x v="249"/>
    <x v="5"/>
    <x v="9"/>
    <x v="5"/>
    <x v="0"/>
    <x v="150"/>
    <x v="58"/>
    <x v="11"/>
    <x v="10"/>
    <x v="10"/>
    <x v="0"/>
    <x v="112"/>
    <x v="2"/>
    <x v="0"/>
    <x v="0"/>
    <x v="0"/>
    <x v="0"/>
    <x v="0"/>
    <x v="0"/>
    <x v="0"/>
    <x v="0"/>
    <x v="3"/>
    <x v="0"/>
    <x v="0"/>
    <x v="1"/>
    <x v="8"/>
  </r>
  <r>
    <x v="1"/>
    <x v="250"/>
    <x v="250"/>
    <x v="5"/>
    <x v="55"/>
    <x v="58"/>
    <x v="0"/>
    <x v="102"/>
    <x v="24"/>
    <x v="14"/>
    <x v="13"/>
    <x v="13"/>
    <x v="14"/>
    <x v="113"/>
    <x v="1"/>
    <x v="0"/>
    <x v="92"/>
    <x v="0"/>
    <x v="92"/>
    <x v="65"/>
    <x v="1"/>
    <x v="0"/>
    <x v="0"/>
    <x v="4"/>
    <x v="1"/>
    <x v="4"/>
    <x v="1"/>
    <x v="0"/>
  </r>
  <r>
    <x v="1"/>
    <x v="251"/>
    <x v="251"/>
    <x v="0"/>
    <x v="6"/>
    <x v="45"/>
    <x v="0"/>
    <x v="78"/>
    <x v="37"/>
    <x v="32"/>
    <x v="31"/>
    <x v="31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52"/>
    <x v="252"/>
    <x v="5"/>
    <x v="31"/>
    <x v="4"/>
    <x v="1"/>
    <x v="151"/>
    <x v="3"/>
    <x v="19"/>
    <x v="18"/>
    <x v="18"/>
    <x v="134"/>
    <x v="114"/>
    <x v="1"/>
    <x v="0"/>
    <x v="93"/>
    <x v="0"/>
    <x v="93"/>
    <x v="66"/>
    <x v="1"/>
    <x v="0"/>
    <x v="0"/>
    <x v="2"/>
    <x v="1"/>
    <x v="0"/>
    <x v="1"/>
    <x v="0"/>
  </r>
  <r>
    <x v="1"/>
    <x v="253"/>
    <x v="253"/>
    <x v="6"/>
    <x v="13"/>
    <x v="15"/>
    <x v="1"/>
    <x v="60"/>
    <x v="2"/>
    <x v="13"/>
    <x v="12"/>
    <x v="12"/>
    <x v="135"/>
    <x v="115"/>
    <x v="1"/>
    <x v="0"/>
    <x v="94"/>
    <x v="0"/>
    <x v="94"/>
    <x v="0"/>
    <x v="0"/>
    <x v="0"/>
    <x v="0"/>
    <x v="4"/>
    <x v="1"/>
    <x v="4"/>
    <x v="1"/>
    <x v="0"/>
  </r>
  <r>
    <x v="1"/>
    <x v="254"/>
    <x v="254"/>
    <x v="0"/>
    <x v="52"/>
    <x v="81"/>
    <x v="0"/>
    <x v="152"/>
    <x v="6"/>
    <x v="5"/>
    <x v="5"/>
    <x v="5"/>
    <x v="136"/>
    <x v="74"/>
    <x v="1"/>
    <x v="0"/>
    <x v="95"/>
    <x v="0"/>
    <x v="95"/>
    <x v="67"/>
    <x v="1"/>
    <x v="0"/>
    <x v="0"/>
    <x v="5"/>
    <x v="1"/>
    <x v="0"/>
    <x v="1"/>
    <x v="0"/>
  </r>
  <r>
    <x v="1"/>
    <x v="255"/>
    <x v="255"/>
    <x v="12"/>
    <x v="49"/>
    <x v="76"/>
    <x v="0"/>
    <x v="133"/>
    <x v="59"/>
    <x v="6"/>
    <x v="3"/>
    <x v="3"/>
    <x v="4"/>
    <x v="113"/>
    <x v="1"/>
    <x v="0"/>
    <x v="9"/>
    <x v="0"/>
    <x v="9"/>
    <x v="6"/>
    <x v="1"/>
    <x v="0"/>
    <x v="0"/>
    <x v="4"/>
    <x v="1"/>
    <x v="4"/>
    <x v="1"/>
    <x v="0"/>
  </r>
  <r>
    <x v="1"/>
    <x v="256"/>
    <x v="256"/>
    <x v="16"/>
    <x v="64"/>
    <x v="5"/>
    <x v="0"/>
    <x v="153"/>
    <x v="60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257"/>
    <x v="257"/>
    <x v="6"/>
    <x v="13"/>
    <x v="15"/>
    <x v="1"/>
    <x v="60"/>
    <x v="12"/>
    <x v="19"/>
    <x v="18"/>
    <x v="18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58"/>
    <x v="258"/>
    <x v="4"/>
    <x v="26"/>
    <x v="18"/>
    <x v="1"/>
    <x v="154"/>
    <x v="17"/>
    <x v="2"/>
    <x v="2"/>
    <x v="2"/>
    <x v="137"/>
    <x v="28"/>
    <x v="1"/>
    <x v="0"/>
    <x v="32"/>
    <x v="0"/>
    <x v="32"/>
    <x v="27"/>
    <x v="1"/>
    <x v="0"/>
    <x v="0"/>
    <x v="2"/>
    <x v="1"/>
    <x v="0"/>
    <x v="1"/>
    <x v="0"/>
  </r>
  <r>
    <x v="1"/>
    <x v="259"/>
    <x v="259"/>
    <x v="0"/>
    <x v="29"/>
    <x v="21"/>
    <x v="1"/>
    <x v="155"/>
    <x v="43"/>
    <x v="11"/>
    <x v="10"/>
    <x v="10"/>
    <x v="138"/>
    <x v="116"/>
    <x v="1"/>
    <x v="0"/>
    <x v="96"/>
    <x v="0"/>
    <x v="96"/>
    <x v="68"/>
    <x v="1"/>
    <x v="0"/>
    <x v="0"/>
    <x v="2"/>
    <x v="1"/>
    <x v="0"/>
    <x v="1"/>
    <x v="0"/>
  </r>
  <r>
    <x v="1"/>
    <x v="260"/>
    <x v="260"/>
    <x v="5"/>
    <x v="40"/>
    <x v="82"/>
    <x v="0"/>
    <x v="156"/>
    <x v="6"/>
    <x v="14"/>
    <x v="13"/>
    <x v="13"/>
    <x v="139"/>
    <x v="117"/>
    <x v="1"/>
    <x v="0"/>
    <x v="97"/>
    <x v="0"/>
    <x v="97"/>
    <x v="69"/>
    <x v="1"/>
    <x v="0"/>
    <x v="0"/>
    <x v="4"/>
    <x v="1"/>
    <x v="4"/>
    <x v="1"/>
    <x v="0"/>
  </r>
  <r>
    <x v="1"/>
    <x v="261"/>
    <x v="261"/>
    <x v="6"/>
    <x v="51"/>
    <x v="83"/>
    <x v="0"/>
    <x v="157"/>
    <x v="1"/>
    <x v="14"/>
    <x v="13"/>
    <x v="13"/>
    <x v="140"/>
    <x v="118"/>
    <x v="1"/>
    <x v="0"/>
    <x v="98"/>
    <x v="0"/>
    <x v="98"/>
    <x v="70"/>
    <x v="1"/>
    <x v="0"/>
    <x v="0"/>
    <x v="2"/>
    <x v="1"/>
    <x v="0"/>
    <x v="1"/>
    <x v="0"/>
  </r>
  <r>
    <x v="1"/>
    <x v="262"/>
    <x v="262"/>
    <x v="5"/>
    <x v="43"/>
    <x v="79"/>
    <x v="0"/>
    <x v="143"/>
    <x v="53"/>
    <x v="11"/>
    <x v="10"/>
    <x v="10"/>
    <x v="108"/>
    <x v="119"/>
    <x v="2"/>
    <x v="0"/>
    <x v="99"/>
    <x v="0"/>
    <x v="99"/>
    <x v="0"/>
    <x v="0"/>
    <x v="22"/>
    <x v="19"/>
    <x v="1"/>
    <x v="0"/>
    <x v="0"/>
    <x v="1"/>
    <x v="15"/>
  </r>
  <r>
    <x v="1"/>
    <x v="263"/>
    <x v="263"/>
    <x v="17"/>
    <x v="65"/>
    <x v="5"/>
    <x v="0"/>
    <x v="158"/>
    <x v="61"/>
    <x v="6"/>
    <x v="3"/>
    <x v="3"/>
    <x v="0"/>
    <x v="120"/>
    <x v="2"/>
    <x v="0"/>
    <x v="0"/>
    <x v="0"/>
    <x v="0"/>
    <x v="0"/>
    <x v="0"/>
    <x v="23"/>
    <x v="0"/>
    <x v="3"/>
    <x v="1"/>
    <x v="3"/>
    <x v="1"/>
    <x v="0"/>
  </r>
  <r>
    <x v="1"/>
    <x v="264"/>
    <x v="264"/>
    <x v="1"/>
    <x v="41"/>
    <x v="61"/>
    <x v="0"/>
    <x v="106"/>
    <x v="6"/>
    <x v="4"/>
    <x v="4"/>
    <x v="4"/>
    <x v="79"/>
    <x v="121"/>
    <x v="2"/>
    <x v="0"/>
    <x v="26"/>
    <x v="0"/>
    <x v="26"/>
    <x v="22"/>
    <x v="1"/>
    <x v="0"/>
    <x v="0"/>
    <x v="1"/>
    <x v="1"/>
    <x v="1"/>
    <x v="1"/>
    <x v="0"/>
  </r>
  <r>
    <x v="1"/>
    <x v="265"/>
    <x v="265"/>
    <x v="2"/>
    <x v="46"/>
    <x v="5"/>
    <x v="0"/>
    <x v="79"/>
    <x v="24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66"/>
    <x v="266"/>
    <x v="6"/>
    <x v="51"/>
    <x v="83"/>
    <x v="0"/>
    <x v="157"/>
    <x v="17"/>
    <x v="14"/>
    <x v="13"/>
    <x v="13"/>
    <x v="141"/>
    <x v="118"/>
    <x v="1"/>
    <x v="0"/>
    <x v="100"/>
    <x v="0"/>
    <x v="100"/>
    <x v="71"/>
    <x v="1"/>
    <x v="0"/>
    <x v="0"/>
    <x v="2"/>
    <x v="1"/>
    <x v="0"/>
    <x v="1"/>
    <x v="0"/>
  </r>
  <r>
    <x v="1"/>
    <x v="267"/>
    <x v="267"/>
    <x v="11"/>
    <x v="47"/>
    <x v="5"/>
    <x v="0"/>
    <x v="80"/>
    <x v="32"/>
    <x v="11"/>
    <x v="10"/>
    <x v="10"/>
    <x v="142"/>
    <x v="122"/>
    <x v="1"/>
    <x v="0"/>
    <x v="67"/>
    <x v="0"/>
    <x v="67"/>
    <x v="52"/>
    <x v="1"/>
    <x v="0"/>
    <x v="0"/>
    <x v="1"/>
    <x v="1"/>
    <x v="1"/>
    <x v="1"/>
    <x v="0"/>
  </r>
  <r>
    <x v="1"/>
    <x v="268"/>
    <x v="268"/>
    <x v="5"/>
    <x v="8"/>
    <x v="33"/>
    <x v="0"/>
    <x v="5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69"/>
    <x v="269"/>
    <x v="11"/>
    <x v="47"/>
    <x v="5"/>
    <x v="0"/>
    <x v="80"/>
    <x v="32"/>
    <x v="14"/>
    <x v="13"/>
    <x v="13"/>
    <x v="143"/>
    <x v="123"/>
    <x v="2"/>
    <x v="0"/>
    <x v="76"/>
    <x v="0"/>
    <x v="76"/>
    <x v="0"/>
    <x v="0"/>
    <x v="0"/>
    <x v="0"/>
    <x v="4"/>
    <x v="1"/>
    <x v="4"/>
    <x v="1"/>
    <x v="0"/>
  </r>
  <r>
    <x v="1"/>
    <x v="270"/>
    <x v="270"/>
    <x v="4"/>
    <x v="7"/>
    <x v="84"/>
    <x v="0"/>
    <x v="159"/>
    <x v="37"/>
    <x v="14"/>
    <x v="13"/>
    <x v="13"/>
    <x v="144"/>
    <x v="124"/>
    <x v="1"/>
    <x v="2"/>
    <x v="101"/>
    <x v="2"/>
    <x v="4"/>
    <x v="0"/>
    <x v="0"/>
    <x v="0"/>
    <x v="0"/>
    <x v="5"/>
    <x v="1"/>
    <x v="0"/>
    <x v="1"/>
    <x v="16"/>
  </r>
  <r>
    <x v="1"/>
    <x v="271"/>
    <x v="271"/>
    <x v="5"/>
    <x v="43"/>
    <x v="56"/>
    <x v="0"/>
    <x v="160"/>
    <x v="29"/>
    <x v="20"/>
    <x v="19"/>
    <x v="19"/>
    <x v="145"/>
    <x v="125"/>
    <x v="1"/>
    <x v="0"/>
    <x v="102"/>
    <x v="0"/>
    <x v="101"/>
    <x v="72"/>
    <x v="1"/>
    <x v="0"/>
    <x v="0"/>
    <x v="1"/>
    <x v="1"/>
    <x v="1"/>
    <x v="1"/>
    <x v="0"/>
  </r>
  <r>
    <x v="1"/>
    <x v="272"/>
    <x v="272"/>
    <x v="1"/>
    <x v="41"/>
    <x v="85"/>
    <x v="0"/>
    <x v="161"/>
    <x v="37"/>
    <x v="14"/>
    <x v="13"/>
    <x v="13"/>
    <x v="146"/>
    <x v="126"/>
    <x v="1"/>
    <x v="0"/>
    <x v="59"/>
    <x v="0"/>
    <x v="59"/>
    <x v="45"/>
    <x v="1"/>
    <x v="0"/>
    <x v="0"/>
    <x v="2"/>
    <x v="1"/>
    <x v="0"/>
    <x v="1"/>
    <x v="0"/>
  </r>
  <r>
    <x v="1"/>
    <x v="273"/>
    <x v="273"/>
    <x v="5"/>
    <x v="32"/>
    <x v="4"/>
    <x v="1"/>
    <x v="82"/>
    <x v="3"/>
    <x v="6"/>
    <x v="3"/>
    <x v="3"/>
    <x v="49"/>
    <x v="127"/>
    <x v="1"/>
    <x v="0"/>
    <x v="84"/>
    <x v="0"/>
    <x v="84"/>
    <x v="61"/>
    <x v="1"/>
    <x v="0"/>
    <x v="0"/>
    <x v="2"/>
    <x v="1"/>
    <x v="0"/>
    <x v="1"/>
    <x v="0"/>
  </r>
  <r>
    <x v="1"/>
    <x v="274"/>
    <x v="274"/>
    <x v="10"/>
    <x v="59"/>
    <x v="5"/>
    <x v="0"/>
    <x v="123"/>
    <x v="62"/>
    <x v="6"/>
    <x v="3"/>
    <x v="3"/>
    <x v="147"/>
    <x v="128"/>
    <x v="1"/>
    <x v="0"/>
    <x v="103"/>
    <x v="0"/>
    <x v="102"/>
    <x v="73"/>
    <x v="1"/>
    <x v="0"/>
    <x v="0"/>
    <x v="1"/>
    <x v="1"/>
    <x v="1"/>
    <x v="1"/>
    <x v="0"/>
  </r>
  <r>
    <x v="1"/>
    <x v="275"/>
    <x v="275"/>
    <x v="0"/>
    <x v="0"/>
    <x v="86"/>
    <x v="0"/>
    <x v="162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76"/>
    <x v="276"/>
    <x v="12"/>
    <x v="49"/>
    <x v="87"/>
    <x v="0"/>
    <x v="163"/>
    <x v="59"/>
    <x v="6"/>
    <x v="3"/>
    <x v="3"/>
    <x v="148"/>
    <x v="5"/>
    <x v="1"/>
    <x v="0"/>
    <x v="77"/>
    <x v="0"/>
    <x v="77"/>
    <x v="58"/>
    <x v="1"/>
    <x v="0"/>
    <x v="0"/>
    <x v="1"/>
    <x v="1"/>
    <x v="1"/>
    <x v="1"/>
    <x v="0"/>
  </r>
  <r>
    <x v="1"/>
    <x v="277"/>
    <x v="277"/>
    <x v="4"/>
    <x v="10"/>
    <x v="11"/>
    <x v="0"/>
    <x v="164"/>
    <x v="9"/>
    <x v="11"/>
    <x v="10"/>
    <x v="10"/>
    <x v="149"/>
    <x v="0"/>
    <x v="1"/>
    <x v="0"/>
    <x v="0"/>
    <x v="0"/>
    <x v="0"/>
    <x v="0"/>
    <x v="0"/>
    <x v="0"/>
    <x v="0"/>
    <x v="4"/>
    <x v="1"/>
    <x v="4"/>
    <x v="1"/>
    <x v="0"/>
  </r>
  <r>
    <x v="1"/>
    <x v="278"/>
    <x v="278"/>
    <x v="1"/>
    <x v="39"/>
    <x v="35"/>
    <x v="1"/>
    <x v="62"/>
    <x v="15"/>
    <x v="18"/>
    <x v="17"/>
    <x v="17"/>
    <x v="150"/>
    <x v="90"/>
    <x v="1"/>
    <x v="0"/>
    <x v="67"/>
    <x v="0"/>
    <x v="67"/>
    <x v="52"/>
    <x v="1"/>
    <x v="0"/>
    <x v="0"/>
    <x v="2"/>
    <x v="1"/>
    <x v="0"/>
    <x v="1"/>
    <x v="0"/>
  </r>
  <r>
    <x v="1"/>
    <x v="279"/>
    <x v="279"/>
    <x v="5"/>
    <x v="32"/>
    <x v="15"/>
    <x v="1"/>
    <x v="90"/>
    <x v="2"/>
    <x v="25"/>
    <x v="24"/>
    <x v="24"/>
    <x v="151"/>
    <x v="0"/>
    <x v="2"/>
    <x v="0"/>
    <x v="0"/>
    <x v="0"/>
    <x v="0"/>
    <x v="0"/>
    <x v="0"/>
    <x v="0"/>
    <x v="0"/>
    <x v="3"/>
    <x v="1"/>
    <x v="3"/>
    <x v="1"/>
    <x v="0"/>
  </r>
  <r>
    <x v="1"/>
    <x v="280"/>
    <x v="280"/>
    <x v="12"/>
    <x v="49"/>
    <x v="88"/>
    <x v="0"/>
    <x v="165"/>
    <x v="63"/>
    <x v="6"/>
    <x v="3"/>
    <x v="3"/>
    <x v="4"/>
    <x v="129"/>
    <x v="1"/>
    <x v="0"/>
    <x v="104"/>
    <x v="0"/>
    <x v="103"/>
    <x v="74"/>
    <x v="1"/>
    <x v="0"/>
    <x v="0"/>
    <x v="2"/>
    <x v="1"/>
    <x v="0"/>
    <x v="1"/>
    <x v="0"/>
  </r>
  <r>
    <x v="1"/>
    <x v="281"/>
    <x v="281"/>
    <x v="18"/>
    <x v="15"/>
    <x v="5"/>
    <x v="0"/>
    <x v="166"/>
    <x v="64"/>
    <x v="6"/>
    <x v="3"/>
    <x v="3"/>
    <x v="111"/>
    <x v="130"/>
    <x v="1"/>
    <x v="0"/>
    <x v="105"/>
    <x v="0"/>
    <x v="104"/>
    <x v="0"/>
    <x v="0"/>
    <x v="0"/>
    <x v="0"/>
    <x v="1"/>
    <x v="0"/>
    <x v="0"/>
    <x v="1"/>
    <x v="4"/>
  </r>
  <r>
    <x v="1"/>
    <x v="282"/>
    <x v="282"/>
    <x v="16"/>
    <x v="64"/>
    <x v="5"/>
    <x v="0"/>
    <x v="153"/>
    <x v="65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283"/>
    <x v="283"/>
    <x v="19"/>
    <x v="15"/>
    <x v="5"/>
    <x v="0"/>
    <x v="167"/>
    <x v="66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84"/>
    <x v="284"/>
    <x v="0"/>
    <x v="16"/>
    <x v="4"/>
    <x v="1"/>
    <x v="168"/>
    <x v="3"/>
    <x v="11"/>
    <x v="10"/>
    <x v="10"/>
    <x v="152"/>
    <x v="131"/>
    <x v="1"/>
    <x v="0"/>
    <x v="14"/>
    <x v="0"/>
    <x v="14"/>
    <x v="11"/>
    <x v="1"/>
    <x v="0"/>
    <x v="0"/>
    <x v="5"/>
    <x v="1"/>
    <x v="0"/>
    <x v="1"/>
    <x v="0"/>
  </r>
  <r>
    <x v="1"/>
    <x v="285"/>
    <x v="285"/>
    <x v="1"/>
    <x v="41"/>
    <x v="38"/>
    <x v="1"/>
    <x v="68"/>
    <x v="12"/>
    <x v="11"/>
    <x v="10"/>
    <x v="10"/>
    <x v="0"/>
    <x v="132"/>
    <x v="2"/>
    <x v="0"/>
    <x v="0"/>
    <x v="0"/>
    <x v="0"/>
    <x v="0"/>
    <x v="0"/>
    <x v="0"/>
    <x v="0"/>
    <x v="1"/>
    <x v="1"/>
    <x v="1"/>
    <x v="1"/>
    <x v="0"/>
  </r>
  <r>
    <x v="1"/>
    <x v="286"/>
    <x v="286"/>
    <x v="12"/>
    <x v="49"/>
    <x v="89"/>
    <x v="0"/>
    <x v="169"/>
    <x v="67"/>
    <x v="6"/>
    <x v="3"/>
    <x v="3"/>
    <x v="153"/>
    <x v="133"/>
    <x v="1"/>
    <x v="2"/>
    <x v="106"/>
    <x v="2"/>
    <x v="105"/>
    <x v="75"/>
    <x v="1"/>
    <x v="0"/>
    <x v="0"/>
    <x v="1"/>
    <x v="1"/>
    <x v="1"/>
    <x v="1"/>
    <x v="17"/>
  </r>
  <r>
    <x v="1"/>
    <x v="287"/>
    <x v="287"/>
    <x v="0"/>
    <x v="6"/>
    <x v="23"/>
    <x v="0"/>
    <x v="36"/>
    <x v="37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88"/>
    <x v="288"/>
    <x v="3"/>
    <x v="15"/>
    <x v="5"/>
    <x v="0"/>
    <x v="148"/>
    <x v="56"/>
    <x v="15"/>
    <x v="14"/>
    <x v="14"/>
    <x v="154"/>
    <x v="93"/>
    <x v="1"/>
    <x v="0"/>
    <x v="20"/>
    <x v="0"/>
    <x v="20"/>
    <x v="17"/>
    <x v="1"/>
    <x v="0"/>
    <x v="0"/>
    <x v="1"/>
    <x v="1"/>
    <x v="1"/>
    <x v="1"/>
    <x v="0"/>
  </r>
  <r>
    <x v="1"/>
    <x v="289"/>
    <x v="289"/>
    <x v="13"/>
    <x v="54"/>
    <x v="5"/>
    <x v="0"/>
    <x v="97"/>
    <x v="68"/>
    <x v="6"/>
    <x v="3"/>
    <x v="3"/>
    <x v="84"/>
    <x v="134"/>
    <x v="2"/>
    <x v="0"/>
    <x v="12"/>
    <x v="0"/>
    <x v="12"/>
    <x v="9"/>
    <x v="1"/>
    <x v="0"/>
    <x v="0"/>
    <x v="1"/>
    <x v="1"/>
    <x v="1"/>
    <x v="1"/>
    <x v="0"/>
  </r>
  <r>
    <x v="1"/>
    <x v="290"/>
    <x v="290"/>
    <x v="6"/>
    <x v="57"/>
    <x v="57"/>
    <x v="0"/>
    <x v="100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91"/>
    <x v="291"/>
    <x v="1"/>
    <x v="66"/>
    <x v="90"/>
    <x v="0"/>
    <x v="170"/>
    <x v="69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92"/>
    <x v="292"/>
    <x v="3"/>
    <x v="67"/>
    <x v="15"/>
    <x v="1"/>
    <x v="171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293"/>
    <x v="293"/>
    <x v="5"/>
    <x v="48"/>
    <x v="91"/>
    <x v="0"/>
    <x v="172"/>
    <x v="6"/>
    <x v="33"/>
    <x v="32"/>
    <x v="3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94"/>
    <x v="294"/>
    <x v="6"/>
    <x v="28"/>
    <x v="18"/>
    <x v="1"/>
    <x v="48"/>
    <x v="17"/>
    <x v="12"/>
    <x v="11"/>
    <x v="11"/>
    <x v="155"/>
    <x v="135"/>
    <x v="1"/>
    <x v="0"/>
    <x v="107"/>
    <x v="0"/>
    <x v="106"/>
    <x v="0"/>
    <x v="0"/>
    <x v="0"/>
    <x v="0"/>
    <x v="4"/>
    <x v="1"/>
    <x v="4"/>
    <x v="1"/>
    <x v="0"/>
  </r>
  <r>
    <x v="1"/>
    <x v="295"/>
    <x v="295"/>
    <x v="6"/>
    <x v="17"/>
    <x v="92"/>
    <x v="0"/>
    <x v="173"/>
    <x v="37"/>
    <x v="1"/>
    <x v="1"/>
    <x v="1"/>
    <x v="0"/>
    <x v="0"/>
    <x v="2"/>
    <x v="0"/>
    <x v="0"/>
    <x v="0"/>
    <x v="0"/>
    <x v="0"/>
    <x v="0"/>
    <x v="0"/>
    <x v="0"/>
    <x v="0"/>
    <x v="0"/>
    <x v="0"/>
    <x v="1"/>
    <x v="18"/>
  </r>
  <r>
    <x v="1"/>
    <x v="296"/>
    <x v="296"/>
    <x v="6"/>
    <x v="28"/>
    <x v="70"/>
    <x v="1"/>
    <x v="134"/>
    <x v="46"/>
    <x v="23"/>
    <x v="22"/>
    <x v="22"/>
    <x v="156"/>
    <x v="136"/>
    <x v="1"/>
    <x v="0"/>
    <x v="38"/>
    <x v="0"/>
    <x v="38"/>
    <x v="31"/>
    <x v="1"/>
    <x v="0"/>
    <x v="0"/>
    <x v="2"/>
    <x v="1"/>
    <x v="0"/>
    <x v="1"/>
    <x v="0"/>
  </r>
  <r>
    <x v="1"/>
    <x v="297"/>
    <x v="297"/>
    <x v="5"/>
    <x v="68"/>
    <x v="5"/>
    <x v="0"/>
    <x v="174"/>
    <x v="6"/>
    <x v="34"/>
    <x v="33"/>
    <x v="33"/>
    <x v="157"/>
    <x v="137"/>
    <x v="2"/>
    <x v="0"/>
    <x v="45"/>
    <x v="0"/>
    <x v="45"/>
    <x v="35"/>
    <x v="1"/>
    <x v="0"/>
    <x v="0"/>
    <x v="5"/>
    <x v="1"/>
    <x v="0"/>
    <x v="1"/>
    <x v="0"/>
  </r>
  <r>
    <x v="1"/>
    <x v="298"/>
    <x v="298"/>
    <x v="17"/>
    <x v="15"/>
    <x v="5"/>
    <x v="0"/>
    <x v="175"/>
    <x v="7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299"/>
    <x v="299"/>
    <x v="5"/>
    <x v="32"/>
    <x v="4"/>
    <x v="1"/>
    <x v="82"/>
    <x v="3"/>
    <x v="11"/>
    <x v="10"/>
    <x v="10"/>
    <x v="126"/>
    <x v="138"/>
    <x v="1"/>
    <x v="0"/>
    <x v="97"/>
    <x v="0"/>
    <x v="97"/>
    <x v="69"/>
    <x v="1"/>
    <x v="24"/>
    <x v="20"/>
    <x v="2"/>
    <x v="1"/>
    <x v="0"/>
    <x v="1"/>
    <x v="0"/>
  </r>
  <r>
    <x v="1"/>
    <x v="300"/>
    <x v="300"/>
    <x v="5"/>
    <x v="53"/>
    <x v="93"/>
    <x v="0"/>
    <x v="176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01"/>
    <x v="301"/>
    <x v="6"/>
    <x v="28"/>
    <x v="15"/>
    <x v="1"/>
    <x v="177"/>
    <x v="2"/>
    <x v="14"/>
    <x v="13"/>
    <x v="13"/>
    <x v="0"/>
    <x v="112"/>
    <x v="2"/>
    <x v="0"/>
    <x v="0"/>
    <x v="0"/>
    <x v="0"/>
    <x v="0"/>
    <x v="0"/>
    <x v="0"/>
    <x v="0"/>
    <x v="4"/>
    <x v="1"/>
    <x v="4"/>
    <x v="1"/>
    <x v="0"/>
  </r>
  <r>
    <x v="1"/>
    <x v="302"/>
    <x v="302"/>
    <x v="14"/>
    <x v="61"/>
    <x v="5"/>
    <x v="0"/>
    <x v="140"/>
    <x v="71"/>
    <x v="6"/>
    <x v="3"/>
    <x v="3"/>
    <x v="158"/>
    <x v="139"/>
    <x v="2"/>
    <x v="0"/>
    <x v="36"/>
    <x v="0"/>
    <x v="36"/>
    <x v="29"/>
    <x v="1"/>
    <x v="0"/>
    <x v="0"/>
    <x v="1"/>
    <x v="1"/>
    <x v="1"/>
    <x v="1"/>
    <x v="0"/>
  </r>
  <r>
    <x v="1"/>
    <x v="303"/>
    <x v="303"/>
    <x v="5"/>
    <x v="53"/>
    <x v="94"/>
    <x v="0"/>
    <x v="178"/>
    <x v="6"/>
    <x v="4"/>
    <x v="4"/>
    <x v="4"/>
    <x v="159"/>
    <x v="140"/>
    <x v="1"/>
    <x v="0"/>
    <x v="108"/>
    <x v="0"/>
    <x v="107"/>
    <x v="76"/>
    <x v="1"/>
    <x v="25"/>
    <x v="21"/>
    <x v="1"/>
    <x v="1"/>
    <x v="1"/>
    <x v="1"/>
    <x v="0"/>
  </r>
  <r>
    <x v="1"/>
    <x v="304"/>
    <x v="304"/>
    <x v="3"/>
    <x v="69"/>
    <x v="5"/>
    <x v="0"/>
    <x v="17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05"/>
    <x v="305"/>
    <x v="12"/>
    <x v="49"/>
    <x v="89"/>
    <x v="0"/>
    <x v="169"/>
    <x v="38"/>
    <x v="6"/>
    <x v="3"/>
    <x v="3"/>
    <x v="111"/>
    <x v="141"/>
    <x v="1"/>
    <x v="0"/>
    <x v="85"/>
    <x v="0"/>
    <x v="85"/>
    <x v="0"/>
    <x v="0"/>
    <x v="0"/>
    <x v="0"/>
    <x v="1"/>
    <x v="1"/>
    <x v="1"/>
    <x v="1"/>
    <x v="0"/>
  </r>
  <r>
    <x v="1"/>
    <x v="306"/>
    <x v="306"/>
    <x v="1"/>
    <x v="41"/>
    <x v="95"/>
    <x v="0"/>
    <x v="180"/>
    <x v="37"/>
    <x v="5"/>
    <x v="5"/>
    <x v="5"/>
    <x v="53"/>
    <x v="121"/>
    <x v="1"/>
    <x v="0"/>
    <x v="109"/>
    <x v="0"/>
    <x v="108"/>
    <x v="77"/>
    <x v="1"/>
    <x v="0"/>
    <x v="0"/>
    <x v="4"/>
    <x v="1"/>
    <x v="4"/>
    <x v="1"/>
    <x v="0"/>
  </r>
  <r>
    <x v="1"/>
    <x v="307"/>
    <x v="307"/>
    <x v="6"/>
    <x v="28"/>
    <x v="21"/>
    <x v="1"/>
    <x v="181"/>
    <x v="43"/>
    <x v="20"/>
    <x v="19"/>
    <x v="19"/>
    <x v="160"/>
    <x v="110"/>
    <x v="1"/>
    <x v="0"/>
    <x v="110"/>
    <x v="0"/>
    <x v="109"/>
    <x v="78"/>
    <x v="1"/>
    <x v="0"/>
    <x v="0"/>
    <x v="2"/>
    <x v="1"/>
    <x v="0"/>
    <x v="1"/>
    <x v="0"/>
  </r>
  <r>
    <x v="1"/>
    <x v="308"/>
    <x v="308"/>
    <x v="6"/>
    <x v="13"/>
    <x v="12"/>
    <x v="1"/>
    <x v="17"/>
    <x v="1"/>
    <x v="35"/>
    <x v="10"/>
    <x v="3"/>
    <x v="0"/>
    <x v="0"/>
    <x v="1"/>
    <x v="0"/>
    <x v="0"/>
    <x v="0"/>
    <x v="0"/>
    <x v="0"/>
    <x v="0"/>
    <x v="26"/>
    <x v="22"/>
    <x v="0"/>
    <x v="0"/>
    <x v="0"/>
    <x v="1"/>
    <x v="0"/>
  </r>
  <r>
    <x v="1"/>
    <x v="309"/>
    <x v="309"/>
    <x v="12"/>
    <x v="49"/>
    <x v="96"/>
    <x v="0"/>
    <x v="182"/>
    <x v="72"/>
    <x v="6"/>
    <x v="3"/>
    <x v="3"/>
    <x v="0"/>
    <x v="110"/>
    <x v="2"/>
    <x v="0"/>
    <x v="0"/>
    <x v="0"/>
    <x v="0"/>
    <x v="0"/>
    <x v="0"/>
    <x v="27"/>
    <x v="23"/>
    <x v="3"/>
    <x v="1"/>
    <x v="3"/>
    <x v="1"/>
    <x v="0"/>
  </r>
  <r>
    <x v="1"/>
    <x v="310"/>
    <x v="310"/>
    <x v="16"/>
    <x v="64"/>
    <x v="5"/>
    <x v="0"/>
    <x v="153"/>
    <x v="6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11"/>
    <x v="311"/>
    <x v="6"/>
    <x v="21"/>
    <x v="97"/>
    <x v="0"/>
    <x v="183"/>
    <x v="1"/>
    <x v="14"/>
    <x v="13"/>
    <x v="13"/>
    <x v="161"/>
    <x v="32"/>
    <x v="1"/>
    <x v="0"/>
    <x v="111"/>
    <x v="0"/>
    <x v="110"/>
    <x v="79"/>
    <x v="1"/>
    <x v="0"/>
    <x v="0"/>
    <x v="2"/>
    <x v="1"/>
    <x v="0"/>
    <x v="1"/>
    <x v="0"/>
  </r>
  <r>
    <x v="1"/>
    <x v="312"/>
    <x v="312"/>
    <x v="0"/>
    <x v="1"/>
    <x v="14"/>
    <x v="0"/>
    <x v="18"/>
    <x v="6"/>
    <x v="32"/>
    <x v="31"/>
    <x v="31"/>
    <x v="87"/>
    <x v="142"/>
    <x v="1"/>
    <x v="0"/>
    <x v="112"/>
    <x v="0"/>
    <x v="111"/>
    <x v="80"/>
    <x v="1"/>
    <x v="0"/>
    <x v="0"/>
    <x v="2"/>
    <x v="1"/>
    <x v="0"/>
    <x v="1"/>
    <x v="0"/>
  </r>
  <r>
    <x v="1"/>
    <x v="313"/>
    <x v="313"/>
    <x v="6"/>
    <x v="10"/>
    <x v="11"/>
    <x v="0"/>
    <x v="49"/>
    <x v="9"/>
    <x v="6"/>
    <x v="3"/>
    <x v="3"/>
    <x v="162"/>
    <x v="143"/>
    <x v="1"/>
    <x v="0"/>
    <x v="103"/>
    <x v="0"/>
    <x v="102"/>
    <x v="73"/>
    <x v="1"/>
    <x v="0"/>
    <x v="0"/>
    <x v="2"/>
    <x v="1"/>
    <x v="0"/>
    <x v="1"/>
    <x v="0"/>
  </r>
  <r>
    <x v="1"/>
    <x v="314"/>
    <x v="314"/>
    <x v="11"/>
    <x v="47"/>
    <x v="5"/>
    <x v="0"/>
    <x v="80"/>
    <x v="32"/>
    <x v="14"/>
    <x v="13"/>
    <x v="13"/>
    <x v="163"/>
    <x v="0"/>
    <x v="2"/>
    <x v="0"/>
    <x v="0"/>
    <x v="0"/>
    <x v="0"/>
    <x v="0"/>
    <x v="0"/>
    <x v="0"/>
    <x v="0"/>
    <x v="3"/>
    <x v="1"/>
    <x v="3"/>
    <x v="1"/>
    <x v="0"/>
  </r>
  <r>
    <x v="1"/>
    <x v="315"/>
    <x v="315"/>
    <x v="4"/>
    <x v="43"/>
    <x v="5"/>
    <x v="0"/>
    <x v="75"/>
    <x v="29"/>
    <x v="20"/>
    <x v="19"/>
    <x v="19"/>
    <x v="164"/>
    <x v="144"/>
    <x v="1"/>
    <x v="0"/>
    <x v="113"/>
    <x v="0"/>
    <x v="112"/>
    <x v="81"/>
    <x v="1"/>
    <x v="0"/>
    <x v="0"/>
    <x v="2"/>
    <x v="1"/>
    <x v="0"/>
    <x v="1"/>
    <x v="0"/>
  </r>
  <r>
    <x v="1"/>
    <x v="316"/>
    <x v="316"/>
    <x v="5"/>
    <x v="32"/>
    <x v="15"/>
    <x v="1"/>
    <x v="90"/>
    <x v="2"/>
    <x v="3"/>
    <x v="3"/>
    <x v="3"/>
    <x v="165"/>
    <x v="145"/>
    <x v="2"/>
    <x v="0"/>
    <x v="114"/>
    <x v="0"/>
    <x v="113"/>
    <x v="0"/>
    <x v="0"/>
    <x v="0"/>
    <x v="0"/>
    <x v="4"/>
    <x v="0"/>
    <x v="0"/>
    <x v="1"/>
    <x v="0"/>
  </r>
  <r>
    <x v="1"/>
    <x v="317"/>
    <x v="317"/>
    <x v="6"/>
    <x v="57"/>
    <x v="57"/>
    <x v="0"/>
    <x v="100"/>
    <x v="16"/>
    <x v="12"/>
    <x v="11"/>
    <x v="11"/>
    <x v="57"/>
    <x v="146"/>
    <x v="2"/>
    <x v="0"/>
    <x v="36"/>
    <x v="0"/>
    <x v="36"/>
    <x v="29"/>
    <x v="1"/>
    <x v="0"/>
    <x v="0"/>
    <x v="2"/>
    <x v="1"/>
    <x v="0"/>
    <x v="1"/>
    <x v="0"/>
  </r>
  <r>
    <x v="1"/>
    <x v="318"/>
    <x v="318"/>
    <x v="1"/>
    <x v="41"/>
    <x v="69"/>
    <x v="0"/>
    <x v="122"/>
    <x v="19"/>
    <x v="11"/>
    <x v="10"/>
    <x v="10"/>
    <x v="166"/>
    <x v="131"/>
    <x v="1"/>
    <x v="0"/>
    <x v="2"/>
    <x v="0"/>
    <x v="2"/>
    <x v="1"/>
    <x v="1"/>
    <x v="0"/>
    <x v="0"/>
    <x v="2"/>
    <x v="1"/>
    <x v="0"/>
    <x v="1"/>
    <x v="0"/>
  </r>
  <r>
    <x v="1"/>
    <x v="319"/>
    <x v="319"/>
    <x v="5"/>
    <x v="32"/>
    <x v="18"/>
    <x v="1"/>
    <x v="50"/>
    <x v="17"/>
    <x v="13"/>
    <x v="12"/>
    <x v="12"/>
    <x v="167"/>
    <x v="0"/>
    <x v="1"/>
    <x v="0"/>
    <x v="0"/>
    <x v="0"/>
    <x v="0"/>
    <x v="0"/>
    <x v="0"/>
    <x v="0"/>
    <x v="0"/>
    <x v="3"/>
    <x v="1"/>
    <x v="3"/>
    <x v="1"/>
    <x v="0"/>
  </r>
  <r>
    <x v="1"/>
    <x v="320"/>
    <x v="320"/>
    <x v="4"/>
    <x v="12"/>
    <x v="64"/>
    <x v="0"/>
    <x v="113"/>
    <x v="37"/>
    <x v="5"/>
    <x v="5"/>
    <x v="5"/>
    <x v="168"/>
    <x v="147"/>
    <x v="1"/>
    <x v="0"/>
    <x v="115"/>
    <x v="0"/>
    <x v="114"/>
    <x v="82"/>
    <x v="1"/>
    <x v="0"/>
    <x v="0"/>
    <x v="2"/>
    <x v="1"/>
    <x v="0"/>
    <x v="1"/>
    <x v="0"/>
  </r>
  <r>
    <x v="1"/>
    <x v="321"/>
    <x v="321"/>
    <x v="11"/>
    <x v="47"/>
    <x v="5"/>
    <x v="0"/>
    <x v="80"/>
    <x v="32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22"/>
    <x v="322"/>
    <x v="0"/>
    <x v="52"/>
    <x v="98"/>
    <x v="0"/>
    <x v="184"/>
    <x v="6"/>
    <x v="17"/>
    <x v="16"/>
    <x v="16"/>
    <x v="169"/>
    <x v="148"/>
    <x v="1"/>
    <x v="0"/>
    <x v="116"/>
    <x v="0"/>
    <x v="115"/>
    <x v="83"/>
    <x v="1"/>
    <x v="0"/>
    <x v="0"/>
    <x v="2"/>
    <x v="1"/>
    <x v="0"/>
    <x v="1"/>
    <x v="0"/>
  </r>
  <r>
    <x v="1"/>
    <x v="323"/>
    <x v="323"/>
    <x v="6"/>
    <x v="57"/>
    <x v="60"/>
    <x v="0"/>
    <x v="104"/>
    <x v="1"/>
    <x v="4"/>
    <x v="4"/>
    <x v="4"/>
    <x v="60"/>
    <x v="149"/>
    <x v="1"/>
    <x v="0"/>
    <x v="117"/>
    <x v="0"/>
    <x v="116"/>
    <x v="84"/>
    <x v="1"/>
    <x v="28"/>
    <x v="24"/>
    <x v="4"/>
    <x v="1"/>
    <x v="4"/>
    <x v="1"/>
    <x v="0"/>
  </r>
  <r>
    <x v="1"/>
    <x v="324"/>
    <x v="324"/>
    <x v="4"/>
    <x v="26"/>
    <x v="15"/>
    <x v="1"/>
    <x v="141"/>
    <x v="2"/>
    <x v="13"/>
    <x v="12"/>
    <x v="12"/>
    <x v="170"/>
    <x v="150"/>
    <x v="1"/>
    <x v="0"/>
    <x v="118"/>
    <x v="0"/>
    <x v="117"/>
    <x v="85"/>
    <x v="1"/>
    <x v="29"/>
    <x v="25"/>
    <x v="1"/>
    <x v="1"/>
    <x v="1"/>
    <x v="1"/>
    <x v="0"/>
  </r>
  <r>
    <x v="1"/>
    <x v="325"/>
    <x v="325"/>
    <x v="3"/>
    <x v="4"/>
    <x v="4"/>
    <x v="1"/>
    <x v="185"/>
    <x v="3"/>
    <x v="14"/>
    <x v="13"/>
    <x v="13"/>
    <x v="68"/>
    <x v="151"/>
    <x v="1"/>
    <x v="0"/>
    <x v="109"/>
    <x v="0"/>
    <x v="108"/>
    <x v="77"/>
    <x v="1"/>
    <x v="0"/>
    <x v="0"/>
    <x v="1"/>
    <x v="1"/>
    <x v="1"/>
    <x v="1"/>
    <x v="0"/>
  </r>
  <r>
    <x v="1"/>
    <x v="326"/>
    <x v="326"/>
    <x v="6"/>
    <x v="10"/>
    <x v="5"/>
    <x v="0"/>
    <x v="186"/>
    <x v="9"/>
    <x v="6"/>
    <x v="3"/>
    <x v="3"/>
    <x v="171"/>
    <x v="119"/>
    <x v="1"/>
    <x v="0"/>
    <x v="75"/>
    <x v="0"/>
    <x v="75"/>
    <x v="57"/>
    <x v="1"/>
    <x v="0"/>
    <x v="0"/>
    <x v="5"/>
    <x v="1"/>
    <x v="0"/>
    <x v="1"/>
    <x v="0"/>
  </r>
  <r>
    <x v="1"/>
    <x v="327"/>
    <x v="327"/>
    <x v="1"/>
    <x v="39"/>
    <x v="99"/>
    <x v="0"/>
    <x v="187"/>
    <x v="6"/>
    <x v="19"/>
    <x v="18"/>
    <x v="18"/>
    <x v="172"/>
    <x v="129"/>
    <x v="1"/>
    <x v="0"/>
    <x v="17"/>
    <x v="0"/>
    <x v="17"/>
    <x v="14"/>
    <x v="1"/>
    <x v="0"/>
    <x v="0"/>
    <x v="1"/>
    <x v="1"/>
    <x v="1"/>
    <x v="1"/>
    <x v="0"/>
  </r>
  <r>
    <x v="1"/>
    <x v="328"/>
    <x v="328"/>
    <x v="20"/>
    <x v="70"/>
    <x v="5"/>
    <x v="0"/>
    <x v="188"/>
    <x v="73"/>
    <x v="10"/>
    <x v="9"/>
    <x v="9"/>
    <x v="77"/>
    <x v="152"/>
    <x v="1"/>
    <x v="0"/>
    <x v="119"/>
    <x v="0"/>
    <x v="118"/>
    <x v="86"/>
    <x v="1"/>
    <x v="0"/>
    <x v="0"/>
    <x v="1"/>
    <x v="1"/>
    <x v="1"/>
    <x v="1"/>
    <x v="0"/>
  </r>
  <r>
    <x v="1"/>
    <x v="329"/>
    <x v="329"/>
    <x v="4"/>
    <x v="7"/>
    <x v="17"/>
    <x v="0"/>
    <x v="24"/>
    <x v="37"/>
    <x v="23"/>
    <x v="22"/>
    <x v="22"/>
    <x v="173"/>
    <x v="153"/>
    <x v="1"/>
    <x v="0"/>
    <x v="120"/>
    <x v="0"/>
    <x v="119"/>
    <x v="0"/>
    <x v="0"/>
    <x v="0"/>
    <x v="0"/>
    <x v="1"/>
    <x v="1"/>
    <x v="1"/>
    <x v="1"/>
    <x v="0"/>
  </r>
  <r>
    <x v="1"/>
    <x v="330"/>
    <x v="330"/>
    <x v="1"/>
    <x v="66"/>
    <x v="90"/>
    <x v="0"/>
    <x v="170"/>
    <x v="74"/>
    <x v="11"/>
    <x v="10"/>
    <x v="10"/>
    <x v="148"/>
    <x v="154"/>
    <x v="1"/>
    <x v="0"/>
    <x v="10"/>
    <x v="0"/>
    <x v="10"/>
    <x v="7"/>
    <x v="1"/>
    <x v="0"/>
    <x v="0"/>
    <x v="1"/>
    <x v="1"/>
    <x v="1"/>
    <x v="1"/>
    <x v="0"/>
  </r>
  <r>
    <x v="1"/>
    <x v="331"/>
    <x v="331"/>
    <x v="4"/>
    <x v="26"/>
    <x v="21"/>
    <x v="1"/>
    <x v="189"/>
    <x v="43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332"/>
    <x v="332"/>
    <x v="6"/>
    <x v="28"/>
    <x v="15"/>
    <x v="1"/>
    <x v="177"/>
    <x v="2"/>
    <x v="22"/>
    <x v="21"/>
    <x v="21"/>
    <x v="174"/>
    <x v="155"/>
    <x v="1"/>
    <x v="0"/>
    <x v="121"/>
    <x v="0"/>
    <x v="120"/>
    <x v="0"/>
    <x v="0"/>
    <x v="0"/>
    <x v="0"/>
    <x v="4"/>
    <x v="1"/>
    <x v="4"/>
    <x v="1"/>
    <x v="0"/>
  </r>
  <r>
    <x v="1"/>
    <x v="333"/>
    <x v="333"/>
    <x v="2"/>
    <x v="20"/>
    <x v="18"/>
    <x v="1"/>
    <x v="27"/>
    <x v="17"/>
    <x v="1"/>
    <x v="1"/>
    <x v="1"/>
    <x v="175"/>
    <x v="156"/>
    <x v="1"/>
    <x v="0"/>
    <x v="122"/>
    <x v="0"/>
    <x v="121"/>
    <x v="87"/>
    <x v="1"/>
    <x v="30"/>
    <x v="26"/>
    <x v="2"/>
    <x v="1"/>
    <x v="0"/>
    <x v="1"/>
    <x v="0"/>
  </r>
  <r>
    <x v="1"/>
    <x v="334"/>
    <x v="334"/>
    <x v="2"/>
    <x v="10"/>
    <x v="11"/>
    <x v="0"/>
    <x v="190"/>
    <x v="9"/>
    <x v="14"/>
    <x v="13"/>
    <x v="13"/>
    <x v="96"/>
    <x v="157"/>
    <x v="1"/>
    <x v="0"/>
    <x v="117"/>
    <x v="0"/>
    <x v="116"/>
    <x v="84"/>
    <x v="1"/>
    <x v="0"/>
    <x v="0"/>
    <x v="2"/>
    <x v="1"/>
    <x v="0"/>
    <x v="1"/>
    <x v="0"/>
  </r>
  <r>
    <x v="1"/>
    <x v="335"/>
    <x v="335"/>
    <x v="12"/>
    <x v="49"/>
    <x v="47"/>
    <x v="0"/>
    <x v="84"/>
    <x v="72"/>
    <x v="6"/>
    <x v="3"/>
    <x v="3"/>
    <x v="4"/>
    <x v="158"/>
    <x v="1"/>
    <x v="0"/>
    <x v="87"/>
    <x v="0"/>
    <x v="87"/>
    <x v="0"/>
    <x v="0"/>
    <x v="0"/>
    <x v="0"/>
    <x v="5"/>
    <x v="1"/>
    <x v="0"/>
    <x v="1"/>
    <x v="0"/>
  </r>
  <r>
    <x v="1"/>
    <x v="336"/>
    <x v="336"/>
    <x v="6"/>
    <x v="57"/>
    <x v="57"/>
    <x v="0"/>
    <x v="100"/>
    <x v="15"/>
    <x v="2"/>
    <x v="2"/>
    <x v="2"/>
    <x v="176"/>
    <x v="159"/>
    <x v="2"/>
    <x v="0"/>
    <x v="123"/>
    <x v="0"/>
    <x v="122"/>
    <x v="88"/>
    <x v="1"/>
    <x v="0"/>
    <x v="0"/>
    <x v="2"/>
    <x v="1"/>
    <x v="0"/>
    <x v="1"/>
    <x v="0"/>
  </r>
  <r>
    <x v="1"/>
    <x v="337"/>
    <x v="337"/>
    <x v="4"/>
    <x v="26"/>
    <x v="18"/>
    <x v="1"/>
    <x v="154"/>
    <x v="17"/>
    <x v="13"/>
    <x v="12"/>
    <x v="12"/>
    <x v="177"/>
    <x v="0"/>
    <x v="1"/>
    <x v="0"/>
    <x v="0"/>
    <x v="0"/>
    <x v="0"/>
    <x v="0"/>
    <x v="0"/>
    <x v="0"/>
    <x v="0"/>
    <x v="3"/>
    <x v="1"/>
    <x v="3"/>
    <x v="1"/>
    <x v="0"/>
  </r>
  <r>
    <x v="1"/>
    <x v="338"/>
    <x v="338"/>
    <x v="6"/>
    <x v="21"/>
    <x v="97"/>
    <x v="0"/>
    <x v="183"/>
    <x v="6"/>
    <x v="19"/>
    <x v="18"/>
    <x v="18"/>
    <x v="178"/>
    <x v="160"/>
    <x v="2"/>
    <x v="0"/>
    <x v="124"/>
    <x v="0"/>
    <x v="123"/>
    <x v="89"/>
    <x v="1"/>
    <x v="0"/>
    <x v="0"/>
    <x v="4"/>
    <x v="1"/>
    <x v="4"/>
    <x v="1"/>
    <x v="0"/>
  </r>
  <r>
    <x v="1"/>
    <x v="339"/>
    <x v="339"/>
    <x v="1"/>
    <x v="2"/>
    <x v="69"/>
    <x v="0"/>
    <x v="191"/>
    <x v="19"/>
    <x v="3"/>
    <x v="3"/>
    <x v="3"/>
    <x v="179"/>
    <x v="161"/>
    <x v="2"/>
    <x v="0"/>
    <x v="125"/>
    <x v="0"/>
    <x v="124"/>
    <x v="0"/>
    <x v="0"/>
    <x v="0"/>
    <x v="0"/>
    <x v="4"/>
    <x v="0"/>
    <x v="0"/>
    <x v="1"/>
    <x v="0"/>
  </r>
  <r>
    <x v="1"/>
    <x v="340"/>
    <x v="340"/>
    <x v="4"/>
    <x v="22"/>
    <x v="21"/>
    <x v="1"/>
    <x v="192"/>
    <x v="43"/>
    <x v="6"/>
    <x v="3"/>
    <x v="3"/>
    <x v="138"/>
    <x v="162"/>
    <x v="1"/>
    <x v="0"/>
    <x v="126"/>
    <x v="0"/>
    <x v="125"/>
    <x v="90"/>
    <x v="1"/>
    <x v="0"/>
    <x v="0"/>
    <x v="2"/>
    <x v="1"/>
    <x v="0"/>
    <x v="1"/>
    <x v="0"/>
  </r>
  <r>
    <x v="1"/>
    <x v="341"/>
    <x v="341"/>
    <x v="2"/>
    <x v="5"/>
    <x v="100"/>
    <x v="0"/>
    <x v="19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42"/>
    <x v="342"/>
    <x v="4"/>
    <x v="7"/>
    <x v="17"/>
    <x v="0"/>
    <x v="24"/>
    <x v="6"/>
    <x v="23"/>
    <x v="22"/>
    <x v="22"/>
    <x v="180"/>
    <x v="163"/>
    <x v="1"/>
    <x v="2"/>
    <x v="127"/>
    <x v="2"/>
    <x v="126"/>
    <x v="91"/>
    <x v="1"/>
    <x v="31"/>
    <x v="27"/>
    <x v="2"/>
    <x v="1"/>
    <x v="0"/>
    <x v="1"/>
    <x v="19"/>
  </r>
  <r>
    <x v="1"/>
    <x v="343"/>
    <x v="343"/>
    <x v="6"/>
    <x v="57"/>
    <x v="57"/>
    <x v="0"/>
    <x v="100"/>
    <x v="1"/>
    <x v="12"/>
    <x v="11"/>
    <x v="11"/>
    <x v="181"/>
    <x v="0"/>
    <x v="1"/>
    <x v="0"/>
    <x v="0"/>
    <x v="0"/>
    <x v="0"/>
    <x v="0"/>
    <x v="0"/>
    <x v="0"/>
    <x v="0"/>
    <x v="4"/>
    <x v="1"/>
    <x v="4"/>
    <x v="1"/>
    <x v="0"/>
  </r>
  <r>
    <x v="1"/>
    <x v="344"/>
    <x v="344"/>
    <x v="3"/>
    <x v="69"/>
    <x v="5"/>
    <x v="0"/>
    <x v="17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45"/>
    <x v="345"/>
    <x v="4"/>
    <x v="7"/>
    <x v="17"/>
    <x v="0"/>
    <x v="24"/>
    <x v="6"/>
    <x v="4"/>
    <x v="4"/>
    <x v="4"/>
    <x v="32"/>
    <x v="164"/>
    <x v="1"/>
    <x v="3"/>
    <x v="128"/>
    <x v="3"/>
    <x v="127"/>
    <x v="92"/>
    <x v="1"/>
    <x v="0"/>
    <x v="0"/>
    <x v="2"/>
    <x v="1"/>
    <x v="0"/>
    <x v="1"/>
    <x v="20"/>
  </r>
  <r>
    <x v="1"/>
    <x v="346"/>
    <x v="346"/>
    <x v="3"/>
    <x v="4"/>
    <x v="15"/>
    <x v="1"/>
    <x v="194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47"/>
    <x v="347"/>
    <x v="6"/>
    <x v="13"/>
    <x v="40"/>
    <x v="1"/>
    <x v="70"/>
    <x v="1"/>
    <x v="31"/>
    <x v="30"/>
    <x v="30"/>
    <x v="182"/>
    <x v="112"/>
    <x v="1"/>
    <x v="0"/>
    <x v="129"/>
    <x v="0"/>
    <x v="128"/>
    <x v="93"/>
    <x v="1"/>
    <x v="0"/>
    <x v="0"/>
    <x v="2"/>
    <x v="0"/>
    <x v="0"/>
    <x v="1"/>
    <x v="21"/>
  </r>
  <r>
    <x v="1"/>
    <x v="348"/>
    <x v="348"/>
    <x v="12"/>
    <x v="49"/>
    <x v="47"/>
    <x v="0"/>
    <x v="84"/>
    <x v="63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2"/>
  </r>
  <r>
    <x v="1"/>
    <x v="349"/>
    <x v="349"/>
    <x v="6"/>
    <x v="13"/>
    <x v="18"/>
    <x v="1"/>
    <x v="111"/>
    <x v="15"/>
    <x v="10"/>
    <x v="9"/>
    <x v="9"/>
    <x v="183"/>
    <x v="165"/>
    <x v="1"/>
    <x v="0"/>
    <x v="122"/>
    <x v="0"/>
    <x v="121"/>
    <x v="87"/>
    <x v="1"/>
    <x v="0"/>
    <x v="0"/>
    <x v="2"/>
    <x v="1"/>
    <x v="0"/>
    <x v="1"/>
    <x v="0"/>
  </r>
  <r>
    <x v="1"/>
    <x v="350"/>
    <x v="350"/>
    <x v="3"/>
    <x v="4"/>
    <x v="15"/>
    <x v="1"/>
    <x v="194"/>
    <x v="12"/>
    <x v="17"/>
    <x v="16"/>
    <x v="16"/>
    <x v="184"/>
    <x v="166"/>
    <x v="1"/>
    <x v="0"/>
    <x v="14"/>
    <x v="0"/>
    <x v="14"/>
    <x v="11"/>
    <x v="1"/>
    <x v="32"/>
    <x v="28"/>
    <x v="2"/>
    <x v="1"/>
    <x v="0"/>
    <x v="1"/>
    <x v="0"/>
  </r>
  <r>
    <x v="1"/>
    <x v="351"/>
    <x v="351"/>
    <x v="12"/>
    <x v="49"/>
    <x v="76"/>
    <x v="0"/>
    <x v="133"/>
    <x v="59"/>
    <x v="30"/>
    <x v="29"/>
    <x v="29"/>
    <x v="185"/>
    <x v="167"/>
    <x v="1"/>
    <x v="0"/>
    <x v="130"/>
    <x v="0"/>
    <x v="129"/>
    <x v="94"/>
    <x v="1"/>
    <x v="0"/>
    <x v="0"/>
    <x v="1"/>
    <x v="1"/>
    <x v="1"/>
    <x v="1"/>
    <x v="0"/>
  </r>
  <r>
    <x v="1"/>
    <x v="352"/>
    <x v="352"/>
    <x v="6"/>
    <x v="28"/>
    <x v="12"/>
    <x v="1"/>
    <x v="41"/>
    <x v="16"/>
    <x v="22"/>
    <x v="21"/>
    <x v="21"/>
    <x v="186"/>
    <x v="0"/>
    <x v="1"/>
    <x v="0"/>
    <x v="0"/>
    <x v="0"/>
    <x v="0"/>
    <x v="0"/>
    <x v="0"/>
    <x v="0"/>
    <x v="0"/>
    <x v="4"/>
    <x v="1"/>
    <x v="4"/>
    <x v="1"/>
    <x v="0"/>
  </r>
  <r>
    <x v="1"/>
    <x v="353"/>
    <x v="353"/>
    <x v="5"/>
    <x v="43"/>
    <x v="56"/>
    <x v="0"/>
    <x v="160"/>
    <x v="29"/>
    <x v="11"/>
    <x v="10"/>
    <x v="10"/>
    <x v="0"/>
    <x v="168"/>
    <x v="2"/>
    <x v="0"/>
    <x v="0"/>
    <x v="0"/>
    <x v="0"/>
    <x v="0"/>
    <x v="0"/>
    <x v="0"/>
    <x v="0"/>
    <x v="3"/>
    <x v="1"/>
    <x v="3"/>
    <x v="1"/>
    <x v="0"/>
  </r>
  <r>
    <x v="1"/>
    <x v="354"/>
    <x v="354"/>
    <x v="2"/>
    <x v="20"/>
    <x v="4"/>
    <x v="1"/>
    <x v="195"/>
    <x v="7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55"/>
    <x v="355"/>
    <x v="6"/>
    <x v="28"/>
    <x v="18"/>
    <x v="1"/>
    <x v="48"/>
    <x v="17"/>
    <x v="22"/>
    <x v="21"/>
    <x v="21"/>
    <x v="128"/>
    <x v="0"/>
    <x v="1"/>
    <x v="0"/>
    <x v="0"/>
    <x v="0"/>
    <x v="0"/>
    <x v="0"/>
    <x v="0"/>
    <x v="0"/>
    <x v="0"/>
    <x v="4"/>
    <x v="1"/>
    <x v="4"/>
    <x v="1"/>
    <x v="0"/>
  </r>
  <r>
    <x v="1"/>
    <x v="356"/>
    <x v="356"/>
    <x v="4"/>
    <x v="22"/>
    <x v="5"/>
    <x v="1"/>
    <x v="196"/>
    <x v="33"/>
    <x v="6"/>
    <x v="3"/>
    <x v="3"/>
    <x v="187"/>
    <x v="169"/>
    <x v="1"/>
    <x v="0"/>
    <x v="15"/>
    <x v="0"/>
    <x v="15"/>
    <x v="12"/>
    <x v="1"/>
    <x v="0"/>
    <x v="0"/>
    <x v="2"/>
    <x v="1"/>
    <x v="0"/>
    <x v="1"/>
    <x v="0"/>
  </r>
  <r>
    <x v="1"/>
    <x v="357"/>
    <x v="357"/>
    <x v="3"/>
    <x v="10"/>
    <x v="11"/>
    <x v="0"/>
    <x v="121"/>
    <x v="9"/>
    <x v="15"/>
    <x v="14"/>
    <x v="14"/>
    <x v="154"/>
    <x v="30"/>
    <x v="1"/>
    <x v="0"/>
    <x v="131"/>
    <x v="0"/>
    <x v="130"/>
    <x v="95"/>
    <x v="1"/>
    <x v="0"/>
    <x v="0"/>
    <x v="2"/>
    <x v="1"/>
    <x v="0"/>
    <x v="1"/>
    <x v="0"/>
  </r>
  <r>
    <x v="1"/>
    <x v="358"/>
    <x v="358"/>
    <x v="10"/>
    <x v="45"/>
    <x v="5"/>
    <x v="0"/>
    <x v="77"/>
    <x v="76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359"/>
    <x v="359"/>
    <x v="13"/>
    <x v="54"/>
    <x v="5"/>
    <x v="0"/>
    <x v="97"/>
    <x v="68"/>
    <x v="6"/>
    <x v="3"/>
    <x v="3"/>
    <x v="188"/>
    <x v="170"/>
    <x v="1"/>
    <x v="0"/>
    <x v="45"/>
    <x v="0"/>
    <x v="45"/>
    <x v="35"/>
    <x v="1"/>
    <x v="0"/>
    <x v="0"/>
    <x v="2"/>
    <x v="1"/>
    <x v="0"/>
    <x v="1"/>
    <x v="0"/>
  </r>
  <r>
    <x v="1"/>
    <x v="360"/>
    <x v="360"/>
    <x v="2"/>
    <x v="3"/>
    <x v="21"/>
    <x v="1"/>
    <x v="33"/>
    <x v="18"/>
    <x v="11"/>
    <x v="10"/>
    <x v="10"/>
    <x v="78"/>
    <x v="171"/>
    <x v="1"/>
    <x v="0"/>
    <x v="132"/>
    <x v="0"/>
    <x v="131"/>
    <x v="96"/>
    <x v="1"/>
    <x v="0"/>
    <x v="0"/>
    <x v="2"/>
    <x v="1"/>
    <x v="0"/>
    <x v="1"/>
    <x v="0"/>
  </r>
  <r>
    <x v="1"/>
    <x v="361"/>
    <x v="361"/>
    <x v="11"/>
    <x v="47"/>
    <x v="5"/>
    <x v="0"/>
    <x v="80"/>
    <x v="32"/>
    <x v="14"/>
    <x v="13"/>
    <x v="13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362"/>
    <x v="362"/>
    <x v="6"/>
    <x v="10"/>
    <x v="11"/>
    <x v="0"/>
    <x v="49"/>
    <x v="9"/>
    <x v="6"/>
    <x v="3"/>
    <x v="3"/>
    <x v="189"/>
    <x v="154"/>
    <x v="1"/>
    <x v="0"/>
    <x v="23"/>
    <x v="0"/>
    <x v="23"/>
    <x v="20"/>
    <x v="1"/>
    <x v="0"/>
    <x v="0"/>
    <x v="2"/>
    <x v="1"/>
    <x v="0"/>
    <x v="1"/>
    <x v="0"/>
  </r>
  <r>
    <x v="1"/>
    <x v="363"/>
    <x v="363"/>
    <x v="10"/>
    <x v="63"/>
    <x v="5"/>
    <x v="0"/>
    <x v="147"/>
    <x v="55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364"/>
    <x v="364"/>
    <x v="3"/>
    <x v="43"/>
    <x v="79"/>
    <x v="0"/>
    <x v="197"/>
    <x v="53"/>
    <x v="11"/>
    <x v="10"/>
    <x v="10"/>
    <x v="190"/>
    <x v="158"/>
    <x v="1"/>
    <x v="0"/>
    <x v="103"/>
    <x v="0"/>
    <x v="102"/>
    <x v="73"/>
    <x v="1"/>
    <x v="0"/>
    <x v="0"/>
    <x v="1"/>
    <x v="1"/>
    <x v="1"/>
    <x v="1"/>
    <x v="0"/>
  </r>
  <r>
    <x v="1"/>
    <x v="365"/>
    <x v="365"/>
    <x v="4"/>
    <x v="22"/>
    <x v="15"/>
    <x v="1"/>
    <x v="128"/>
    <x v="2"/>
    <x v="14"/>
    <x v="13"/>
    <x v="13"/>
    <x v="0"/>
    <x v="172"/>
    <x v="2"/>
    <x v="0"/>
    <x v="0"/>
    <x v="0"/>
    <x v="0"/>
    <x v="0"/>
    <x v="0"/>
    <x v="0"/>
    <x v="0"/>
    <x v="4"/>
    <x v="1"/>
    <x v="4"/>
    <x v="1"/>
    <x v="0"/>
  </r>
  <r>
    <x v="1"/>
    <x v="366"/>
    <x v="366"/>
    <x v="6"/>
    <x v="13"/>
    <x v="4"/>
    <x v="1"/>
    <x v="198"/>
    <x v="3"/>
    <x v="11"/>
    <x v="10"/>
    <x v="10"/>
    <x v="101"/>
    <x v="173"/>
    <x v="1"/>
    <x v="0"/>
    <x v="8"/>
    <x v="0"/>
    <x v="8"/>
    <x v="5"/>
    <x v="1"/>
    <x v="0"/>
    <x v="0"/>
    <x v="2"/>
    <x v="1"/>
    <x v="0"/>
    <x v="1"/>
    <x v="23"/>
  </r>
  <r>
    <x v="1"/>
    <x v="367"/>
    <x v="367"/>
    <x v="6"/>
    <x v="28"/>
    <x v="15"/>
    <x v="1"/>
    <x v="177"/>
    <x v="2"/>
    <x v="22"/>
    <x v="21"/>
    <x v="21"/>
    <x v="191"/>
    <x v="0"/>
    <x v="2"/>
    <x v="0"/>
    <x v="0"/>
    <x v="0"/>
    <x v="0"/>
    <x v="0"/>
    <x v="0"/>
    <x v="0"/>
    <x v="0"/>
    <x v="4"/>
    <x v="1"/>
    <x v="4"/>
    <x v="1"/>
    <x v="0"/>
  </r>
  <r>
    <x v="1"/>
    <x v="368"/>
    <x v="368"/>
    <x v="1"/>
    <x v="41"/>
    <x v="38"/>
    <x v="1"/>
    <x v="68"/>
    <x v="3"/>
    <x v="11"/>
    <x v="10"/>
    <x v="10"/>
    <x v="192"/>
    <x v="0"/>
    <x v="1"/>
    <x v="0"/>
    <x v="0"/>
    <x v="0"/>
    <x v="0"/>
    <x v="0"/>
    <x v="0"/>
    <x v="0"/>
    <x v="0"/>
    <x v="4"/>
    <x v="1"/>
    <x v="4"/>
    <x v="1"/>
    <x v="0"/>
  </r>
  <r>
    <x v="1"/>
    <x v="369"/>
    <x v="369"/>
    <x v="6"/>
    <x v="10"/>
    <x v="11"/>
    <x v="0"/>
    <x v="49"/>
    <x v="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370"/>
    <x v="370"/>
    <x v="6"/>
    <x v="28"/>
    <x v="5"/>
    <x v="1"/>
    <x v="81"/>
    <x v="33"/>
    <x v="36"/>
    <x v="34"/>
    <x v="3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71"/>
    <x v="371"/>
    <x v="20"/>
    <x v="15"/>
    <x v="5"/>
    <x v="0"/>
    <x v="199"/>
    <x v="77"/>
    <x v="6"/>
    <x v="3"/>
    <x v="3"/>
    <x v="4"/>
    <x v="5"/>
    <x v="1"/>
    <x v="0"/>
    <x v="4"/>
    <x v="0"/>
    <x v="4"/>
    <x v="0"/>
    <x v="0"/>
    <x v="0"/>
    <x v="0"/>
    <x v="1"/>
    <x v="1"/>
    <x v="1"/>
    <x v="1"/>
    <x v="0"/>
  </r>
  <r>
    <x v="1"/>
    <x v="372"/>
    <x v="372"/>
    <x v="4"/>
    <x v="22"/>
    <x v="18"/>
    <x v="1"/>
    <x v="31"/>
    <x v="17"/>
    <x v="6"/>
    <x v="3"/>
    <x v="3"/>
    <x v="193"/>
    <x v="119"/>
    <x v="1"/>
    <x v="0"/>
    <x v="59"/>
    <x v="0"/>
    <x v="59"/>
    <x v="45"/>
    <x v="1"/>
    <x v="0"/>
    <x v="0"/>
    <x v="1"/>
    <x v="1"/>
    <x v="1"/>
    <x v="1"/>
    <x v="0"/>
  </r>
  <r>
    <x v="1"/>
    <x v="373"/>
    <x v="373"/>
    <x v="4"/>
    <x v="43"/>
    <x v="5"/>
    <x v="0"/>
    <x v="75"/>
    <x v="29"/>
    <x v="6"/>
    <x v="3"/>
    <x v="3"/>
    <x v="193"/>
    <x v="174"/>
    <x v="1"/>
    <x v="0"/>
    <x v="77"/>
    <x v="0"/>
    <x v="77"/>
    <x v="58"/>
    <x v="1"/>
    <x v="0"/>
    <x v="0"/>
    <x v="2"/>
    <x v="1"/>
    <x v="0"/>
    <x v="1"/>
    <x v="0"/>
  </r>
  <r>
    <x v="1"/>
    <x v="374"/>
    <x v="374"/>
    <x v="6"/>
    <x v="9"/>
    <x v="5"/>
    <x v="0"/>
    <x v="200"/>
    <x v="42"/>
    <x v="6"/>
    <x v="3"/>
    <x v="3"/>
    <x v="49"/>
    <x v="175"/>
    <x v="1"/>
    <x v="0"/>
    <x v="133"/>
    <x v="0"/>
    <x v="132"/>
    <x v="0"/>
    <x v="0"/>
    <x v="33"/>
    <x v="0"/>
    <x v="1"/>
    <x v="1"/>
    <x v="1"/>
    <x v="1"/>
    <x v="0"/>
  </r>
  <r>
    <x v="1"/>
    <x v="375"/>
    <x v="375"/>
    <x v="5"/>
    <x v="8"/>
    <x v="80"/>
    <x v="0"/>
    <x v="146"/>
    <x v="24"/>
    <x v="4"/>
    <x v="4"/>
    <x v="4"/>
    <x v="32"/>
    <x v="176"/>
    <x v="1"/>
    <x v="0"/>
    <x v="45"/>
    <x v="0"/>
    <x v="45"/>
    <x v="35"/>
    <x v="1"/>
    <x v="0"/>
    <x v="0"/>
    <x v="2"/>
    <x v="1"/>
    <x v="0"/>
    <x v="1"/>
    <x v="0"/>
  </r>
  <r>
    <x v="1"/>
    <x v="376"/>
    <x v="376"/>
    <x v="12"/>
    <x v="49"/>
    <x v="101"/>
    <x v="0"/>
    <x v="201"/>
    <x v="72"/>
    <x v="6"/>
    <x v="3"/>
    <x v="3"/>
    <x v="171"/>
    <x v="96"/>
    <x v="1"/>
    <x v="0"/>
    <x v="134"/>
    <x v="0"/>
    <x v="127"/>
    <x v="92"/>
    <x v="1"/>
    <x v="0"/>
    <x v="0"/>
    <x v="2"/>
    <x v="1"/>
    <x v="0"/>
    <x v="1"/>
    <x v="0"/>
  </r>
  <r>
    <x v="1"/>
    <x v="377"/>
    <x v="377"/>
    <x v="6"/>
    <x v="28"/>
    <x v="15"/>
    <x v="1"/>
    <x v="177"/>
    <x v="2"/>
    <x v="22"/>
    <x v="21"/>
    <x v="21"/>
    <x v="194"/>
    <x v="177"/>
    <x v="1"/>
    <x v="0"/>
    <x v="135"/>
    <x v="0"/>
    <x v="133"/>
    <x v="0"/>
    <x v="0"/>
    <x v="34"/>
    <x v="29"/>
    <x v="4"/>
    <x v="1"/>
    <x v="4"/>
    <x v="1"/>
    <x v="0"/>
  </r>
  <r>
    <x v="1"/>
    <x v="378"/>
    <x v="378"/>
    <x v="0"/>
    <x v="29"/>
    <x v="15"/>
    <x v="1"/>
    <x v="63"/>
    <x v="2"/>
    <x v="7"/>
    <x v="6"/>
    <x v="6"/>
    <x v="195"/>
    <x v="178"/>
    <x v="1"/>
    <x v="0"/>
    <x v="97"/>
    <x v="0"/>
    <x v="97"/>
    <x v="69"/>
    <x v="1"/>
    <x v="0"/>
    <x v="0"/>
    <x v="4"/>
    <x v="1"/>
    <x v="4"/>
    <x v="1"/>
    <x v="0"/>
  </r>
  <r>
    <x v="1"/>
    <x v="379"/>
    <x v="379"/>
    <x v="2"/>
    <x v="23"/>
    <x v="5"/>
    <x v="0"/>
    <x v="32"/>
    <x v="6"/>
    <x v="14"/>
    <x v="13"/>
    <x v="13"/>
    <x v="84"/>
    <x v="63"/>
    <x v="1"/>
    <x v="0"/>
    <x v="136"/>
    <x v="0"/>
    <x v="134"/>
    <x v="97"/>
    <x v="1"/>
    <x v="0"/>
    <x v="0"/>
    <x v="5"/>
    <x v="1"/>
    <x v="0"/>
    <x v="1"/>
    <x v="0"/>
  </r>
  <r>
    <x v="1"/>
    <x v="380"/>
    <x v="380"/>
    <x v="5"/>
    <x v="32"/>
    <x v="15"/>
    <x v="1"/>
    <x v="90"/>
    <x v="2"/>
    <x v="14"/>
    <x v="13"/>
    <x v="13"/>
    <x v="196"/>
    <x v="121"/>
    <x v="1"/>
    <x v="0"/>
    <x v="95"/>
    <x v="0"/>
    <x v="95"/>
    <x v="67"/>
    <x v="1"/>
    <x v="0"/>
    <x v="0"/>
    <x v="2"/>
    <x v="1"/>
    <x v="0"/>
    <x v="1"/>
    <x v="0"/>
  </r>
  <r>
    <x v="1"/>
    <x v="381"/>
    <x v="381"/>
    <x v="0"/>
    <x v="0"/>
    <x v="86"/>
    <x v="0"/>
    <x v="162"/>
    <x v="24"/>
    <x v="4"/>
    <x v="4"/>
    <x v="4"/>
    <x v="197"/>
    <x v="0"/>
    <x v="2"/>
    <x v="0"/>
    <x v="0"/>
    <x v="0"/>
    <x v="0"/>
    <x v="0"/>
    <x v="0"/>
    <x v="0"/>
    <x v="0"/>
    <x v="1"/>
    <x v="1"/>
    <x v="1"/>
    <x v="1"/>
    <x v="0"/>
  </r>
  <r>
    <x v="1"/>
    <x v="382"/>
    <x v="382"/>
    <x v="2"/>
    <x v="3"/>
    <x v="4"/>
    <x v="1"/>
    <x v="4"/>
    <x v="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83"/>
    <x v="383"/>
    <x v="2"/>
    <x v="27"/>
    <x v="67"/>
    <x v="0"/>
    <x v="117"/>
    <x v="6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84"/>
    <x v="384"/>
    <x v="1"/>
    <x v="41"/>
    <x v="69"/>
    <x v="0"/>
    <x v="122"/>
    <x v="19"/>
    <x v="6"/>
    <x v="3"/>
    <x v="3"/>
    <x v="198"/>
    <x v="179"/>
    <x v="2"/>
    <x v="0"/>
    <x v="57"/>
    <x v="0"/>
    <x v="57"/>
    <x v="43"/>
    <x v="1"/>
    <x v="35"/>
    <x v="0"/>
    <x v="4"/>
    <x v="1"/>
    <x v="4"/>
    <x v="1"/>
    <x v="0"/>
  </r>
  <r>
    <x v="1"/>
    <x v="385"/>
    <x v="385"/>
    <x v="3"/>
    <x v="4"/>
    <x v="12"/>
    <x v="1"/>
    <x v="202"/>
    <x v="1"/>
    <x v="28"/>
    <x v="27"/>
    <x v="27"/>
    <x v="199"/>
    <x v="135"/>
    <x v="2"/>
    <x v="0"/>
    <x v="137"/>
    <x v="0"/>
    <x v="135"/>
    <x v="98"/>
    <x v="1"/>
    <x v="36"/>
    <x v="30"/>
    <x v="4"/>
    <x v="1"/>
    <x v="4"/>
    <x v="1"/>
    <x v="0"/>
  </r>
  <r>
    <x v="1"/>
    <x v="386"/>
    <x v="386"/>
    <x v="20"/>
    <x v="71"/>
    <x v="5"/>
    <x v="0"/>
    <x v="203"/>
    <x v="73"/>
    <x v="6"/>
    <x v="3"/>
    <x v="3"/>
    <x v="200"/>
    <x v="180"/>
    <x v="1"/>
    <x v="0"/>
    <x v="7"/>
    <x v="0"/>
    <x v="7"/>
    <x v="4"/>
    <x v="1"/>
    <x v="0"/>
    <x v="0"/>
    <x v="1"/>
    <x v="1"/>
    <x v="1"/>
    <x v="1"/>
    <x v="0"/>
  </r>
  <r>
    <x v="1"/>
    <x v="387"/>
    <x v="387"/>
    <x v="1"/>
    <x v="2"/>
    <x v="10"/>
    <x v="0"/>
    <x v="12"/>
    <x v="3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88"/>
    <x v="388"/>
    <x v="5"/>
    <x v="72"/>
    <x v="5"/>
    <x v="0"/>
    <x v="204"/>
    <x v="6"/>
    <x v="14"/>
    <x v="13"/>
    <x v="13"/>
    <x v="0"/>
    <x v="0"/>
    <x v="2"/>
    <x v="0"/>
    <x v="0"/>
    <x v="0"/>
    <x v="0"/>
    <x v="0"/>
    <x v="0"/>
    <x v="0"/>
    <x v="0"/>
    <x v="0"/>
    <x v="0"/>
    <x v="0"/>
    <x v="1"/>
    <x v="24"/>
  </r>
  <r>
    <x v="1"/>
    <x v="389"/>
    <x v="389"/>
    <x v="6"/>
    <x v="28"/>
    <x v="4"/>
    <x v="1"/>
    <x v="205"/>
    <x v="3"/>
    <x v="11"/>
    <x v="10"/>
    <x v="10"/>
    <x v="127"/>
    <x v="173"/>
    <x v="1"/>
    <x v="0"/>
    <x v="138"/>
    <x v="0"/>
    <x v="136"/>
    <x v="99"/>
    <x v="1"/>
    <x v="0"/>
    <x v="0"/>
    <x v="2"/>
    <x v="1"/>
    <x v="0"/>
    <x v="1"/>
    <x v="0"/>
  </r>
  <r>
    <x v="1"/>
    <x v="390"/>
    <x v="390"/>
    <x v="1"/>
    <x v="41"/>
    <x v="61"/>
    <x v="0"/>
    <x v="106"/>
    <x v="78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91"/>
    <x v="391"/>
    <x v="6"/>
    <x v="28"/>
    <x v="5"/>
    <x v="1"/>
    <x v="81"/>
    <x v="57"/>
    <x v="20"/>
    <x v="19"/>
    <x v="19"/>
    <x v="0"/>
    <x v="181"/>
    <x v="2"/>
    <x v="0"/>
    <x v="0"/>
    <x v="0"/>
    <x v="0"/>
    <x v="0"/>
    <x v="0"/>
    <x v="0"/>
    <x v="0"/>
    <x v="1"/>
    <x v="1"/>
    <x v="1"/>
    <x v="1"/>
    <x v="0"/>
  </r>
  <r>
    <x v="1"/>
    <x v="392"/>
    <x v="392"/>
    <x v="6"/>
    <x v="9"/>
    <x v="5"/>
    <x v="0"/>
    <x v="200"/>
    <x v="42"/>
    <x v="6"/>
    <x v="3"/>
    <x v="3"/>
    <x v="201"/>
    <x v="111"/>
    <x v="1"/>
    <x v="0"/>
    <x v="139"/>
    <x v="0"/>
    <x v="137"/>
    <x v="100"/>
    <x v="1"/>
    <x v="0"/>
    <x v="0"/>
    <x v="1"/>
    <x v="1"/>
    <x v="1"/>
    <x v="1"/>
    <x v="0"/>
  </r>
  <r>
    <x v="1"/>
    <x v="393"/>
    <x v="393"/>
    <x v="6"/>
    <x v="13"/>
    <x v="12"/>
    <x v="1"/>
    <x v="17"/>
    <x v="16"/>
    <x v="28"/>
    <x v="27"/>
    <x v="27"/>
    <x v="202"/>
    <x v="0"/>
    <x v="1"/>
    <x v="0"/>
    <x v="0"/>
    <x v="0"/>
    <x v="0"/>
    <x v="0"/>
    <x v="0"/>
    <x v="0"/>
    <x v="0"/>
    <x v="4"/>
    <x v="1"/>
    <x v="4"/>
    <x v="1"/>
    <x v="0"/>
  </r>
  <r>
    <x v="1"/>
    <x v="394"/>
    <x v="394"/>
    <x v="0"/>
    <x v="29"/>
    <x v="4"/>
    <x v="1"/>
    <x v="206"/>
    <x v="3"/>
    <x v="30"/>
    <x v="29"/>
    <x v="29"/>
    <x v="88"/>
    <x v="182"/>
    <x v="1"/>
    <x v="0"/>
    <x v="140"/>
    <x v="0"/>
    <x v="138"/>
    <x v="101"/>
    <x v="1"/>
    <x v="0"/>
    <x v="0"/>
    <x v="2"/>
    <x v="1"/>
    <x v="0"/>
    <x v="1"/>
    <x v="0"/>
  </r>
  <r>
    <x v="1"/>
    <x v="395"/>
    <x v="395"/>
    <x v="3"/>
    <x v="4"/>
    <x v="21"/>
    <x v="1"/>
    <x v="207"/>
    <x v="18"/>
    <x v="11"/>
    <x v="10"/>
    <x v="10"/>
    <x v="203"/>
    <x v="183"/>
    <x v="1"/>
    <x v="0"/>
    <x v="84"/>
    <x v="0"/>
    <x v="84"/>
    <x v="61"/>
    <x v="1"/>
    <x v="0"/>
    <x v="0"/>
    <x v="2"/>
    <x v="1"/>
    <x v="0"/>
    <x v="1"/>
    <x v="0"/>
  </r>
  <r>
    <x v="1"/>
    <x v="396"/>
    <x v="396"/>
    <x v="10"/>
    <x v="45"/>
    <x v="5"/>
    <x v="0"/>
    <x v="77"/>
    <x v="76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97"/>
    <x v="397"/>
    <x v="4"/>
    <x v="12"/>
    <x v="102"/>
    <x v="0"/>
    <x v="208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398"/>
    <x v="398"/>
    <x v="6"/>
    <x v="17"/>
    <x v="103"/>
    <x v="0"/>
    <x v="20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399"/>
    <x v="399"/>
    <x v="6"/>
    <x v="51"/>
    <x v="83"/>
    <x v="0"/>
    <x v="157"/>
    <x v="3"/>
    <x v="26"/>
    <x v="25"/>
    <x v="25"/>
    <x v="204"/>
    <x v="184"/>
    <x v="1"/>
    <x v="0"/>
    <x v="141"/>
    <x v="0"/>
    <x v="139"/>
    <x v="0"/>
    <x v="0"/>
    <x v="0"/>
    <x v="0"/>
    <x v="4"/>
    <x v="1"/>
    <x v="4"/>
    <x v="1"/>
    <x v="0"/>
  </r>
  <r>
    <x v="1"/>
    <x v="400"/>
    <x v="400"/>
    <x v="2"/>
    <x v="20"/>
    <x v="15"/>
    <x v="1"/>
    <x v="210"/>
    <x v="2"/>
    <x v="3"/>
    <x v="3"/>
    <x v="3"/>
    <x v="0"/>
    <x v="0"/>
    <x v="1"/>
    <x v="0"/>
    <x v="0"/>
    <x v="0"/>
    <x v="0"/>
    <x v="0"/>
    <x v="0"/>
    <x v="37"/>
    <x v="31"/>
    <x v="0"/>
    <x v="0"/>
    <x v="0"/>
    <x v="1"/>
    <x v="0"/>
  </r>
  <r>
    <x v="1"/>
    <x v="401"/>
    <x v="401"/>
    <x v="18"/>
    <x v="15"/>
    <x v="5"/>
    <x v="0"/>
    <x v="166"/>
    <x v="79"/>
    <x v="6"/>
    <x v="3"/>
    <x v="3"/>
    <x v="4"/>
    <x v="5"/>
    <x v="1"/>
    <x v="0"/>
    <x v="4"/>
    <x v="0"/>
    <x v="4"/>
    <x v="0"/>
    <x v="0"/>
    <x v="20"/>
    <x v="17"/>
    <x v="1"/>
    <x v="0"/>
    <x v="0"/>
    <x v="1"/>
    <x v="5"/>
  </r>
  <r>
    <x v="1"/>
    <x v="402"/>
    <x v="402"/>
    <x v="1"/>
    <x v="39"/>
    <x v="69"/>
    <x v="0"/>
    <x v="211"/>
    <x v="19"/>
    <x v="2"/>
    <x v="2"/>
    <x v="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03"/>
    <x v="403"/>
    <x v="10"/>
    <x v="45"/>
    <x v="5"/>
    <x v="0"/>
    <x v="77"/>
    <x v="8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04"/>
    <x v="404"/>
    <x v="5"/>
    <x v="9"/>
    <x v="5"/>
    <x v="0"/>
    <x v="150"/>
    <x v="58"/>
    <x v="11"/>
    <x v="10"/>
    <x v="10"/>
    <x v="205"/>
    <x v="152"/>
    <x v="1"/>
    <x v="0"/>
    <x v="142"/>
    <x v="0"/>
    <x v="140"/>
    <x v="102"/>
    <x v="1"/>
    <x v="0"/>
    <x v="0"/>
    <x v="1"/>
    <x v="1"/>
    <x v="1"/>
    <x v="1"/>
    <x v="0"/>
  </r>
  <r>
    <x v="1"/>
    <x v="405"/>
    <x v="405"/>
    <x v="5"/>
    <x v="9"/>
    <x v="5"/>
    <x v="0"/>
    <x v="150"/>
    <x v="58"/>
    <x v="11"/>
    <x v="10"/>
    <x v="10"/>
    <x v="206"/>
    <x v="185"/>
    <x v="1"/>
    <x v="0"/>
    <x v="131"/>
    <x v="0"/>
    <x v="130"/>
    <x v="95"/>
    <x v="1"/>
    <x v="0"/>
    <x v="0"/>
    <x v="1"/>
    <x v="1"/>
    <x v="1"/>
    <x v="1"/>
    <x v="0"/>
  </r>
  <r>
    <x v="1"/>
    <x v="406"/>
    <x v="406"/>
    <x v="6"/>
    <x v="13"/>
    <x v="15"/>
    <x v="1"/>
    <x v="60"/>
    <x v="2"/>
    <x v="13"/>
    <x v="12"/>
    <x v="12"/>
    <x v="207"/>
    <x v="0"/>
    <x v="1"/>
    <x v="0"/>
    <x v="0"/>
    <x v="0"/>
    <x v="0"/>
    <x v="0"/>
    <x v="0"/>
    <x v="0"/>
    <x v="0"/>
    <x v="4"/>
    <x v="1"/>
    <x v="4"/>
    <x v="1"/>
    <x v="0"/>
  </r>
  <r>
    <x v="1"/>
    <x v="407"/>
    <x v="407"/>
    <x v="12"/>
    <x v="49"/>
    <x v="71"/>
    <x v="0"/>
    <x v="126"/>
    <x v="48"/>
    <x v="6"/>
    <x v="3"/>
    <x v="3"/>
    <x v="123"/>
    <x v="186"/>
    <x v="1"/>
    <x v="0"/>
    <x v="143"/>
    <x v="0"/>
    <x v="141"/>
    <x v="103"/>
    <x v="1"/>
    <x v="0"/>
    <x v="0"/>
    <x v="2"/>
    <x v="1"/>
    <x v="0"/>
    <x v="1"/>
    <x v="0"/>
  </r>
  <r>
    <x v="1"/>
    <x v="408"/>
    <x v="408"/>
    <x v="4"/>
    <x v="15"/>
    <x v="5"/>
    <x v="0"/>
    <x v="212"/>
    <x v="81"/>
    <x v="8"/>
    <x v="7"/>
    <x v="7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09"/>
    <x v="409"/>
    <x v="2"/>
    <x v="5"/>
    <x v="49"/>
    <x v="0"/>
    <x v="88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10"/>
    <x v="410"/>
    <x v="5"/>
    <x v="8"/>
    <x v="33"/>
    <x v="0"/>
    <x v="59"/>
    <x v="6"/>
    <x v="23"/>
    <x v="22"/>
    <x v="22"/>
    <x v="208"/>
    <x v="187"/>
    <x v="2"/>
    <x v="0"/>
    <x v="144"/>
    <x v="0"/>
    <x v="142"/>
    <x v="104"/>
    <x v="1"/>
    <x v="0"/>
    <x v="0"/>
    <x v="2"/>
    <x v="1"/>
    <x v="0"/>
    <x v="1"/>
    <x v="0"/>
  </r>
  <r>
    <x v="1"/>
    <x v="411"/>
    <x v="411"/>
    <x v="3"/>
    <x v="73"/>
    <x v="5"/>
    <x v="0"/>
    <x v="213"/>
    <x v="6"/>
    <x v="14"/>
    <x v="13"/>
    <x v="13"/>
    <x v="209"/>
    <x v="188"/>
    <x v="1"/>
    <x v="2"/>
    <x v="145"/>
    <x v="2"/>
    <x v="88"/>
    <x v="63"/>
    <x v="1"/>
    <x v="0"/>
    <x v="0"/>
    <x v="2"/>
    <x v="1"/>
    <x v="0"/>
    <x v="1"/>
    <x v="16"/>
  </r>
  <r>
    <x v="1"/>
    <x v="412"/>
    <x v="412"/>
    <x v="4"/>
    <x v="26"/>
    <x v="21"/>
    <x v="1"/>
    <x v="189"/>
    <x v="18"/>
    <x v="11"/>
    <x v="10"/>
    <x v="10"/>
    <x v="188"/>
    <x v="189"/>
    <x v="1"/>
    <x v="0"/>
    <x v="64"/>
    <x v="0"/>
    <x v="64"/>
    <x v="49"/>
    <x v="1"/>
    <x v="0"/>
    <x v="0"/>
    <x v="2"/>
    <x v="1"/>
    <x v="0"/>
    <x v="1"/>
    <x v="0"/>
  </r>
  <r>
    <x v="1"/>
    <x v="413"/>
    <x v="413"/>
    <x v="4"/>
    <x v="22"/>
    <x v="12"/>
    <x v="1"/>
    <x v="214"/>
    <x v="1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14"/>
    <x v="414"/>
    <x v="4"/>
    <x v="12"/>
    <x v="64"/>
    <x v="0"/>
    <x v="11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15"/>
    <x v="415"/>
    <x v="3"/>
    <x v="4"/>
    <x v="21"/>
    <x v="1"/>
    <x v="207"/>
    <x v="43"/>
    <x v="11"/>
    <x v="10"/>
    <x v="10"/>
    <x v="210"/>
    <x v="183"/>
    <x v="1"/>
    <x v="0"/>
    <x v="23"/>
    <x v="0"/>
    <x v="23"/>
    <x v="20"/>
    <x v="1"/>
    <x v="0"/>
    <x v="0"/>
    <x v="2"/>
    <x v="1"/>
    <x v="0"/>
    <x v="1"/>
    <x v="0"/>
  </r>
  <r>
    <x v="1"/>
    <x v="416"/>
    <x v="416"/>
    <x v="0"/>
    <x v="74"/>
    <x v="5"/>
    <x v="1"/>
    <x v="215"/>
    <x v="33"/>
    <x v="12"/>
    <x v="11"/>
    <x v="11"/>
    <x v="211"/>
    <x v="0"/>
    <x v="1"/>
    <x v="0"/>
    <x v="0"/>
    <x v="0"/>
    <x v="0"/>
    <x v="0"/>
    <x v="0"/>
    <x v="0"/>
    <x v="0"/>
    <x v="3"/>
    <x v="1"/>
    <x v="3"/>
    <x v="1"/>
    <x v="0"/>
  </r>
  <r>
    <x v="1"/>
    <x v="417"/>
    <x v="417"/>
    <x v="2"/>
    <x v="20"/>
    <x v="15"/>
    <x v="1"/>
    <x v="210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18"/>
    <x v="418"/>
    <x v="5"/>
    <x v="10"/>
    <x v="11"/>
    <x v="0"/>
    <x v="74"/>
    <x v="82"/>
    <x v="6"/>
    <x v="3"/>
    <x v="3"/>
    <x v="169"/>
    <x v="43"/>
    <x v="2"/>
    <x v="0"/>
    <x v="146"/>
    <x v="0"/>
    <x v="143"/>
    <x v="105"/>
    <x v="1"/>
    <x v="38"/>
    <x v="32"/>
    <x v="1"/>
    <x v="1"/>
    <x v="1"/>
    <x v="1"/>
    <x v="0"/>
  </r>
  <r>
    <x v="1"/>
    <x v="419"/>
    <x v="419"/>
    <x v="0"/>
    <x v="0"/>
    <x v="86"/>
    <x v="0"/>
    <x v="162"/>
    <x v="6"/>
    <x v="4"/>
    <x v="4"/>
    <x v="4"/>
    <x v="60"/>
    <x v="0"/>
    <x v="1"/>
    <x v="0"/>
    <x v="0"/>
    <x v="0"/>
    <x v="0"/>
    <x v="0"/>
    <x v="0"/>
    <x v="39"/>
    <x v="33"/>
    <x v="4"/>
    <x v="1"/>
    <x v="4"/>
    <x v="1"/>
    <x v="0"/>
  </r>
  <r>
    <x v="1"/>
    <x v="420"/>
    <x v="420"/>
    <x v="0"/>
    <x v="29"/>
    <x v="12"/>
    <x v="1"/>
    <x v="52"/>
    <x v="1"/>
    <x v="20"/>
    <x v="19"/>
    <x v="19"/>
    <x v="152"/>
    <x v="190"/>
    <x v="1"/>
    <x v="0"/>
    <x v="147"/>
    <x v="0"/>
    <x v="144"/>
    <x v="106"/>
    <x v="1"/>
    <x v="0"/>
    <x v="0"/>
    <x v="2"/>
    <x v="1"/>
    <x v="0"/>
    <x v="1"/>
    <x v="0"/>
  </r>
  <r>
    <x v="1"/>
    <x v="421"/>
    <x v="421"/>
    <x v="4"/>
    <x v="10"/>
    <x v="11"/>
    <x v="0"/>
    <x v="164"/>
    <x v="9"/>
    <x v="11"/>
    <x v="10"/>
    <x v="10"/>
    <x v="34"/>
    <x v="26"/>
    <x v="1"/>
    <x v="0"/>
    <x v="130"/>
    <x v="0"/>
    <x v="129"/>
    <x v="94"/>
    <x v="1"/>
    <x v="0"/>
    <x v="0"/>
    <x v="5"/>
    <x v="1"/>
    <x v="0"/>
    <x v="1"/>
    <x v="0"/>
  </r>
  <r>
    <x v="1"/>
    <x v="422"/>
    <x v="422"/>
    <x v="3"/>
    <x v="36"/>
    <x v="39"/>
    <x v="0"/>
    <x v="69"/>
    <x v="6"/>
    <x v="4"/>
    <x v="4"/>
    <x v="4"/>
    <x v="212"/>
    <x v="191"/>
    <x v="2"/>
    <x v="0"/>
    <x v="90"/>
    <x v="0"/>
    <x v="90"/>
    <x v="64"/>
    <x v="1"/>
    <x v="0"/>
    <x v="0"/>
    <x v="1"/>
    <x v="1"/>
    <x v="1"/>
    <x v="1"/>
    <x v="0"/>
  </r>
  <r>
    <x v="1"/>
    <x v="423"/>
    <x v="423"/>
    <x v="4"/>
    <x v="43"/>
    <x v="5"/>
    <x v="0"/>
    <x v="75"/>
    <x v="29"/>
    <x v="15"/>
    <x v="14"/>
    <x v="14"/>
    <x v="213"/>
    <x v="192"/>
    <x v="1"/>
    <x v="0"/>
    <x v="144"/>
    <x v="0"/>
    <x v="142"/>
    <x v="104"/>
    <x v="1"/>
    <x v="0"/>
    <x v="0"/>
    <x v="2"/>
    <x v="1"/>
    <x v="0"/>
    <x v="1"/>
    <x v="0"/>
  </r>
  <r>
    <x v="1"/>
    <x v="424"/>
    <x v="424"/>
    <x v="6"/>
    <x v="56"/>
    <x v="56"/>
    <x v="0"/>
    <x v="99"/>
    <x v="29"/>
    <x v="30"/>
    <x v="29"/>
    <x v="29"/>
    <x v="214"/>
    <x v="192"/>
    <x v="1"/>
    <x v="0"/>
    <x v="148"/>
    <x v="0"/>
    <x v="145"/>
    <x v="107"/>
    <x v="1"/>
    <x v="0"/>
    <x v="0"/>
    <x v="1"/>
    <x v="1"/>
    <x v="1"/>
    <x v="1"/>
    <x v="0"/>
  </r>
  <r>
    <x v="1"/>
    <x v="425"/>
    <x v="425"/>
    <x v="1"/>
    <x v="39"/>
    <x v="65"/>
    <x v="0"/>
    <x v="114"/>
    <x v="6"/>
    <x v="2"/>
    <x v="2"/>
    <x v="2"/>
    <x v="215"/>
    <x v="63"/>
    <x v="1"/>
    <x v="0"/>
    <x v="69"/>
    <x v="0"/>
    <x v="69"/>
    <x v="0"/>
    <x v="0"/>
    <x v="0"/>
    <x v="0"/>
    <x v="1"/>
    <x v="1"/>
    <x v="1"/>
    <x v="1"/>
    <x v="0"/>
  </r>
  <r>
    <x v="1"/>
    <x v="426"/>
    <x v="426"/>
    <x v="3"/>
    <x v="10"/>
    <x v="5"/>
    <x v="0"/>
    <x v="216"/>
    <x v="83"/>
    <x v="15"/>
    <x v="14"/>
    <x v="1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27"/>
    <x v="427"/>
    <x v="1"/>
    <x v="41"/>
    <x v="38"/>
    <x v="1"/>
    <x v="68"/>
    <x v="1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25"/>
  </r>
  <r>
    <x v="1"/>
    <x v="428"/>
    <x v="428"/>
    <x v="0"/>
    <x v="6"/>
    <x v="6"/>
    <x v="0"/>
    <x v="7"/>
    <x v="6"/>
    <x v="36"/>
    <x v="34"/>
    <x v="34"/>
    <x v="0"/>
    <x v="0"/>
    <x v="2"/>
    <x v="0"/>
    <x v="0"/>
    <x v="0"/>
    <x v="0"/>
    <x v="0"/>
    <x v="0"/>
    <x v="0"/>
    <x v="0"/>
    <x v="0"/>
    <x v="0"/>
    <x v="0"/>
    <x v="1"/>
    <x v="26"/>
  </r>
  <r>
    <x v="1"/>
    <x v="429"/>
    <x v="429"/>
    <x v="5"/>
    <x v="10"/>
    <x v="11"/>
    <x v="0"/>
    <x v="74"/>
    <x v="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7"/>
  </r>
  <r>
    <x v="1"/>
    <x v="430"/>
    <x v="430"/>
    <x v="1"/>
    <x v="41"/>
    <x v="61"/>
    <x v="0"/>
    <x v="106"/>
    <x v="3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31"/>
    <x v="431"/>
    <x v="5"/>
    <x v="50"/>
    <x v="18"/>
    <x v="1"/>
    <x v="217"/>
    <x v="17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432"/>
    <x v="432"/>
    <x v="4"/>
    <x v="34"/>
    <x v="104"/>
    <x v="0"/>
    <x v="218"/>
    <x v="6"/>
    <x v="23"/>
    <x v="22"/>
    <x v="22"/>
    <x v="216"/>
    <x v="0"/>
    <x v="1"/>
    <x v="0"/>
    <x v="0"/>
    <x v="0"/>
    <x v="0"/>
    <x v="0"/>
    <x v="0"/>
    <x v="0"/>
    <x v="0"/>
    <x v="1"/>
    <x v="1"/>
    <x v="1"/>
    <x v="1"/>
    <x v="0"/>
  </r>
  <r>
    <x v="1"/>
    <x v="433"/>
    <x v="433"/>
    <x v="5"/>
    <x v="53"/>
    <x v="75"/>
    <x v="0"/>
    <x v="132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34"/>
    <x v="434"/>
    <x v="17"/>
    <x v="75"/>
    <x v="5"/>
    <x v="0"/>
    <x v="219"/>
    <x v="84"/>
    <x v="6"/>
    <x v="3"/>
    <x v="3"/>
    <x v="217"/>
    <x v="0"/>
    <x v="2"/>
    <x v="0"/>
    <x v="0"/>
    <x v="0"/>
    <x v="0"/>
    <x v="0"/>
    <x v="0"/>
    <x v="0"/>
    <x v="0"/>
    <x v="3"/>
    <x v="1"/>
    <x v="3"/>
    <x v="1"/>
    <x v="0"/>
  </r>
  <r>
    <x v="1"/>
    <x v="435"/>
    <x v="435"/>
    <x v="3"/>
    <x v="76"/>
    <x v="5"/>
    <x v="0"/>
    <x v="220"/>
    <x v="6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36"/>
    <x v="436"/>
    <x v="5"/>
    <x v="40"/>
    <x v="36"/>
    <x v="0"/>
    <x v="65"/>
    <x v="24"/>
    <x v="14"/>
    <x v="13"/>
    <x v="13"/>
    <x v="218"/>
    <x v="193"/>
    <x v="1"/>
    <x v="0"/>
    <x v="28"/>
    <x v="0"/>
    <x v="28"/>
    <x v="24"/>
    <x v="1"/>
    <x v="0"/>
    <x v="0"/>
    <x v="2"/>
    <x v="1"/>
    <x v="0"/>
    <x v="1"/>
    <x v="0"/>
  </r>
  <r>
    <x v="1"/>
    <x v="437"/>
    <x v="437"/>
    <x v="2"/>
    <x v="5"/>
    <x v="105"/>
    <x v="0"/>
    <x v="221"/>
    <x v="6"/>
    <x v="14"/>
    <x v="13"/>
    <x v="13"/>
    <x v="218"/>
    <x v="194"/>
    <x v="1"/>
    <x v="0"/>
    <x v="99"/>
    <x v="0"/>
    <x v="99"/>
    <x v="0"/>
    <x v="0"/>
    <x v="0"/>
    <x v="0"/>
    <x v="2"/>
    <x v="1"/>
    <x v="0"/>
    <x v="1"/>
    <x v="0"/>
  </r>
  <r>
    <x v="1"/>
    <x v="438"/>
    <x v="438"/>
    <x v="0"/>
    <x v="29"/>
    <x v="4"/>
    <x v="1"/>
    <x v="206"/>
    <x v="3"/>
    <x v="11"/>
    <x v="10"/>
    <x v="10"/>
    <x v="101"/>
    <x v="195"/>
    <x v="1"/>
    <x v="0"/>
    <x v="148"/>
    <x v="0"/>
    <x v="145"/>
    <x v="107"/>
    <x v="1"/>
    <x v="0"/>
    <x v="0"/>
    <x v="2"/>
    <x v="1"/>
    <x v="0"/>
    <x v="1"/>
    <x v="0"/>
  </r>
  <r>
    <x v="1"/>
    <x v="439"/>
    <x v="439"/>
    <x v="4"/>
    <x v="22"/>
    <x v="4"/>
    <x v="1"/>
    <x v="222"/>
    <x v="75"/>
    <x v="19"/>
    <x v="18"/>
    <x v="18"/>
    <x v="157"/>
    <x v="196"/>
    <x v="1"/>
    <x v="0"/>
    <x v="149"/>
    <x v="0"/>
    <x v="126"/>
    <x v="108"/>
    <x v="1"/>
    <x v="40"/>
    <x v="34"/>
    <x v="2"/>
    <x v="1"/>
    <x v="0"/>
    <x v="1"/>
    <x v="0"/>
  </r>
  <r>
    <x v="1"/>
    <x v="440"/>
    <x v="440"/>
    <x v="3"/>
    <x v="36"/>
    <x v="5"/>
    <x v="0"/>
    <x v="223"/>
    <x v="5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41"/>
    <x v="441"/>
    <x v="0"/>
    <x v="16"/>
    <x v="18"/>
    <x v="1"/>
    <x v="64"/>
    <x v="15"/>
    <x v="6"/>
    <x v="3"/>
    <x v="3"/>
    <x v="164"/>
    <x v="197"/>
    <x v="2"/>
    <x v="0"/>
    <x v="150"/>
    <x v="0"/>
    <x v="146"/>
    <x v="109"/>
    <x v="1"/>
    <x v="0"/>
    <x v="0"/>
    <x v="2"/>
    <x v="1"/>
    <x v="0"/>
    <x v="1"/>
    <x v="0"/>
  </r>
  <r>
    <x v="1"/>
    <x v="442"/>
    <x v="442"/>
    <x v="4"/>
    <x v="26"/>
    <x v="15"/>
    <x v="1"/>
    <x v="141"/>
    <x v="1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43"/>
    <x v="443"/>
    <x v="2"/>
    <x v="5"/>
    <x v="105"/>
    <x v="0"/>
    <x v="221"/>
    <x v="37"/>
    <x v="2"/>
    <x v="2"/>
    <x v="2"/>
    <x v="163"/>
    <x v="198"/>
    <x v="1"/>
    <x v="0"/>
    <x v="151"/>
    <x v="0"/>
    <x v="147"/>
    <x v="110"/>
    <x v="1"/>
    <x v="0"/>
    <x v="0"/>
    <x v="6"/>
    <x v="1"/>
    <x v="0"/>
    <x v="1"/>
    <x v="0"/>
  </r>
  <r>
    <x v="1"/>
    <x v="444"/>
    <x v="444"/>
    <x v="11"/>
    <x v="77"/>
    <x v="5"/>
    <x v="0"/>
    <x v="224"/>
    <x v="85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15"/>
  </r>
  <r>
    <x v="1"/>
    <x v="445"/>
    <x v="445"/>
    <x v="5"/>
    <x v="31"/>
    <x v="4"/>
    <x v="1"/>
    <x v="151"/>
    <x v="3"/>
    <x v="10"/>
    <x v="9"/>
    <x v="9"/>
    <x v="75"/>
    <x v="68"/>
    <x v="1"/>
    <x v="0"/>
    <x v="55"/>
    <x v="0"/>
    <x v="55"/>
    <x v="41"/>
    <x v="1"/>
    <x v="0"/>
    <x v="0"/>
    <x v="2"/>
    <x v="1"/>
    <x v="0"/>
    <x v="1"/>
    <x v="0"/>
  </r>
  <r>
    <x v="1"/>
    <x v="446"/>
    <x v="446"/>
    <x v="0"/>
    <x v="1"/>
    <x v="1"/>
    <x v="0"/>
    <x v="1"/>
    <x v="6"/>
    <x v="5"/>
    <x v="5"/>
    <x v="5"/>
    <x v="3"/>
    <x v="0"/>
    <x v="1"/>
    <x v="4"/>
    <x v="0"/>
    <x v="4"/>
    <x v="148"/>
    <x v="0"/>
    <x v="0"/>
    <x v="0"/>
    <x v="0"/>
    <x v="1"/>
    <x v="1"/>
    <x v="1"/>
    <x v="1"/>
    <x v="28"/>
  </r>
  <r>
    <x v="1"/>
    <x v="447"/>
    <x v="447"/>
    <x v="9"/>
    <x v="44"/>
    <x v="44"/>
    <x v="0"/>
    <x v="76"/>
    <x v="86"/>
    <x v="6"/>
    <x v="3"/>
    <x v="3"/>
    <x v="192"/>
    <x v="73"/>
    <x v="1"/>
    <x v="0"/>
    <x v="144"/>
    <x v="0"/>
    <x v="142"/>
    <x v="104"/>
    <x v="1"/>
    <x v="0"/>
    <x v="0"/>
    <x v="2"/>
    <x v="1"/>
    <x v="0"/>
    <x v="1"/>
    <x v="0"/>
  </r>
  <r>
    <x v="1"/>
    <x v="448"/>
    <x v="448"/>
    <x v="12"/>
    <x v="49"/>
    <x v="89"/>
    <x v="0"/>
    <x v="169"/>
    <x v="72"/>
    <x v="6"/>
    <x v="3"/>
    <x v="3"/>
    <x v="219"/>
    <x v="199"/>
    <x v="1"/>
    <x v="0"/>
    <x v="152"/>
    <x v="0"/>
    <x v="149"/>
    <x v="111"/>
    <x v="1"/>
    <x v="0"/>
    <x v="0"/>
    <x v="1"/>
    <x v="1"/>
    <x v="1"/>
    <x v="1"/>
    <x v="0"/>
  </r>
  <r>
    <x v="1"/>
    <x v="449"/>
    <x v="449"/>
    <x v="4"/>
    <x v="26"/>
    <x v="12"/>
    <x v="1"/>
    <x v="37"/>
    <x v="1"/>
    <x v="13"/>
    <x v="12"/>
    <x v="12"/>
    <x v="220"/>
    <x v="200"/>
    <x v="2"/>
    <x v="0"/>
    <x v="153"/>
    <x v="0"/>
    <x v="150"/>
    <x v="0"/>
    <x v="0"/>
    <x v="0"/>
    <x v="0"/>
    <x v="4"/>
    <x v="1"/>
    <x v="4"/>
    <x v="1"/>
    <x v="0"/>
  </r>
  <r>
    <x v="1"/>
    <x v="450"/>
    <x v="450"/>
    <x v="2"/>
    <x v="42"/>
    <x v="5"/>
    <x v="0"/>
    <x v="225"/>
    <x v="36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51"/>
    <x v="451"/>
    <x v="5"/>
    <x v="10"/>
    <x v="11"/>
    <x v="0"/>
    <x v="74"/>
    <x v="9"/>
    <x v="6"/>
    <x v="3"/>
    <x v="3"/>
    <x v="221"/>
    <x v="197"/>
    <x v="2"/>
    <x v="0"/>
    <x v="154"/>
    <x v="0"/>
    <x v="151"/>
    <x v="112"/>
    <x v="1"/>
    <x v="0"/>
    <x v="0"/>
    <x v="1"/>
    <x v="1"/>
    <x v="1"/>
    <x v="1"/>
    <x v="0"/>
  </r>
  <r>
    <x v="1"/>
    <x v="452"/>
    <x v="452"/>
    <x v="20"/>
    <x v="71"/>
    <x v="5"/>
    <x v="0"/>
    <x v="203"/>
    <x v="73"/>
    <x v="6"/>
    <x v="3"/>
    <x v="3"/>
    <x v="222"/>
    <x v="95"/>
    <x v="1"/>
    <x v="0"/>
    <x v="35"/>
    <x v="0"/>
    <x v="35"/>
    <x v="0"/>
    <x v="0"/>
    <x v="0"/>
    <x v="0"/>
    <x v="1"/>
    <x v="1"/>
    <x v="1"/>
    <x v="1"/>
    <x v="0"/>
  </r>
  <r>
    <x v="1"/>
    <x v="453"/>
    <x v="453"/>
    <x v="1"/>
    <x v="66"/>
    <x v="90"/>
    <x v="0"/>
    <x v="170"/>
    <x v="74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9"/>
  </r>
  <r>
    <x v="1"/>
    <x v="454"/>
    <x v="454"/>
    <x v="20"/>
    <x v="78"/>
    <x v="5"/>
    <x v="0"/>
    <x v="226"/>
    <x v="87"/>
    <x v="6"/>
    <x v="3"/>
    <x v="3"/>
    <x v="223"/>
    <x v="201"/>
    <x v="1"/>
    <x v="0"/>
    <x v="155"/>
    <x v="0"/>
    <x v="152"/>
    <x v="113"/>
    <x v="1"/>
    <x v="0"/>
    <x v="0"/>
    <x v="2"/>
    <x v="1"/>
    <x v="0"/>
    <x v="1"/>
    <x v="0"/>
  </r>
  <r>
    <x v="1"/>
    <x v="455"/>
    <x v="455"/>
    <x v="3"/>
    <x v="4"/>
    <x v="70"/>
    <x v="1"/>
    <x v="227"/>
    <x v="56"/>
    <x v="21"/>
    <x v="20"/>
    <x v="20"/>
    <x v="224"/>
    <x v="0"/>
    <x v="1"/>
    <x v="0"/>
    <x v="0"/>
    <x v="0"/>
    <x v="0"/>
    <x v="0"/>
    <x v="0"/>
    <x v="0"/>
    <x v="0"/>
    <x v="1"/>
    <x v="1"/>
    <x v="1"/>
    <x v="1"/>
    <x v="0"/>
  </r>
  <r>
    <x v="1"/>
    <x v="456"/>
    <x v="456"/>
    <x v="10"/>
    <x v="45"/>
    <x v="5"/>
    <x v="0"/>
    <x v="77"/>
    <x v="8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457"/>
    <x v="457"/>
    <x v="0"/>
    <x v="16"/>
    <x v="18"/>
    <x v="1"/>
    <x v="64"/>
    <x v="1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58"/>
    <x v="458"/>
    <x v="2"/>
    <x v="35"/>
    <x v="106"/>
    <x v="0"/>
    <x v="228"/>
    <x v="6"/>
    <x v="1"/>
    <x v="1"/>
    <x v="1"/>
    <x v="225"/>
    <x v="202"/>
    <x v="1"/>
    <x v="0"/>
    <x v="55"/>
    <x v="0"/>
    <x v="55"/>
    <x v="41"/>
    <x v="1"/>
    <x v="0"/>
    <x v="0"/>
    <x v="2"/>
    <x v="1"/>
    <x v="0"/>
    <x v="1"/>
    <x v="0"/>
  </r>
  <r>
    <x v="1"/>
    <x v="459"/>
    <x v="459"/>
    <x v="0"/>
    <x v="10"/>
    <x v="11"/>
    <x v="0"/>
    <x v="13"/>
    <x v="8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460"/>
    <x v="460"/>
    <x v="12"/>
    <x v="49"/>
    <x v="88"/>
    <x v="0"/>
    <x v="165"/>
    <x v="67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30"/>
  </r>
  <r>
    <x v="1"/>
    <x v="461"/>
    <x v="461"/>
    <x v="3"/>
    <x v="4"/>
    <x v="15"/>
    <x v="1"/>
    <x v="194"/>
    <x v="2"/>
    <x v="21"/>
    <x v="20"/>
    <x v="20"/>
    <x v="226"/>
    <x v="0"/>
    <x v="1"/>
    <x v="0"/>
    <x v="0"/>
    <x v="0"/>
    <x v="0"/>
    <x v="0"/>
    <x v="0"/>
    <x v="0"/>
    <x v="0"/>
    <x v="3"/>
    <x v="1"/>
    <x v="3"/>
    <x v="1"/>
    <x v="0"/>
  </r>
  <r>
    <x v="1"/>
    <x v="462"/>
    <x v="462"/>
    <x v="10"/>
    <x v="45"/>
    <x v="5"/>
    <x v="0"/>
    <x v="77"/>
    <x v="31"/>
    <x v="6"/>
    <x v="3"/>
    <x v="3"/>
    <x v="0"/>
    <x v="0"/>
    <x v="2"/>
    <x v="0"/>
    <x v="0"/>
    <x v="0"/>
    <x v="0"/>
    <x v="0"/>
    <x v="0"/>
    <x v="41"/>
    <x v="35"/>
    <x v="0"/>
    <x v="0"/>
    <x v="0"/>
    <x v="1"/>
    <x v="4"/>
  </r>
  <r>
    <x v="1"/>
    <x v="463"/>
    <x v="463"/>
    <x v="2"/>
    <x v="79"/>
    <x v="5"/>
    <x v="0"/>
    <x v="229"/>
    <x v="6"/>
    <x v="5"/>
    <x v="5"/>
    <x v="5"/>
    <x v="0"/>
    <x v="136"/>
    <x v="2"/>
    <x v="0"/>
    <x v="0"/>
    <x v="0"/>
    <x v="0"/>
    <x v="0"/>
    <x v="0"/>
    <x v="0"/>
    <x v="0"/>
    <x v="4"/>
    <x v="1"/>
    <x v="4"/>
    <x v="1"/>
    <x v="0"/>
  </r>
  <r>
    <x v="1"/>
    <x v="464"/>
    <x v="464"/>
    <x v="3"/>
    <x v="60"/>
    <x v="107"/>
    <x v="0"/>
    <x v="230"/>
    <x v="6"/>
    <x v="23"/>
    <x v="22"/>
    <x v="22"/>
    <x v="227"/>
    <x v="128"/>
    <x v="1"/>
    <x v="0"/>
    <x v="156"/>
    <x v="0"/>
    <x v="153"/>
    <x v="114"/>
    <x v="1"/>
    <x v="0"/>
    <x v="0"/>
    <x v="4"/>
    <x v="1"/>
    <x v="4"/>
    <x v="1"/>
    <x v="0"/>
  </r>
  <r>
    <x v="1"/>
    <x v="465"/>
    <x v="465"/>
    <x v="6"/>
    <x v="17"/>
    <x v="108"/>
    <x v="0"/>
    <x v="231"/>
    <x v="1"/>
    <x v="3"/>
    <x v="3"/>
    <x v="3"/>
    <x v="0"/>
    <x v="203"/>
    <x v="2"/>
    <x v="0"/>
    <x v="0"/>
    <x v="0"/>
    <x v="0"/>
    <x v="0"/>
    <x v="0"/>
    <x v="0"/>
    <x v="0"/>
    <x v="3"/>
    <x v="0"/>
    <x v="0"/>
    <x v="1"/>
    <x v="0"/>
  </r>
  <r>
    <x v="1"/>
    <x v="466"/>
    <x v="466"/>
    <x v="2"/>
    <x v="5"/>
    <x v="49"/>
    <x v="0"/>
    <x v="88"/>
    <x v="6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67"/>
    <x v="467"/>
    <x v="1"/>
    <x v="41"/>
    <x v="109"/>
    <x v="0"/>
    <x v="232"/>
    <x v="6"/>
    <x v="4"/>
    <x v="4"/>
    <x v="4"/>
    <x v="228"/>
    <x v="92"/>
    <x v="2"/>
    <x v="0"/>
    <x v="4"/>
    <x v="0"/>
    <x v="4"/>
    <x v="0"/>
    <x v="0"/>
    <x v="0"/>
    <x v="0"/>
    <x v="2"/>
    <x v="1"/>
    <x v="0"/>
    <x v="1"/>
    <x v="0"/>
  </r>
  <r>
    <x v="1"/>
    <x v="468"/>
    <x v="468"/>
    <x v="0"/>
    <x v="29"/>
    <x v="70"/>
    <x v="1"/>
    <x v="233"/>
    <x v="46"/>
    <x v="15"/>
    <x v="14"/>
    <x v="14"/>
    <x v="229"/>
    <x v="204"/>
    <x v="2"/>
    <x v="0"/>
    <x v="157"/>
    <x v="0"/>
    <x v="154"/>
    <x v="115"/>
    <x v="1"/>
    <x v="0"/>
    <x v="0"/>
    <x v="2"/>
    <x v="1"/>
    <x v="0"/>
    <x v="1"/>
    <x v="0"/>
  </r>
  <r>
    <x v="1"/>
    <x v="469"/>
    <x v="469"/>
    <x v="14"/>
    <x v="61"/>
    <x v="5"/>
    <x v="0"/>
    <x v="140"/>
    <x v="90"/>
    <x v="6"/>
    <x v="3"/>
    <x v="3"/>
    <x v="230"/>
    <x v="205"/>
    <x v="2"/>
    <x v="0"/>
    <x v="7"/>
    <x v="0"/>
    <x v="7"/>
    <x v="4"/>
    <x v="1"/>
    <x v="0"/>
    <x v="0"/>
    <x v="1"/>
    <x v="1"/>
    <x v="1"/>
    <x v="1"/>
    <x v="0"/>
  </r>
  <r>
    <x v="1"/>
    <x v="470"/>
    <x v="470"/>
    <x v="3"/>
    <x v="36"/>
    <x v="110"/>
    <x v="0"/>
    <x v="234"/>
    <x v="6"/>
    <x v="4"/>
    <x v="4"/>
    <x v="4"/>
    <x v="231"/>
    <x v="59"/>
    <x v="1"/>
    <x v="0"/>
    <x v="4"/>
    <x v="0"/>
    <x v="4"/>
    <x v="0"/>
    <x v="0"/>
    <x v="0"/>
    <x v="0"/>
    <x v="1"/>
    <x v="1"/>
    <x v="1"/>
    <x v="1"/>
    <x v="0"/>
  </r>
  <r>
    <x v="1"/>
    <x v="471"/>
    <x v="471"/>
    <x v="5"/>
    <x v="32"/>
    <x v="4"/>
    <x v="1"/>
    <x v="82"/>
    <x v="3"/>
    <x v="2"/>
    <x v="2"/>
    <x v="2"/>
    <x v="17"/>
    <x v="206"/>
    <x v="1"/>
    <x v="0"/>
    <x v="158"/>
    <x v="0"/>
    <x v="155"/>
    <x v="116"/>
    <x v="1"/>
    <x v="0"/>
    <x v="0"/>
    <x v="2"/>
    <x v="1"/>
    <x v="0"/>
    <x v="1"/>
    <x v="0"/>
  </r>
  <r>
    <x v="1"/>
    <x v="472"/>
    <x v="472"/>
    <x v="1"/>
    <x v="66"/>
    <x v="90"/>
    <x v="0"/>
    <x v="170"/>
    <x v="91"/>
    <x v="11"/>
    <x v="10"/>
    <x v="10"/>
    <x v="0"/>
    <x v="0"/>
    <x v="2"/>
    <x v="0"/>
    <x v="0"/>
    <x v="0"/>
    <x v="0"/>
    <x v="0"/>
    <x v="0"/>
    <x v="42"/>
    <x v="0"/>
    <x v="0"/>
    <x v="0"/>
    <x v="0"/>
    <x v="1"/>
    <x v="31"/>
  </r>
  <r>
    <x v="1"/>
    <x v="473"/>
    <x v="473"/>
    <x v="2"/>
    <x v="27"/>
    <x v="26"/>
    <x v="0"/>
    <x v="40"/>
    <x v="6"/>
    <x v="4"/>
    <x v="4"/>
    <x v="4"/>
    <x v="232"/>
    <x v="20"/>
    <x v="1"/>
    <x v="0"/>
    <x v="48"/>
    <x v="0"/>
    <x v="48"/>
    <x v="0"/>
    <x v="0"/>
    <x v="0"/>
    <x v="0"/>
    <x v="2"/>
    <x v="1"/>
    <x v="0"/>
    <x v="1"/>
    <x v="0"/>
  </r>
  <r>
    <x v="1"/>
    <x v="474"/>
    <x v="474"/>
    <x v="20"/>
    <x v="71"/>
    <x v="5"/>
    <x v="0"/>
    <x v="203"/>
    <x v="92"/>
    <x v="6"/>
    <x v="3"/>
    <x v="3"/>
    <x v="206"/>
    <x v="184"/>
    <x v="1"/>
    <x v="0"/>
    <x v="159"/>
    <x v="0"/>
    <x v="156"/>
    <x v="117"/>
    <x v="1"/>
    <x v="0"/>
    <x v="0"/>
    <x v="1"/>
    <x v="1"/>
    <x v="1"/>
    <x v="1"/>
    <x v="0"/>
  </r>
  <r>
    <x v="1"/>
    <x v="475"/>
    <x v="475"/>
    <x v="6"/>
    <x v="13"/>
    <x v="15"/>
    <x v="1"/>
    <x v="60"/>
    <x v="2"/>
    <x v="4"/>
    <x v="4"/>
    <x v="4"/>
    <x v="233"/>
    <x v="207"/>
    <x v="1"/>
    <x v="0"/>
    <x v="160"/>
    <x v="0"/>
    <x v="157"/>
    <x v="118"/>
    <x v="1"/>
    <x v="43"/>
    <x v="36"/>
    <x v="4"/>
    <x v="1"/>
    <x v="4"/>
    <x v="1"/>
    <x v="0"/>
  </r>
  <r>
    <x v="1"/>
    <x v="476"/>
    <x v="476"/>
    <x v="12"/>
    <x v="49"/>
    <x v="71"/>
    <x v="0"/>
    <x v="126"/>
    <x v="48"/>
    <x v="6"/>
    <x v="3"/>
    <x v="3"/>
    <x v="229"/>
    <x v="184"/>
    <x v="1"/>
    <x v="0"/>
    <x v="137"/>
    <x v="0"/>
    <x v="135"/>
    <x v="98"/>
    <x v="1"/>
    <x v="0"/>
    <x v="0"/>
    <x v="1"/>
    <x v="1"/>
    <x v="1"/>
    <x v="1"/>
    <x v="0"/>
  </r>
  <r>
    <x v="1"/>
    <x v="477"/>
    <x v="477"/>
    <x v="10"/>
    <x v="59"/>
    <x v="5"/>
    <x v="0"/>
    <x v="123"/>
    <x v="93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478"/>
    <x v="478"/>
    <x v="12"/>
    <x v="49"/>
    <x v="87"/>
    <x v="0"/>
    <x v="163"/>
    <x v="48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79"/>
    <x v="479"/>
    <x v="5"/>
    <x v="10"/>
    <x v="11"/>
    <x v="0"/>
    <x v="74"/>
    <x v="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32"/>
  </r>
  <r>
    <x v="1"/>
    <x v="480"/>
    <x v="480"/>
    <x v="3"/>
    <x v="43"/>
    <x v="5"/>
    <x v="0"/>
    <x v="235"/>
    <x v="94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81"/>
    <x v="481"/>
    <x v="5"/>
    <x v="10"/>
    <x v="11"/>
    <x v="0"/>
    <x v="74"/>
    <x v="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32"/>
  </r>
  <r>
    <x v="1"/>
    <x v="482"/>
    <x v="482"/>
    <x v="3"/>
    <x v="4"/>
    <x v="12"/>
    <x v="1"/>
    <x v="202"/>
    <x v="1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83"/>
    <x v="483"/>
    <x v="5"/>
    <x v="32"/>
    <x v="15"/>
    <x v="1"/>
    <x v="90"/>
    <x v="2"/>
    <x v="25"/>
    <x v="24"/>
    <x v="24"/>
    <x v="234"/>
    <x v="0"/>
    <x v="1"/>
    <x v="0"/>
    <x v="0"/>
    <x v="0"/>
    <x v="0"/>
    <x v="0"/>
    <x v="0"/>
    <x v="0"/>
    <x v="0"/>
    <x v="3"/>
    <x v="1"/>
    <x v="3"/>
    <x v="1"/>
    <x v="0"/>
  </r>
  <r>
    <x v="1"/>
    <x v="484"/>
    <x v="484"/>
    <x v="6"/>
    <x v="13"/>
    <x v="12"/>
    <x v="1"/>
    <x v="17"/>
    <x v="1"/>
    <x v="35"/>
    <x v="10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85"/>
    <x v="485"/>
    <x v="0"/>
    <x v="1"/>
    <x v="14"/>
    <x v="0"/>
    <x v="18"/>
    <x v="24"/>
    <x v="14"/>
    <x v="13"/>
    <x v="13"/>
    <x v="235"/>
    <x v="208"/>
    <x v="2"/>
    <x v="0"/>
    <x v="45"/>
    <x v="0"/>
    <x v="45"/>
    <x v="35"/>
    <x v="1"/>
    <x v="0"/>
    <x v="0"/>
    <x v="1"/>
    <x v="1"/>
    <x v="1"/>
    <x v="1"/>
    <x v="0"/>
  </r>
  <r>
    <x v="1"/>
    <x v="486"/>
    <x v="486"/>
    <x v="5"/>
    <x v="32"/>
    <x v="15"/>
    <x v="1"/>
    <x v="90"/>
    <x v="2"/>
    <x v="14"/>
    <x v="13"/>
    <x v="13"/>
    <x v="156"/>
    <x v="209"/>
    <x v="1"/>
    <x v="0"/>
    <x v="109"/>
    <x v="0"/>
    <x v="108"/>
    <x v="77"/>
    <x v="1"/>
    <x v="0"/>
    <x v="0"/>
    <x v="2"/>
    <x v="1"/>
    <x v="0"/>
    <x v="1"/>
    <x v="0"/>
  </r>
  <r>
    <x v="1"/>
    <x v="487"/>
    <x v="487"/>
    <x v="5"/>
    <x v="53"/>
    <x v="111"/>
    <x v="0"/>
    <x v="236"/>
    <x v="6"/>
    <x v="14"/>
    <x v="13"/>
    <x v="13"/>
    <x v="236"/>
    <x v="210"/>
    <x v="1"/>
    <x v="0"/>
    <x v="97"/>
    <x v="0"/>
    <x v="97"/>
    <x v="69"/>
    <x v="1"/>
    <x v="0"/>
    <x v="0"/>
    <x v="1"/>
    <x v="1"/>
    <x v="1"/>
    <x v="1"/>
    <x v="0"/>
  </r>
  <r>
    <x v="1"/>
    <x v="488"/>
    <x v="488"/>
    <x v="18"/>
    <x v="15"/>
    <x v="5"/>
    <x v="0"/>
    <x v="166"/>
    <x v="64"/>
    <x v="6"/>
    <x v="3"/>
    <x v="3"/>
    <x v="22"/>
    <x v="141"/>
    <x v="1"/>
    <x v="0"/>
    <x v="161"/>
    <x v="0"/>
    <x v="158"/>
    <x v="119"/>
    <x v="1"/>
    <x v="0"/>
    <x v="0"/>
    <x v="1"/>
    <x v="1"/>
    <x v="1"/>
    <x v="1"/>
    <x v="0"/>
  </r>
  <r>
    <x v="1"/>
    <x v="489"/>
    <x v="489"/>
    <x v="5"/>
    <x v="48"/>
    <x v="112"/>
    <x v="0"/>
    <x v="237"/>
    <x v="24"/>
    <x v="4"/>
    <x v="4"/>
    <x v="4"/>
    <x v="228"/>
    <x v="211"/>
    <x v="2"/>
    <x v="0"/>
    <x v="162"/>
    <x v="0"/>
    <x v="159"/>
    <x v="0"/>
    <x v="0"/>
    <x v="0"/>
    <x v="0"/>
    <x v="1"/>
    <x v="1"/>
    <x v="1"/>
    <x v="1"/>
    <x v="0"/>
  </r>
  <r>
    <x v="1"/>
    <x v="490"/>
    <x v="490"/>
    <x v="0"/>
    <x v="6"/>
    <x v="7"/>
    <x v="0"/>
    <x v="8"/>
    <x v="1"/>
    <x v="9"/>
    <x v="8"/>
    <x v="8"/>
    <x v="237"/>
    <x v="149"/>
    <x v="1"/>
    <x v="0"/>
    <x v="163"/>
    <x v="0"/>
    <x v="160"/>
    <x v="120"/>
    <x v="1"/>
    <x v="0"/>
    <x v="0"/>
    <x v="2"/>
    <x v="1"/>
    <x v="0"/>
    <x v="1"/>
    <x v="0"/>
  </r>
  <r>
    <x v="1"/>
    <x v="491"/>
    <x v="491"/>
    <x v="1"/>
    <x v="39"/>
    <x v="113"/>
    <x v="0"/>
    <x v="238"/>
    <x v="1"/>
    <x v="2"/>
    <x v="2"/>
    <x v="2"/>
    <x v="113"/>
    <x v="28"/>
    <x v="2"/>
    <x v="0"/>
    <x v="105"/>
    <x v="0"/>
    <x v="104"/>
    <x v="0"/>
    <x v="0"/>
    <x v="0"/>
    <x v="0"/>
    <x v="2"/>
    <x v="1"/>
    <x v="0"/>
    <x v="1"/>
    <x v="0"/>
  </r>
  <r>
    <x v="1"/>
    <x v="492"/>
    <x v="492"/>
    <x v="5"/>
    <x v="10"/>
    <x v="11"/>
    <x v="0"/>
    <x v="74"/>
    <x v="8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493"/>
    <x v="493"/>
    <x v="6"/>
    <x v="17"/>
    <x v="73"/>
    <x v="0"/>
    <x v="129"/>
    <x v="1"/>
    <x v="4"/>
    <x v="4"/>
    <x v="4"/>
    <x v="238"/>
    <x v="212"/>
    <x v="1"/>
    <x v="0"/>
    <x v="164"/>
    <x v="0"/>
    <x v="161"/>
    <x v="0"/>
    <x v="0"/>
    <x v="0"/>
    <x v="0"/>
    <x v="1"/>
    <x v="1"/>
    <x v="1"/>
    <x v="1"/>
    <x v="0"/>
  </r>
  <r>
    <x v="1"/>
    <x v="494"/>
    <x v="494"/>
    <x v="2"/>
    <x v="20"/>
    <x v="12"/>
    <x v="1"/>
    <x v="30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95"/>
    <x v="495"/>
    <x v="6"/>
    <x v="13"/>
    <x v="12"/>
    <x v="1"/>
    <x v="17"/>
    <x v="1"/>
    <x v="35"/>
    <x v="10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496"/>
    <x v="496"/>
    <x v="16"/>
    <x v="64"/>
    <x v="5"/>
    <x v="0"/>
    <x v="153"/>
    <x v="95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497"/>
    <x v="497"/>
    <x v="6"/>
    <x v="17"/>
    <x v="73"/>
    <x v="0"/>
    <x v="129"/>
    <x v="6"/>
    <x v="4"/>
    <x v="4"/>
    <x v="4"/>
    <x v="239"/>
    <x v="213"/>
    <x v="1"/>
    <x v="0"/>
    <x v="126"/>
    <x v="0"/>
    <x v="125"/>
    <x v="90"/>
    <x v="1"/>
    <x v="0"/>
    <x v="0"/>
    <x v="2"/>
    <x v="1"/>
    <x v="0"/>
    <x v="1"/>
    <x v="0"/>
  </r>
  <r>
    <x v="1"/>
    <x v="498"/>
    <x v="498"/>
    <x v="12"/>
    <x v="49"/>
    <x v="114"/>
    <x v="0"/>
    <x v="239"/>
    <x v="59"/>
    <x v="6"/>
    <x v="3"/>
    <x v="3"/>
    <x v="240"/>
    <x v="154"/>
    <x v="1"/>
    <x v="0"/>
    <x v="77"/>
    <x v="0"/>
    <x v="77"/>
    <x v="58"/>
    <x v="1"/>
    <x v="0"/>
    <x v="0"/>
    <x v="1"/>
    <x v="1"/>
    <x v="1"/>
    <x v="1"/>
    <x v="0"/>
  </r>
  <r>
    <x v="1"/>
    <x v="499"/>
    <x v="499"/>
    <x v="3"/>
    <x v="10"/>
    <x v="11"/>
    <x v="0"/>
    <x v="121"/>
    <x v="9"/>
    <x v="15"/>
    <x v="14"/>
    <x v="14"/>
    <x v="241"/>
    <x v="214"/>
    <x v="1"/>
    <x v="0"/>
    <x v="37"/>
    <x v="0"/>
    <x v="37"/>
    <x v="30"/>
    <x v="1"/>
    <x v="0"/>
    <x v="0"/>
    <x v="2"/>
    <x v="1"/>
    <x v="0"/>
    <x v="1"/>
    <x v="0"/>
  </r>
  <r>
    <x v="1"/>
    <x v="500"/>
    <x v="500"/>
    <x v="5"/>
    <x v="68"/>
    <x v="5"/>
    <x v="0"/>
    <x v="174"/>
    <x v="6"/>
    <x v="32"/>
    <x v="31"/>
    <x v="31"/>
    <x v="242"/>
    <x v="215"/>
    <x v="1"/>
    <x v="0"/>
    <x v="75"/>
    <x v="0"/>
    <x v="75"/>
    <x v="57"/>
    <x v="1"/>
    <x v="0"/>
    <x v="0"/>
    <x v="2"/>
    <x v="1"/>
    <x v="0"/>
    <x v="1"/>
    <x v="0"/>
  </r>
  <r>
    <x v="1"/>
    <x v="501"/>
    <x v="501"/>
    <x v="20"/>
    <x v="70"/>
    <x v="5"/>
    <x v="0"/>
    <x v="188"/>
    <x v="96"/>
    <x v="2"/>
    <x v="2"/>
    <x v="2"/>
    <x v="243"/>
    <x v="101"/>
    <x v="1"/>
    <x v="0"/>
    <x v="144"/>
    <x v="0"/>
    <x v="142"/>
    <x v="104"/>
    <x v="1"/>
    <x v="0"/>
    <x v="0"/>
    <x v="1"/>
    <x v="1"/>
    <x v="1"/>
    <x v="1"/>
    <x v="0"/>
  </r>
  <r>
    <x v="1"/>
    <x v="502"/>
    <x v="502"/>
    <x v="6"/>
    <x v="28"/>
    <x v="12"/>
    <x v="1"/>
    <x v="41"/>
    <x v="16"/>
    <x v="2"/>
    <x v="2"/>
    <x v="2"/>
    <x v="244"/>
    <x v="216"/>
    <x v="1"/>
    <x v="0"/>
    <x v="139"/>
    <x v="0"/>
    <x v="137"/>
    <x v="100"/>
    <x v="1"/>
    <x v="0"/>
    <x v="0"/>
    <x v="2"/>
    <x v="1"/>
    <x v="0"/>
    <x v="1"/>
    <x v="0"/>
  </r>
  <r>
    <x v="1"/>
    <x v="503"/>
    <x v="503"/>
    <x v="6"/>
    <x v="28"/>
    <x v="18"/>
    <x v="1"/>
    <x v="48"/>
    <x v="17"/>
    <x v="2"/>
    <x v="2"/>
    <x v="2"/>
    <x v="245"/>
    <x v="217"/>
    <x v="1"/>
    <x v="0"/>
    <x v="58"/>
    <x v="0"/>
    <x v="58"/>
    <x v="44"/>
    <x v="1"/>
    <x v="0"/>
    <x v="0"/>
    <x v="2"/>
    <x v="1"/>
    <x v="0"/>
    <x v="1"/>
    <x v="0"/>
  </r>
  <r>
    <x v="1"/>
    <x v="504"/>
    <x v="504"/>
    <x v="0"/>
    <x v="1"/>
    <x v="14"/>
    <x v="0"/>
    <x v="18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05"/>
    <x v="505"/>
    <x v="3"/>
    <x v="4"/>
    <x v="21"/>
    <x v="1"/>
    <x v="207"/>
    <x v="18"/>
    <x v="11"/>
    <x v="10"/>
    <x v="10"/>
    <x v="246"/>
    <x v="206"/>
    <x v="1"/>
    <x v="0"/>
    <x v="124"/>
    <x v="0"/>
    <x v="123"/>
    <x v="89"/>
    <x v="1"/>
    <x v="0"/>
    <x v="0"/>
    <x v="2"/>
    <x v="1"/>
    <x v="0"/>
    <x v="1"/>
    <x v="0"/>
  </r>
  <r>
    <x v="1"/>
    <x v="506"/>
    <x v="506"/>
    <x v="20"/>
    <x v="80"/>
    <x v="5"/>
    <x v="0"/>
    <x v="240"/>
    <x v="42"/>
    <x v="20"/>
    <x v="19"/>
    <x v="19"/>
    <x v="247"/>
    <x v="218"/>
    <x v="1"/>
    <x v="0"/>
    <x v="165"/>
    <x v="0"/>
    <x v="162"/>
    <x v="121"/>
    <x v="1"/>
    <x v="0"/>
    <x v="0"/>
    <x v="2"/>
    <x v="1"/>
    <x v="0"/>
    <x v="1"/>
    <x v="0"/>
  </r>
  <r>
    <x v="1"/>
    <x v="507"/>
    <x v="507"/>
    <x v="1"/>
    <x v="41"/>
    <x v="115"/>
    <x v="0"/>
    <x v="241"/>
    <x v="17"/>
    <x v="2"/>
    <x v="2"/>
    <x v="2"/>
    <x v="39"/>
    <x v="219"/>
    <x v="1"/>
    <x v="0"/>
    <x v="129"/>
    <x v="0"/>
    <x v="128"/>
    <x v="93"/>
    <x v="1"/>
    <x v="44"/>
    <x v="37"/>
    <x v="4"/>
    <x v="1"/>
    <x v="4"/>
    <x v="1"/>
    <x v="0"/>
  </r>
  <r>
    <x v="1"/>
    <x v="508"/>
    <x v="508"/>
    <x v="6"/>
    <x v="13"/>
    <x v="5"/>
    <x v="1"/>
    <x v="242"/>
    <x v="57"/>
    <x v="19"/>
    <x v="18"/>
    <x v="18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09"/>
    <x v="509"/>
    <x v="20"/>
    <x v="71"/>
    <x v="5"/>
    <x v="0"/>
    <x v="203"/>
    <x v="73"/>
    <x v="6"/>
    <x v="3"/>
    <x v="3"/>
    <x v="33"/>
    <x v="154"/>
    <x v="1"/>
    <x v="0"/>
    <x v="87"/>
    <x v="0"/>
    <x v="87"/>
    <x v="0"/>
    <x v="0"/>
    <x v="0"/>
    <x v="0"/>
    <x v="2"/>
    <x v="1"/>
    <x v="0"/>
    <x v="1"/>
    <x v="0"/>
  </r>
  <r>
    <x v="1"/>
    <x v="510"/>
    <x v="510"/>
    <x v="6"/>
    <x v="56"/>
    <x v="56"/>
    <x v="0"/>
    <x v="99"/>
    <x v="29"/>
    <x v="30"/>
    <x v="29"/>
    <x v="29"/>
    <x v="0"/>
    <x v="220"/>
    <x v="2"/>
    <x v="0"/>
    <x v="0"/>
    <x v="0"/>
    <x v="0"/>
    <x v="0"/>
    <x v="0"/>
    <x v="0"/>
    <x v="0"/>
    <x v="1"/>
    <x v="1"/>
    <x v="1"/>
    <x v="1"/>
    <x v="0"/>
  </r>
  <r>
    <x v="1"/>
    <x v="511"/>
    <x v="511"/>
    <x v="5"/>
    <x v="10"/>
    <x v="5"/>
    <x v="0"/>
    <x v="243"/>
    <x v="52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12"/>
    <x v="512"/>
    <x v="17"/>
    <x v="81"/>
    <x v="5"/>
    <x v="0"/>
    <x v="244"/>
    <x v="97"/>
    <x v="6"/>
    <x v="3"/>
    <x v="3"/>
    <x v="0"/>
    <x v="0"/>
    <x v="2"/>
    <x v="0"/>
    <x v="0"/>
    <x v="0"/>
    <x v="0"/>
    <x v="0"/>
    <x v="0"/>
    <x v="45"/>
    <x v="38"/>
    <x v="0"/>
    <x v="1"/>
    <x v="2"/>
    <x v="1"/>
    <x v="0"/>
  </r>
  <r>
    <x v="1"/>
    <x v="513"/>
    <x v="513"/>
    <x v="3"/>
    <x v="67"/>
    <x v="15"/>
    <x v="1"/>
    <x v="171"/>
    <x v="2"/>
    <x v="15"/>
    <x v="14"/>
    <x v="14"/>
    <x v="248"/>
    <x v="221"/>
    <x v="2"/>
    <x v="0"/>
    <x v="166"/>
    <x v="0"/>
    <x v="163"/>
    <x v="122"/>
    <x v="1"/>
    <x v="0"/>
    <x v="0"/>
    <x v="1"/>
    <x v="1"/>
    <x v="1"/>
    <x v="1"/>
    <x v="0"/>
  </r>
  <r>
    <x v="1"/>
    <x v="514"/>
    <x v="514"/>
    <x v="1"/>
    <x v="24"/>
    <x v="22"/>
    <x v="0"/>
    <x v="34"/>
    <x v="33"/>
    <x v="20"/>
    <x v="19"/>
    <x v="19"/>
    <x v="0"/>
    <x v="215"/>
    <x v="2"/>
    <x v="0"/>
    <x v="0"/>
    <x v="0"/>
    <x v="0"/>
    <x v="0"/>
    <x v="0"/>
    <x v="0"/>
    <x v="0"/>
    <x v="3"/>
    <x v="1"/>
    <x v="3"/>
    <x v="1"/>
    <x v="0"/>
  </r>
  <r>
    <x v="1"/>
    <x v="515"/>
    <x v="515"/>
    <x v="5"/>
    <x v="10"/>
    <x v="11"/>
    <x v="0"/>
    <x v="74"/>
    <x v="9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16"/>
    <x v="516"/>
    <x v="5"/>
    <x v="32"/>
    <x v="4"/>
    <x v="1"/>
    <x v="82"/>
    <x v="75"/>
    <x v="14"/>
    <x v="13"/>
    <x v="13"/>
    <x v="156"/>
    <x v="209"/>
    <x v="1"/>
    <x v="0"/>
    <x v="109"/>
    <x v="0"/>
    <x v="108"/>
    <x v="77"/>
    <x v="1"/>
    <x v="46"/>
    <x v="39"/>
    <x v="2"/>
    <x v="1"/>
    <x v="0"/>
    <x v="1"/>
    <x v="0"/>
  </r>
  <r>
    <x v="1"/>
    <x v="517"/>
    <x v="517"/>
    <x v="1"/>
    <x v="41"/>
    <x v="116"/>
    <x v="0"/>
    <x v="245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18"/>
    <x v="518"/>
    <x v="6"/>
    <x v="13"/>
    <x v="12"/>
    <x v="1"/>
    <x v="17"/>
    <x v="1"/>
    <x v="15"/>
    <x v="14"/>
    <x v="14"/>
    <x v="249"/>
    <x v="222"/>
    <x v="1"/>
    <x v="0"/>
    <x v="167"/>
    <x v="0"/>
    <x v="164"/>
    <x v="123"/>
    <x v="1"/>
    <x v="0"/>
    <x v="0"/>
    <x v="2"/>
    <x v="1"/>
    <x v="0"/>
    <x v="1"/>
    <x v="0"/>
  </r>
  <r>
    <x v="1"/>
    <x v="519"/>
    <x v="519"/>
    <x v="5"/>
    <x v="10"/>
    <x v="11"/>
    <x v="0"/>
    <x v="74"/>
    <x v="8"/>
    <x v="6"/>
    <x v="3"/>
    <x v="3"/>
    <x v="164"/>
    <x v="223"/>
    <x v="2"/>
    <x v="0"/>
    <x v="55"/>
    <x v="0"/>
    <x v="55"/>
    <x v="41"/>
    <x v="1"/>
    <x v="0"/>
    <x v="0"/>
    <x v="1"/>
    <x v="1"/>
    <x v="1"/>
    <x v="1"/>
    <x v="0"/>
  </r>
  <r>
    <x v="1"/>
    <x v="520"/>
    <x v="520"/>
    <x v="20"/>
    <x v="70"/>
    <x v="5"/>
    <x v="0"/>
    <x v="188"/>
    <x v="87"/>
    <x v="6"/>
    <x v="3"/>
    <x v="3"/>
    <x v="250"/>
    <x v="224"/>
    <x v="1"/>
    <x v="0"/>
    <x v="145"/>
    <x v="0"/>
    <x v="165"/>
    <x v="124"/>
    <x v="1"/>
    <x v="0"/>
    <x v="0"/>
    <x v="2"/>
    <x v="1"/>
    <x v="0"/>
    <x v="1"/>
    <x v="0"/>
  </r>
  <r>
    <x v="1"/>
    <x v="521"/>
    <x v="521"/>
    <x v="0"/>
    <x v="15"/>
    <x v="5"/>
    <x v="0"/>
    <x v="246"/>
    <x v="81"/>
    <x v="6"/>
    <x v="3"/>
    <x v="3"/>
    <x v="4"/>
    <x v="5"/>
    <x v="1"/>
    <x v="0"/>
    <x v="4"/>
    <x v="0"/>
    <x v="4"/>
    <x v="0"/>
    <x v="0"/>
    <x v="47"/>
    <x v="40"/>
    <x v="1"/>
    <x v="1"/>
    <x v="1"/>
    <x v="1"/>
    <x v="0"/>
  </r>
  <r>
    <x v="1"/>
    <x v="522"/>
    <x v="522"/>
    <x v="6"/>
    <x v="28"/>
    <x v="18"/>
    <x v="1"/>
    <x v="48"/>
    <x v="17"/>
    <x v="28"/>
    <x v="27"/>
    <x v="27"/>
    <x v="251"/>
    <x v="135"/>
    <x v="1"/>
    <x v="0"/>
    <x v="168"/>
    <x v="0"/>
    <x v="166"/>
    <x v="0"/>
    <x v="0"/>
    <x v="0"/>
    <x v="0"/>
    <x v="2"/>
    <x v="1"/>
    <x v="0"/>
    <x v="1"/>
    <x v="0"/>
  </r>
  <r>
    <x v="1"/>
    <x v="523"/>
    <x v="523"/>
    <x v="2"/>
    <x v="42"/>
    <x v="42"/>
    <x v="0"/>
    <x v="72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24"/>
    <x v="524"/>
    <x v="4"/>
    <x v="7"/>
    <x v="17"/>
    <x v="0"/>
    <x v="24"/>
    <x v="6"/>
    <x v="23"/>
    <x v="22"/>
    <x v="22"/>
    <x v="0"/>
    <x v="0"/>
    <x v="2"/>
    <x v="0"/>
    <x v="0"/>
    <x v="0"/>
    <x v="0"/>
    <x v="0"/>
    <x v="0"/>
    <x v="0"/>
    <x v="0"/>
    <x v="0"/>
    <x v="0"/>
    <x v="0"/>
    <x v="1"/>
    <x v="33"/>
  </r>
  <r>
    <x v="1"/>
    <x v="525"/>
    <x v="525"/>
    <x v="6"/>
    <x v="28"/>
    <x v="12"/>
    <x v="1"/>
    <x v="41"/>
    <x v="1"/>
    <x v="20"/>
    <x v="19"/>
    <x v="19"/>
    <x v="246"/>
    <x v="185"/>
    <x v="1"/>
    <x v="0"/>
    <x v="108"/>
    <x v="0"/>
    <x v="107"/>
    <x v="76"/>
    <x v="1"/>
    <x v="0"/>
    <x v="0"/>
    <x v="2"/>
    <x v="1"/>
    <x v="0"/>
    <x v="1"/>
    <x v="0"/>
  </r>
  <r>
    <x v="1"/>
    <x v="526"/>
    <x v="526"/>
    <x v="2"/>
    <x v="82"/>
    <x v="5"/>
    <x v="0"/>
    <x v="247"/>
    <x v="6"/>
    <x v="1"/>
    <x v="1"/>
    <x v="1"/>
    <x v="114"/>
    <x v="213"/>
    <x v="1"/>
    <x v="0"/>
    <x v="169"/>
    <x v="0"/>
    <x v="167"/>
    <x v="125"/>
    <x v="1"/>
    <x v="0"/>
    <x v="0"/>
    <x v="2"/>
    <x v="1"/>
    <x v="0"/>
    <x v="1"/>
    <x v="0"/>
  </r>
  <r>
    <x v="1"/>
    <x v="527"/>
    <x v="527"/>
    <x v="6"/>
    <x v="51"/>
    <x v="117"/>
    <x v="0"/>
    <x v="248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28"/>
    <x v="528"/>
    <x v="4"/>
    <x v="26"/>
    <x v="15"/>
    <x v="1"/>
    <x v="141"/>
    <x v="2"/>
    <x v="17"/>
    <x v="16"/>
    <x v="16"/>
    <x v="252"/>
    <x v="225"/>
    <x v="1"/>
    <x v="0"/>
    <x v="170"/>
    <x v="0"/>
    <x v="168"/>
    <x v="126"/>
    <x v="1"/>
    <x v="0"/>
    <x v="0"/>
    <x v="2"/>
    <x v="1"/>
    <x v="0"/>
    <x v="1"/>
    <x v="0"/>
  </r>
  <r>
    <x v="1"/>
    <x v="529"/>
    <x v="529"/>
    <x v="13"/>
    <x v="54"/>
    <x v="5"/>
    <x v="0"/>
    <x v="97"/>
    <x v="68"/>
    <x v="6"/>
    <x v="3"/>
    <x v="3"/>
    <x v="253"/>
    <x v="226"/>
    <x v="2"/>
    <x v="0"/>
    <x v="132"/>
    <x v="0"/>
    <x v="131"/>
    <x v="96"/>
    <x v="1"/>
    <x v="0"/>
    <x v="0"/>
    <x v="2"/>
    <x v="1"/>
    <x v="0"/>
    <x v="1"/>
    <x v="0"/>
  </r>
  <r>
    <x v="1"/>
    <x v="530"/>
    <x v="530"/>
    <x v="0"/>
    <x v="29"/>
    <x v="18"/>
    <x v="1"/>
    <x v="42"/>
    <x v="15"/>
    <x v="7"/>
    <x v="6"/>
    <x v="6"/>
    <x v="254"/>
    <x v="0"/>
    <x v="1"/>
    <x v="0"/>
    <x v="0"/>
    <x v="0"/>
    <x v="0"/>
    <x v="0"/>
    <x v="0"/>
    <x v="0"/>
    <x v="0"/>
    <x v="1"/>
    <x v="1"/>
    <x v="1"/>
    <x v="1"/>
    <x v="0"/>
  </r>
  <r>
    <x v="1"/>
    <x v="531"/>
    <x v="531"/>
    <x v="3"/>
    <x v="10"/>
    <x v="11"/>
    <x v="0"/>
    <x v="121"/>
    <x v="9"/>
    <x v="15"/>
    <x v="14"/>
    <x v="14"/>
    <x v="0"/>
    <x v="0"/>
    <x v="2"/>
    <x v="0"/>
    <x v="0"/>
    <x v="0"/>
    <x v="0"/>
    <x v="0"/>
    <x v="0"/>
    <x v="0"/>
    <x v="0"/>
    <x v="0"/>
    <x v="0"/>
    <x v="0"/>
    <x v="1"/>
    <x v="34"/>
  </r>
  <r>
    <x v="1"/>
    <x v="532"/>
    <x v="532"/>
    <x v="4"/>
    <x v="43"/>
    <x v="5"/>
    <x v="0"/>
    <x v="75"/>
    <x v="94"/>
    <x v="15"/>
    <x v="14"/>
    <x v="14"/>
    <x v="255"/>
    <x v="227"/>
    <x v="1"/>
    <x v="0"/>
    <x v="90"/>
    <x v="0"/>
    <x v="90"/>
    <x v="64"/>
    <x v="1"/>
    <x v="0"/>
    <x v="0"/>
    <x v="2"/>
    <x v="1"/>
    <x v="0"/>
    <x v="1"/>
    <x v="0"/>
  </r>
  <r>
    <x v="1"/>
    <x v="533"/>
    <x v="533"/>
    <x v="3"/>
    <x v="4"/>
    <x v="15"/>
    <x v="1"/>
    <x v="194"/>
    <x v="12"/>
    <x v="17"/>
    <x v="16"/>
    <x v="16"/>
    <x v="256"/>
    <x v="228"/>
    <x v="1"/>
    <x v="0"/>
    <x v="157"/>
    <x v="0"/>
    <x v="154"/>
    <x v="115"/>
    <x v="1"/>
    <x v="48"/>
    <x v="41"/>
    <x v="1"/>
    <x v="1"/>
    <x v="1"/>
    <x v="1"/>
    <x v="0"/>
  </r>
  <r>
    <x v="1"/>
    <x v="534"/>
    <x v="534"/>
    <x v="4"/>
    <x v="26"/>
    <x v="18"/>
    <x v="1"/>
    <x v="154"/>
    <x v="17"/>
    <x v="13"/>
    <x v="12"/>
    <x v="12"/>
    <x v="257"/>
    <x v="229"/>
    <x v="1"/>
    <x v="0"/>
    <x v="171"/>
    <x v="0"/>
    <x v="169"/>
    <x v="127"/>
    <x v="1"/>
    <x v="0"/>
    <x v="0"/>
    <x v="4"/>
    <x v="1"/>
    <x v="4"/>
    <x v="1"/>
    <x v="0"/>
  </r>
  <r>
    <x v="1"/>
    <x v="535"/>
    <x v="535"/>
    <x v="0"/>
    <x v="38"/>
    <x v="34"/>
    <x v="0"/>
    <x v="61"/>
    <x v="6"/>
    <x v="4"/>
    <x v="4"/>
    <x v="4"/>
    <x v="180"/>
    <x v="176"/>
    <x v="1"/>
    <x v="5"/>
    <x v="133"/>
    <x v="5"/>
    <x v="56"/>
    <x v="42"/>
    <x v="1"/>
    <x v="0"/>
    <x v="0"/>
    <x v="5"/>
    <x v="1"/>
    <x v="0"/>
    <x v="1"/>
    <x v="35"/>
  </r>
  <r>
    <x v="1"/>
    <x v="536"/>
    <x v="536"/>
    <x v="16"/>
    <x v="83"/>
    <x v="5"/>
    <x v="0"/>
    <x v="249"/>
    <x v="98"/>
    <x v="6"/>
    <x v="3"/>
    <x v="3"/>
    <x v="123"/>
    <x v="10"/>
    <x v="1"/>
    <x v="0"/>
    <x v="134"/>
    <x v="0"/>
    <x v="127"/>
    <x v="92"/>
    <x v="1"/>
    <x v="0"/>
    <x v="0"/>
    <x v="2"/>
    <x v="1"/>
    <x v="0"/>
    <x v="1"/>
    <x v="0"/>
  </r>
  <r>
    <x v="1"/>
    <x v="537"/>
    <x v="537"/>
    <x v="6"/>
    <x v="28"/>
    <x v="21"/>
    <x v="1"/>
    <x v="181"/>
    <x v="18"/>
    <x v="2"/>
    <x v="2"/>
    <x v="2"/>
    <x v="247"/>
    <x v="85"/>
    <x v="1"/>
    <x v="0"/>
    <x v="97"/>
    <x v="0"/>
    <x v="97"/>
    <x v="69"/>
    <x v="1"/>
    <x v="0"/>
    <x v="0"/>
    <x v="2"/>
    <x v="1"/>
    <x v="0"/>
    <x v="1"/>
    <x v="0"/>
  </r>
  <r>
    <x v="1"/>
    <x v="538"/>
    <x v="538"/>
    <x v="4"/>
    <x v="22"/>
    <x v="21"/>
    <x v="1"/>
    <x v="192"/>
    <x v="18"/>
    <x v="2"/>
    <x v="2"/>
    <x v="2"/>
    <x v="101"/>
    <x v="230"/>
    <x v="1"/>
    <x v="0"/>
    <x v="172"/>
    <x v="0"/>
    <x v="170"/>
    <x v="0"/>
    <x v="0"/>
    <x v="0"/>
    <x v="0"/>
    <x v="2"/>
    <x v="1"/>
    <x v="0"/>
    <x v="1"/>
    <x v="0"/>
  </r>
  <r>
    <x v="1"/>
    <x v="539"/>
    <x v="539"/>
    <x v="1"/>
    <x v="39"/>
    <x v="99"/>
    <x v="0"/>
    <x v="187"/>
    <x v="6"/>
    <x v="2"/>
    <x v="2"/>
    <x v="2"/>
    <x v="247"/>
    <x v="159"/>
    <x v="1"/>
    <x v="0"/>
    <x v="36"/>
    <x v="0"/>
    <x v="36"/>
    <x v="29"/>
    <x v="1"/>
    <x v="0"/>
    <x v="0"/>
    <x v="2"/>
    <x v="1"/>
    <x v="0"/>
    <x v="1"/>
    <x v="0"/>
  </r>
  <r>
    <x v="1"/>
    <x v="540"/>
    <x v="540"/>
    <x v="5"/>
    <x v="84"/>
    <x v="5"/>
    <x v="0"/>
    <x v="250"/>
    <x v="37"/>
    <x v="4"/>
    <x v="4"/>
    <x v="4"/>
    <x v="94"/>
    <x v="143"/>
    <x v="1"/>
    <x v="0"/>
    <x v="173"/>
    <x v="0"/>
    <x v="171"/>
    <x v="128"/>
    <x v="1"/>
    <x v="0"/>
    <x v="0"/>
    <x v="2"/>
    <x v="1"/>
    <x v="0"/>
    <x v="1"/>
    <x v="0"/>
  </r>
  <r>
    <x v="1"/>
    <x v="541"/>
    <x v="541"/>
    <x v="3"/>
    <x v="43"/>
    <x v="56"/>
    <x v="0"/>
    <x v="251"/>
    <x v="29"/>
    <x v="8"/>
    <x v="7"/>
    <x v="7"/>
    <x v="258"/>
    <x v="125"/>
    <x v="1"/>
    <x v="0"/>
    <x v="174"/>
    <x v="0"/>
    <x v="172"/>
    <x v="129"/>
    <x v="1"/>
    <x v="0"/>
    <x v="0"/>
    <x v="2"/>
    <x v="1"/>
    <x v="0"/>
    <x v="1"/>
    <x v="0"/>
  </r>
  <r>
    <x v="1"/>
    <x v="542"/>
    <x v="542"/>
    <x v="6"/>
    <x v="17"/>
    <x v="108"/>
    <x v="0"/>
    <x v="231"/>
    <x v="6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43"/>
    <x v="543"/>
    <x v="12"/>
    <x v="49"/>
    <x v="76"/>
    <x v="0"/>
    <x v="133"/>
    <x v="59"/>
    <x v="6"/>
    <x v="3"/>
    <x v="3"/>
    <x v="0"/>
    <x v="131"/>
    <x v="2"/>
    <x v="0"/>
    <x v="0"/>
    <x v="0"/>
    <x v="0"/>
    <x v="0"/>
    <x v="0"/>
    <x v="0"/>
    <x v="0"/>
    <x v="3"/>
    <x v="0"/>
    <x v="0"/>
    <x v="1"/>
    <x v="4"/>
  </r>
  <r>
    <x v="1"/>
    <x v="544"/>
    <x v="544"/>
    <x v="12"/>
    <x v="49"/>
    <x v="89"/>
    <x v="0"/>
    <x v="169"/>
    <x v="59"/>
    <x v="6"/>
    <x v="3"/>
    <x v="3"/>
    <x v="45"/>
    <x v="0"/>
    <x v="2"/>
    <x v="0"/>
    <x v="0"/>
    <x v="0"/>
    <x v="0"/>
    <x v="0"/>
    <x v="0"/>
    <x v="0"/>
    <x v="0"/>
    <x v="3"/>
    <x v="1"/>
    <x v="3"/>
    <x v="1"/>
    <x v="0"/>
  </r>
  <r>
    <x v="1"/>
    <x v="545"/>
    <x v="545"/>
    <x v="5"/>
    <x v="43"/>
    <x v="79"/>
    <x v="0"/>
    <x v="143"/>
    <x v="53"/>
    <x v="11"/>
    <x v="10"/>
    <x v="10"/>
    <x v="259"/>
    <x v="231"/>
    <x v="1"/>
    <x v="0"/>
    <x v="175"/>
    <x v="0"/>
    <x v="173"/>
    <x v="130"/>
    <x v="1"/>
    <x v="0"/>
    <x v="0"/>
    <x v="1"/>
    <x v="1"/>
    <x v="1"/>
    <x v="1"/>
    <x v="0"/>
  </r>
  <r>
    <x v="1"/>
    <x v="546"/>
    <x v="546"/>
    <x v="5"/>
    <x v="48"/>
    <x v="112"/>
    <x v="0"/>
    <x v="237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36"/>
  </r>
  <r>
    <x v="1"/>
    <x v="547"/>
    <x v="547"/>
    <x v="16"/>
    <x v="64"/>
    <x v="5"/>
    <x v="0"/>
    <x v="153"/>
    <x v="65"/>
    <x v="6"/>
    <x v="3"/>
    <x v="3"/>
    <x v="173"/>
    <x v="232"/>
    <x v="2"/>
    <x v="0"/>
    <x v="15"/>
    <x v="0"/>
    <x v="15"/>
    <x v="12"/>
    <x v="1"/>
    <x v="0"/>
    <x v="0"/>
    <x v="1"/>
    <x v="0"/>
    <x v="0"/>
    <x v="1"/>
    <x v="37"/>
  </r>
  <r>
    <x v="1"/>
    <x v="548"/>
    <x v="548"/>
    <x v="1"/>
    <x v="66"/>
    <x v="90"/>
    <x v="0"/>
    <x v="170"/>
    <x v="74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38"/>
  </r>
  <r>
    <x v="1"/>
    <x v="549"/>
    <x v="549"/>
    <x v="17"/>
    <x v="85"/>
    <x v="5"/>
    <x v="0"/>
    <x v="252"/>
    <x v="99"/>
    <x v="6"/>
    <x v="3"/>
    <x v="3"/>
    <x v="31"/>
    <x v="143"/>
    <x v="1"/>
    <x v="0"/>
    <x v="29"/>
    <x v="0"/>
    <x v="29"/>
    <x v="25"/>
    <x v="1"/>
    <x v="0"/>
    <x v="0"/>
    <x v="1"/>
    <x v="1"/>
    <x v="1"/>
    <x v="1"/>
    <x v="0"/>
  </r>
  <r>
    <x v="1"/>
    <x v="550"/>
    <x v="550"/>
    <x v="6"/>
    <x v="57"/>
    <x v="59"/>
    <x v="0"/>
    <x v="103"/>
    <x v="6"/>
    <x v="2"/>
    <x v="2"/>
    <x v="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51"/>
    <x v="551"/>
    <x v="1"/>
    <x v="41"/>
    <x v="118"/>
    <x v="0"/>
    <x v="253"/>
    <x v="37"/>
    <x v="3"/>
    <x v="3"/>
    <x v="3"/>
    <x v="260"/>
    <x v="233"/>
    <x v="2"/>
    <x v="0"/>
    <x v="176"/>
    <x v="0"/>
    <x v="174"/>
    <x v="0"/>
    <x v="0"/>
    <x v="0"/>
    <x v="0"/>
    <x v="2"/>
    <x v="0"/>
    <x v="0"/>
    <x v="1"/>
    <x v="0"/>
  </r>
  <r>
    <x v="1"/>
    <x v="552"/>
    <x v="552"/>
    <x v="5"/>
    <x v="8"/>
    <x v="9"/>
    <x v="0"/>
    <x v="10"/>
    <x v="6"/>
    <x v="4"/>
    <x v="4"/>
    <x v="4"/>
    <x v="231"/>
    <x v="22"/>
    <x v="1"/>
    <x v="0"/>
    <x v="113"/>
    <x v="0"/>
    <x v="112"/>
    <x v="81"/>
    <x v="1"/>
    <x v="49"/>
    <x v="42"/>
    <x v="2"/>
    <x v="1"/>
    <x v="0"/>
    <x v="1"/>
    <x v="0"/>
  </r>
  <r>
    <x v="1"/>
    <x v="553"/>
    <x v="553"/>
    <x v="5"/>
    <x v="31"/>
    <x v="15"/>
    <x v="1"/>
    <x v="254"/>
    <x v="1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554"/>
    <x v="554"/>
    <x v="5"/>
    <x v="32"/>
    <x v="18"/>
    <x v="1"/>
    <x v="50"/>
    <x v="17"/>
    <x v="12"/>
    <x v="11"/>
    <x v="11"/>
    <x v="261"/>
    <x v="0"/>
    <x v="2"/>
    <x v="0"/>
    <x v="0"/>
    <x v="0"/>
    <x v="0"/>
    <x v="0"/>
    <x v="0"/>
    <x v="0"/>
    <x v="0"/>
    <x v="3"/>
    <x v="1"/>
    <x v="3"/>
    <x v="1"/>
    <x v="0"/>
  </r>
  <r>
    <x v="1"/>
    <x v="555"/>
    <x v="555"/>
    <x v="6"/>
    <x v="28"/>
    <x v="18"/>
    <x v="1"/>
    <x v="48"/>
    <x v="17"/>
    <x v="14"/>
    <x v="13"/>
    <x v="13"/>
    <x v="99"/>
    <x v="61"/>
    <x v="1"/>
    <x v="0"/>
    <x v="177"/>
    <x v="0"/>
    <x v="175"/>
    <x v="131"/>
    <x v="1"/>
    <x v="0"/>
    <x v="0"/>
    <x v="2"/>
    <x v="1"/>
    <x v="0"/>
    <x v="1"/>
    <x v="0"/>
  </r>
  <r>
    <x v="1"/>
    <x v="556"/>
    <x v="556"/>
    <x v="5"/>
    <x v="43"/>
    <x v="56"/>
    <x v="0"/>
    <x v="160"/>
    <x v="29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57"/>
    <x v="557"/>
    <x v="5"/>
    <x v="53"/>
    <x v="119"/>
    <x v="0"/>
    <x v="255"/>
    <x v="24"/>
    <x v="14"/>
    <x v="13"/>
    <x v="13"/>
    <x v="262"/>
    <x v="234"/>
    <x v="1"/>
    <x v="0"/>
    <x v="178"/>
    <x v="0"/>
    <x v="176"/>
    <x v="132"/>
    <x v="1"/>
    <x v="0"/>
    <x v="0"/>
    <x v="4"/>
    <x v="1"/>
    <x v="4"/>
    <x v="1"/>
    <x v="0"/>
  </r>
  <r>
    <x v="1"/>
    <x v="558"/>
    <x v="558"/>
    <x v="4"/>
    <x v="22"/>
    <x v="4"/>
    <x v="1"/>
    <x v="222"/>
    <x v="3"/>
    <x v="6"/>
    <x v="3"/>
    <x v="3"/>
    <x v="187"/>
    <x v="5"/>
    <x v="1"/>
    <x v="0"/>
    <x v="167"/>
    <x v="0"/>
    <x v="164"/>
    <x v="123"/>
    <x v="1"/>
    <x v="0"/>
    <x v="0"/>
    <x v="2"/>
    <x v="1"/>
    <x v="0"/>
    <x v="1"/>
    <x v="0"/>
  </r>
  <r>
    <x v="1"/>
    <x v="559"/>
    <x v="559"/>
    <x v="6"/>
    <x v="13"/>
    <x v="18"/>
    <x v="1"/>
    <x v="111"/>
    <x v="17"/>
    <x v="18"/>
    <x v="17"/>
    <x v="17"/>
    <x v="23"/>
    <x v="0"/>
    <x v="1"/>
    <x v="0"/>
    <x v="0"/>
    <x v="0"/>
    <x v="0"/>
    <x v="0"/>
    <x v="0"/>
    <x v="50"/>
    <x v="43"/>
    <x v="4"/>
    <x v="1"/>
    <x v="4"/>
    <x v="1"/>
    <x v="0"/>
  </r>
  <r>
    <x v="1"/>
    <x v="560"/>
    <x v="560"/>
    <x v="5"/>
    <x v="8"/>
    <x v="5"/>
    <x v="0"/>
    <x v="256"/>
    <x v="5"/>
    <x v="5"/>
    <x v="5"/>
    <x v="5"/>
    <x v="0"/>
    <x v="0"/>
    <x v="2"/>
    <x v="0"/>
    <x v="0"/>
    <x v="0"/>
    <x v="0"/>
    <x v="0"/>
    <x v="0"/>
    <x v="0"/>
    <x v="0"/>
    <x v="0"/>
    <x v="0"/>
    <x v="0"/>
    <x v="1"/>
    <x v="10"/>
  </r>
  <r>
    <x v="1"/>
    <x v="561"/>
    <x v="561"/>
    <x v="6"/>
    <x v="17"/>
    <x v="120"/>
    <x v="0"/>
    <x v="257"/>
    <x v="1"/>
    <x v="4"/>
    <x v="4"/>
    <x v="4"/>
    <x v="263"/>
    <x v="235"/>
    <x v="1"/>
    <x v="0"/>
    <x v="179"/>
    <x v="0"/>
    <x v="177"/>
    <x v="0"/>
    <x v="0"/>
    <x v="0"/>
    <x v="0"/>
    <x v="2"/>
    <x v="1"/>
    <x v="0"/>
    <x v="1"/>
    <x v="0"/>
  </r>
  <r>
    <x v="1"/>
    <x v="562"/>
    <x v="562"/>
    <x v="6"/>
    <x v="13"/>
    <x v="40"/>
    <x v="1"/>
    <x v="70"/>
    <x v="1"/>
    <x v="31"/>
    <x v="30"/>
    <x v="30"/>
    <x v="264"/>
    <x v="236"/>
    <x v="1"/>
    <x v="0"/>
    <x v="180"/>
    <x v="0"/>
    <x v="178"/>
    <x v="133"/>
    <x v="1"/>
    <x v="0"/>
    <x v="0"/>
    <x v="2"/>
    <x v="1"/>
    <x v="0"/>
    <x v="1"/>
    <x v="0"/>
  </r>
  <r>
    <x v="1"/>
    <x v="563"/>
    <x v="563"/>
    <x v="1"/>
    <x v="39"/>
    <x v="69"/>
    <x v="0"/>
    <x v="211"/>
    <x v="19"/>
    <x v="6"/>
    <x v="3"/>
    <x v="3"/>
    <x v="200"/>
    <x v="130"/>
    <x v="1"/>
    <x v="0"/>
    <x v="13"/>
    <x v="0"/>
    <x v="13"/>
    <x v="10"/>
    <x v="1"/>
    <x v="0"/>
    <x v="0"/>
    <x v="2"/>
    <x v="1"/>
    <x v="0"/>
    <x v="1"/>
    <x v="0"/>
  </r>
  <r>
    <x v="1"/>
    <x v="564"/>
    <x v="564"/>
    <x v="3"/>
    <x v="33"/>
    <x v="5"/>
    <x v="0"/>
    <x v="258"/>
    <x v="36"/>
    <x v="14"/>
    <x v="13"/>
    <x v="13"/>
    <x v="0"/>
    <x v="0"/>
    <x v="2"/>
    <x v="0"/>
    <x v="0"/>
    <x v="0"/>
    <x v="0"/>
    <x v="0"/>
    <x v="0"/>
    <x v="0"/>
    <x v="0"/>
    <x v="0"/>
    <x v="0"/>
    <x v="0"/>
    <x v="1"/>
    <x v="39"/>
  </r>
  <r>
    <x v="1"/>
    <x v="565"/>
    <x v="565"/>
    <x v="5"/>
    <x v="32"/>
    <x v="4"/>
    <x v="1"/>
    <x v="82"/>
    <x v="3"/>
    <x v="37"/>
    <x v="35"/>
    <x v="35"/>
    <x v="157"/>
    <x v="115"/>
    <x v="1"/>
    <x v="0"/>
    <x v="155"/>
    <x v="0"/>
    <x v="152"/>
    <x v="113"/>
    <x v="1"/>
    <x v="0"/>
    <x v="0"/>
    <x v="2"/>
    <x v="1"/>
    <x v="0"/>
    <x v="1"/>
    <x v="0"/>
  </r>
  <r>
    <x v="1"/>
    <x v="566"/>
    <x v="566"/>
    <x v="12"/>
    <x v="49"/>
    <x v="88"/>
    <x v="0"/>
    <x v="165"/>
    <x v="38"/>
    <x v="6"/>
    <x v="3"/>
    <x v="3"/>
    <x v="265"/>
    <x v="237"/>
    <x v="1"/>
    <x v="0"/>
    <x v="142"/>
    <x v="0"/>
    <x v="140"/>
    <x v="102"/>
    <x v="1"/>
    <x v="0"/>
    <x v="0"/>
    <x v="4"/>
    <x v="1"/>
    <x v="4"/>
    <x v="1"/>
    <x v="0"/>
  </r>
  <r>
    <x v="1"/>
    <x v="567"/>
    <x v="567"/>
    <x v="6"/>
    <x v="13"/>
    <x v="12"/>
    <x v="1"/>
    <x v="17"/>
    <x v="1"/>
    <x v="4"/>
    <x v="4"/>
    <x v="4"/>
    <x v="0"/>
    <x v="238"/>
    <x v="2"/>
    <x v="0"/>
    <x v="0"/>
    <x v="0"/>
    <x v="0"/>
    <x v="0"/>
    <x v="0"/>
    <x v="0"/>
    <x v="0"/>
    <x v="1"/>
    <x v="1"/>
    <x v="1"/>
    <x v="1"/>
    <x v="0"/>
  </r>
  <r>
    <x v="1"/>
    <x v="568"/>
    <x v="568"/>
    <x v="21"/>
    <x v="86"/>
    <x v="121"/>
    <x v="0"/>
    <x v="259"/>
    <x v="10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69"/>
    <x v="569"/>
    <x v="3"/>
    <x v="60"/>
    <x v="5"/>
    <x v="0"/>
    <x v="260"/>
    <x v="3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70"/>
    <x v="570"/>
    <x v="2"/>
    <x v="3"/>
    <x v="5"/>
    <x v="1"/>
    <x v="261"/>
    <x v="4"/>
    <x v="34"/>
    <x v="33"/>
    <x v="33"/>
    <x v="266"/>
    <x v="16"/>
    <x v="2"/>
    <x v="0"/>
    <x v="111"/>
    <x v="0"/>
    <x v="110"/>
    <x v="79"/>
    <x v="1"/>
    <x v="0"/>
    <x v="0"/>
    <x v="2"/>
    <x v="1"/>
    <x v="0"/>
    <x v="1"/>
    <x v="0"/>
  </r>
  <r>
    <x v="1"/>
    <x v="571"/>
    <x v="571"/>
    <x v="17"/>
    <x v="15"/>
    <x v="5"/>
    <x v="0"/>
    <x v="175"/>
    <x v="101"/>
    <x v="6"/>
    <x v="3"/>
    <x v="3"/>
    <x v="4"/>
    <x v="5"/>
    <x v="1"/>
    <x v="0"/>
    <x v="4"/>
    <x v="0"/>
    <x v="4"/>
    <x v="0"/>
    <x v="0"/>
    <x v="0"/>
    <x v="0"/>
    <x v="1"/>
    <x v="0"/>
    <x v="0"/>
    <x v="1"/>
    <x v="5"/>
  </r>
  <r>
    <x v="1"/>
    <x v="572"/>
    <x v="572"/>
    <x v="20"/>
    <x v="70"/>
    <x v="5"/>
    <x v="0"/>
    <x v="188"/>
    <x v="92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"/>
  </r>
  <r>
    <x v="1"/>
    <x v="573"/>
    <x v="573"/>
    <x v="4"/>
    <x v="22"/>
    <x v="4"/>
    <x v="1"/>
    <x v="222"/>
    <x v="3"/>
    <x v="11"/>
    <x v="10"/>
    <x v="10"/>
    <x v="101"/>
    <x v="239"/>
    <x v="1"/>
    <x v="0"/>
    <x v="13"/>
    <x v="0"/>
    <x v="13"/>
    <x v="10"/>
    <x v="1"/>
    <x v="0"/>
    <x v="0"/>
    <x v="2"/>
    <x v="1"/>
    <x v="0"/>
    <x v="1"/>
    <x v="0"/>
  </r>
  <r>
    <x v="1"/>
    <x v="574"/>
    <x v="574"/>
    <x v="9"/>
    <x v="44"/>
    <x v="44"/>
    <x v="0"/>
    <x v="76"/>
    <x v="30"/>
    <x v="6"/>
    <x v="3"/>
    <x v="3"/>
    <x v="240"/>
    <x v="43"/>
    <x v="1"/>
    <x v="0"/>
    <x v="18"/>
    <x v="0"/>
    <x v="18"/>
    <x v="15"/>
    <x v="1"/>
    <x v="0"/>
    <x v="0"/>
    <x v="2"/>
    <x v="1"/>
    <x v="0"/>
    <x v="1"/>
    <x v="0"/>
  </r>
  <r>
    <x v="1"/>
    <x v="575"/>
    <x v="575"/>
    <x v="2"/>
    <x v="20"/>
    <x v="15"/>
    <x v="1"/>
    <x v="210"/>
    <x v="2"/>
    <x v="15"/>
    <x v="14"/>
    <x v="14"/>
    <x v="267"/>
    <x v="240"/>
    <x v="1"/>
    <x v="0"/>
    <x v="181"/>
    <x v="0"/>
    <x v="179"/>
    <x v="134"/>
    <x v="1"/>
    <x v="0"/>
    <x v="0"/>
    <x v="4"/>
    <x v="1"/>
    <x v="4"/>
    <x v="1"/>
    <x v="0"/>
  </r>
  <r>
    <x v="1"/>
    <x v="576"/>
    <x v="576"/>
    <x v="4"/>
    <x v="26"/>
    <x v="4"/>
    <x v="1"/>
    <x v="136"/>
    <x v="75"/>
    <x v="2"/>
    <x v="2"/>
    <x v="2"/>
    <x v="268"/>
    <x v="241"/>
    <x v="1"/>
    <x v="0"/>
    <x v="140"/>
    <x v="0"/>
    <x v="138"/>
    <x v="101"/>
    <x v="1"/>
    <x v="0"/>
    <x v="0"/>
    <x v="2"/>
    <x v="1"/>
    <x v="0"/>
    <x v="1"/>
    <x v="0"/>
  </r>
  <r>
    <x v="1"/>
    <x v="577"/>
    <x v="577"/>
    <x v="3"/>
    <x v="36"/>
    <x v="122"/>
    <x v="0"/>
    <x v="262"/>
    <x v="6"/>
    <x v="4"/>
    <x v="4"/>
    <x v="4"/>
    <x v="0"/>
    <x v="242"/>
    <x v="2"/>
    <x v="0"/>
    <x v="0"/>
    <x v="0"/>
    <x v="0"/>
    <x v="0"/>
    <x v="0"/>
    <x v="0"/>
    <x v="0"/>
    <x v="3"/>
    <x v="1"/>
    <x v="3"/>
    <x v="1"/>
    <x v="0"/>
  </r>
  <r>
    <x v="1"/>
    <x v="578"/>
    <x v="578"/>
    <x v="5"/>
    <x v="32"/>
    <x v="15"/>
    <x v="1"/>
    <x v="90"/>
    <x v="12"/>
    <x v="11"/>
    <x v="10"/>
    <x v="10"/>
    <x v="183"/>
    <x v="243"/>
    <x v="2"/>
    <x v="0"/>
    <x v="182"/>
    <x v="0"/>
    <x v="180"/>
    <x v="135"/>
    <x v="1"/>
    <x v="0"/>
    <x v="0"/>
    <x v="2"/>
    <x v="1"/>
    <x v="0"/>
    <x v="1"/>
    <x v="0"/>
  </r>
  <r>
    <x v="1"/>
    <x v="579"/>
    <x v="579"/>
    <x v="5"/>
    <x v="53"/>
    <x v="53"/>
    <x v="0"/>
    <x v="94"/>
    <x v="6"/>
    <x v="30"/>
    <x v="29"/>
    <x v="29"/>
    <x v="269"/>
    <x v="152"/>
    <x v="1"/>
    <x v="0"/>
    <x v="13"/>
    <x v="0"/>
    <x v="13"/>
    <x v="10"/>
    <x v="1"/>
    <x v="0"/>
    <x v="0"/>
    <x v="2"/>
    <x v="1"/>
    <x v="0"/>
    <x v="1"/>
    <x v="0"/>
  </r>
  <r>
    <x v="1"/>
    <x v="580"/>
    <x v="580"/>
    <x v="6"/>
    <x v="28"/>
    <x v="12"/>
    <x v="1"/>
    <x v="41"/>
    <x v="1"/>
    <x v="14"/>
    <x v="13"/>
    <x v="13"/>
    <x v="140"/>
    <x v="12"/>
    <x v="1"/>
    <x v="0"/>
    <x v="146"/>
    <x v="0"/>
    <x v="143"/>
    <x v="105"/>
    <x v="1"/>
    <x v="51"/>
    <x v="44"/>
    <x v="2"/>
    <x v="1"/>
    <x v="0"/>
    <x v="1"/>
    <x v="0"/>
  </r>
  <r>
    <x v="1"/>
    <x v="581"/>
    <x v="581"/>
    <x v="0"/>
    <x v="16"/>
    <x v="15"/>
    <x v="1"/>
    <x v="130"/>
    <x v="2"/>
    <x v="3"/>
    <x v="3"/>
    <x v="3"/>
    <x v="0"/>
    <x v="244"/>
    <x v="2"/>
    <x v="0"/>
    <x v="0"/>
    <x v="0"/>
    <x v="0"/>
    <x v="0"/>
    <x v="0"/>
    <x v="0"/>
    <x v="0"/>
    <x v="1"/>
    <x v="0"/>
    <x v="0"/>
    <x v="1"/>
    <x v="0"/>
  </r>
  <r>
    <x v="1"/>
    <x v="582"/>
    <x v="582"/>
    <x v="14"/>
    <x v="61"/>
    <x v="5"/>
    <x v="0"/>
    <x v="140"/>
    <x v="71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583"/>
    <x v="583"/>
    <x v="6"/>
    <x v="21"/>
    <x v="54"/>
    <x v="0"/>
    <x v="95"/>
    <x v="1"/>
    <x v="14"/>
    <x v="13"/>
    <x v="13"/>
    <x v="270"/>
    <x v="245"/>
    <x v="1"/>
    <x v="0"/>
    <x v="75"/>
    <x v="0"/>
    <x v="75"/>
    <x v="57"/>
    <x v="1"/>
    <x v="0"/>
    <x v="0"/>
    <x v="4"/>
    <x v="1"/>
    <x v="4"/>
    <x v="1"/>
    <x v="0"/>
  </r>
  <r>
    <x v="1"/>
    <x v="584"/>
    <x v="584"/>
    <x v="0"/>
    <x v="43"/>
    <x v="123"/>
    <x v="0"/>
    <x v="263"/>
    <x v="44"/>
    <x v="11"/>
    <x v="10"/>
    <x v="10"/>
    <x v="271"/>
    <x v="246"/>
    <x v="1"/>
    <x v="0"/>
    <x v="149"/>
    <x v="0"/>
    <x v="126"/>
    <x v="108"/>
    <x v="1"/>
    <x v="0"/>
    <x v="0"/>
    <x v="5"/>
    <x v="1"/>
    <x v="0"/>
    <x v="1"/>
    <x v="0"/>
  </r>
  <r>
    <x v="1"/>
    <x v="585"/>
    <x v="585"/>
    <x v="22"/>
    <x v="87"/>
    <x v="5"/>
    <x v="0"/>
    <x v="264"/>
    <x v="102"/>
    <x v="6"/>
    <x v="3"/>
    <x v="3"/>
    <x v="272"/>
    <x v="143"/>
    <x v="1"/>
    <x v="0"/>
    <x v="97"/>
    <x v="0"/>
    <x v="97"/>
    <x v="69"/>
    <x v="1"/>
    <x v="0"/>
    <x v="0"/>
    <x v="5"/>
    <x v="1"/>
    <x v="0"/>
    <x v="1"/>
    <x v="0"/>
  </r>
  <r>
    <x v="1"/>
    <x v="586"/>
    <x v="586"/>
    <x v="4"/>
    <x v="26"/>
    <x v="15"/>
    <x v="1"/>
    <x v="141"/>
    <x v="2"/>
    <x v="38"/>
    <x v="36"/>
    <x v="36"/>
    <x v="273"/>
    <x v="0"/>
    <x v="1"/>
    <x v="0"/>
    <x v="0"/>
    <x v="0"/>
    <x v="0"/>
    <x v="0"/>
    <x v="0"/>
    <x v="0"/>
    <x v="0"/>
    <x v="3"/>
    <x v="1"/>
    <x v="3"/>
    <x v="1"/>
    <x v="0"/>
  </r>
  <r>
    <x v="1"/>
    <x v="587"/>
    <x v="587"/>
    <x v="2"/>
    <x v="42"/>
    <x v="42"/>
    <x v="0"/>
    <x v="72"/>
    <x v="6"/>
    <x v="4"/>
    <x v="4"/>
    <x v="4"/>
    <x v="274"/>
    <x v="247"/>
    <x v="1"/>
    <x v="0"/>
    <x v="59"/>
    <x v="0"/>
    <x v="59"/>
    <x v="45"/>
    <x v="1"/>
    <x v="0"/>
    <x v="0"/>
    <x v="1"/>
    <x v="1"/>
    <x v="1"/>
    <x v="1"/>
    <x v="0"/>
  </r>
  <r>
    <x v="1"/>
    <x v="588"/>
    <x v="588"/>
    <x v="5"/>
    <x v="40"/>
    <x v="124"/>
    <x v="0"/>
    <x v="265"/>
    <x v="6"/>
    <x v="14"/>
    <x v="13"/>
    <x v="13"/>
    <x v="63"/>
    <x v="248"/>
    <x v="1"/>
    <x v="0"/>
    <x v="33"/>
    <x v="0"/>
    <x v="33"/>
    <x v="28"/>
    <x v="1"/>
    <x v="0"/>
    <x v="0"/>
    <x v="2"/>
    <x v="1"/>
    <x v="0"/>
    <x v="1"/>
    <x v="0"/>
  </r>
  <r>
    <x v="1"/>
    <x v="589"/>
    <x v="589"/>
    <x v="5"/>
    <x v="84"/>
    <x v="5"/>
    <x v="0"/>
    <x v="250"/>
    <x v="6"/>
    <x v="4"/>
    <x v="4"/>
    <x v="4"/>
    <x v="275"/>
    <x v="163"/>
    <x v="1"/>
    <x v="0"/>
    <x v="4"/>
    <x v="0"/>
    <x v="4"/>
    <x v="0"/>
    <x v="0"/>
    <x v="0"/>
    <x v="0"/>
    <x v="2"/>
    <x v="1"/>
    <x v="0"/>
    <x v="1"/>
    <x v="0"/>
  </r>
  <r>
    <x v="1"/>
    <x v="590"/>
    <x v="590"/>
    <x v="6"/>
    <x v="57"/>
    <x v="57"/>
    <x v="0"/>
    <x v="100"/>
    <x v="4"/>
    <x v="10"/>
    <x v="9"/>
    <x v="9"/>
    <x v="0"/>
    <x v="0"/>
    <x v="2"/>
    <x v="0"/>
    <x v="0"/>
    <x v="0"/>
    <x v="0"/>
    <x v="0"/>
    <x v="0"/>
    <x v="0"/>
    <x v="0"/>
    <x v="3"/>
    <x v="1"/>
    <x v="3"/>
    <x v="1"/>
    <x v="0"/>
  </r>
  <r>
    <x v="1"/>
    <x v="591"/>
    <x v="591"/>
    <x v="6"/>
    <x v="28"/>
    <x v="18"/>
    <x v="1"/>
    <x v="48"/>
    <x v="17"/>
    <x v="22"/>
    <x v="21"/>
    <x v="21"/>
    <x v="276"/>
    <x v="0"/>
    <x v="1"/>
    <x v="0"/>
    <x v="0"/>
    <x v="0"/>
    <x v="0"/>
    <x v="0"/>
    <x v="0"/>
    <x v="0"/>
    <x v="0"/>
    <x v="4"/>
    <x v="1"/>
    <x v="4"/>
    <x v="1"/>
    <x v="0"/>
  </r>
  <r>
    <x v="1"/>
    <x v="592"/>
    <x v="592"/>
    <x v="12"/>
    <x v="49"/>
    <x v="76"/>
    <x v="0"/>
    <x v="133"/>
    <x v="48"/>
    <x v="6"/>
    <x v="3"/>
    <x v="3"/>
    <x v="162"/>
    <x v="113"/>
    <x v="1"/>
    <x v="0"/>
    <x v="80"/>
    <x v="0"/>
    <x v="80"/>
    <x v="59"/>
    <x v="1"/>
    <x v="0"/>
    <x v="0"/>
    <x v="2"/>
    <x v="1"/>
    <x v="0"/>
    <x v="1"/>
    <x v="0"/>
  </r>
  <r>
    <x v="1"/>
    <x v="593"/>
    <x v="593"/>
    <x v="6"/>
    <x v="9"/>
    <x v="5"/>
    <x v="0"/>
    <x v="200"/>
    <x v="42"/>
    <x v="11"/>
    <x v="10"/>
    <x v="10"/>
    <x v="277"/>
    <x v="5"/>
    <x v="1"/>
    <x v="0"/>
    <x v="183"/>
    <x v="0"/>
    <x v="181"/>
    <x v="136"/>
    <x v="1"/>
    <x v="0"/>
    <x v="0"/>
    <x v="2"/>
    <x v="1"/>
    <x v="0"/>
    <x v="1"/>
    <x v="0"/>
  </r>
  <r>
    <x v="1"/>
    <x v="594"/>
    <x v="594"/>
    <x v="5"/>
    <x v="32"/>
    <x v="15"/>
    <x v="1"/>
    <x v="90"/>
    <x v="2"/>
    <x v="31"/>
    <x v="30"/>
    <x v="30"/>
    <x v="278"/>
    <x v="0"/>
    <x v="2"/>
    <x v="0"/>
    <x v="0"/>
    <x v="0"/>
    <x v="0"/>
    <x v="0"/>
    <x v="0"/>
    <x v="0"/>
    <x v="0"/>
    <x v="3"/>
    <x v="1"/>
    <x v="3"/>
    <x v="1"/>
    <x v="0"/>
  </r>
  <r>
    <x v="1"/>
    <x v="595"/>
    <x v="595"/>
    <x v="20"/>
    <x v="71"/>
    <x v="5"/>
    <x v="0"/>
    <x v="203"/>
    <x v="73"/>
    <x v="6"/>
    <x v="3"/>
    <x v="3"/>
    <x v="77"/>
    <x v="154"/>
    <x v="1"/>
    <x v="0"/>
    <x v="16"/>
    <x v="0"/>
    <x v="16"/>
    <x v="13"/>
    <x v="1"/>
    <x v="0"/>
    <x v="0"/>
    <x v="2"/>
    <x v="1"/>
    <x v="0"/>
    <x v="1"/>
    <x v="0"/>
  </r>
  <r>
    <x v="1"/>
    <x v="596"/>
    <x v="596"/>
    <x v="6"/>
    <x v="28"/>
    <x v="4"/>
    <x v="1"/>
    <x v="205"/>
    <x v="75"/>
    <x v="20"/>
    <x v="19"/>
    <x v="19"/>
    <x v="147"/>
    <x v="249"/>
    <x v="2"/>
    <x v="0"/>
    <x v="184"/>
    <x v="0"/>
    <x v="182"/>
    <x v="137"/>
    <x v="1"/>
    <x v="52"/>
    <x v="45"/>
    <x v="2"/>
    <x v="1"/>
    <x v="0"/>
    <x v="1"/>
    <x v="0"/>
  </r>
  <r>
    <x v="1"/>
    <x v="597"/>
    <x v="597"/>
    <x v="18"/>
    <x v="15"/>
    <x v="5"/>
    <x v="0"/>
    <x v="166"/>
    <x v="64"/>
    <x v="6"/>
    <x v="3"/>
    <x v="3"/>
    <x v="0"/>
    <x v="0"/>
    <x v="2"/>
    <x v="0"/>
    <x v="0"/>
    <x v="0"/>
    <x v="0"/>
    <x v="0"/>
    <x v="0"/>
    <x v="53"/>
    <x v="46"/>
    <x v="0"/>
    <x v="0"/>
    <x v="0"/>
    <x v="1"/>
    <x v="4"/>
  </r>
  <r>
    <x v="1"/>
    <x v="598"/>
    <x v="598"/>
    <x v="5"/>
    <x v="32"/>
    <x v="18"/>
    <x v="1"/>
    <x v="50"/>
    <x v="17"/>
    <x v="7"/>
    <x v="6"/>
    <x v="6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599"/>
    <x v="599"/>
    <x v="6"/>
    <x v="56"/>
    <x v="56"/>
    <x v="0"/>
    <x v="99"/>
    <x v="29"/>
    <x v="30"/>
    <x v="29"/>
    <x v="29"/>
    <x v="279"/>
    <x v="39"/>
    <x v="1"/>
    <x v="0"/>
    <x v="85"/>
    <x v="0"/>
    <x v="85"/>
    <x v="0"/>
    <x v="0"/>
    <x v="0"/>
    <x v="0"/>
    <x v="1"/>
    <x v="1"/>
    <x v="1"/>
    <x v="1"/>
    <x v="0"/>
  </r>
  <r>
    <x v="1"/>
    <x v="600"/>
    <x v="600"/>
    <x v="6"/>
    <x v="17"/>
    <x v="125"/>
    <x v="0"/>
    <x v="266"/>
    <x v="6"/>
    <x v="15"/>
    <x v="14"/>
    <x v="14"/>
    <x v="279"/>
    <x v="0"/>
    <x v="2"/>
    <x v="0"/>
    <x v="0"/>
    <x v="0"/>
    <x v="0"/>
    <x v="0"/>
    <x v="0"/>
    <x v="0"/>
    <x v="0"/>
    <x v="3"/>
    <x v="1"/>
    <x v="3"/>
    <x v="1"/>
    <x v="0"/>
  </r>
  <r>
    <x v="1"/>
    <x v="601"/>
    <x v="601"/>
    <x v="12"/>
    <x v="49"/>
    <x v="88"/>
    <x v="0"/>
    <x v="165"/>
    <x v="67"/>
    <x v="6"/>
    <x v="3"/>
    <x v="3"/>
    <x v="109"/>
    <x v="250"/>
    <x v="1"/>
    <x v="0"/>
    <x v="113"/>
    <x v="0"/>
    <x v="112"/>
    <x v="81"/>
    <x v="1"/>
    <x v="0"/>
    <x v="0"/>
    <x v="1"/>
    <x v="1"/>
    <x v="1"/>
    <x v="1"/>
    <x v="0"/>
  </r>
  <r>
    <x v="1"/>
    <x v="602"/>
    <x v="602"/>
    <x v="6"/>
    <x v="28"/>
    <x v="15"/>
    <x v="1"/>
    <x v="177"/>
    <x v="2"/>
    <x v="22"/>
    <x v="21"/>
    <x v="21"/>
    <x v="280"/>
    <x v="0"/>
    <x v="2"/>
    <x v="0"/>
    <x v="0"/>
    <x v="0"/>
    <x v="0"/>
    <x v="0"/>
    <x v="0"/>
    <x v="0"/>
    <x v="0"/>
    <x v="3"/>
    <x v="1"/>
    <x v="3"/>
    <x v="1"/>
    <x v="0"/>
  </r>
  <r>
    <x v="1"/>
    <x v="603"/>
    <x v="603"/>
    <x v="3"/>
    <x v="4"/>
    <x v="18"/>
    <x v="1"/>
    <x v="67"/>
    <x v="17"/>
    <x v="17"/>
    <x v="16"/>
    <x v="16"/>
    <x v="281"/>
    <x v="228"/>
    <x v="1"/>
    <x v="0"/>
    <x v="185"/>
    <x v="0"/>
    <x v="183"/>
    <x v="138"/>
    <x v="1"/>
    <x v="0"/>
    <x v="0"/>
    <x v="2"/>
    <x v="1"/>
    <x v="0"/>
    <x v="1"/>
    <x v="0"/>
  </r>
  <r>
    <x v="1"/>
    <x v="604"/>
    <x v="604"/>
    <x v="5"/>
    <x v="32"/>
    <x v="12"/>
    <x v="1"/>
    <x v="53"/>
    <x v="1"/>
    <x v="25"/>
    <x v="24"/>
    <x v="2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05"/>
    <x v="605"/>
    <x v="11"/>
    <x v="77"/>
    <x v="5"/>
    <x v="0"/>
    <x v="224"/>
    <x v="103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06"/>
    <x v="606"/>
    <x v="14"/>
    <x v="61"/>
    <x v="5"/>
    <x v="0"/>
    <x v="140"/>
    <x v="90"/>
    <x v="6"/>
    <x v="3"/>
    <x v="3"/>
    <x v="0"/>
    <x v="71"/>
    <x v="2"/>
    <x v="0"/>
    <x v="0"/>
    <x v="0"/>
    <x v="0"/>
    <x v="0"/>
    <x v="0"/>
    <x v="0"/>
    <x v="0"/>
    <x v="3"/>
    <x v="1"/>
    <x v="3"/>
    <x v="1"/>
    <x v="0"/>
  </r>
  <r>
    <x v="1"/>
    <x v="607"/>
    <x v="607"/>
    <x v="0"/>
    <x v="6"/>
    <x v="23"/>
    <x v="0"/>
    <x v="36"/>
    <x v="6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08"/>
    <x v="608"/>
    <x v="1"/>
    <x v="24"/>
    <x v="69"/>
    <x v="0"/>
    <x v="267"/>
    <x v="19"/>
    <x v="11"/>
    <x v="10"/>
    <x v="10"/>
    <x v="145"/>
    <x v="251"/>
    <x v="1"/>
    <x v="0"/>
    <x v="103"/>
    <x v="0"/>
    <x v="102"/>
    <x v="73"/>
    <x v="1"/>
    <x v="0"/>
    <x v="0"/>
    <x v="1"/>
    <x v="1"/>
    <x v="1"/>
    <x v="1"/>
    <x v="0"/>
  </r>
  <r>
    <x v="1"/>
    <x v="609"/>
    <x v="609"/>
    <x v="5"/>
    <x v="8"/>
    <x v="9"/>
    <x v="0"/>
    <x v="10"/>
    <x v="24"/>
    <x v="4"/>
    <x v="4"/>
    <x v="4"/>
    <x v="282"/>
    <x v="22"/>
    <x v="1"/>
    <x v="0"/>
    <x v="186"/>
    <x v="0"/>
    <x v="184"/>
    <x v="0"/>
    <x v="0"/>
    <x v="0"/>
    <x v="0"/>
    <x v="2"/>
    <x v="1"/>
    <x v="0"/>
    <x v="1"/>
    <x v="0"/>
  </r>
  <r>
    <x v="1"/>
    <x v="610"/>
    <x v="610"/>
    <x v="1"/>
    <x v="39"/>
    <x v="35"/>
    <x v="1"/>
    <x v="62"/>
    <x v="33"/>
    <x v="10"/>
    <x v="9"/>
    <x v="9"/>
    <x v="283"/>
    <x v="122"/>
    <x v="1"/>
    <x v="0"/>
    <x v="187"/>
    <x v="0"/>
    <x v="185"/>
    <x v="0"/>
    <x v="0"/>
    <x v="0"/>
    <x v="0"/>
    <x v="2"/>
    <x v="1"/>
    <x v="0"/>
    <x v="1"/>
    <x v="0"/>
  </r>
  <r>
    <x v="1"/>
    <x v="611"/>
    <x v="611"/>
    <x v="3"/>
    <x v="60"/>
    <x v="126"/>
    <x v="0"/>
    <x v="268"/>
    <x v="6"/>
    <x v="4"/>
    <x v="4"/>
    <x v="4"/>
    <x v="116"/>
    <x v="252"/>
    <x v="1"/>
    <x v="0"/>
    <x v="134"/>
    <x v="0"/>
    <x v="127"/>
    <x v="92"/>
    <x v="1"/>
    <x v="0"/>
    <x v="0"/>
    <x v="2"/>
    <x v="1"/>
    <x v="0"/>
    <x v="1"/>
    <x v="0"/>
  </r>
  <r>
    <x v="1"/>
    <x v="612"/>
    <x v="612"/>
    <x v="3"/>
    <x v="88"/>
    <x v="5"/>
    <x v="0"/>
    <x v="269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13"/>
    <x v="613"/>
    <x v="2"/>
    <x v="3"/>
    <x v="21"/>
    <x v="1"/>
    <x v="33"/>
    <x v="43"/>
    <x v="11"/>
    <x v="10"/>
    <x v="10"/>
    <x v="284"/>
    <x v="23"/>
    <x v="1"/>
    <x v="0"/>
    <x v="188"/>
    <x v="0"/>
    <x v="186"/>
    <x v="139"/>
    <x v="1"/>
    <x v="0"/>
    <x v="0"/>
    <x v="1"/>
    <x v="1"/>
    <x v="1"/>
    <x v="1"/>
    <x v="0"/>
  </r>
  <r>
    <x v="1"/>
    <x v="614"/>
    <x v="614"/>
    <x v="5"/>
    <x v="10"/>
    <x v="11"/>
    <x v="0"/>
    <x v="74"/>
    <x v="9"/>
    <x v="6"/>
    <x v="3"/>
    <x v="3"/>
    <x v="285"/>
    <x v="253"/>
    <x v="1"/>
    <x v="0"/>
    <x v="63"/>
    <x v="0"/>
    <x v="63"/>
    <x v="48"/>
    <x v="1"/>
    <x v="0"/>
    <x v="0"/>
    <x v="1"/>
    <x v="1"/>
    <x v="1"/>
    <x v="1"/>
    <x v="0"/>
  </r>
  <r>
    <x v="1"/>
    <x v="615"/>
    <x v="615"/>
    <x v="5"/>
    <x v="32"/>
    <x v="12"/>
    <x v="1"/>
    <x v="53"/>
    <x v="16"/>
    <x v="38"/>
    <x v="36"/>
    <x v="36"/>
    <x v="286"/>
    <x v="0"/>
    <x v="1"/>
    <x v="0"/>
    <x v="0"/>
    <x v="0"/>
    <x v="0"/>
    <x v="0"/>
    <x v="0"/>
    <x v="0"/>
    <x v="0"/>
    <x v="3"/>
    <x v="1"/>
    <x v="3"/>
    <x v="1"/>
    <x v="0"/>
  </r>
  <r>
    <x v="1"/>
    <x v="616"/>
    <x v="616"/>
    <x v="3"/>
    <x v="89"/>
    <x v="5"/>
    <x v="0"/>
    <x v="270"/>
    <x v="6"/>
    <x v="4"/>
    <x v="4"/>
    <x v="4"/>
    <x v="0"/>
    <x v="0"/>
    <x v="2"/>
    <x v="0"/>
    <x v="0"/>
    <x v="0"/>
    <x v="0"/>
    <x v="0"/>
    <x v="0"/>
    <x v="0"/>
    <x v="0"/>
    <x v="0"/>
    <x v="0"/>
    <x v="0"/>
    <x v="1"/>
    <x v="40"/>
  </r>
  <r>
    <x v="1"/>
    <x v="617"/>
    <x v="617"/>
    <x v="5"/>
    <x v="43"/>
    <x v="5"/>
    <x v="0"/>
    <x v="271"/>
    <x v="94"/>
    <x v="10"/>
    <x v="9"/>
    <x v="9"/>
    <x v="259"/>
    <x v="152"/>
    <x v="1"/>
    <x v="0"/>
    <x v="189"/>
    <x v="0"/>
    <x v="187"/>
    <x v="140"/>
    <x v="1"/>
    <x v="0"/>
    <x v="0"/>
    <x v="1"/>
    <x v="1"/>
    <x v="1"/>
    <x v="1"/>
    <x v="0"/>
  </r>
  <r>
    <x v="1"/>
    <x v="618"/>
    <x v="618"/>
    <x v="6"/>
    <x v="28"/>
    <x v="21"/>
    <x v="1"/>
    <x v="181"/>
    <x v="18"/>
    <x v="2"/>
    <x v="2"/>
    <x v="2"/>
    <x v="164"/>
    <x v="206"/>
    <x v="1"/>
    <x v="0"/>
    <x v="190"/>
    <x v="0"/>
    <x v="188"/>
    <x v="141"/>
    <x v="1"/>
    <x v="0"/>
    <x v="0"/>
    <x v="2"/>
    <x v="1"/>
    <x v="0"/>
    <x v="1"/>
    <x v="0"/>
  </r>
  <r>
    <x v="1"/>
    <x v="619"/>
    <x v="619"/>
    <x v="6"/>
    <x v="51"/>
    <x v="83"/>
    <x v="0"/>
    <x v="157"/>
    <x v="16"/>
    <x v="12"/>
    <x v="11"/>
    <x v="11"/>
    <x v="29"/>
    <x v="0"/>
    <x v="1"/>
    <x v="0"/>
    <x v="0"/>
    <x v="0"/>
    <x v="0"/>
    <x v="0"/>
    <x v="0"/>
    <x v="0"/>
    <x v="0"/>
    <x v="4"/>
    <x v="1"/>
    <x v="4"/>
    <x v="1"/>
    <x v="0"/>
  </r>
  <r>
    <x v="1"/>
    <x v="620"/>
    <x v="620"/>
    <x v="12"/>
    <x v="49"/>
    <x v="101"/>
    <x v="0"/>
    <x v="201"/>
    <x v="104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21"/>
    <x v="621"/>
    <x v="12"/>
    <x v="49"/>
    <x v="5"/>
    <x v="0"/>
    <x v="125"/>
    <x v="105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22"/>
    <x v="622"/>
    <x v="1"/>
    <x v="41"/>
    <x v="109"/>
    <x v="0"/>
    <x v="232"/>
    <x v="24"/>
    <x v="5"/>
    <x v="5"/>
    <x v="5"/>
    <x v="287"/>
    <x v="92"/>
    <x v="2"/>
    <x v="0"/>
    <x v="154"/>
    <x v="0"/>
    <x v="151"/>
    <x v="112"/>
    <x v="1"/>
    <x v="54"/>
    <x v="47"/>
    <x v="2"/>
    <x v="1"/>
    <x v="0"/>
    <x v="1"/>
    <x v="0"/>
  </r>
  <r>
    <x v="1"/>
    <x v="623"/>
    <x v="623"/>
    <x v="3"/>
    <x v="33"/>
    <x v="127"/>
    <x v="0"/>
    <x v="272"/>
    <x v="24"/>
    <x v="23"/>
    <x v="22"/>
    <x v="22"/>
    <x v="288"/>
    <x v="117"/>
    <x v="1"/>
    <x v="0"/>
    <x v="17"/>
    <x v="0"/>
    <x v="17"/>
    <x v="14"/>
    <x v="1"/>
    <x v="0"/>
    <x v="0"/>
    <x v="2"/>
    <x v="1"/>
    <x v="0"/>
    <x v="1"/>
    <x v="0"/>
  </r>
  <r>
    <x v="1"/>
    <x v="624"/>
    <x v="624"/>
    <x v="5"/>
    <x v="32"/>
    <x v="70"/>
    <x v="1"/>
    <x v="273"/>
    <x v="46"/>
    <x v="28"/>
    <x v="27"/>
    <x v="27"/>
    <x v="289"/>
    <x v="254"/>
    <x v="2"/>
    <x v="0"/>
    <x v="69"/>
    <x v="0"/>
    <x v="69"/>
    <x v="0"/>
    <x v="0"/>
    <x v="0"/>
    <x v="0"/>
    <x v="4"/>
    <x v="1"/>
    <x v="4"/>
    <x v="1"/>
    <x v="0"/>
  </r>
  <r>
    <x v="1"/>
    <x v="625"/>
    <x v="625"/>
    <x v="2"/>
    <x v="35"/>
    <x v="77"/>
    <x v="0"/>
    <x v="137"/>
    <x v="6"/>
    <x v="3"/>
    <x v="3"/>
    <x v="3"/>
    <x v="0"/>
    <x v="0"/>
    <x v="1"/>
    <x v="0"/>
    <x v="0"/>
    <x v="0"/>
    <x v="0"/>
    <x v="0"/>
    <x v="0"/>
    <x v="0"/>
    <x v="0"/>
    <x v="2"/>
    <x v="0"/>
    <x v="0"/>
    <x v="1"/>
    <x v="0"/>
  </r>
  <r>
    <x v="1"/>
    <x v="626"/>
    <x v="626"/>
    <x v="3"/>
    <x v="4"/>
    <x v="18"/>
    <x v="1"/>
    <x v="67"/>
    <x v="17"/>
    <x v="3"/>
    <x v="3"/>
    <x v="3"/>
    <x v="290"/>
    <x v="0"/>
    <x v="2"/>
    <x v="0"/>
    <x v="0"/>
    <x v="0"/>
    <x v="0"/>
    <x v="0"/>
    <x v="0"/>
    <x v="0"/>
    <x v="0"/>
    <x v="3"/>
    <x v="0"/>
    <x v="0"/>
    <x v="1"/>
    <x v="0"/>
  </r>
  <r>
    <x v="1"/>
    <x v="627"/>
    <x v="627"/>
    <x v="14"/>
    <x v="61"/>
    <x v="5"/>
    <x v="0"/>
    <x v="140"/>
    <x v="90"/>
    <x v="6"/>
    <x v="3"/>
    <x v="3"/>
    <x v="291"/>
    <x v="239"/>
    <x v="2"/>
    <x v="0"/>
    <x v="191"/>
    <x v="0"/>
    <x v="189"/>
    <x v="0"/>
    <x v="0"/>
    <x v="0"/>
    <x v="0"/>
    <x v="1"/>
    <x v="1"/>
    <x v="1"/>
    <x v="1"/>
    <x v="0"/>
  </r>
  <r>
    <x v="1"/>
    <x v="628"/>
    <x v="628"/>
    <x v="1"/>
    <x v="66"/>
    <x v="90"/>
    <x v="0"/>
    <x v="170"/>
    <x v="91"/>
    <x v="6"/>
    <x v="3"/>
    <x v="3"/>
    <x v="201"/>
    <x v="143"/>
    <x v="1"/>
    <x v="0"/>
    <x v="75"/>
    <x v="0"/>
    <x v="75"/>
    <x v="57"/>
    <x v="1"/>
    <x v="0"/>
    <x v="0"/>
    <x v="2"/>
    <x v="1"/>
    <x v="0"/>
    <x v="1"/>
    <x v="0"/>
  </r>
  <r>
    <x v="1"/>
    <x v="629"/>
    <x v="629"/>
    <x v="12"/>
    <x v="49"/>
    <x v="71"/>
    <x v="0"/>
    <x v="126"/>
    <x v="63"/>
    <x v="6"/>
    <x v="3"/>
    <x v="3"/>
    <x v="292"/>
    <x v="222"/>
    <x v="1"/>
    <x v="0"/>
    <x v="146"/>
    <x v="0"/>
    <x v="143"/>
    <x v="105"/>
    <x v="1"/>
    <x v="0"/>
    <x v="0"/>
    <x v="1"/>
    <x v="1"/>
    <x v="1"/>
    <x v="1"/>
    <x v="0"/>
  </r>
  <r>
    <x v="1"/>
    <x v="630"/>
    <x v="630"/>
    <x v="6"/>
    <x v="57"/>
    <x v="57"/>
    <x v="0"/>
    <x v="100"/>
    <x v="17"/>
    <x v="13"/>
    <x v="12"/>
    <x v="1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31"/>
    <x v="631"/>
    <x v="1"/>
    <x v="90"/>
    <x v="128"/>
    <x v="0"/>
    <x v="274"/>
    <x v="106"/>
    <x v="11"/>
    <x v="10"/>
    <x v="10"/>
    <x v="293"/>
    <x v="226"/>
    <x v="1"/>
    <x v="0"/>
    <x v="75"/>
    <x v="0"/>
    <x v="75"/>
    <x v="57"/>
    <x v="1"/>
    <x v="0"/>
    <x v="0"/>
    <x v="1"/>
    <x v="0"/>
    <x v="0"/>
    <x v="1"/>
    <x v="15"/>
  </r>
  <r>
    <x v="1"/>
    <x v="632"/>
    <x v="632"/>
    <x v="6"/>
    <x v="28"/>
    <x v="70"/>
    <x v="1"/>
    <x v="134"/>
    <x v="46"/>
    <x v="23"/>
    <x v="22"/>
    <x v="22"/>
    <x v="54"/>
    <x v="255"/>
    <x v="1"/>
    <x v="0"/>
    <x v="192"/>
    <x v="0"/>
    <x v="190"/>
    <x v="142"/>
    <x v="1"/>
    <x v="0"/>
    <x v="0"/>
    <x v="2"/>
    <x v="1"/>
    <x v="0"/>
    <x v="1"/>
    <x v="0"/>
  </r>
  <r>
    <x v="1"/>
    <x v="633"/>
    <x v="633"/>
    <x v="3"/>
    <x v="4"/>
    <x v="5"/>
    <x v="1"/>
    <x v="5"/>
    <x v="4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41"/>
  </r>
  <r>
    <x v="1"/>
    <x v="634"/>
    <x v="634"/>
    <x v="5"/>
    <x v="48"/>
    <x v="91"/>
    <x v="0"/>
    <x v="172"/>
    <x v="24"/>
    <x v="4"/>
    <x v="4"/>
    <x v="4"/>
    <x v="294"/>
    <x v="256"/>
    <x v="1"/>
    <x v="0"/>
    <x v="193"/>
    <x v="0"/>
    <x v="191"/>
    <x v="143"/>
    <x v="1"/>
    <x v="0"/>
    <x v="0"/>
    <x v="1"/>
    <x v="1"/>
    <x v="1"/>
    <x v="1"/>
    <x v="0"/>
  </r>
  <r>
    <x v="1"/>
    <x v="635"/>
    <x v="635"/>
    <x v="4"/>
    <x v="7"/>
    <x v="17"/>
    <x v="0"/>
    <x v="24"/>
    <x v="6"/>
    <x v="23"/>
    <x v="22"/>
    <x v="22"/>
    <x v="0"/>
    <x v="126"/>
    <x v="2"/>
    <x v="5"/>
    <x v="0"/>
    <x v="5"/>
    <x v="192"/>
    <x v="0"/>
    <x v="0"/>
    <x v="0"/>
    <x v="0"/>
    <x v="4"/>
    <x v="1"/>
    <x v="4"/>
    <x v="1"/>
    <x v="42"/>
  </r>
  <r>
    <x v="1"/>
    <x v="636"/>
    <x v="636"/>
    <x v="4"/>
    <x v="43"/>
    <x v="5"/>
    <x v="0"/>
    <x v="75"/>
    <x v="29"/>
    <x v="6"/>
    <x v="3"/>
    <x v="3"/>
    <x v="75"/>
    <x v="162"/>
    <x v="1"/>
    <x v="0"/>
    <x v="97"/>
    <x v="0"/>
    <x v="97"/>
    <x v="69"/>
    <x v="1"/>
    <x v="0"/>
    <x v="0"/>
    <x v="2"/>
    <x v="1"/>
    <x v="0"/>
    <x v="1"/>
    <x v="0"/>
  </r>
  <r>
    <x v="1"/>
    <x v="637"/>
    <x v="637"/>
    <x v="2"/>
    <x v="20"/>
    <x v="21"/>
    <x v="1"/>
    <x v="108"/>
    <x v="18"/>
    <x v="11"/>
    <x v="10"/>
    <x v="10"/>
    <x v="295"/>
    <x v="197"/>
    <x v="1"/>
    <x v="0"/>
    <x v="194"/>
    <x v="0"/>
    <x v="193"/>
    <x v="144"/>
    <x v="1"/>
    <x v="0"/>
    <x v="0"/>
    <x v="2"/>
    <x v="1"/>
    <x v="0"/>
    <x v="1"/>
    <x v="0"/>
  </r>
  <r>
    <x v="1"/>
    <x v="638"/>
    <x v="638"/>
    <x v="12"/>
    <x v="49"/>
    <x v="87"/>
    <x v="0"/>
    <x v="163"/>
    <x v="38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39"/>
    <x v="639"/>
    <x v="4"/>
    <x v="26"/>
    <x v="12"/>
    <x v="1"/>
    <x v="37"/>
    <x v="16"/>
    <x v="15"/>
    <x v="14"/>
    <x v="14"/>
    <x v="267"/>
    <x v="257"/>
    <x v="1"/>
    <x v="0"/>
    <x v="108"/>
    <x v="0"/>
    <x v="107"/>
    <x v="76"/>
    <x v="1"/>
    <x v="0"/>
    <x v="0"/>
    <x v="2"/>
    <x v="1"/>
    <x v="0"/>
    <x v="1"/>
    <x v="0"/>
  </r>
  <r>
    <x v="1"/>
    <x v="640"/>
    <x v="640"/>
    <x v="22"/>
    <x v="87"/>
    <x v="5"/>
    <x v="0"/>
    <x v="264"/>
    <x v="107"/>
    <x v="6"/>
    <x v="3"/>
    <x v="3"/>
    <x v="111"/>
    <x v="0"/>
    <x v="1"/>
    <x v="0"/>
    <x v="0"/>
    <x v="0"/>
    <x v="0"/>
    <x v="0"/>
    <x v="0"/>
    <x v="55"/>
    <x v="48"/>
    <x v="4"/>
    <x v="1"/>
    <x v="4"/>
    <x v="1"/>
    <x v="0"/>
  </r>
  <r>
    <x v="1"/>
    <x v="641"/>
    <x v="641"/>
    <x v="1"/>
    <x v="39"/>
    <x v="48"/>
    <x v="0"/>
    <x v="86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42"/>
    <x v="642"/>
    <x v="4"/>
    <x v="26"/>
    <x v="70"/>
    <x v="1"/>
    <x v="135"/>
    <x v="4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43"/>
    <x v="643"/>
    <x v="5"/>
    <x v="40"/>
    <x v="82"/>
    <x v="0"/>
    <x v="156"/>
    <x v="6"/>
    <x v="5"/>
    <x v="5"/>
    <x v="5"/>
    <x v="144"/>
    <x v="258"/>
    <x v="1"/>
    <x v="0"/>
    <x v="103"/>
    <x v="0"/>
    <x v="102"/>
    <x v="73"/>
    <x v="1"/>
    <x v="0"/>
    <x v="0"/>
    <x v="1"/>
    <x v="1"/>
    <x v="1"/>
    <x v="1"/>
    <x v="0"/>
  </r>
  <r>
    <x v="1"/>
    <x v="644"/>
    <x v="644"/>
    <x v="12"/>
    <x v="49"/>
    <x v="89"/>
    <x v="0"/>
    <x v="169"/>
    <x v="67"/>
    <x v="6"/>
    <x v="3"/>
    <x v="3"/>
    <x v="219"/>
    <x v="199"/>
    <x v="1"/>
    <x v="0"/>
    <x v="152"/>
    <x v="0"/>
    <x v="149"/>
    <x v="111"/>
    <x v="1"/>
    <x v="0"/>
    <x v="0"/>
    <x v="1"/>
    <x v="1"/>
    <x v="1"/>
    <x v="1"/>
    <x v="0"/>
  </r>
  <r>
    <x v="1"/>
    <x v="645"/>
    <x v="645"/>
    <x v="6"/>
    <x v="57"/>
    <x v="59"/>
    <x v="0"/>
    <x v="103"/>
    <x v="6"/>
    <x v="23"/>
    <x v="22"/>
    <x v="22"/>
    <x v="99"/>
    <x v="259"/>
    <x v="1"/>
    <x v="0"/>
    <x v="7"/>
    <x v="0"/>
    <x v="7"/>
    <x v="4"/>
    <x v="1"/>
    <x v="0"/>
    <x v="0"/>
    <x v="2"/>
    <x v="1"/>
    <x v="0"/>
    <x v="1"/>
    <x v="0"/>
  </r>
  <r>
    <x v="1"/>
    <x v="646"/>
    <x v="646"/>
    <x v="5"/>
    <x v="8"/>
    <x v="9"/>
    <x v="0"/>
    <x v="10"/>
    <x v="6"/>
    <x v="3"/>
    <x v="3"/>
    <x v="3"/>
    <x v="296"/>
    <x v="81"/>
    <x v="2"/>
    <x v="0"/>
    <x v="195"/>
    <x v="0"/>
    <x v="194"/>
    <x v="0"/>
    <x v="0"/>
    <x v="0"/>
    <x v="0"/>
    <x v="2"/>
    <x v="0"/>
    <x v="0"/>
    <x v="1"/>
    <x v="0"/>
  </r>
  <r>
    <x v="1"/>
    <x v="647"/>
    <x v="647"/>
    <x v="5"/>
    <x v="40"/>
    <x v="5"/>
    <x v="0"/>
    <x v="275"/>
    <x v="5"/>
    <x v="2"/>
    <x v="2"/>
    <x v="2"/>
    <x v="297"/>
    <x v="110"/>
    <x v="1"/>
    <x v="0"/>
    <x v="64"/>
    <x v="0"/>
    <x v="64"/>
    <x v="49"/>
    <x v="1"/>
    <x v="0"/>
    <x v="0"/>
    <x v="2"/>
    <x v="1"/>
    <x v="0"/>
    <x v="1"/>
    <x v="0"/>
  </r>
  <r>
    <x v="1"/>
    <x v="648"/>
    <x v="648"/>
    <x v="6"/>
    <x v="17"/>
    <x v="73"/>
    <x v="0"/>
    <x v="129"/>
    <x v="1"/>
    <x v="4"/>
    <x v="4"/>
    <x v="4"/>
    <x v="146"/>
    <x v="123"/>
    <x v="1"/>
    <x v="0"/>
    <x v="196"/>
    <x v="0"/>
    <x v="195"/>
    <x v="145"/>
    <x v="1"/>
    <x v="0"/>
    <x v="0"/>
    <x v="2"/>
    <x v="1"/>
    <x v="0"/>
    <x v="1"/>
    <x v="0"/>
  </r>
  <r>
    <x v="1"/>
    <x v="649"/>
    <x v="649"/>
    <x v="3"/>
    <x v="4"/>
    <x v="18"/>
    <x v="1"/>
    <x v="67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50"/>
    <x v="650"/>
    <x v="10"/>
    <x v="45"/>
    <x v="5"/>
    <x v="0"/>
    <x v="77"/>
    <x v="31"/>
    <x v="6"/>
    <x v="3"/>
    <x v="3"/>
    <x v="109"/>
    <x v="95"/>
    <x v="1"/>
    <x v="0"/>
    <x v="36"/>
    <x v="0"/>
    <x v="36"/>
    <x v="29"/>
    <x v="1"/>
    <x v="0"/>
    <x v="0"/>
    <x v="2"/>
    <x v="1"/>
    <x v="0"/>
    <x v="1"/>
    <x v="0"/>
  </r>
  <r>
    <x v="1"/>
    <x v="651"/>
    <x v="651"/>
    <x v="5"/>
    <x v="31"/>
    <x v="21"/>
    <x v="1"/>
    <x v="276"/>
    <x v="43"/>
    <x v="19"/>
    <x v="18"/>
    <x v="18"/>
    <x v="298"/>
    <x v="114"/>
    <x v="1"/>
    <x v="0"/>
    <x v="197"/>
    <x v="0"/>
    <x v="196"/>
    <x v="146"/>
    <x v="1"/>
    <x v="0"/>
    <x v="0"/>
    <x v="2"/>
    <x v="1"/>
    <x v="0"/>
    <x v="1"/>
    <x v="0"/>
  </r>
  <r>
    <x v="1"/>
    <x v="652"/>
    <x v="652"/>
    <x v="2"/>
    <x v="5"/>
    <x v="49"/>
    <x v="0"/>
    <x v="88"/>
    <x v="6"/>
    <x v="5"/>
    <x v="5"/>
    <x v="5"/>
    <x v="299"/>
    <x v="136"/>
    <x v="1"/>
    <x v="0"/>
    <x v="198"/>
    <x v="0"/>
    <x v="197"/>
    <x v="147"/>
    <x v="1"/>
    <x v="0"/>
    <x v="0"/>
    <x v="4"/>
    <x v="1"/>
    <x v="4"/>
    <x v="1"/>
    <x v="0"/>
  </r>
  <r>
    <x v="1"/>
    <x v="653"/>
    <x v="653"/>
    <x v="6"/>
    <x v="57"/>
    <x v="57"/>
    <x v="0"/>
    <x v="100"/>
    <x v="16"/>
    <x v="11"/>
    <x v="10"/>
    <x v="10"/>
    <x v="148"/>
    <x v="260"/>
    <x v="1"/>
    <x v="0"/>
    <x v="9"/>
    <x v="0"/>
    <x v="9"/>
    <x v="6"/>
    <x v="1"/>
    <x v="0"/>
    <x v="0"/>
    <x v="1"/>
    <x v="1"/>
    <x v="1"/>
    <x v="1"/>
    <x v="0"/>
  </r>
  <r>
    <x v="1"/>
    <x v="654"/>
    <x v="654"/>
    <x v="5"/>
    <x v="84"/>
    <x v="5"/>
    <x v="0"/>
    <x v="250"/>
    <x v="6"/>
    <x v="4"/>
    <x v="4"/>
    <x v="4"/>
    <x v="60"/>
    <x v="261"/>
    <x v="1"/>
    <x v="0"/>
    <x v="17"/>
    <x v="0"/>
    <x v="17"/>
    <x v="14"/>
    <x v="1"/>
    <x v="56"/>
    <x v="49"/>
    <x v="2"/>
    <x v="1"/>
    <x v="0"/>
    <x v="1"/>
    <x v="0"/>
  </r>
  <r>
    <x v="1"/>
    <x v="655"/>
    <x v="655"/>
    <x v="5"/>
    <x v="53"/>
    <x v="94"/>
    <x v="0"/>
    <x v="178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56"/>
    <x v="656"/>
    <x v="6"/>
    <x v="17"/>
    <x v="120"/>
    <x v="0"/>
    <x v="257"/>
    <x v="37"/>
    <x v="4"/>
    <x v="4"/>
    <x v="4"/>
    <x v="300"/>
    <x v="64"/>
    <x v="1"/>
    <x v="0"/>
    <x v="199"/>
    <x v="0"/>
    <x v="44"/>
    <x v="34"/>
    <x v="1"/>
    <x v="0"/>
    <x v="0"/>
    <x v="2"/>
    <x v="1"/>
    <x v="0"/>
    <x v="1"/>
    <x v="0"/>
  </r>
  <r>
    <x v="1"/>
    <x v="657"/>
    <x v="657"/>
    <x v="17"/>
    <x v="85"/>
    <x v="5"/>
    <x v="0"/>
    <x v="252"/>
    <x v="108"/>
    <x v="6"/>
    <x v="3"/>
    <x v="3"/>
    <x v="301"/>
    <x v="23"/>
    <x v="1"/>
    <x v="0"/>
    <x v="28"/>
    <x v="0"/>
    <x v="28"/>
    <x v="24"/>
    <x v="1"/>
    <x v="0"/>
    <x v="0"/>
    <x v="1"/>
    <x v="1"/>
    <x v="1"/>
    <x v="1"/>
    <x v="0"/>
  </r>
  <r>
    <x v="1"/>
    <x v="658"/>
    <x v="658"/>
    <x v="12"/>
    <x v="49"/>
    <x v="47"/>
    <x v="0"/>
    <x v="84"/>
    <x v="72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59"/>
    <x v="659"/>
    <x v="6"/>
    <x v="13"/>
    <x v="15"/>
    <x v="1"/>
    <x v="60"/>
    <x v="2"/>
    <x v="14"/>
    <x v="13"/>
    <x v="13"/>
    <x v="139"/>
    <x v="31"/>
    <x v="1"/>
    <x v="0"/>
    <x v="200"/>
    <x v="0"/>
    <x v="198"/>
    <x v="148"/>
    <x v="1"/>
    <x v="0"/>
    <x v="0"/>
    <x v="2"/>
    <x v="1"/>
    <x v="0"/>
    <x v="1"/>
    <x v="0"/>
  </r>
  <r>
    <x v="1"/>
    <x v="660"/>
    <x v="660"/>
    <x v="4"/>
    <x v="12"/>
    <x v="64"/>
    <x v="0"/>
    <x v="11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61"/>
    <x v="661"/>
    <x v="6"/>
    <x v="28"/>
    <x v="15"/>
    <x v="1"/>
    <x v="177"/>
    <x v="12"/>
    <x v="14"/>
    <x v="13"/>
    <x v="13"/>
    <x v="0"/>
    <x v="262"/>
    <x v="2"/>
    <x v="0"/>
    <x v="0"/>
    <x v="0"/>
    <x v="0"/>
    <x v="0"/>
    <x v="0"/>
    <x v="0"/>
    <x v="0"/>
    <x v="2"/>
    <x v="1"/>
    <x v="0"/>
    <x v="1"/>
    <x v="0"/>
  </r>
  <r>
    <x v="1"/>
    <x v="662"/>
    <x v="662"/>
    <x v="12"/>
    <x v="49"/>
    <x v="76"/>
    <x v="0"/>
    <x v="133"/>
    <x v="109"/>
    <x v="6"/>
    <x v="3"/>
    <x v="3"/>
    <x v="259"/>
    <x v="96"/>
    <x v="1"/>
    <x v="0"/>
    <x v="180"/>
    <x v="0"/>
    <x v="178"/>
    <x v="133"/>
    <x v="1"/>
    <x v="0"/>
    <x v="0"/>
    <x v="1"/>
    <x v="1"/>
    <x v="1"/>
    <x v="1"/>
    <x v="0"/>
  </r>
  <r>
    <x v="1"/>
    <x v="663"/>
    <x v="663"/>
    <x v="4"/>
    <x v="12"/>
    <x v="64"/>
    <x v="0"/>
    <x v="11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64"/>
    <x v="664"/>
    <x v="12"/>
    <x v="49"/>
    <x v="47"/>
    <x v="0"/>
    <x v="84"/>
    <x v="67"/>
    <x v="6"/>
    <x v="3"/>
    <x v="3"/>
    <x v="77"/>
    <x v="170"/>
    <x v="1"/>
    <x v="0"/>
    <x v="144"/>
    <x v="0"/>
    <x v="142"/>
    <x v="104"/>
    <x v="1"/>
    <x v="0"/>
    <x v="0"/>
    <x v="4"/>
    <x v="1"/>
    <x v="4"/>
    <x v="1"/>
    <x v="0"/>
  </r>
  <r>
    <x v="1"/>
    <x v="665"/>
    <x v="665"/>
    <x v="6"/>
    <x v="56"/>
    <x v="56"/>
    <x v="0"/>
    <x v="99"/>
    <x v="29"/>
    <x v="30"/>
    <x v="29"/>
    <x v="29"/>
    <x v="0"/>
    <x v="263"/>
    <x v="2"/>
    <x v="0"/>
    <x v="0"/>
    <x v="0"/>
    <x v="0"/>
    <x v="0"/>
    <x v="0"/>
    <x v="0"/>
    <x v="0"/>
    <x v="3"/>
    <x v="1"/>
    <x v="3"/>
    <x v="1"/>
    <x v="0"/>
  </r>
  <r>
    <x v="1"/>
    <x v="666"/>
    <x v="666"/>
    <x v="0"/>
    <x v="29"/>
    <x v="18"/>
    <x v="1"/>
    <x v="42"/>
    <x v="15"/>
    <x v="32"/>
    <x v="31"/>
    <x v="31"/>
    <x v="302"/>
    <x v="264"/>
    <x v="1"/>
    <x v="0"/>
    <x v="112"/>
    <x v="0"/>
    <x v="111"/>
    <x v="80"/>
    <x v="1"/>
    <x v="57"/>
    <x v="50"/>
    <x v="2"/>
    <x v="1"/>
    <x v="0"/>
    <x v="1"/>
    <x v="0"/>
  </r>
  <r>
    <x v="1"/>
    <x v="667"/>
    <x v="667"/>
    <x v="3"/>
    <x v="89"/>
    <x v="5"/>
    <x v="0"/>
    <x v="270"/>
    <x v="6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68"/>
    <x v="668"/>
    <x v="6"/>
    <x v="28"/>
    <x v="15"/>
    <x v="1"/>
    <x v="177"/>
    <x v="2"/>
    <x v="14"/>
    <x v="13"/>
    <x v="13"/>
    <x v="303"/>
    <x v="218"/>
    <x v="1"/>
    <x v="0"/>
    <x v="201"/>
    <x v="0"/>
    <x v="199"/>
    <x v="149"/>
    <x v="1"/>
    <x v="0"/>
    <x v="0"/>
    <x v="2"/>
    <x v="1"/>
    <x v="0"/>
    <x v="1"/>
    <x v="0"/>
  </r>
  <r>
    <x v="1"/>
    <x v="669"/>
    <x v="669"/>
    <x v="5"/>
    <x v="91"/>
    <x v="5"/>
    <x v="0"/>
    <x v="277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70"/>
    <x v="670"/>
    <x v="0"/>
    <x v="16"/>
    <x v="18"/>
    <x v="1"/>
    <x v="64"/>
    <x v="15"/>
    <x v="6"/>
    <x v="3"/>
    <x v="3"/>
    <x v="304"/>
    <x v="265"/>
    <x v="2"/>
    <x v="6"/>
    <x v="142"/>
    <x v="6"/>
    <x v="200"/>
    <x v="150"/>
    <x v="1"/>
    <x v="58"/>
    <x v="51"/>
    <x v="2"/>
    <x v="1"/>
    <x v="0"/>
    <x v="1"/>
    <x v="43"/>
  </r>
  <r>
    <x v="1"/>
    <x v="671"/>
    <x v="671"/>
    <x v="6"/>
    <x v="10"/>
    <x v="11"/>
    <x v="0"/>
    <x v="49"/>
    <x v="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672"/>
    <x v="672"/>
    <x v="6"/>
    <x v="13"/>
    <x v="12"/>
    <x v="1"/>
    <x v="17"/>
    <x v="1"/>
    <x v="2"/>
    <x v="2"/>
    <x v="2"/>
    <x v="152"/>
    <x v="28"/>
    <x v="1"/>
    <x v="0"/>
    <x v="59"/>
    <x v="0"/>
    <x v="59"/>
    <x v="45"/>
    <x v="1"/>
    <x v="0"/>
    <x v="0"/>
    <x v="2"/>
    <x v="1"/>
    <x v="0"/>
    <x v="1"/>
    <x v="0"/>
  </r>
  <r>
    <x v="1"/>
    <x v="673"/>
    <x v="673"/>
    <x v="17"/>
    <x v="81"/>
    <x v="5"/>
    <x v="0"/>
    <x v="244"/>
    <x v="110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74"/>
    <x v="674"/>
    <x v="13"/>
    <x v="54"/>
    <x v="5"/>
    <x v="0"/>
    <x v="97"/>
    <x v="68"/>
    <x v="6"/>
    <x v="3"/>
    <x v="3"/>
    <x v="78"/>
    <x v="9"/>
    <x v="1"/>
    <x v="0"/>
    <x v="8"/>
    <x v="0"/>
    <x v="8"/>
    <x v="5"/>
    <x v="1"/>
    <x v="0"/>
    <x v="0"/>
    <x v="5"/>
    <x v="1"/>
    <x v="0"/>
    <x v="1"/>
    <x v="0"/>
  </r>
  <r>
    <x v="1"/>
    <x v="675"/>
    <x v="675"/>
    <x v="5"/>
    <x v="72"/>
    <x v="5"/>
    <x v="0"/>
    <x v="204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76"/>
    <x v="676"/>
    <x v="0"/>
    <x v="29"/>
    <x v="15"/>
    <x v="1"/>
    <x v="63"/>
    <x v="12"/>
    <x v="38"/>
    <x v="36"/>
    <x v="36"/>
    <x v="305"/>
    <x v="0"/>
    <x v="1"/>
    <x v="0"/>
    <x v="0"/>
    <x v="0"/>
    <x v="0"/>
    <x v="0"/>
    <x v="0"/>
    <x v="0"/>
    <x v="0"/>
    <x v="4"/>
    <x v="1"/>
    <x v="4"/>
    <x v="1"/>
    <x v="0"/>
  </r>
  <r>
    <x v="1"/>
    <x v="677"/>
    <x v="677"/>
    <x v="10"/>
    <x v="92"/>
    <x v="5"/>
    <x v="0"/>
    <x v="278"/>
    <x v="111"/>
    <x v="6"/>
    <x v="3"/>
    <x v="3"/>
    <x v="306"/>
    <x v="266"/>
    <x v="2"/>
    <x v="0"/>
    <x v="85"/>
    <x v="0"/>
    <x v="85"/>
    <x v="0"/>
    <x v="0"/>
    <x v="0"/>
    <x v="0"/>
    <x v="2"/>
    <x v="1"/>
    <x v="0"/>
    <x v="1"/>
    <x v="0"/>
  </r>
  <r>
    <x v="1"/>
    <x v="678"/>
    <x v="678"/>
    <x v="5"/>
    <x v="53"/>
    <x v="129"/>
    <x v="0"/>
    <x v="279"/>
    <x v="24"/>
    <x v="17"/>
    <x v="16"/>
    <x v="16"/>
    <x v="236"/>
    <x v="118"/>
    <x v="1"/>
    <x v="0"/>
    <x v="63"/>
    <x v="0"/>
    <x v="63"/>
    <x v="48"/>
    <x v="1"/>
    <x v="0"/>
    <x v="0"/>
    <x v="2"/>
    <x v="1"/>
    <x v="0"/>
    <x v="1"/>
    <x v="0"/>
  </r>
  <r>
    <x v="1"/>
    <x v="679"/>
    <x v="679"/>
    <x v="6"/>
    <x v="57"/>
    <x v="57"/>
    <x v="0"/>
    <x v="100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80"/>
    <x v="680"/>
    <x v="0"/>
    <x v="0"/>
    <x v="5"/>
    <x v="0"/>
    <x v="280"/>
    <x v="5"/>
    <x v="4"/>
    <x v="4"/>
    <x v="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81"/>
    <x v="681"/>
    <x v="2"/>
    <x v="3"/>
    <x v="15"/>
    <x v="1"/>
    <x v="21"/>
    <x v="2"/>
    <x v="2"/>
    <x v="2"/>
    <x v="2"/>
    <x v="83"/>
    <x v="267"/>
    <x v="2"/>
    <x v="0"/>
    <x v="11"/>
    <x v="0"/>
    <x v="11"/>
    <x v="8"/>
    <x v="1"/>
    <x v="0"/>
    <x v="0"/>
    <x v="2"/>
    <x v="1"/>
    <x v="0"/>
    <x v="1"/>
    <x v="0"/>
  </r>
  <r>
    <x v="1"/>
    <x v="682"/>
    <x v="682"/>
    <x v="2"/>
    <x v="42"/>
    <x v="130"/>
    <x v="0"/>
    <x v="281"/>
    <x v="3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83"/>
    <x v="683"/>
    <x v="12"/>
    <x v="49"/>
    <x v="114"/>
    <x v="0"/>
    <x v="239"/>
    <x v="59"/>
    <x v="6"/>
    <x v="3"/>
    <x v="3"/>
    <x v="285"/>
    <x v="268"/>
    <x v="1"/>
    <x v="0"/>
    <x v="161"/>
    <x v="0"/>
    <x v="158"/>
    <x v="119"/>
    <x v="1"/>
    <x v="0"/>
    <x v="0"/>
    <x v="1"/>
    <x v="1"/>
    <x v="1"/>
    <x v="1"/>
    <x v="0"/>
  </r>
  <r>
    <x v="1"/>
    <x v="684"/>
    <x v="684"/>
    <x v="4"/>
    <x v="26"/>
    <x v="21"/>
    <x v="1"/>
    <x v="189"/>
    <x v="18"/>
    <x v="3"/>
    <x v="3"/>
    <x v="3"/>
    <x v="193"/>
    <x v="173"/>
    <x v="1"/>
    <x v="0"/>
    <x v="202"/>
    <x v="0"/>
    <x v="201"/>
    <x v="151"/>
    <x v="1"/>
    <x v="0"/>
    <x v="0"/>
    <x v="2"/>
    <x v="0"/>
    <x v="0"/>
    <x v="1"/>
    <x v="0"/>
  </r>
  <r>
    <x v="1"/>
    <x v="685"/>
    <x v="685"/>
    <x v="4"/>
    <x v="26"/>
    <x v="5"/>
    <x v="1"/>
    <x v="282"/>
    <x v="33"/>
    <x v="15"/>
    <x v="14"/>
    <x v="14"/>
    <x v="61"/>
    <x v="269"/>
    <x v="1"/>
    <x v="0"/>
    <x v="203"/>
    <x v="0"/>
    <x v="202"/>
    <x v="152"/>
    <x v="1"/>
    <x v="0"/>
    <x v="0"/>
    <x v="1"/>
    <x v="1"/>
    <x v="1"/>
    <x v="1"/>
    <x v="0"/>
  </r>
  <r>
    <x v="1"/>
    <x v="686"/>
    <x v="686"/>
    <x v="4"/>
    <x v="26"/>
    <x v="18"/>
    <x v="1"/>
    <x v="154"/>
    <x v="1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87"/>
    <x v="687"/>
    <x v="3"/>
    <x v="36"/>
    <x v="32"/>
    <x v="0"/>
    <x v="56"/>
    <x v="6"/>
    <x v="4"/>
    <x v="4"/>
    <x v="4"/>
    <x v="307"/>
    <x v="0"/>
    <x v="1"/>
    <x v="0"/>
    <x v="0"/>
    <x v="0"/>
    <x v="0"/>
    <x v="0"/>
    <x v="0"/>
    <x v="0"/>
    <x v="0"/>
    <x v="3"/>
    <x v="1"/>
    <x v="3"/>
    <x v="1"/>
    <x v="0"/>
  </r>
  <r>
    <x v="1"/>
    <x v="688"/>
    <x v="688"/>
    <x v="1"/>
    <x v="66"/>
    <x v="90"/>
    <x v="0"/>
    <x v="170"/>
    <x v="74"/>
    <x v="11"/>
    <x v="10"/>
    <x v="10"/>
    <x v="308"/>
    <x v="270"/>
    <x v="1"/>
    <x v="0"/>
    <x v="204"/>
    <x v="0"/>
    <x v="203"/>
    <x v="0"/>
    <x v="0"/>
    <x v="0"/>
    <x v="0"/>
    <x v="2"/>
    <x v="1"/>
    <x v="0"/>
    <x v="1"/>
    <x v="0"/>
  </r>
  <r>
    <x v="1"/>
    <x v="689"/>
    <x v="689"/>
    <x v="12"/>
    <x v="49"/>
    <x v="114"/>
    <x v="0"/>
    <x v="239"/>
    <x v="72"/>
    <x v="6"/>
    <x v="3"/>
    <x v="3"/>
    <x v="108"/>
    <x v="266"/>
    <x v="1"/>
    <x v="0"/>
    <x v="117"/>
    <x v="0"/>
    <x v="116"/>
    <x v="84"/>
    <x v="1"/>
    <x v="59"/>
    <x v="52"/>
    <x v="1"/>
    <x v="1"/>
    <x v="1"/>
    <x v="1"/>
    <x v="0"/>
  </r>
  <r>
    <x v="1"/>
    <x v="690"/>
    <x v="690"/>
    <x v="6"/>
    <x v="10"/>
    <x v="11"/>
    <x v="0"/>
    <x v="49"/>
    <x v="9"/>
    <x v="6"/>
    <x v="3"/>
    <x v="3"/>
    <x v="309"/>
    <x v="206"/>
    <x v="1"/>
    <x v="0"/>
    <x v="28"/>
    <x v="0"/>
    <x v="28"/>
    <x v="24"/>
    <x v="1"/>
    <x v="0"/>
    <x v="0"/>
    <x v="2"/>
    <x v="1"/>
    <x v="0"/>
    <x v="1"/>
    <x v="0"/>
  </r>
  <r>
    <x v="1"/>
    <x v="691"/>
    <x v="691"/>
    <x v="17"/>
    <x v="85"/>
    <x v="5"/>
    <x v="0"/>
    <x v="252"/>
    <x v="112"/>
    <x v="6"/>
    <x v="3"/>
    <x v="3"/>
    <x v="189"/>
    <x v="216"/>
    <x v="1"/>
    <x v="0"/>
    <x v="26"/>
    <x v="0"/>
    <x v="26"/>
    <x v="22"/>
    <x v="1"/>
    <x v="0"/>
    <x v="0"/>
    <x v="1"/>
    <x v="1"/>
    <x v="1"/>
    <x v="1"/>
    <x v="0"/>
  </r>
  <r>
    <x v="1"/>
    <x v="692"/>
    <x v="692"/>
    <x v="5"/>
    <x v="8"/>
    <x v="80"/>
    <x v="0"/>
    <x v="146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693"/>
    <x v="693"/>
    <x v="2"/>
    <x v="20"/>
    <x v="15"/>
    <x v="1"/>
    <x v="210"/>
    <x v="12"/>
    <x v="1"/>
    <x v="1"/>
    <x v="1"/>
    <x v="310"/>
    <x v="271"/>
    <x v="1"/>
    <x v="0"/>
    <x v="72"/>
    <x v="0"/>
    <x v="72"/>
    <x v="54"/>
    <x v="1"/>
    <x v="0"/>
    <x v="0"/>
    <x v="2"/>
    <x v="1"/>
    <x v="0"/>
    <x v="1"/>
    <x v="0"/>
  </r>
  <r>
    <x v="1"/>
    <x v="694"/>
    <x v="694"/>
    <x v="10"/>
    <x v="45"/>
    <x v="5"/>
    <x v="0"/>
    <x v="77"/>
    <x v="113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695"/>
    <x v="695"/>
    <x v="6"/>
    <x v="57"/>
    <x v="57"/>
    <x v="0"/>
    <x v="100"/>
    <x v="1"/>
    <x v="17"/>
    <x v="16"/>
    <x v="16"/>
    <x v="311"/>
    <x v="272"/>
    <x v="1"/>
    <x v="0"/>
    <x v="169"/>
    <x v="0"/>
    <x v="167"/>
    <x v="125"/>
    <x v="1"/>
    <x v="3"/>
    <x v="3"/>
    <x v="2"/>
    <x v="1"/>
    <x v="0"/>
    <x v="1"/>
    <x v="0"/>
  </r>
  <r>
    <x v="1"/>
    <x v="696"/>
    <x v="696"/>
    <x v="2"/>
    <x v="3"/>
    <x v="5"/>
    <x v="1"/>
    <x v="261"/>
    <x v="33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697"/>
    <x v="697"/>
    <x v="6"/>
    <x v="9"/>
    <x v="5"/>
    <x v="0"/>
    <x v="200"/>
    <x v="42"/>
    <x v="6"/>
    <x v="3"/>
    <x v="3"/>
    <x v="312"/>
    <x v="273"/>
    <x v="1"/>
    <x v="0"/>
    <x v="57"/>
    <x v="0"/>
    <x v="57"/>
    <x v="43"/>
    <x v="1"/>
    <x v="0"/>
    <x v="0"/>
    <x v="2"/>
    <x v="1"/>
    <x v="0"/>
    <x v="1"/>
    <x v="0"/>
  </r>
  <r>
    <x v="1"/>
    <x v="698"/>
    <x v="698"/>
    <x v="2"/>
    <x v="79"/>
    <x v="5"/>
    <x v="0"/>
    <x v="229"/>
    <x v="6"/>
    <x v="1"/>
    <x v="1"/>
    <x v="1"/>
    <x v="233"/>
    <x v="72"/>
    <x v="1"/>
    <x v="0"/>
    <x v="122"/>
    <x v="0"/>
    <x v="121"/>
    <x v="87"/>
    <x v="1"/>
    <x v="60"/>
    <x v="53"/>
    <x v="2"/>
    <x v="1"/>
    <x v="0"/>
    <x v="1"/>
    <x v="0"/>
  </r>
  <r>
    <x v="1"/>
    <x v="699"/>
    <x v="699"/>
    <x v="4"/>
    <x v="7"/>
    <x v="78"/>
    <x v="0"/>
    <x v="138"/>
    <x v="24"/>
    <x v="23"/>
    <x v="22"/>
    <x v="2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00"/>
    <x v="700"/>
    <x v="5"/>
    <x v="10"/>
    <x v="11"/>
    <x v="0"/>
    <x v="74"/>
    <x v="8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01"/>
    <x v="701"/>
    <x v="5"/>
    <x v="43"/>
    <x v="56"/>
    <x v="0"/>
    <x v="160"/>
    <x v="29"/>
    <x v="11"/>
    <x v="10"/>
    <x v="10"/>
    <x v="313"/>
    <x v="129"/>
    <x v="1"/>
    <x v="0"/>
    <x v="205"/>
    <x v="0"/>
    <x v="204"/>
    <x v="153"/>
    <x v="1"/>
    <x v="0"/>
    <x v="0"/>
    <x v="1"/>
    <x v="1"/>
    <x v="1"/>
    <x v="1"/>
    <x v="0"/>
  </r>
  <r>
    <x v="1"/>
    <x v="702"/>
    <x v="702"/>
    <x v="6"/>
    <x v="17"/>
    <x v="73"/>
    <x v="0"/>
    <x v="129"/>
    <x v="1"/>
    <x v="1"/>
    <x v="1"/>
    <x v="1"/>
    <x v="314"/>
    <x v="274"/>
    <x v="1"/>
    <x v="0"/>
    <x v="6"/>
    <x v="0"/>
    <x v="6"/>
    <x v="3"/>
    <x v="1"/>
    <x v="0"/>
    <x v="0"/>
    <x v="2"/>
    <x v="1"/>
    <x v="0"/>
    <x v="1"/>
    <x v="0"/>
  </r>
  <r>
    <x v="1"/>
    <x v="703"/>
    <x v="703"/>
    <x v="6"/>
    <x v="56"/>
    <x v="79"/>
    <x v="0"/>
    <x v="283"/>
    <x v="53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"/>
  </r>
  <r>
    <x v="1"/>
    <x v="704"/>
    <x v="704"/>
    <x v="3"/>
    <x v="93"/>
    <x v="5"/>
    <x v="0"/>
    <x v="284"/>
    <x v="36"/>
    <x v="14"/>
    <x v="13"/>
    <x v="13"/>
    <x v="0"/>
    <x v="0"/>
    <x v="2"/>
    <x v="0"/>
    <x v="0"/>
    <x v="0"/>
    <x v="0"/>
    <x v="0"/>
    <x v="0"/>
    <x v="0"/>
    <x v="0"/>
    <x v="0"/>
    <x v="0"/>
    <x v="0"/>
    <x v="1"/>
    <x v="32"/>
  </r>
  <r>
    <x v="1"/>
    <x v="705"/>
    <x v="705"/>
    <x v="5"/>
    <x v="43"/>
    <x v="56"/>
    <x v="0"/>
    <x v="160"/>
    <x v="29"/>
    <x v="6"/>
    <x v="3"/>
    <x v="3"/>
    <x v="315"/>
    <x v="275"/>
    <x v="1"/>
    <x v="0"/>
    <x v="206"/>
    <x v="0"/>
    <x v="205"/>
    <x v="154"/>
    <x v="1"/>
    <x v="61"/>
    <x v="54"/>
    <x v="1"/>
    <x v="1"/>
    <x v="1"/>
    <x v="1"/>
    <x v="0"/>
  </r>
  <r>
    <x v="1"/>
    <x v="706"/>
    <x v="706"/>
    <x v="12"/>
    <x v="49"/>
    <x v="47"/>
    <x v="0"/>
    <x v="84"/>
    <x v="38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07"/>
    <x v="707"/>
    <x v="3"/>
    <x v="60"/>
    <x v="131"/>
    <x v="0"/>
    <x v="285"/>
    <x v="24"/>
    <x v="23"/>
    <x v="22"/>
    <x v="22"/>
    <x v="144"/>
    <x v="276"/>
    <x v="1"/>
    <x v="0"/>
    <x v="207"/>
    <x v="0"/>
    <x v="206"/>
    <x v="0"/>
    <x v="0"/>
    <x v="0"/>
    <x v="0"/>
    <x v="2"/>
    <x v="1"/>
    <x v="0"/>
    <x v="1"/>
    <x v="0"/>
  </r>
  <r>
    <x v="1"/>
    <x v="708"/>
    <x v="708"/>
    <x v="20"/>
    <x v="78"/>
    <x v="5"/>
    <x v="0"/>
    <x v="226"/>
    <x v="92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"/>
  </r>
  <r>
    <x v="1"/>
    <x v="709"/>
    <x v="709"/>
    <x v="21"/>
    <x v="94"/>
    <x v="132"/>
    <x v="0"/>
    <x v="286"/>
    <x v="114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10"/>
    <x v="710"/>
    <x v="4"/>
    <x v="34"/>
    <x v="133"/>
    <x v="0"/>
    <x v="287"/>
    <x v="6"/>
    <x v="23"/>
    <x v="22"/>
    <x v="22"/>
    <x v="263"/>
    <x v="277"/>
    <x v="1"/>
    <x v="0"/>
    <x v="208"/>
    <x v="0"/>
    <x v="207"/>
    <x v="0"/>
    <x v="0"/>
    <x v="62"/>
    <x v="55"/>
    <x v="2"/>
    <x v="1"/>
    <x v="0"/>
    <x v="1"/>
    <x v="0"/>
  </r>
  <r>
    <x v="1"/>
    <x v="711"/>
    <x v="711"/>
    <x v="3"/>
    <x v="4"/>
    <x v="15"/>
    <x v="1"/>
    <x v="194"/>
    <x v="2"/>
    <x v="28"/>
    <x v="27"/>
    <x v="27"/>
    <x v="316"/>
    <x v="278"/>
    <x v="1"/>
    <x v="0"/>
    <x v="140"/>
    <x v="0"/>
    <x v="138"/>
    <x v="101"/>
    <x v="1"/>
    <x v="0"/>
    <x v="0"/>
    <x v="1"/>
    <x v="1"/>
    <x v="1"/>
    <x v="1"/>
    <x v="0"/>
  </r>
  <r>
    <x v="1"/>
    <x v="712"/>
    <x v="712"/>
    <x v="1"/>
    <x v="41"/>
    <x v="38"/>
    <x v="1"/>
    <x v="68"/>
    <x v="2"/>
    <x v="26"/>
    <x v="25"/>
    <x v="25"/>
    <x v="317"/>
    <x v="279"/>
    <x v="1"/>
    <x v="0"/>
    <x v="209"/>
    <x v="0"/>
    <x v="208"/>
    <x v="0"/>
    <x v="0"/>
    <x v="0"/>
    <x v="0"/>
    <x v="1"/>
    <x v="1"/>
    <x v="1"/>
    <x v="1"/>
    <x v="0"/>
  </r>
  <r>
    <x v="1"/>
    <x v="713"/>
    <x v="713"/>
    <x v="5"/>
    <x v="32"/>
    <x v="18"/>
    <x v="1"/>
    <x v="50"/>
    <x v="17"/>
    <x v="39"/>
    <x v="37"/>
    <x v="37"/>
    <x v="318"/>
    <x v="280"/>
    <x v="1"/>
    <x v="0"/>
    <x v="5"/>
    <x v="0"/>
    <x v="5"/>
    <x v="2"/>
    <x v="1"/>
    <x v="0"/>
    <x v="0"/>
    <x v="1"/>
    <x v="1"/>
    <x v="1"/>
    <x v="1"/>
    <x v="0"/>
  </r>
  <r>
    <x v="1"/>
    <x v="714"/>
    <x v="714"/>
    <x v="5"/>
    <x v="53"/>
    <x v="75"/>
    <x v="0"/>
    <x v="132"/>
    <x v="6"/>
    <x v="14"/>
    <x v="13"/>
    <x v="13"/>
    <x v="319"/>
    <x v="281"/>
    <x v="1"/>
    <x v="0"/>
    <x v="103"/>
    <x v="0"/>
    <x v="102"/>
    <x v="73"/>
    <x v="1"/>
    <x v="63"/>
    <x v="56"/>
    <x v="1"/>
    <x v="1"/>
    <x v="1"/>
    <x v="1"/>
    <x v="0"/>
  </r>
  <r>
    <x v="1"/>
    <x v="715"/>
    <x v="715"/>
    <x v="2"/>
    <x v="20"/>
    <x v="4"/>
    <x v="1"/>
    <x v="195"/>
    <x v="3"/>
    <x v="11"/>
    <x v="10"/>
    <x v="10"/>
    <x v="126"/>
    <x v="282"/>
    <x v="1"/>
    <x v="0"/>
    <x v="28"/>
    <x v="0"/>
    <x v="28"/>
    <x v="24"/>
    <x v="1"/>
    <x v="0"/>
    <x v="0"/>
    <x v="2"/>
    <x v="1"/>
    <x v="0"/>
    <x v="1"/>
    <x v="0"/>
  </r>
  <r>
    <x v="1"/>
    <x v="716"/>
    <x v="716"/>
    <x v="5"/>
    <x v="95"/>
    <x v="5"/>
    <x v="0"/>
    <x v="288"/>
    <x v="6"/>
    <x v="14"/>
    <x v="13"/>
    <x v="13"/>
    <x v="320"/>
    <x v="17"/>
    <x v="2"/>
    <x v="0"/>
    <x v="210"/>
    <x v="0"/>
    <x v="209"/>
    <x v="155"/>
    <x v="1"/>
    <x v="0"/>
    <x v="0"/>
    <x v="1"/>
    <x v="1"/>
    <x v="1"/>
    <x v="1"/>
    <x v="0"/>
  </r>
  <r>
    <x v="1"/>
    <x v="717"/>
    <x v="717"/>
    <x v="6"/>
    <x v="57"/>
    <x v="57"/>
    <x v="0"/>
    <x v="100"/>
    <x v="1"/>
    <x v="12"/>
    <x v="11"/>
    <x v="11"/>
    <x v="181"/>
    <x v="0"/>
    <x v="1"/>
    <x v="0"/>
    <x v="0"/>
    <x v="0"/>
    <x v="0"/>
    <x v="0"/>
    <x v="0"/>
    <x v="64"/>
    <x v="57"/>
    <x v="4"/>
    <x v="1"/>
    <x v="4"/>
    <x v="1"/>
    <x v="0"/>
  </r>
  <r>
    <x v="1"/>
    <x v="718"/>
    <x v="718"/>
    <x v="12"/>
    <x v="49"/>
    <x v="114"/>
    <x v="0"/>
    <x v="239"/>
    <x v="59"/>
    <x v="6"/>
    <x v="3"/>
    <x v="3"/>
    <x v="321"/>
    <x v="5"/>
    <x v="1"/>
    <x v="0"/>
    <x v="3"/>
    <x v="0"/>
    <x v="3"/>
    <x v="0"/>
    <x v="0"/>
    <x v="0"/>
    <x v="0"/>
    <x v="4"/>
    <x v="1"/>
    <x v="4"/>
    <x v="1"/>
    <x v="0"/>
  </r>
  <r>
    <x v="1"/>
    <x v="719"/>
    <x v="719"/>
    <x v="1"/>
    <x v="39"/>
    <x v="134"/>
    <x v="0"/>
    <x v="289"/>
    <x v="6"/>
    <x v="2"/>
    <x v="2"/>
    <x v="2"/>
    <x v="247"/>
    <x v="159"/>
    <x v="1"/>
    <x v="0"/>
    <x v="36"/>
    <x v="0"/>
    <x v="36"/>
    <x v="29"/>
    <x v="1"/>
    <x v="0"/>
    <x v="0"/>
    <x v="4"/>
    <x v="1"/>
    <x v="4"/>
    <x v="1"/>
    <x v="0"/>
  </r>
  <r>
    <x v="1"/>
    <x v="720"/>
    <x v="720"/>
    <x v="2"/>
    <x v="20"/>
    <x v="21"/>
    <x v="1"/>
    <x v="108"/>
    <x v="18"/>
    <x v="15"/>
    <x v="14"/>
    <x v="14"/>
    <x v="0"/>
    <x v="0"/>
    <x v="2"/>
    <x v="0"/>
    <x v="0"/>
    <x v="0"/>
    <x v="0"/>
    <x v="0"/>
    <x v="0"/>
    <x v="0"/>
    <x v="0"/>
    <x v="0"/>
    <x v="0"/>
    <x v="0"/>
    <x v="1"/>
    <x v="44"/>
  </r>
  <r>
    <x v="1"/>
    <x v="721"/>
    <x v="721"/>
    <x v="6"/>
    <x v="28"/>
    <x v="15"/>
    <x v="1"/>
    <x v="177"/>
    <x v="2"/>
    <x v="19"/>
    <x v="18"/>
    <x v="18"/>
    <x v="322"/>
    <x v="112"/>
    <x v="1"/>
    <x v="0"/>
    <x v="211"/>
    <x v="0"/>
    <x v="210"/>
    <x v="156"/>
    <x v="1"/>
    <x v="0"/>
    <x v="0"/>
    <x v="4"/>
    <x v="1"/>
    <x v="4"/>
    <x v="1"/>
    <x v="0"/>
  </r>
  <r>
    <x v="1"/>
    <x v="722"/>
    <x v="722"/>
    <x v="6"/>
    <x v="56"/>
    <x v="79"/>
    <x v="0"/>
    <x v="283"/>
    <x v="53"/>
    <x v="30"/>
    <x v="29"/>
    <x v="29"/>
    <x v="279"/>
    <x v="283"/>
    <x v="1"/>
    <x v="0"/>
    <x v="212"/>
    <x v="0"/>
    <x v="211"/>
    <x v="0"/>
    <x v="0"/>
    <x v="0"/>
    <x v="0"/>
    <x v="1"/>
    <x v="1"/>
    <x v="1"/>
    <x v="1"/>
    <x v="0"/>
  </r>
  <r>
    <x v="1"/>
    <x v="723"/>
    <x v="723"/>
    <x v="3"/>
    <x v="93"/>
    <x v="135"/>
    <x v="0"/>
    <x v="290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24"/>
    <x v="724"/>
    <x v="0"/>
    <x v="0"/>
    <x v="136"/>
    <x v="0"/>
    <x v="291"/>
    <x v="6"/>
    <x v="4"/>
    <x v="4"/>
    <x v="4"/>
    <x v="0"/>
    <x v="0"/>
    <x v="2"/>
    <x v="0"/>
    <x v="0"/>
    <x v="0"/>
    <x v="0"/>
    <x v="0"/>
    <x v="0"/>
    <x v="0"/>
    <x v="0"/>
    <x v="0"/>
    <x v="0"/>
    <x v="0"/>
    <x v="1"/>
    <x v="45"/>
  </r>
  <r>
    <x v="1"/>
    <x v="725"/>
    <x v="725"/>
    <x v="6"/>
    <x v="57"/>
    <x v="57"/>
    <x v="0"/>
    <x v="100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26"/>
    <x v="726"/>
    <x v="0"/>
    <x v="38"/>
    <x v="137"/>
    <x v="0"/>
    <x v="292"/>
    <x v="24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27"/>
    <x v="727"/>
    <x v="12"/>
    <x v="49"/>
    <x v="47"/>
    <x v="0"/>
    <x v="84"/>
    <x v="59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28"/>
    <x v="728"/>
    <x v="6"/>
    <x v="17"/>
    <x v="73"/>
    <x v="0"/>
    <x v="129"/>
    <x v="1"/>
    <x v="4"/>
    <x v="4"/>
    <x v="4"/>
    <x v="319"/>
    <x v="0"/>
    <x v="1"/>
    <x v="0"/>
    <x v="0"/>
    <x v="0"/>
    <x v="0"/>
    <x v="0"/>
    <x v="0"/>
    <x v="0"/>
    <x v="0"/>
    <x v="1"/>
    <x v="1"/>
    <x v="1"/>
    <x v="1"/>
    <x v="0"/>
  </r>
  <r>
    <x v="1"/>
    <x v="729"/>
    <x v="729"/>
    <x v="4"/>
    <x v="26"/>
    <x v="4"/>
    <x v="1"/>
    <x v="136"/>
    <x v="3"/>
    <x v="11"/>
    <x v="10"/>
    <x v="10"/>
    <x v="123"/>
    <x v="26"/>
    <x v="1"/>
    <x v="0"/>
    <x v="84"/>
    <x v="0"/>
    <x v="84"/>
    <x v="61"/>
    <x v="1"/>
    <x v="0"/>
    <x v="0"/>
    <x v="2"/>
    <x v="1"/>
    <x v="0"/>
    <x v="1"/>
    <x v="0"/>
  </r>
  <r>
    <x v="1"/>
    <x v="730"/>
    <x v="730"/>
    <x v="6"/>
    <x v="10"/>
    <x v="11"/>
    <x v="0"/>
    <x v="49"/>
    <x v="9"/>
    <x v="6"/>
    <x v="3"/>
    <x v="3"/>
    <x v="0"/>
    <x v="284"/>
    <x v="2"/>
    <x v="0"/>
    <x v="0"/>
    <x v="0"/>
    <x v="0"/>
    <x v="0"/>
    <x v="0"/>
    <x v="0"/>
    <x v="0"/>
    <x v="1"/>
    <x v="0"/>
    <x v="0"/>
    <x v="1"/>
    <x v="4"/>
  </r>
  <r>
    <x v="1"/>
    <x v="731"/>
    <x v="731"/>
    <x v="5"/>
    <x v="96"/>
    <x v="5"/>
    <x v="0"/>
    <x v="293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32"/>
    <x v="732"/>
    <x v="11"/>
    <x v="47"/>
    <x v="5"/>
    <x v="0"/>
    <x v="80"/>
    <x v="32"/>
    <x v="14"/>
    <x v="13"/>
    <x v="13"/>
    <x v="0"/>
    <x v="218"/>
    <x v="2"/>
    <x v="0"/>
    <x v="0"/>
    <x v="0"/>
    <x v="0"/>
    <x v="0"/>
    <x v="0"/>
    <x v="0"/>
    <x v="0"/>
    <x v="4"/>
    <x v="1"/>
    <x v="4"/>
    <x v="1"/>
    <x v="0"/>
  </r>
  <r>
    <x v="1"/>
    <x v="733"/>
    <x v="733"/>
    <x v="10"/>
    <x v="45"/>
    <x v="5"/>
    <x v="0"/>
    <x v="77"/>
    <x v="115"/>
    <x v="6"/>
    <x v="3"/>
    <x v="3"/>
    <x v="323"/>
    <x v="285"/>
    <x v="2"/>
    <x v="0"/>
    <x v="213"/>
    <x v="0"/>
    <x v="212"/>
    <x v="157"/>
    <x v="1"/>
    <x v="0"/>
    <x v="0"/>
    <x v="2"/>
    <x v="1"/>
    <x v="0"/>
    <x v="1"/>
    <x v="0"/>
  </r>
  <r>
    <x v="1"/>
    <x v="734"/>
    <x v="734"/>
    <x v="3"/>
    <x v="36"/>
    <x v="39"/>
    <x v="0"/>
    <x v="6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35"/>
    <x v="735"/>
    <x v="1"/>
    <x v="66"/>
    <x v="90"/>
    <x v="0"/>
    <x v="170"/>
    <x v="74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8"/>
  </r>
  <r>
    <x v="1"/>
    <x v="736"/>
    <x v="736"/>
    <x v="1"/>
    <x v="41"/>
    <x v="38"/>
    <x v="1"/>
    <x v="68"/>
    <x v="78"/>
    <x v="2"/>
    <x v="2"/>
    <x v="2"/>
    <x v="0"/>
    <x v="286"/>
    <x v="2"/>
    <x v="0"/>
    <x v="0"/>
    <x v="0"/>
    <x v="0"/>
    <x v="0"/>
    <x v="0"/>
    <x v="0"/>
    <x v="0"/>
    <x v="3"/>
    <x v="1"/>
    <x v="3"/>
    <x v="1"/>
    <x v="0"/>
  </r>
  <r>
    <x v="1"/>
    <x v="737"/>
    <x v="737"/>
    <x v="4"/>
    <x v="34"/>
    <x v="138"/>
    <x v="0"/>
    <x v="294"/>
    <x v="37"/>
    <x v="14"/>
    <x v="13"/>
    <x v="13"/>
    <x v="161"/>
    <x v="287"/>
    <x v="1"/>
    <x v="0"/>
    <x v="132"/>
    <x v="0"/>
    <x v="131"/>
    <x v="96"/>
    <x v="1"/>
    <x v="0"/>
    <x v="0"/>
    <x v="2"/>
    <x v="1"/>
    <x v="0"/>
    <x v="1"/>
    <x v="0"/>
  </r>
  <r>
    <x v="1"/>
    <x v="738"/>
    <x v="738"/>
    <x v="3"/>
    <x v="43"/>
    <x v="79"/>
    <x v="0"/>
    <x v="197"/>
    <x v="53"/>
    <x v="8"/>
    <x v="7"/>
    <x v="7"/>
    <x v="291"/>
    <x v="288"/>
    <x v="1"/>
    <x v="0"/>
    <x v="38"/>
    <x v="0"/>
    <x v="38"/>
    <x v="31"/>
    <x v="1"/>
    <x v="0"/>
    <x v="0"/>
    <x v="2"/>
    <x v="1"/>
    <x v="0"/>
    <x v="1"/>
    <x v="0"/>
  </r>
  <r>
    <x v="1"/>
    <x v="739"/>
    <x v="739"/>
    <x v="1"/>
    <x v="41"/>
    <x v="115"/>
    <x v="0"/>
    <x v="241"/>
    <x v="33"/>
    <x v="2"/>
    <x v="2"/>
    <x v="2"/>
    <x v="324"/>
    <x v="289"/>
    <x v="1"/>
    <x v="0"/>
    <x v="21"/>
    <x v="0"/>
    <x v="21"/>
    <x v="18"/>
    <x v="1"/>
    <x v="0"/>
    <x v="0"/>
    <x v="2"/>
    <x v="1"/>
    <x v="0"/>
    <x v="1"/>
    <x v="0"/>
  </r>
  <r>
    <x v="1"/>
    <x v="740"/>
    <x v="740"/>
    <x v="6"/>
    <x v="17"/>
    <x v="125"/>
    <x v="0"/>
    <x v="266"/>
    <x v="6"/>
    <x v="15"/>
    <x v="14"/>
    <x v="14"/>
    <x v="325"/>
    <x v="290"/>
    <x v="1"/>
    <x v="0"/>
    <x v="1"/>
    <x v="0"/>
    <x v="1"/>
    <x v="0"/>
    <x v="0"/>
    <x v="0"/>
    <x v="0"/>
    <x v="4"/>
    <x v="1"/>
    <x v="4"/>
    <x v="1"/>
    <x v="0"/>
  </r>
  <r>
    <x v="1"/>
    <x v="741"/>
    <x v="741"/>
    <x v="3"/>
    <x v="36"/>
    <x v="39"/>
    <x v="0"/>
    <x v="69"/>
    <x v="24"/>
    <x v="40"/>
    <x v="38"/>
    <x v="38"/>
    <x v="326"/>
    <x v="291"/>
    <x v="1"/>
    <x v="0"/>
    <x v="167"/>
    <x v="0"/>
    <x v="164"/>
    <x v="123"/>
    <x v="1"/>
    <x v="0"/>
    <x v="0"/>
    <x v="1"/>
    <x v="1"/>
    <x v="1"/>
    <x v="1"/>
    <x v="0"/>
  </r>
  <r>
    <x v="1"/>
    <x v="742"/>
    <x v="742"/>
    <x v="2"/>
    <x v="27"/>
    <x v="26"/>
    <x v="0"/>
    <x v="40"/>
    <x v="6"/>
    <x v="4"/>
    <x v="4"/>
    <x v="4"/>
    <x v="232"/>
    <x v="20"/>
    <x v="1"/>
    <x v="0"/>
    <x v="48"/>
    <x v="0"/>
    <x v="48"/>
    <x v="0"/>
    <x v="0"/>
    <x v="0"/>
    <x v="0"/>
    <x v="1"/>
    <x v="1"/>
    <x v="1"/>
    <x v="1"/>
    <x v="0"/>
  </r>
  <r>
    <x v="1"/>
    <x v="743"/>
    <x v="743"/>
    <x v="12"/>
    <x v="49"/>
    <x v="114"/>
    <x v="0"/>
    <x v="239"/>
    <x v="63"/>
    <x v="6"/>
    <x v="3"/>
    <x v="3"/>
    <x v="189"/>
    <x v="5"/>
    <x v="1"/>
    <x v="0"/>
    <x v="48"/>
    <x v="0"/>
    <x v="48"/>
    <x v="0"/>
    <x v="0"/>
    <x v="0"/>
    <x v="0"/>
    <x v="1"/>
    <x v="1"/>
    <x v="1"/>
    <x v="1"/>
    <x v="0"/>
  </r>
  <r>
    <x v="1"/>
    <x v="744"/>
    <x v="744"/>
    <x v="9"/>
    <x v="15"/>
    <x v="5"/>
    <x v="0"/>
    <x v="295"/>
    <x v="56"/>
    <x v="6"/>
    <x v="3"/>
    <x v="3"/>
    <x v="309"/>
    <x v="0"/>
    <x v="1"/>
    <x v="0"/>
    <x v="0"/>
    <x v="0"/>
    <x v="0"/>
    <x v="0"/>
    <x v="0"/>
    <x v="0"/>
    <x v="0"/>
    <x v="4"/>
    <x v="1"/>
    <x v="4"/>
    <x v="1"/>
    <x v="0"/>
  </r>
  <r>
    <x v="1"/>
    <x v="745"/>
    <x v="745"/>
    <x v="5"/>
    <x v="43"/>
    <x v="56"/>
    <x v="0"/>
    <x v="160"/>
    <x v="29"/>
    <x v="3"/>
    <x v="3"/>
    <x v="3"/>
    <x v="0"/>
    <x v="0"/>
    <x v="1"/>
    <x v="0"/>
    <x v="0"/>
    <x v="0"/>
    <x v="0"/>
    <x v="0"/>
    <x v="0"/>
    <x v="65"/>
    <x v="58"/>
    <x v="0"/>
    <x v="0"/>
    <x v="0"/>
    <x v="1"/>
    <x v="0"/>
  </r>
  <r>
    <x v="1"/>
    <x v="746"/>
    <x v="746"/>
    <x v="4"/>
    <x v="22"/>
    <x v="18"/>
    <x v="1"/>
    <x v="31"/>
    <x v="1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47"/>
    <x v="747"/>
    <x v="3"/>
    <x v="43"/>
    <x v="79"/>
    <x v="0"/>
    <x v="197"/>
    <x v="53"/>
    <x v="10"/>
    <x v="9"/>
    <x v="9"/>
    <x v="75"/>
    <x v="162"/>
    <x v="1"/>
    <x v="0"/>
    <x v="97"/>
    <x v="0"/>
    <x v="97"/>
    <x v="69"/>
    <x v="1"/>
    <x v="66"/>
    <x v="59"/>
    <x v="2"/>
    <x v="1"/>
    <x v="0"/>
    <x v="1"/>
    <x v="0"/>
  </r>
  <r>
    <x v="1"/>
    <x v="748"/>
    <x v="748"/>
    <x v="6"/>
    <x v="57"/>
    <x v="57"/>
    <x v="0"/>
    <x v="100"/>
    <x v="17"/>
    <x v="13"/>
    <x v="12"/>
    <x v="12"/>
    <x v="327"/>
    <x v="0"/>
    <x v="1"/>
    <x v="0"/>
    <x v="0"/>
    <x v="0"/>
    <x v="0"/>
    <x v="0"/>
    <x v="0"/>
    <x v="0"/>
    <x v="0"/>
    <x v="4"/>
    <x v="1"/>
    <x v="4"/>
    <x v="1"/>
    <x v="0"/>
  </r>
  <r>
    <x v="1"/>
    <x v="749"/>
    <x v="749"/>
    <x v="12"/>
    <x v="49"/>
    <x v="71"/>
    <x v="0"/>
    <x v="126"/>
    <x v="104"/>
    <x v="6"/>
    <x v="3"/>
    <x v="3"/>
    <x v="328"/>
    <x v="127"/>
    <x v="2"/>
    <x v="0"/>
    <x v="214"/>
    <x v="0"/>
    <x v="213"/>
    <x v="0"/>
    <x v="0"/>
    <x v="0"/>
    <x v="0"/>
    <x v="1"/>
    <x v="1"/>
    <x v="1"/>
    <x v="1"/>
    <x v="0"/>
  </r>
  <r>
    <x v="1"/>
    <x v="750"/>
    <x v="750"/>
    <x v="4"/>
    <x v="26"/>
    <x v="5"/>
    <x v="1"/>
    <x v="282"/>
    <x v="3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51"/>
    <x v="751"/>
    <x v="5"/>
    <x v="9"/>
    <x v="5"/>
    <x v="0"/>
    <x v="150"/>
    <x v="58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52"/>
    <x v="752"/>
    <x v="5"/>
    <x v="53"/>
    <x v="53"/>
    <x v="0"/>
    <x v="94"/>
    <x v="6"/>
    <x v="15"/>
    <x v="14"/>
    <x v="14"/>
    <x v="45"/>
    <x v="292"/>
    <x v="1"/>
    <x v="0"/>
    <x v="23"/>
    <x v="0"/>
    <x v="23"/>
    <x v="20"/>
    <x v="1"/>
    <x v="0"/>
    <x v="0"/>
    <x v="2"/>
    <x v="1"/>
    <x v="0"/>
    <x v="1"/>
    <x v="0"/>
  </r>
  <r>
    <x v="1"/>
    <x v="753"/>
    <x v="753"/>
    <x v="4"/>
    <x v="22"/>
    <x v="15"/>
    <x v="1"/>
    <x v="128"/>
    <x v="2"/>
    <x v="3"/>
    <x v="3"/>
    <x v="3"/>
    <x v="0"/>
    <x v="0"/>
    <x v="1"/>
    <x v="0"/>
    <x v="0"/>
    <x v="0"/>
    <x v="0"/>
    <x v="0"/>
    <x v="0"/>
    <x v="67"/>
    <x v="60"/>
    <x v="0"/>
    <x v="0"/>
    <x v="0"/>
    <x v="1"/>
    <x v="0"/>
  </r>
  <r>
    <x v="1"/>
    <x v="754"/>
    <x v="754"/>
    <x v="5"/>
    <x v="40"/>
    <x v="124"/>
    <x v="0"/>
    <x v="265"/>
    <x v="6"/>
    <x v="17"/>
    <x v="16"/>
    <x v="16"/>
    <x v="0"/>
    <x v="0"/>
    <x v="2"/>
    <x v="0"/>
    <x v="0"/>
    <x v="0"/>
    <x v="0"/>
    <x v="0"/>
    <x v="0"/>
    <x v="0"/>
    <x v="0"/>
    <x v="0"/>
    <x v="0"/>
    <x v="0"/>
    <x v="1"/>
    <x v="46"/>
  </r>
  <r>
    <x v="1"/>
    <x v="755"/>
    <x v="755"/>
    <x v="6"/>
    <x v="13"/>
    <x v="4"/>
    <x v="1"/>
    <x v="198"/>
    <x v="3"/>
    <x v="11"/>
    <x v="10"/>
    <x v="10"/>
    <x v="329"/>
    <x v="293"/>
    <x v="1"/>
    <x v="0"/>
    <x v="8"/>
    <x v="0"/>
    <x v="8"/>
    <x v="5"/>
    <x v="1"/>
    <x v="0"/>
    <x v="0"/>
    <x v="2"/>
    <x v="1"/>
    <x v="0"/>
    <x v="1"/>
    <x v="0"/>
  </r>
  <r>
    <x v="1"/>
    <x v="756"/>
    <x v="756"/>
    <x v="10"/>
    <x v="59"/>
    <x v="5"/>
    <x v="0"/>
    <x v="123"/>
    <x v="116"/>
    <x v="6"/>
    <x v="3"/>
    <x v="3"/>
    <x v="330"/>
    <x v="0"/>
    <x v="1"/>
    <x v="0"/>
    <x v="0"/>
    <x v="0"/>
    <x v="0"/>
    <x v="0"/>
    <x v="0"/>
    <x v="0"/>
    <x v="0"/>
    <x v="3"/>
    <x v="1"/>
    <x v="3"/>
    <x v="1"/>
    <x v="0"/>
  </r>
  <r>
    <x v="1"/>
    <x v="757"/>
    <x v="757"/>
    <x v="5"/>
    <x v="50"/>
    <x v="21"/>
    <x v="1"/>
    <x v="296"/>
    <x v="18"/>
    <x v="11"/>
    <x v="10"/>
    <x v="10"/>
    <x v="134"/>
    <x v="174"/>
    <x v="2"/>
    <x v="0"/>
    <x v="215"/>
    <x v="0"/>
    <x v="214"/>
    <x v="0"/>
    <x v="0"/>
    <x v="0"/>
    <x v="0"/>
    <x v="4"/>
    <x v="1"/>
    <x v="4"/>
    <x v="1"/>
    <x v="0"/>
  </r>
  <r>
    <x v="1"/>
    <x v="758"/>
    <x v="758"/>
    <x v="4"/>
    <x v="26"/>
    <x v="15"/>
    <x v="1"/>
    <x v="141"/>
    <x v="2"/>
    <x v="13"/>
    <x v="12"/>
    <x v="12"/>
    <x v="331"/>
    <x v="13"/>
    <x v="1"/>
    <x v="0"/>
    <x v="216"/>
    <x v="0"/>
    <x v="215"/>
    <x v="158"/>
    <x v="1"/>
    <x v="0"/>
    <x v="0"/>
    <x v="2"/>
    <x v="1"/>
    <x v="0"/>
    <x v="1"/>
    <x v="0"/>
  </r>
  <r>
    <x v="1"/>
    <x v="759"/>
    <x v="759"/>
    <x v="6"/>
    <x v="13"/>
    <x v="40"/>
    <x v="1"/>
    <x v="70"/>
    <x v="1"/>
    <x v="35"/>
    <x v="10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60"/>
    <x v="760"/>
    <x v="2"/>
    <x v="46"/>
    <x v="5"/>
    <x v="0"/>
    <x v="79"/>
    <x v="6"/>
    <x v="1"/>
    <x v="1"/>
    <x v="1"/>
    <x v="294"/>
    <x v="65"/>
    <x v="1"/>
    <x v="0"/>
    <x v="217"/>
    <x v="0"/>
    <x v="216"/>
    <x v="0"/>
    <x v="0"/>
    <x v="0"/>
    <x v="0"/>
    <x v="2"/>
    <x v="1"/>
    <x v="0"/>
    <x v="1"/>
    <x v="0"/>
  </r>
  <r>
    <x v="1"/>
    <x v="761"/>
    <x v="761"/>
    <x v="4"/>
    <x v="34"/>
    <x v="104"/>
    <x v="0"/>
    <x v="218"/>
    <x v="24"/>
    <x v="5"/>
    <x v="5"/>
    <x v="5"/>
    <x v="176"/>
    <x v="0"/>
    <x v="1"/>
    <x v="0"/>
    <x v="0"/>
    <x v="0"/>
    <x v="0"/>
    <x v="0"/>
    <x v="0"/>
    <x v="0"/>
    <x v="0"/>
    <x v="4"/>
    <x v="1"/>
    <x v="4"/>
    <x v="1"/>
    <x v="0"/>
  </r>
  <r>
    <x v="1"/>
    <x v="762"/>
    <x v="762"/>
    <x v="12"/>
    <x v="49"/>
    <x v="71"/>
    <x v="0"/>
    <x v="126"/>
    <x v="48"/>
    <x v="6"/>
    <x v="3"/>
    <x v="3"/>
    <x v="0"/>
    <x v="0"/>
    <x v="2"/>
    <x v="7"/>
    <x v="0"/>
    <x v="7"/>
    <x v="4"/>
    <x v="0"/>
    <x v="0"/>
    <x v="0"/>
    <x v="0"/>
    <x v="0"/>
    <x v="0"/>
    <x v="0"/>
    <x v="1"/>
    <x v="47"/>
  </r>
  <r>
    <x v="1"/>
    <x v="763"/>
    <x v="763"/>
    <x v="11"/>
    <x v="47"/>
    <x v="5"/>
    <x v="0"/>
    <x v="80"/>
    <x v="32"/>
    <x v="28"/>
    <x v="27"/>
    <x v="27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64"/>
    <x v="764"/>
    <x v="5"/>
    <x v="9"/>
    <x v="5"/>
    <x v="0"/>
    <x v="150"/>
    <x v="58"/>
    <x v="6"/>
    <x v="3"/>
    <x v="3"/>
    <x v="222"/>
    <x v="91"/>
    <x v="1"/>
    <x v="0"/>
    <x v="68"/>
    <x v="0"/>
    <x v="68"/>
    <x v="53"/>
    <x v="1"/>
    <x v="0"/>
    <x v="0"/>
    <x v="1"/>
    <x v="0"/>
    <x v="0"/>
    <x v="1"/>
    <x v="5"/>
  </r>
  <r>
    <x v="1"/>
    <x v="765"/>
    <x v="765"/>
    <x v="5"/>
    <x v="8"/>
    <x v="63"/>
    <x v="0"/>
    <x v="112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66"/>
    <x v="766"/>
    <x v="6"/>
    <x v="51"/>
    <x v="117"/>
    <x v="0"/>
    <x v="248"/>
    <x v="1"/>
    <x v="12"/>
    <x v="11"/>
    <x v="11"/>
    <x v="0"/>
    <x v="0"/>
    <x v="2"/>
    <x v="0"/>
    <x v="0"/>
    <x v="0"/>
    <x v="0"/>
    <x v="0"/>
    <x v="0"/>
    <x v="68"/>
    <x v="0"/>
    <x v="0"/>
    <x v="1"/>
    <x v="2"/>
    <x v="1"/>
    <x v="0"/>
  </r>
  <r>
    <x v="1"/>
    <x v="767"/>
    <x v="767"/>
    <x v="6"/>
    <x v="17"/>
    <x v="16"/>
    <x v="0"/>
    <x v="23"/>
    <x v="6"/>
    <x v="4"/>
    <x v="4"/>
    <x v="4"/>
    <x v="307"/>
    <x v="59"/>
    <x v="1"/>
    <x v="0"/>
    <x v="18"/>
    <x v="0"/>
    <x v="18"/>
    <x v="15"/>
    <x v="1"/>
    <x v="0"/>
    <x v="0"/>
    <x v="2"/>
    <x v="1"/>
    <x v="0"/>
    <x v="1"/>
    <x v="0"/>
  </r>
  <r>
    <x v="1"/>
    <x v="768"/>
    <x v="768"/>
    <x v="4"/>
    <x v="12"/>
    <x v="139"/>
    <x v="0"/>
    <x v="297"/>
    <x v="6"/>
    <x v="23"/>
    <x v="22"/>
    <x v="22"/>
    <x v="332"/>
    <x v="294"/>
    <x v="1"/>
    <x v="0"/>
    <x v="57"/>
    <x v="0"/>
    <x v="57"/>
    <x v="43"/>
    <x v="1"/>
    <x v="0"/>
    <x v="0"/>
    <x v="5"/>
    <x v="1"/>
    <x v="0"/>
    <x v="1"/>
    <x v="0"/>
  </r>
  <r>
    <x v="1"/>
    <x v="769"/>
    <x v="769"/>
    <x v="3"/>
    <x v="10"/>
    <x v="11"/>
    <x v="0"/>
    <x v="121"/>
    <x v="9"/>
    <x v="15"/>
    <x v="14"/>
    <x v="14"/>
    <x v="333"/>
    <x v="30"/>
    <x v="1"/>
    <x v="0"/>
    <x v="218"/>
    <x v="0"/>
    <x v="217"/>
    <x v="159"/>
    <x v="1"/>
    <x v="0"/>
    <x v="0"/>
    <x v="1"/>
    <x v="1"/>
    <x v="1"/>
    <x v="1"/>
    <x v="0"/>
  </r>
  <r>
    <x v="1"/>
    <x v="770"/>
    <x v="770"/>
    <x v="2"/>
    <x v="15"/>
    <x v="5"/>
    <x v="0"/>
    <x v="298"/>
    <x v="81"/>
    <x v="10"/>
    <x v="9"/>
    <x v="9"/>
    <x v="75"/>
    <x v="295"/>
    <x v="1"/>
    <x v="0"/>
    <x v="4"/>
    <x v="0"/>
    <x v="4"/>
    <x v="0"/>
    <x v="0"/>
    <x v="0"/>
    <x v="0"/>
    <x v="1"/>
    <x v="1"/>
    <x v="1"/>
    <x v="1"/>
    <x v="0"/>
  </r>
  <r>
    <x v="1"/>
    <x v="771"/>
    <x v="771"/>
    <x v="0"/>
    <x v="1"/>
    <x v="14"/>
    <x v="0"/>
    <x v="18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72"/>
    <x v="772"/>
    <x v="1"/>
    <x v="90"/>
    <x v="5"/>
    <x v="0"/>
    <x v="299"/>
    <x v="117"/>
    <x v="6"/>
    <x v="3"/>
    <x v="3"/>
    <x v="295"/>
    <x v="296"/>
    <x v="1"/>
    <x v="0"/>
    <x v="84"/>
    <x v="0"/>
    <x v="84"/>
    <x v="61"/>
    <x v="1"/>
    <x v="0"/>
    <x v="0"/>
    <x v="1"/>
    <x v="1"/>
    <x v="1"/>
    <x v="1"/>
    <x v="0"/>
  </r>
  <r>
    <x v="1"/>
    <x v="773"/>
    <x v="773"/>
    <x v="9"/>
    <x v="97"/>
    <x v="5"/>
    <x v="0"/>
    <x v="300"/>
    <x v="118"/>
    <x v="6"/>
    <x v="3"/>
    <x v="3"/>
    <x v="334"/>
    <x v="297"/>
    <x v="2"/>
    <x v="0"/>
    <x v="219"/>
    <x v="0"/>
    <x v="218"/>
    <x v="160"/>
    <x v="1"/>
    <x v="0"/>
    <x v="0"/>
    <x v="1"/>
    <x v="1"/>
    <x v="1"/>
    <x v="1"/>
    <x v="0"/>
  </r>
  <r>
    <x v="1"/>
    <x v="774"/>
    <x v="774"/>
    <x v="1"/>
    <x v="24"/>
    <x v="22"/>
    <x v="0"/>
    <x v="34"/>
    <x v="2"/>
    <x v="6"/>
    <x v="3"/>
    <x v="3"/>
    <x v="105"/>
    <x v="0"/>
    <x v="1"/>
    <x v="0"/>
    <x v="0"/>
    <x v="0"/>
    <x v="0"/>
    <x v="0"/>
    <x v="0"/>
    <x v="0"/>
    <x v="0"/>
    <x v="1"/>
    <x v="1"/>
    <x v="1"/>
    <x v="1"/>
    <x v="0"/>
  </r>
  <r>
    <x v="1"/>
    <x v="775"/>
    <x v="775"/>
    <x v="4"/>
    <x v="7"/>
    <x v="140"/>
    <x v="0"/>
    <x v="301"/>
    <x v="119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76"/>
    <x v="776"/>
    <x v="20"/>
    <x v="78"/>
    <x v="5"/>
    <x v="0"/>
    <x v="226"/>
    <x v="96"/>
    <x v="6"/>
    <x v="3"/>
    <x v="3"/>
    <x v="142"/>
    <x v="298"/>
    <x v="1"/>
    <x v="0"/>
    <x v="220"/>
    <x v="0"/>
    <x v="219"/>
    <x v="161"/>
    <x v="1"/>
    <x v="0"/>
    <x v="0"/>
    <x v="2"/>
    <x v="1"/>
    <x v="0"/>
    <x v="1"/>
    <x v="0"/>
  </r>
  <r>
    <x v="1"/>
    <x v="777"/>
    <x v="777"/>
    <x v="4"/>
    <x v="34"/>
    <x v="133"/>
    <x v="0"/>
    <x v="287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78"/>
    <x v="778"/>
    <x v="2"/>
    <x v="27"/>
    <x v="67"/>
    <x v="0"/>
    <x v="117"/>
    <x v="6"/>
    <x v="4"/>
    <x v="4"/>
    <x v="4"/>
    <x v="100"/>
    <x v="40"/>
    <x v="1"/>
    <x v="0"/>
    <x v="71"/>
    <x v="0"/>
    <x v="71"/>
    <x v="0"/>
    <x v="0"/>
    <x v="0"/>
    <x v="0"/>
    <x v="2"/>
    <x v="1"/>
    <x v="0"/>
    <x v="1"/>
    <x v="0"/>
  </r>
  <r>
    <x v="1"/>
    <x v="779"/>
    <x v="779"/>
    <x v="2"/>
    <x v="3"/>
    <x v="4"/>
    <x v="1"/>
    <x v="4"/>
    <x v="75"/>
    <x v="11"/>
    <x v="10"/>
    <x v="10"/>
    <x v="335"/>
    <x v="73"/>
    <x v="1"/>
    <x v="0"/>
    <x v="126"/>
    <x v="0"/>
    <x v="125"/>
    <x v="90"/>
    <x v="1"/>
    <x v="0"/>
    <x v="0"/>
    <x v="1"/>
    <x v="1"/>
    <x v="1"/>
    <x v="1"/>
    <x v="0"/>
  </r>
  <r>
    <x v="1"/>
    <x v="780"/>
    <x v="780"/>
    <x v="4"/>
    <x v="43"/>
    <x v="5"/>
    <x v="0"/>
    <x v="75"/>
    <x v="53"/>
    <x v="15"/>
    <x v="14"/>
    <x v="14"/>
    <x v="336"/>
    <x v="222"/>
    <x v="1"/>
    <x v="0"/>
    <x v="221"/>
    <x v="0"/>
    <x v="220"/>
    <x v="0"/>
    <x v="0"/>
    <x v="0"/>
    <x v="0"/>
    <x v="2"/>
    <x v="1"/>
    <x v="0"/>
    <x v="1"/>
    <x v="0"/>
  </r>
  <r>
    <x v="1"/>
    <x v="781"/>
    <x v="781"/>
    <x v="6"/>
    <x v="13"/>
    <x v="4"/>
    <x v="1"/>
    <x v="198"/>
    <x v="75"/>
    <x v="11"/>
    <x v="10"/>
    <x v="10"/>
    <x v="80"/>
    <x v="299"/>
    <x v="1"/>
    <x v="0"/>
    <x v="4"/>
    <x v="0"/>
    <x v="4"/>
    <x v="0"/>
    <x v="0"/>
    <x v="0"/>
    <x v="0"/>
    <x v="2"/>
    <x v="1"/>
    <x v="0"/>
    <x v="1"/>
    <x v="0"/>
  </r>
  <r>
    <x v="1"/>
    <x v="782"/>
    <x v="782"/>
    <x v="1"/>
    <x v="39"/>
    <x v="5"/>
    <x v="0"/>
    <x v="302"/>
    <x v="120"/>
    <x v="6"/>
    <x v="3"/>
    <x v="3"/>
    <x v="201"/>
    <x v="154"/>
    <x v="1"/>
    <x v="0"/>
    <x v="113"/>
    <x v="0"/>
    <x v="112"/>
    <x v="81"/>
    <x v="1"/>
    <x v="0"/>
    <x v="0"/>
    <x v="1"/>
    <x v="1"/>
    <x v="1"/>
    <x v="1"/>
    <x v="0"/>
  </r>
  <r>
    <x v="1"/>
    <x v="783"/>
    <x v="783"/>
    <x v="0"/>
    <x v="29"/>
    <x v="15"/>
    <x v="1"/>
    <x v="63"/>
    <x v="12"/>
    <x v="10"/>
    <x v="9"/>
    <x v="9"/>
    <x v="214"/>
    <x v="25"/>
    <x v="1"/>
    <x v="0"/>
    <x v="222"/>
    <x v="0"/>
    <x v="221"/>
    <x v="162"/>
    <x v="1"/>
    <x v="0"/>
    <x v="0"/>
    <x v="1"/>
    <x v="1"/>
    <x v="1"/>
    <x v="1"/>
    <x v="0"/>
  </r>
  <r>
    <x v="1"/>
    <x v="784"/>
    <x v="784"/>
    <x v="1"/>
    <x v="41"/>
    <x v="95"/>
    <x v="0"/>
    <x v="180"/>
    <x v="6"/>
    <x v="5"/>
    <x v="5"/>
    <x v="5"/>
    <x v="227"/>
    <x v="300"/>
    <x v="1"/>
    <x v="0"/>
    <x v="210"/>
    <x v="0"/>
    <x v="209"/>
    <x v="155"/>
    <x v="1"/>
    <x v="0"/>
    <x v="0"/>
    <x v="2"/>
    <x v="1"/>
    <x v="0"/>
    <x v="1"/>
    <x v="0"/>
  </r>
  <r>
    <x v="1"/>
    <x v="785"/>
    <x v="785"/>
    <x v="1"/>
    <x v="41"/>
    <x v="85"/>
    <x v="0"/>
    <x v="161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86"/>
    <x v="786"/>
    <x v="6"/>
    <x v="57"/>
    <x v="5"/>
    <x v="0"/>
    <x v="303"/>
    <x v="36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87"/>
    <x v="787"/>
    <x v="6"/>
    <x v="17"/>
    <x v="120"/>
    <x v="0"/>
    <x v="257"/>
    <x v="1"/>
    <x v="4"/>
    <x v="4"/>
    <x v="4"/>
    <x v="337"/>
    <x v="0"/>
    <x v="1"/>
    <x v="0"/>
    <x v="0"/>
    <x v="0"/>
    <x v="0"/>
    <x v="0"/>
    <x v="0"/>
    <x v="0"/>
    <x v="0"/>
    <x v="1"/>
    <x v="1"/>
    <x v="1"/>
    <x v="1"/>
    <x v="0"/>
  </r>
  <r>
    <x v="1"/>
    <x v="788"/>
    <x v="788"/>
    <x v="5"/>
    <x v="53"/>
    <x v="93"/>
    <x v="0"/>
    <x v="176"/>
    <x v="6"/>
    <x v="34"/>
    <x v="33"/>
    <x v="33"/>
    <x v="338"/>
    <x v="292"/>
    <x v="1"/>
    <x v="0"/>
    <x v="7"/>
    <x v="0"/>
    <x v="7"/>
    <x v="4"/>
    <x v="1"/>
    <x v="0"/>
    <x v="0"/>
    <x v="4"/>
    <x v="1"/>
    <x v="4"/>
    <x v="1"/>
    <x v="0"/>
  </r>
  <r>
    <x v="1"/>
    <x v="789"/>
    <x v="789"/>
    <x v="5"/>
    <x v="8"/>
    <x v="80"/>
    <x v="0"/>
    <x v="146"/>
    <x v="6"/>
    <x v="4"/>
    <x v="4"/>
    <x v="4"/>
    <x v="339"/>
    <x v="301"/>
    <x v="1"/>
    <x v="0"/>
    <x v="99"/>
    <x v="0"/>
    <x v="99"/>
    <x v="0"/>
    <x v="0"/>
    <x v="0"/>
    <x v="0"/>
    <x v="1"/>
    <x v="1"/>
    <x v="1"/>
    <x v="1"/>
    <x v="0"/>
  </r>
  <r>
    <x v="1"/>
    <x v="790"/>
    <x v="790"/>
    <x v="6"/>
    <x v="28"/>
    <x v="4"/>
    <x v="1"/>
    <x v="205"/>
    <x v="3"/>
    <x v="2"/>
    <x v="2"/>
    <x v="2"/>
    <x v="340"/>
    <x v="132"/>
    <x v="1"/>
    <x v="0"/>
    <x v="223"/>
    <x v="0"/>
    <x v="222"/>
    <x v="163"/>
    <x v="1"/>
    <x v="0"/>
    <x v="0"/>
    <x v="2"/>
    <x v="1"/>
    <x v="0"/>
    <x v="1"/>
    <x v="0"/>
  </r>
  <r>
    <x v="1"/>
    <x v="791"/>
    <x v="791"/>
    <x v="2"/>
    <x v="3"/>
    <x v="15"/>
    <x v="1"/>
    <x v="21"/>
    <x v="12"/>
    <x v="2"/>
    <x v="2"/>
    <x v="2"/>
    <x v="341"/>
    <x v="297"/>
    <x v="1"/>
    <x v="0"/>
    <x v="105"/>
    <x v="0"/>
    <x v="104"/>
    <x v="0"/>
    <x v="0"/>
    <x v="0"/>
    <x v="0"/>
    <x v="2"/>
    <x v="1"/>
    <x v="0"/>
    <x v="1"/>
    <x v="0"/>
  </r>
  <r>
    <x v="1"/>
    <x v="792"/>
    <x v="792"/>
    <x v="1"/>
    <x v="39"/>
    <x v="48"/>
    <x v="0"/>
    <x v="86"/>
    <x v="6"/>
    <x v="17"/>
    <x v="16"/>
    <x v="16"/>
    <x v="342"/>
    <x v="97"/>
    <x v="1"/>
    <x v="0"/>
    <x v="132"/>
    <x v="0"/>
    <x v="131"/>
    <x v="96"/>
    <x v="1"/>
    <x v="0"/>
    <x v="0"/>
    <x v="4"/>
    <x v="1"/>
    <x v="4"/>
    <x v="1"/>
    <x v="0"/>
  </r>
  <r>
    <x v="1"/>
    <x v="793"/>
    <x v="793"/>
    <x v="8"/>
    <x v="15"/>
    <x v="5"/>
    <x v="0"/>
    <x v="20"/>
    <x v="121"/>
    <x v="6"/>
    <x v="3"/>
    <x v="3"/>
    <x v="101"/>
    <x v="302"/>
    <x v="1"/>
    <x v="0"/>
    <x v="75"/>
    <x v="0"/>
    <x v="75"/>
    <x v="57"/>
    <x v="1"/>
    <x v="0"/>
    <x v="0"/>
    <x v="1"/>
    <x v="1"/>
    <x v="1"/>
    <x v="1"/>
    <x v="0"/>
  </r>
  <r>
    <x v="1"/>
    <x v="794"/>
    <x v="794"/>
    <x v="6"/>
    <x v="21"/>
    <x v="25"/>
    <x v="0"/>
    <x v="39"/>
    <x v="2"/>
    <x v="13"/>
    <x v="12"/>
    <x v="12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95"/>
    <x v="795"/>
    <x v="6"/>
    <x v="21"/>
    <x v="25"/>
    <x v="0"/>
    <x v="39"/>
    <x v="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796"/>
    <x v="796"/>
    <x v="11"/>
    <x v="77"/>
    <x v="5"/>
    <x v="0"/>
    <x v="224"/>
    <x v="85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15"/>
  </r>
  <r>
    <x v="1"/>
    <x v="797"/>
    <x v="797"/>
    <x v="5"/>
    <x v="32"/>
    <x v="15"/>
    <x v="1"/>
    <x v="90"/>
    <x v="2"/>
    <x v="31"/>
    <x v="30"/>
    <x v="30"/>
    <x v="333"/>
    <x v="303"/>
    <x v="2"/>
    <x v="0"/>
    <x v="38"/>
    <x v="0"/>
    <x v="38"/>
    <x v="31"/>
    <x v="1"/>
    <x v="0"/>
    <x v="0"/>
    <x v="1"/>
    <x v="1"/>
    <x v="1"/>
    <x v="1"/>
    <x v="0"/>
  </r>
  <r>
    <x v="1"/>
    <x v="798"/>
    <x v="798"/>
    <x v="6"/>
    <x v="21"/>
    <x v="5"/>
    <x v="0"/>
    <x v="304"/>
    <x v="36"/>
    <x v="11"/>
    <x v="10"/>
    <x v="10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799"/>
    <x v="799"/>
    <x v="0"/>
    <x v="0"/>
    <x v="86"/>
    <x v="0"/>
    <x v="162"/>
    <x v="6"/>
    <x v="4"/>
    <x v="4"/>
    <x v="4"/>
    <x v="19"/>
    <x v="0"/>
    <x v="1"/>
    <x v="0"/>
    <x v="0"/>
    <x v="0"/>
    <x v="0"/>
    <x v="0"/>
    <x v="0"/>
    <x v="0"/>
    <x v="0"/>
    <x v="4"/>
    <x v="1"/>
    <x v="4"/>
    <x v="1"/>
    <x v="0"/>
  </r>
  <r>
    <x v="1"/>
    <x v="800"/>
    <x v="800"/>
    <x v="6"/>
    <x v="13"/>
    <x v="70"/>
    <x v="1"/>
    <x v="139"/>
    <x v="46"/>
    <x v="18"/>
    <x v="17"/>
    <x v="17"/>
    <x v="0"/>
    <x v="0"/>
    <x v="2"/>
    <x v="0"/>
    <x v="0"/>
    <x v="0"/>
    <x v="0"/>
    <x v="0"/>
    <x v="0"/>
    <x v="0"/>
    <x v="0"/>
    <x v="0"/>
    <x v="0"/>
    <x v="0"/>
    <x v="1"/>
    <x v="48"/>
  </r>
  <r>
    <x v="1"/>
    <x v="801"/>
    <x v="801"/>
    <x v="5"/>
    <x v="8"/>
    <x v="80"/>
    <x v="0"/>
    <x v="146"/>
    <x v="6"/>
    <x v="13"/>
    <x v="12"/>
    <x v="12"/>
    <x v="343"/>
    <x v="304"/>
    <x v="1"/>
    <x v="0"/>
    <x v="224"/>
    <x v="0"/>
    <x v="223"/>
    <x v="164"/>
    <x v="1"/>
    <x v="0"/>
    <x v="0"/>
    <x v="2"/>
    <x v="1"/>
    <x v="0"/>
    <x v="1"/>
    <x v="0"/>
  </r>
  <r>
    <x v="1"/>
    <x v="802"/>
    <x v="802"/>
    <x v="1"/>
    <x v="41"/>
    <x v="5"/>
    <x v="0"/>
    <x v="305"/>
    <x v="122"/>
    <x v="11"/>
    <x v="10"/>
    <x v="10"/>
    <x v="0"/>
    <x v="305"/>
    <x v="2"/>
    <x v="0"/>
    <x v="0"/>
    <x v="0"/>
    <x v="0"/>
    <x v="0"/>
    <x v="0"/>
    <x v="0"/>
    <x v="0"/>
    <x v="3"/>
    <x v="1"/>
    <x v="3"/>
    <x v="1"/>
    <x v="0"/>
  </r>
  <r>
    <x v="1"/>
    <x v="803"/>
    <x v="803"/>
    <x v="4"/>
    <x v="7"/>
    <x v="17"/>
    <x v="0"/>
    <x v="24"/>
    <x v="6"/>
    <x v="4"/>
    <x v="4"/>
    <x v="4"/>
    <x v="344"/>
    <x v="306"/>
    <x v="1"/>
    <x v="0"/>
    <x v="13"/>
    <x v="0"/>
    <x v="13"/>
    <x v="10"/>
    <x v="1"/>
    <x v="0"/>
    <x v="0"/>
    <x v="2"/>
    <x v="1"/>
    <x v="0"/>
    <x v="1"/>
    <x v="0"/>
  </r>
  <r>
    <x v="1"/>
    <x v="804"/>
    <x v="804"/>
    <x v="6"/>
    <x v="17"/>
    <x v="92"/>
    <x v="0"/>
    <x v="173"/>
    <x v="1"/>
    <x v="4"/>
    <x v="4"/>
    <x v="4"/>
    <x v="117"/>
    <x v="59"/>
    <x v="1"/>
    <x v="0"/>
    <x v="23"/>
    <x v="0"/>
    <x v="23"/>
    <x v="20"/>
    <x v="1"/>
    <x v="69"/>
    <x v="61"/>
    <x v="2"/>
    <x v="1"/>
    <x v="0"/>
    <x v="1"/>
    <x v="0"/>
  </r>
  <r>
    <x v="1"/>
    <x v="805"/>
    <x v="805"/>
    <x v="4"/>
    <x v="12"/>
    <x v="64"/>
    <x v="0"/>
    <x v="113"/>
    <x v="6"/>
    <x v="5"/>
    <x v="5"/>
    <x v="5"/>
    <x v="0"/>
    <x v="0"/>
    <x v="2"/>
    <x v="0"/>
    <x v="0"/>
    <x v="0"/>
    <x v="0"/>
    <x v="0"/>
    <x v="0"/>
    <x v="70"/>
    <x v="0"/>
    <x v="0"/>
    <x v="1"/>
    <x v="2"/>
    <x v="1"/>
    <x v="0"/>
  </r>
  <r>
    <x v="1"/>
    <x v="806"/>
    <x v="806"/>
    <x v="4"/>
    <x v="26"/>
    <x v="15"/>
    <x v="1"/>
    <x v="141"/>
    <x v="2"/>
    <x v="17"/>
    <x v="16"/>
    <x v="16"/>
    <x v="345"/>
    <x v="215"/>
    <x v="1"/>
    <x v="0"/>
    <x v="126"/>
    <x v="0"/>
    <x v="125"/>
    <x v="90"/>
    <x v="1"/>
    <x v="0"/>
    <x v="0"/>
    <x v="1"/>
    <x v="1"/>
    <x v="1"/>
    <x v="1"/>
    <x v="0"/>
  </r>
  <r>
    <x v="1"/>
    <x v="807"/>
    <x v="807"/>
    <x v="5"/>
    <x v="48"/>
    <x v="91"/>
    <x v="0"/>
    <x v="172"/>
    <x v="6"/>
    <x v="4"/>
    <x v="4"/>
    <x v="4"/>
    <x v="30"/>
    <x v="140"/>
    <x v="1"/>
    <x v="0"/>
    <x v="225"/>
    <x v="0"/>
    <x v="224"/>
    <x v="165"/>
    <x v="1"/>
    <x v="0"/>
    <x v="0"/>
    <x v="1"/>
    <x v="1"/>
    <x v="1"/>
    <x v="1"/>
    <x v="0"/>
  </r>
  <r>
    <x v="1"/>
    <x v="808"/>
    <x v="808"/>
    <x v="5"/>
    <x v="48"/>
    <x v="141"/>
    <x v="0"/>
    <x v="306"/>
    <x v="37"/>
    <x v="4"/>
    <x v="4"/>
    <x v="4"/>
    <x v="60"/>
    <x v="59"/>
    <x v="1"/>
    <x v="0"/>
    <x v="97"/>
    <x v="0"/>
    <x v="97"/>
    <x v="69"/>
    <x v="1"/>
    <x v="0"/>
    <x v="0"/>
    <x v="4"/>
    <x v="1"/>
    <x v="4"/>
    <x v="1"/>
    <x v="0"/>
  </r>
  <r>
    <x v="1"/>
    <x v="809"/>
    <x v="809"/>
    <x v="4"/>
    <x v="10"/>
    <x v="11"/>
    <x v="0"/>
    <x v="164"/>
    <x v="9"/>
    <x v="11"/>
    <x v="10"/>
    <x v="10"/>
    <x v="346"/>
    <x v="5"/>
    <x v="1"/>
    <x v="0"/>
    <x v="134"/>
    <x v="0"/>
    <x v="127"/>
    <x v="92"/>
    <x v="1"/>
    <x v="0"/>
    <x v="0"/>
    <x v="2"/>
    <x v="1"/>
    <x v="0"/>
    <x v="1"/>
    <x v="0"/>
  </r>
  <r>
    <x v="1"/>
    <x v="810"/>
    <x v="810"/>
    <x v="6"/>
    <x v="10"/>
    <x v="11"/>
    <x v="0"/>
    <x v="49"/>
    <x v="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5"/>
  </r>
  <r>
    <x v="1"/>
    <x v="811"/>
    <x v="811"/>
    <x v="18"/>
    <x v="15"/>
    <x v="5"/>
    <x v="0"/>
    <x v="166"/>
    <x v="64"/>
    <x v="6"/>
    <x v="3"/>
    <x v="3"/>
    <x v="347"/>
    <x v="162"/>
    <x v="1"/>
    <x v="0"/>
    <x v="87"/>
    <x v="0"/>
    <x v="87"/>
    <x v="0"/>
    <x v="0"/>
    <x v="0"/>
    <x v="0"/>
    <x v="1"/>
    <x v="1"/>
    <x v="1"/>
    <x v="1"/>
    <x v="0"/>
  </r>
  <r>
    <x v="1"/>
    <x v="812"/>
    <x v="812"/>
    <x v="1"/>
    <x v="2"/>
    <x v="2"/>
    <x v="0"/>
    <x v="2"/>
    <x v="33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813"/>
    <x v="813"/>
    <x v="2"/>
    <x v="3"/>
    <x v="21"/>
    <x v="1"/>
    <x v="33"/>
    <x v="18"/>
    <x v="11"/>
    <x v="10"/>
    <x v="10"/>
    <x v="346"/>
    <x v="17"/>
    <x v="1"/>
    <x v="0"/>
    <x v="117"/>
    <x v="0"/>
    <x v="116"/>
    <x v="84"/>
    <x v="1"/>
    <x v="0"/>
    <x v="0"/>
    <x v="2"/>
    <x v="1"/>
    <x v="0"/>
    <x v="1"/>
    <x v="0"/>
  </r>
  <r>
    <x v="1"/>
    <x v="814"/>
    <x v="814"/>
    <x v="6"/>
    <x v="28"/>
    <x v="18"/>
    <x v="1"/>
    <x v="48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15"/>
    <x v="815"/>
    <x v="6"/>
    <x v="13"/>
    <x v="18"/>
    <x v="1"/>
    <x v="111"/>
    <x v="17"/>
    <x v="4"/>
    <x v="4"/>
    <x v="4"/>
    <x v="30"/>
    <x v="188"/>
    <x v="1"/>
    <x v="0"/>
    <x v="54"/>
    <x v="0"/>
    <x v="54"/>
    <x v="40"/>
    <x v="1"/>
    <x v="0"/>
    <x v="0"/>
    <x v="2"/>
    <x v="1"/>
    <x v="0"/>
    <x v="1"/>
    <x v="0"/>
  </r>
  <r>
    <x v="1"/>
    <x v="816"/>
    <x v="816"/>
    <x v="11"/>
    <x v="47"/>
    <x v="5"/>
    <x v="0"/>
    <x v="80"/>
    <x v="123"/>
    <x v="11"/>
    <x v="10"/>
    <x v="10"/>
    <x v="34"/>
    <x v="17"/>
    <x v="1"/>
    <x v="0"/>
    <x v="4"/>
    <x v="0"/>
    <x v="4"/>
    <x v="0"/>
    <x v="0"/>
    <x v="0"/>
    <x v="0"/>
    <x v="1"/>
    <x v="1"/>
    <x v="1"/>
    <x v="1"/>
    <x v="0"/>
  </r>
  <r>
    <x v="1"/>
    <x v="817"/>
    <x v="817"/>
    <x v="3"/>
    <x v="4"/>
    <x v="4"/>
    <x v="1"/>
    <x v="185"/>
    <x v="75"/>
    <x v="14"/>
    <x v="13"/>
    <x v="13"/>
    <x v="89"/>
    <x v="307"/>
    <x v="1"/>
    <x v="0"/>
    <x v="74"/>
    <x v="0"/>
    <x v="74"/>
    <x v="56"/>
    <x v="1"/>
    <x v="71"/>
    <x v="62"/>
    <x v="1"/>
    <x v="1"/>
    <x v="1"/>
    <x v="1"/>
    <x v="0"/>
  </r>
  <r>
    <x v="1"/>
    <x v="818"/>
    <x v="818"/>
    <x v="12"/>
    <x v="49"/>
    <x v="71"/>
    <x v="0"/>
    <x v="126"/>
    <x v="48"/>
    <x v="6"/>
    <x v="3"/>
    <x v="3"/>
    <x v="348"/>
    <x v="23"/>
    <x v="1"/>
    <x v="0"/>
    <x v="115"/>
    <x v="0"/>
    <x v="114"/>
    <x v="82"/>
    <x v="1"/>
    <x v="0"/>
    <x v="0"/>
    <x v="1"/>
    <x v="1"/>
    <x v="1"/>
    <x v="1"/>
    <x v="0"/>
  </r>
  <r>
    <x v="1"/>
    <x v="819"/>
    <x v="819"/>
    <x v="1"/>
    <x v="41"/>
    <x v="38"/>
    <x v="1"/>
    <x v="68"/>
    <x v="75"/>
    <x v="32"/>
    <x v="31"/>
    <x v="31"/>
    <x v="293"/>
    <x v="134"/>
    <x v="1"/>
    <x v="0"/>
    <x v="226"/>
    <x v="0"/>
    <x v="225"/>
    <x v="0"/>
    <x v="0"/>
    <x v="0"/>
    <x v="0"/>
    <x v="2"/>
    <x v="1"/>
    <x v="0"/>
    <x v="1"/>
    <x v="0"/>
  </r>
  <r>
    <x v="1"/>
    <x v="820"/>
    <x v="820"/>
    <x v="5"/>
    <x v="50"/>
    <x v="5"/>
    <x v="1"/>
    <x v="307"/>
    <x v="57"/>
    <x v="10"/>
    <x v="9"/>
    <x v="9"/>
    <x v="330"/>
    <x v="135"/>
    <x v="1"/>
    <x v="0"/>
    <x v="227"/>
    <x v="0"/>
    <x v="226"/>
    <x v="166"/>
    <x v="1"/>
    <x v="0"/>
    <x v="0"/>
    <x v="2"/>
    <x v="1"/>
    <x v="0"/>
    <x v="1"/>
    <x v="0"/>
  </r>
  <r>
    <x v="1"/>
    <x v="821"/>
    <x v="821"/>
    <x v="3"/>
    <x v="4"/>
    <x v="18"/>
    <x v="1"/>
    <x v="67"/>
    <x v="17"/>
    <x v="41"/>
    <x v="39"/>
    <x v="39"/>
    <x v="349"/>
    <x v="0"/>
    <x v="1"/>
    <x v="0"/>
    <x v="0"/>
    <x v="0"/>
    <x v="0"/>
    <x v="0"/>
    <x v="0"/>
    <x v="0"/>
    <x v="0"/>
    <x v="3"/>
    <x v="1"/>
    <x v="3"/>
    <x v="1"/>
    <x v="0"/>
  </r>
  <r>
    <x v="1"/>
    <x v="822"/>
    <x v="822"/>
    <x v="0"/>
    <x v="1"/>
    <x v="1"/>
    <x v="0"/>
    <x v="1"/>
    <x v="1"/>
    <x v="5"/>
    <x v="5"/>
    <x v="5"/>
    <x v="228"/>
    <x v="0"/>
    <x v="1"/>
    <x v="0"/>
    <x v="0"/>
    <x v="0"/>
    <x v="0"/>
    <x v="0"/>
    <x v="0"/>
    <x v="0"/>
    <x v="0"/>
    <x v="1"/>
    <x v="1"/>
    <x v="1"/>
    <x v="1"/>
    <x v="0"/>
  </r>
  <r>
    <x v="1"/>
    <x v="823"/>
    <x v="823"/>
    <x v="3"/>
    <x v="4"/>
    <x v="18"/>
    <x v="1"/>
    <x v="67"/>
    <x v="15"/>
    <x v="21"/>
    <x v="20"/>
    <x v="20"/>
    <x v="286"/>
    <x v="0"/>
    <x v="1"/>
    <x v="0"/>
    <x v="0"/>
    <x v="0"/>
    <x v="0"/>
    <x v="0"/>
    <x v="0"/>
    <x v="0"/>
    <x v="0"/>
    <x v="3"/>
    <x v="1"/>
    <x v="3"/>
    <x v="1"/>
    <x v="0"/>
  </r>
  <r>
    <x v="1"/>
    <x v="824"/>
    <x v="824"/>
    <x v="6"/>
    <x v="28"/>
    <x v="70"/>
    <x v="1"/>
    <x v="134"/>
    <x v="124"/>
    <x v="12"/>
    <x v="11"/>
    <x v="11"/>
    <x v="350"/>
    <x v="0"/>
    <x v="1"/>
    <x v="0"/>
    <x v="0"/>
    <x v="0"/>
    <x v="0"/>
    <x v="0"/>
    <x v="0"/>
    <x v="0"/>
    <x v="0"/>
    <x v="4"/>
    <x v="1"/>
    <x v="4"/>
    <x v="1"/>
    <x v="0"/>
  </r>
  <r>
    <x v="1"/>
    <x v="825"/>
    <x v="825"/>
    <x v="1"/>
    <x v="90"/>
    <x v="142"/>
    <x v="0"/>
    <x v="308"/>
    <x v="125"/>
    <x v="11"/>
    <x v="10"/>
    <x v="10"/>
    <x v="0"/>
    <x v="0"/>
    <x v="2"/>
    <x v="0"/>
    <x v="0"/>
    <x v="0"/>
    <x v="0"/>
    <x v="0"/>
    <x v="0"/>
    <x v="0"/>
    <x v="0"/>
    <x v="0"/>
    <x v="0"/>
    <x v="0"/>
    <x v="1"/>
    <x v="49"/>
  </r>
  <r>
    <x v="1"/>
    <x v="826"/>
    <x v="826"/>
    <x v="5"/>
    <x v="53"/>
    <x v="119"/>
    <x v="0"/>
    <x v="255"/>
    <x v="6"/>
    <x v="14"/>
    <x v="13"/>
    <x v="13"/>
    <x v="262"/>
    <x v="0"/>
    <x v="1"/>
    <x v="0"/>
    <x v="0"/>
    <x v="0"/>
    <x v="0"/>
    <x v="0"/>
    <x v="0"/>
    <x v="0"/>
    <x v="0"/>
    <x v="3"/>
    <x v="0"/>
    <x v="0"/>
    <x v="1"/>
    <x v="50"/>
  </r>
  <r>
    <x v="1"/>
    <x v="827"/>
    <x v="827"/>
    <x v="3"/>
    <x v="4"/>
    <x v="12"/>
    <x v="1"/>
    <x v="202"/>
    <x v="1"/>
    <x v="2"/>
    <x v="2"/>
    <x v="2"/>
    <x v="137"/>
    <x v="308"/>
    <x v="1"/>
    <x v="0"/>
    <x v="170"/>
    <x v="0"/>
    <x v="168"/>
    <x v="126"/>
    <x v="1"/>
    <x v="0"/>
    <x v="0"/>
    <x v="2"/>
    <x v="1"/>
    <x v="0"/>
    <x v="1"/>
    <x v="0"/>
  </r>
  <r>
    <x v="1"/>
    <x v="828"/>
    <x v="828"/>
    <x v="6"/>
    <x v="28"/>
    <x v="70"/>
    <x v="1"/>
    <x v="134"/>
    <x v="46"/>
    <x v="12"/>
    <x v="11"/>
    <x v="11"/>
    <x v="351"/>
    <x v="0"/>
    <x v="1"/>
    <x v="0"/>
    <x v="0"/>
    <x v="0"/>
    <x v="0"/>
    <x v="0"/>
    <x v="0"/>
    <x v="0"/>
    <x v="0"/>
    <x v="4"/>
    <x v="1"/>
    <x v="4"/>
    <x v="1"/>
    <x v="0"/>
  </r>
  <r>
    <x v="1"/>
    <x v="829"/>
    <x v="829"/>
    <x v="5"/>
    <x v="40"/>
    <x v="82"/>
    <x v="0"/>
    <x v="156"/>
    <x v="6"/>
    <x v="23"/>
    <x v="22"/>
    <x v="22"/>
    <x v="197"/>
    <x v="309"/>
    <x v="1"/>
    <x v="0"/>
    <x v="167"/>
    <x v="0"/>
    <x v="164"/>
    <x v="123"/>
    <x v="1"/>
    <x v="0"/>
    <x v="0"/>
    <x v="2"/>
    <x v="1"/>
    <x v="0"/>
    <x v="1"/>
    <x v="0"/>
  </r>
  <r>
    <x v="1"/>
    <x v="830"/>
    <x v="830"/>
    <x v="5"/>
    <x v="31"/>
    <x v="4"/>
    <x v="1"/>
    <x v="151"/>
    <x v="3"/>
    <x v="6"/>
    <x v="3"/>
    <x v="3"/>
    <x v="4"/>
    <x v="130"/>
    <x v="1"/>
    <x v="0"/>
    <x v="219"/>
    <x v="0"/>
    <x v="218"/>
    <x v="160"/>
    <x v="1"/>
    <x v="0"/>
    <x v="0"/>
    <x v="2"/>
    <x v="1"/>
    <x v="0"/>
    <x v="1"/>
    <x v="0"/>
  </r>
  <r>
    <x v="1"/>
    <x v="831"/>
    <x v="831"/>
    <x v="6"/>
    <x v="13"/>
    <x v="12"/>
    <x v="1"/>
    <x v="17"/>
    <x v="16"/>
    <x v="35"/>
    <x v="10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32"/>
    <x v="832"/>
    <x v="0"/>
    <x v="1"/>
    <x v="37"/>
    <x v="0"/>
    <x v="309"/>
    <x v="6"/>
    <x v="14"/>
    <x v="13"/>
    <x v="13"/>
    <x v="0"/>
    <x v="252"/>
    <x v="2"/>
    <x v="0"/>
    <x v="0"/>
    <x v="0"/>
    <x v="0"/>
    <x v="0"/>
    <x v="0"/>
    <x v="0"/>
    <x v="0"/>
    <x v="4"/>
    <x v="1"/>
    <x v="4"/>
    <x v="1"/>
    <x v="0"/>
  </r>
  <r>
    <x v="1"/>
    <x v="833"/>
    <x v="833"/>
    <x v="6"/>
    <x v="13"/>
    <x v="5"/>
    <x v="1"/>
    <x v="242"/>
    <x v="33"/>
    <x v="10"/>
    <x v="9"/>
    <x v="9"/>
    <x v="352"/>
    <x v="310"/>
    <x v="2"/>
    <x v="0"/>
    <x v="22"/>
    <x v="0"/>
    <x v="22"/>
    <x v="19"/>
    <x v="1"/>
    <x v="0"/>
    <x v="0"/>
    <x v="2"/>
    <x v="1"/>
    <x v="0"/>
    <x v="1"/>
    <x v="0"/>
  </r>
  <r>
    <x v="1"/>
    <x v="834"/>
    <x v="834"/>
    <x v="6"/>
    <x v="28"/>
    <x v="18"/>
    <x v="1"/>
    <x v="48"/>
    <x v="15"/>
    <x v="28"/>
    <x v="27"/>
    <x v="27"/>
    <x v="353"/>
    <x v="148"/>
    <x v="2"/>
    <x v="0"/>
    <x v="228"/>
    <x v="0"/>
    <x v="227"/>
    <x v="0"/>
    <x v="0"/>
    <x v="0"/>
    <x v="0"/>
    <x v="4"/>
    <x v="1"/>
    <x v="4"/>
    <x v="1"/>
    <x v="0"/>
  </r>
  <r>
    <x v="1"/>
    <x v="835"/>
    <x v="835"/>
    <x v="4"/>
    <x v="12"/>
    <x v="5"/>
    <x v="0"/>
    <x v="310"/>
    <x v="5"/>
    <x v="5"/>
    <x v="5"/>
    <x v="5"/>
    <x v="0"/>
    <x v="0"/>
    <x v="2"/>
    <x v="0"/>
    <x v="0"/>
    <x v="0"/>
    <x v="0"/>
    <x v="0"/>
    <x v="0"/>
    <x v="0"/>
    <x v="0"/>
    <x v="0"/>
    <x v="0"/>
    <x v="0"/>
    <x v="1"/>
    <x v="51"/>
  </r>
  <r>
    <x v="1"/>
    <x v="836"/>
    <x v="836"/>
    <x v="1"/>
    <x v="2"/>
    <x v="69"/>
    <x v="0"/>
    <x v="191"/>
    <x v="19"/>
    <x v="10"/>
    <x v="9"/>
    <x v="9"/>
    <x v="354"/>
    <x v="311"/>
    <x v="1"/>
    <x v="0"/>
    <x v="33"/>
    <x v="0"/>
    <x v="33"/>
    <x v="28"/>
    <x v="1"/>
    <x v="0"/>
    <x v="0"/>
    <x v="2"/>
    <x v="1"/>
    <x v="0"/>
    <x v="1"/>
    <x v="0"/>
  </r>
  <r>
    <x v="1"/>
    <x v="837"/>
    <x v="837"/>
    <x v="4"/>
    <x v="22"/>
    <x v="5"/>
    <x v="1"/>
    <x v="196"/>
    <x v="4"/>
    <x v="15"/>
    <x v="14"/>
    <x v="14"/>
    <x v="107"/>
    <x v="312"/>
    <x v="1"/>
    <x v="0"/>
    <x v="90"/>
    <x v="0"/>
    <x v="90"/>
    <x v="64"/>
    <x v="1"/>
    <x v="0"/>
    <x v="0"/>
    <x v="1"/>
    <x v="1"/>
    <x v="1"/>
    <x v="1"/>
    <x v="0"/>
  </r>
  <r>
    <x v="1"/>
    <x v="838"/>
    <x v="838"/>
    <x v="6"/>
    <x v="17"/>
    <x v="73"/>
    <x v="0"/>
    <x v="129"/>
    <x v="24"/>
    <x v="3"/>
    <x v="3"/>
    <x v="3"/>
    <x v="75"/>
    <x v="313"/>
    <x v="1"/>
    <x v="0"/>
    <x v="229"/>
    <x v="0"/>
    <x v="228"/>
    <x v="0"/>
    <x v="0"/>
    <x v="0"/>
    <x v="0"/>
    <x v="1"/>
    <x v="0"/>
    <x v="0"/>
    <x v="1"/>
    <x v="0"/>
  </r>
  <r>
    <x v="1"/>
    <x v="839"/>
    <x v="839"/>
    <x v="1"/>
    <x v="41"/>
    <x v="38"/>
    <x v="1"/>
    <x v="68"/>
    <x v="33"/>
    <x v="11"/>
    <x v="10"/>
    <x v="10"/>
    <x v="31"/>
    <x v="81"/>
    <x v="1"/>
    <x v="0"/>
    <x v="38"/>
    <x v="0"/>
    <x v="38"/>
    <x v="31"/>
    <x v="1"/>
    <x v="0"/>
    <x v="0"/>
    <x v="2"/>
    <x v="1"/>
    <x v="0"/>
    <x v="1"/>
    <x v="0"/>
  </r>
  <r>
    <x v="1"/>
    <x v="840"/>
    <x v="840"/>
    <x v="0"/>
    <x v="16"/>
    <x v="21"/>
    <x v="1"/>
    <x v="311"/>
    <x v="18"/>
    <x v="11"/>
    <x v="10"/>
    <x v="10"/>
    <x v="31"/>
    <x v="122"/>
    <x v="1"/>
    <x v="0"/>
    <x v="163"/>
    <x v="0"/>
    <x v="160"/>
    <x v="120"/>
    <x v="1"/>
    <x v="0"/>
    <x v="0"/>
    <x v="2"/>
    <x v="1"/>
    <x v="0"/>
    <x v="1"/>
    <x v="0"/>
  </r>
  <r>
    <x v="1"/>
    <x v="841"/>
    <x v="841"/>
    <x v="21"/>
    <x v="86"/>
    <x v="121"/>
    <x v="0"/>
    <x v="259"/>
    <x v="100"/>
    <x v="6"/>
    <x v="3"/>
    <x v="3"/>
    <x v="355"/>
    <x v="314"/>
    <x v="2"/>
    <x v="0"/>
    <x v="99"/>
    <x v="0"/>
    <x v="99"/>
    <x v="0"/>
    <x v="0"/>
    <x v="0"/>
    <x v="0"/>
    <x v="2"/>
    <x v="1"/>
    <x v="0"/>
    <x v="1"/>
    <x v="0"/>
  </r>
  <r>
    <x v="1"/>
    <x v="842"/>
    <x v="842"/>
    <x v="12"/>
    <x v="49"/>
    <x v="71"/>
    <x v="0"/>
    <x v="126"/>
    <x v="4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843"/>
    <x v="843"/>
    <x v="20"/>
    <x v="78"/>
    <x v="5"/>
    <x v="0"/>
    <x v="226"/>
    <x v="87"/>
    <x v="6"/>
    <x v="3"/>
    <x v="3"/>
    <x v="356"/>
    <x v="26"/>
    <x v="1"/>
    <x v="0"/>
    <x v="67"/>
    <x v="0"/>
    <x v="67"/>
    <x v="52"/>
    <x v="1"/>
    <x v="0"/>
    <x v="0"/>
    <x v="1"/>
    <x v="1"/>
    <x v="1"/>
    <x v="1"/>
    <x v="0"/>
  </r>
  <r>
    <x v="1"/>
    <x v="844"/>
    <x v="844"/>
    <x v="1"/>
    <x v="41"/>
    <x v="116"/>
    <x v="0"/>
    <x v="245"/>
    <x v="37"/>
    <x v="6"/>
    <x v="3"/>
    <x v="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845"/>
    <x v="845"/>
    <x v="4"/>
    <x v="10"/>
    <x v="11"/>
    <x v="0"/>
    <x v="164"/>
    <x v="9"/>
    <x v="11"/>
    <x v="10"/>
    <x v="10"/>
    <x v="329"/>
    <x v="268"/>
    <x v="1"/>
    <x v="0"/>
    <x v="230"/>
    <x v="0"/>
    <x v="229"/>
    <x v="167"/>
    <x v="1"/>
    <x v="0"/>
    <x v="0"/>
    <x v="2"/>
    <x v="1"/>
    <x v="0"/>
    <x v="1"/>
    <x v="0"/>
  </r>
  <r>
    <x v="1"/>
    <x v="846"/>
    <x v="846"/>
    <x v="5"/>
    <x v="10"/>
    <x v="11"/>
    <x v="0"/>
    <x v="74"/>
    <x v="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847"/>
    <x v="847"/>
    <x v="5"/>
    <x v="53"/>
    <x v="94"/>
    <x v="0"/>
    <x v="178"/>
    <x v="6"/>
    <x v="14"/>
    <x v="13"/>
    <x v="13"/>
    <x v="262"/>
    <x v="315"/>
    <x v="1"/>
    <x v="0"/>
    <x v="50"/>
    <x v="0"/>
    <x v="50"/>
    <x v="38"/>
    <x v="1"/>
    <x v="0"/>
    <x v="0"/>
    <x v="1"/>
    <x v="1"/>
    <x v="1"/>
    <x v="1"/>
    <x v="0"/>
  </r>
  <r>
    <x v="1"/>
    <x v="848"/>
    <x v="848"/>
    <x v="20"/>
    <x v="71"/>
    <x v="5"/>
    <x v="0"/>
    <x v="203"/>
    <x v="73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29"/>
  </r>
  <r>
    <x v="1"/>
    <x v="849"/>
    <x v="849"/>
    <x v="5"/>
    <x v="55"/>
    <x v="143"/>
    <x v="0"/>
    <x v="312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50"/>
    <x v="850"/>
    <x v="6"/>
    <x v="56"/>
    <x v="56"/>
    <x v="0"/>
    <x v="99"/>
    <x v="41"/>
    <x v="30"/>
    <x v="29"/>
    <x v="29"/>
    <x v="91"/>
    <x v="288"/>
    <x v="1"/>
    <x v="0"/>
    <x v="231"/>
    <x v="0"/>
    <x v="230"/>
    <x v="168"/>
    <x v="1"/>
    <x v="0"/>
    <x v="0"/>
    <x v="1"/>
    <x v="1"/>
    <x v="1"/>
    <x v="1"/>
    <x v="0"/>
  </r>
  <r>
    <x v="1"/>
    <x v="851"/>
    <x v="851"/>
    <x v="2"/>
    <x v="20"/>
    <x v="15"/>
    <x v="1"/>
    <x v="210"/>
    <x v="2"/>
    <x v="15"/>
    <x v="14"/>
    <x v="14"/>
    <x v="267"/>
    <x v="221"/>
    <x v="1"/>
    <x v="0"/>
    <x v="30"/>
    <x v="0"/>
    <x v="30"/>
    <x v="26"/>
    <x v="1"/>
    <x v="0"/>
    <x v="0"/>
    <x v="2"/>
    <x v="1"/>
    <x v="0"/>
    <x v="1"/>
    <x v="0"/>
  </r>
  <r>
    <x v="1"/>
    <x v="852"/>
    <x v="852"/>
    <x v="3"/>
    <x v="93"/>
    <x v="135"/>
    <x v="0"/>
    <x v="290"/>
    <x v="24"/>
    <x v="4"/>
    <x v="4"/>
    <x v="4"/>
    <x v="99"/>
    <x v="316"/>
    <x v="1"/>
    <x v="0"/>
    <x v="232"/>
    <x v="0"/>
    <x v="231"/>
    <x v="169"/>
    <x v="1"/>
    <x v="0"/>
    <x v="0"/>
    <x v="2"/>
    <x v="1"/>
    <x v="0"/>
    <x v="1"/>
    <x v="0"/>
  </r>
  <r>
    <x v="1"/>
    <x v="853"/>
    <x v="853"/>
    <x v="6"/>
    <x v="57"/>
    <x v="59"/>
    <x v="0"/>
    <x v="103"/>
    <x v="37"/>
    <x v="5"/>
    <x v="5"/>
    <x v="5"/>
    <x v="357"/>
    <x v="258"/>
    <x v="1"/>
    <x v="0"/>
    <x v="204"/>
    <x v="0"/>
    <x v="203"/>
    <x v="0"/>
    <x v="0"/>
    <x v="0"/>
    <x v="0"/>
    <x v="2"/>
    <x v="1"/>
    <x v="0"/>
    <x v="1"/>
    <x v="0"/>
  </r>
  <r>
    <x v="1"/>
    <x v="854"/>
    <x v="854"/>
    <x v="5"/>
    <x v="9"/>
    <x v="5"/>
    <x v="0"/>
    <x v="150"/>
    <x v="58"/>
    <x v="6"/>
    <x v="3"/>
    <x v="3"/>
    <x v="4"/>
    <x v="317"/>
    <x v="1"/>
    <x v="0"/>
    <x v="58"/>
    <x v="0"/>
    <x v="58"/>
    <x v="44"/>
    <x v="1"/>
    <x v="0"/>
    <x v="0"/>
    <x v="2"/>
    <x v="1"/>
    <x v="0"/>
    <x v="1"/>
    <x v="0"/>
  </r>
  <r>
    <x v="1"/>
    <x v="855"/>
    <x v="855"/>
    <x v="2"/>
    <x v="5"/>
    <x v="49"/>
    <x v="0"/>
    <x v="88"/>
    <x v="6"/>
    <x v="1"/>
    <x v="1"/>
    <x v="1"/>
    <x v="233"/>
    <x v="213"/>
    <x v="1"/>
    <x v="0"/>
    <x v="218"/>
    <x v="0"/>
    <x v="217"/>
    <x v="159"/>
    <x v="1"/>
    <x v="0"/>
    <x v="0"/>
    <x v="2"/>
    <x v="1"/>
    <x v="0"/>
    <x v="1"/>
    <x v="0"/>
  </r>
  <r>
    <x v="1"/>
    <x v="856"/>
    <x v="856"/>
    <x v="1"/>
    <x v="41"/>
    <x v="115"/>
    <x v="0"/>
    <x v="241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57"/>
    <x v="857"/>
    <x v="6"/>
    <x v="10"/>
    <x v="11"/>
    <x v="0"/>
    <x v="49"/>
    <x v="9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52"/>
  </r>
  <r>
    <x v="1"/>
    <x v="858"/>
    <x v="858"/>
    <x v="6"/>
    <x v="9"/>
    <x v="5"/>
    <x v="0"/>
    <x v="200"/>
    <x v="42"/>
    <x v="6"/>
    <x v="3"/>
    <x v="3"/>
    <x v="201"/>
    <x v="249"/>
    <x v="1"/>
    <x v="0"/>
    <x v="72"/>
    <x v="0"/>
    <x v="72"/>
    <x v="54"/>
    <x v="1"/>
    <x v="0"/>
    <x v="0"/>
    <x v="2"/>
    <x v="1"/>
    <x v="0"/>
    <x v="1"/>
    <x v="0"/>
  </r>
  <r>
    <x v="1"/>
    <x v="859"/>
    <x v="859"/>
    <x v="5"/>
    <x v="32"/>
    <x v="15"/>
    <x v="1"/>
    <x v="90"/>
    <x v="2"/>
    <x v="14"/>
    <x v="13"/>
    <x v="13"/>
    <x v="358"/>
    <x v="318"/>
    <x v="1"/>
    <x v="0"/>
    <x v="138"/>
    <x v="0"/>
    <x v="136"/>
    <x v="99"/>
    <x v="1"/>
    <x v="0"/>
    <x v="0"/>
    <x v="2"/>
    <x v="1"/>
    <x v="0"/>
    <x v="1"/>
    <x v="0"/>
  </r>
  <r>
    <x v="1"/>
    <x v="860"/>
    <x v="860"/>
    <x v="16"/>
    <x v="83"/>
    <x v="5"/>
    <x v="0"/>
    <x v="249"/>
    <x v="126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861"/>
    <x v="861"/>
    <x v="1"/>
    <x v="41"/>
    <x v="144"/>
    <x v="0"/>
    <x v="313"/>
    <x v="37"/>
    <x v="13"/>
    <x v="12"/>
    <x v="12"/>
    <x v="296"/>
    <x v="177"/>
    <x v="1"/>
    <x v="0"/>
    <x v="117"/>
    <x v="0"/>
    <x v="116"/>
    <x v="84"/>
    <x v="1"/>
    <x v="0"/>
    <x v="0"/>
    <x v="2"/>
    <x v="1"/>
    <x v="0"/>
    <x v="1"/>
    <x v="0"/>
  </r>
  <r>
    <x v="1"/>
    <x v="862"/>
    <x v="862"/>
    <x v="5"/>
    <x v="98"/>
    <x v="5"/>
    <x v="0"/>
    <x v="314"/>
    <x v="6"/>
    <x v="4"/>
    <x v="4"/>
    <x v="4"/>
    <x v="337"/>
    <x v="319"/>
    <x v="1"/>
    <x v="0"/>
    <x v="190"/>
    <x v="0"/>
    <x v="188"/>
    <x v="141"/>
    <x v="1"/>
    <x v="0"/>
    <x v="0"/>
    <x v="1"/>
    <x v="1"/>
    <x v="1"/>
    <x v="1"/>
    <x v="0"/>
  </r>
  <r>
    <x v="1"/>
    <x v="863"/>
    <x v="863"/>
    <x v="1"/>
    <x v="24"/>
    <x v="28"/>
    <x v="0"/>
    <x v="46"/>
    <x v="6"/>
    <x v="5"/>
    <x v="5"/>
    <x v="5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864"/>
    <x v="864"/>
    <x v="3"/>
    <x v="4"/>
    <x v="15"/>
    <x v="1"/>
    <x v="194"/>
    <x v="2"/>
    <x v="28"/>
    <x v="27"/>
    <x v="27"/>
    <x v="359"/>
    <x v="320"/>
    <x v="1"/>
    <x v="0"/>
    <x v="66"/>
    <x v="0"/>
    <x v="66"/>
    <x v="51"/>
    <x v="1"/>
    <x v="0"/>
    <x v="0"/>
    <x v="2"/>
    <x v="1"/>
    <x v="0"/>
    <x v="1"/>
    <x v="0"/>
  </r>
  <r>
    <x v="1"/>
    <x v="865"/>
    <x v="865"/>
    <x v="2"/>
    <x v="10"/>
    <x v="11"/>
    <x v="0"/>
    <x v="190"/>
    <x v="9"/>
    <x v="2"/>
    <x v="2"/>
    <x v="2"/>
    <x v="152"/>
    <x v="166"/>
    <x v="1"/>
    <x v="0"/>
    <x v="74"/>
    <x v="0"/>
    <x v="74"/>
    <x v="56"/>
    <x v="1"/>
    <x v="0"/>
    <x v="0"/>
    <x v="2"/>
    <x v="1"/>
    <x v="0"/>
    <x v="1"/>
    <x v="0"/>
  </r>
  <r>
    <x v="1"/>
    <x v="866"/>
    <x v="866"/>
    <x v="17"/>
    <x v="99"/>
    <x v="5"/>
    <x v="0"/>
    <x v="315"/>
    <x v="61"/>
    <x v="6"/>
    <x v="3"/>
    <x v="3"/>
    <x v="278"/>
    <x v="0"/>
    <x v="2"/>
    <x v="0"/>
    <x v="0"/>
    <x v="0"/>
    <x v="0"/>
    <x v="0"/>
    <x v="0"/>
    <x v="0"/>
    <x v="0"/>
    <x v="3"/>
    <x v="1"/>
    <x v="3"/>
    <x v="1"/>
    <x v="0"/>
  </r>
  <r>
    <x v="1"/>
    <x v="867"/>
    <x v="867"/>
    <x v="0"/>
    <x v="43"/>
    <x v="62"/>
    <x v="0"/>
    <x v="109"/>
    <x v="44"/>
    <x v="10"/>
    <x v="9"/>
    <x v="9"/>
    <x v="360"/>
    <x v="321"/>
    <x v="1"/>
    <x v="0"/>
    <x v="233"/>
    <x v="0"/>
    <x v="232"/>
    <x v="170"/>
    <x v="1"/>
    <x v="0"/>
    <x v="0"/>
    <x v="2"/>
    <x v="1"/>
    <x v="0"/>
    <x v="1"/>
    <x v="0"/>
  </r>
  <r>
    <x v="1"/>
    <x v="868"/>
    <x v="868"/>
    <x v="3"/>
    <x v="10"/>
    <x v="11"/>
    <x v="0"/>
    <x v="121"/>
    <x v="9"/>
    <x v="15"/>
    <x v="14"/>
    <x v="14"/>
    <x v="333"/>
    <x v="214"/>
    <x v="1"/>
    <x v="0"/>
    <x v="158"/>
    <x v="0"/>
    <x v="155"/>
    <x v="116"/>
    <x v="1"/>
    <x v="0"/>
    <x v="0"/>
    <x v="2"/>
    <x v="1"/>
    <x v="0"/>
    <x v="1"/>
    <x v="0"/>
  </r>
  <r>
    <x v="1"/>
    <x v="869"/>
    <x v="869"/>
    <x v="2"/>
    <x v="42"/>
    <x v="130"/>
    <x v="0"/>
    <x v="281"/>
    <x v="6"/>
    <x v="9"/>
    <x v="8"/>
    <x v="8"/>
    <x v="124"/>
    <x v="322"/>
    <x v="1"/>
    <x v="0"/>
    <x v="155"/>
    <x v="0"/>
    <x v="152"/>
    <x v="113"/>
    <x v="1"/>
    <x v="0"/>
    <x v="0"/>
    <x v="1"/>
    <x v="1"/>
    <x v="1"/>
    <x v="1"/>
    <x v="0"/>
  </r>
  <r>
    <x v="1"/>
    <x v="870"/>
    <x v="870"/>
    <x v="9"/>
    <x v="97"/>
    <x v="5"/>
    <x v="0"/>
    <x v="300"/>
    <x v="127"/>
    <x v="6"/>
    <x v="3"/>
    <x v="3"/>
    <x v="193"/>
    <x v="305"/>
    <x v="1"/>
    <x v="0"/>
    <x v="234"/>
    <x v="0"/>
    <x v="105"/>
    <x v="75"/>
    <x v="1"/>
    <x v="0"/>
    <x v="0"/>
    <x v="2"/>
    <x v="1"/>
    <x v="0"/>
    <x v="1"/>
    <x v="0"/>
  </r>
  <r>
    <x v="1"/>
    <x v="871"/>
    <x v="871"/>
    <x v="0"/>
    <x v="1"/>
    <x v="14"/>
    <x v="0"/>
    <x v="18"/>
    <x v="6"/>
    <x v="14"/>
    <x v="13"/>
    <x v="13"/>
    <x v="361"/>
    <x v="323"/>
    <x v="1"/>
    <x v="0"/>
    <x v="58"/>
    <x v="0"/>
    <x v="58"/>
    <x v="44"/>
    <x v="1"/>
    <x v="0"/>
    <x v="0"/>
    <x v="5"/>
    <x v="1"/>
    <x v="0"/>
    <x v="1"/>
    <x v="0"/>
  </r>
  <r>
    <x v="1"/>
    <x v="872"/>
    <x v="872"/>
    <x v="5"/>
    <x v="32"/>
    <x v="18"/>
    <x v="1"/>
    <x v="50"/>
    <x v="17"/>
    <x v="10"/>
    <x v="9"/>
    <x v="9"/>
    <x v="362"/>
    <x v="324"/>
    <x v="1"/>
    <x v="0"/>
    <x v="213"/>
    <x v="0"/>
    <x v="212"/>
    <x v="157"/>
    <x v="1"/>
    <x v="72"/>
    <x v="63"/>
    <x v="5"/>
    <x v="1"/>
    <x v="0"/>
    <x v="1"/>
    <x v="0"/>
  </r>
  <r>
    <x v="1"/>
    <x v="873"/>
    <x v="873"/>
    <x v="1"/>
    <x v="41"/>
    <x v="66"/>
    <x v="0"/>
    <x v="115"/>
    <x v="37"/>
    <x v="2"/>
    <x v="2"/>
    <x v="2"/>
    <x v="87"/>
    <x v="325"/>
    <x v="1"/>
    <x v="0"/>
    <x v="50"/>
    <x v="0"/>
    <x v="50"/>
    <x v="38"/>
    <x v="1"/>
    <x v="0"/>
    <x v="0"/>
    <x v="2"/>
    <x v="1"/>
    <x v="0"/>
    <x v="1"/>
    <x v="0"/>
  </r>
  <r>
    <x v="1"/>
    <x v="874"/>
    <x v="874"/>
    <x v="5"/>
    <x v="32"/>
    <x v="15"/>
    <x v="1"/>
    <x v="90"/>
    <x v="2"/>
    <x v="14"/>
    <x v="13"/>
    <x v="13"/>
    <x v="363"/>
    <x v="5"/>
    <x v="1"/>
    <x v="0"/>
    <x v="235"/>
    <x v="0"/>
    <x v="233"/>
    <x v="171"/>
    <x v="1"/>
    <x v="0"/>
    <x v="0"/>
    <x v="1"/>
    <x v="1"/>
    <x v="1"/>
    <x v="1"/>
    <x v="0"/>
  </r>
  <r>
    <x v="1"/>
    <x v="875"/>
    <x v="875"/>
    <x v="5"/>
    <x v="32"/>
    <x v="4"/>
    <x v="1"/>
    <x v="82"/>
    <x v="3"/>
    <x v="10"/>
    <x v="9"/>
    <x v="9"/>
    <x v="109"/>
    <x v="143"/>
    <x v="1"/>
    <x v="0"/>
    <x v="80"/>
    <x v="0"/>
    <x v="80"/>
    <x v="59"/>
    <x v="1"/>
    <x v="0"/>
    <x v="0"/>
    <x v="1"/>
    <x v="1"/>
    <x v="1"/>
    <x v="1"/>
    <x v="0"/>
  </r>
  <r>
    <x v="1"/>
    <x v="876"/>
    <x v="876"/>
    <x v="0"/>
    <x v="29"/>
    <x v="15"/>
    <x v="1"/>
    <x v="63"/>
    <x v="2"/>
    <x v="7"/>
    <x v="6"/>
    <x v="6"/>
    <x v="0"/>
    <x v="0"/>
    <x v="2"/>
    <x v="0"/>
    <x v="0"/>
    <x v="0"/>
    <x v="0"/>
    <x v="0"/>
    <x v="0"/>
    <x v="0"/>
    <x v="0"/>
    <x v="0"/>
    <x v="0"/>
    <x v="0"/>
    <x v="1"/>
    <x v="53"/>
  </r>
  <r>
    <x v="1"/>
    <x v="877"/>
    <x v="877"/>
    <x v="3"/>
    <x v="4"/>
    <x v="15"/>
    <x v="1"/>
    <x v="194"/>
    <x v="2"/>
    <x v="12"/>
    <x v="11"/>
    <x v="11"/>
    <x v="207"/>
    <x v="326"/>
    <x v="1"/>
    <x v="0"/>
    <x v="149"/>
    <x v="0"/>
    <x v="126"/>
    <x v="108"/>
    <x v="1"/>
    <x v="0"/>
    <x v="0"/>
    <x v="2"/>
    <x v="1"/>
    <x v="0"/>
    <x v="1"/>
    <x v="0"/>
  </r>
  <r>
    <x v="1"/>
    <x v="878"/>
    <x v="878"/>
    <x v="6"/>
    <x v="21"/>
    <x v="25"/>
    <x v="0"/>
    <x v="39"/>
    <x v="1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79"/>
    <x v="879"/>
    <x v="3"/>
    <x v="36"/>
    <x v="39"/>
    <x v="0"/>
    <x v="6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80"/>
    <x v="880"/>
    <x v="5"/>
    <x v="43"/>
    <x v="56"/>
    <x v="0"/>
    <x v="160"/>
    <x v="29"/>
    <x v="2"/>
    <x v="2"/>
    <x v="2"/>
    <x v="98"/>
    <x v="123"/>
    <x v="1"/>
    <x v="0"/>
    <x v="36"/>
    <x v="0"/>
    <x v="36"/>
    <x v="29"/>
    <x v="1"/>
    <x v="0"/>
    <x v="0"/>
    <x v="2"/>
    <x v="1"/>
    <x v="0"/>
    <x v="1"/>
    <x v="0"/>
  </r>
  <r>
    <x v="1"/>
    <x v="881"/>
    <x v="881"/>
    <x v="2"/>
    <x v="79"/>
    <x v="5"/>
    <x v="0"/>
    <x v="229"/>
    <x v="6"/>
    <x v="5"/>
    <x v="5"/>
    <x v="5"/>
    <x v="364"/>
    <x v="272"/>
    <x v="1"/>
    <x v="0"/>
    <x v="55"/>
    <x v="0"/>
    <x v="55"/>
    <x v="41"/>
    <x v="1"/>
    <x v="0"/>
    <x v="0"/>
    <x v="2"/>
    <x v="1"/>
    <x v="0"/>
    <x v="1"/>
    <x v="0"/>
  </r>
  <r>
    <x v="1"/>
    <x v="882"/>
    <x v="882"/>
    <x v="6"/>
    <x v="28"/>
    <x v="12"/>
    <x v="1"/>
    <x v="41"/>
    <x v="1"/>
    <x v="22"/>
    <x v="21"/>
    <x v="21"/>
    <x v="365"/>
    <x v="321"/>
    <x v="1"/>
    <x v="0"/>
    <x v="89"/>
    <x v="0"/>
    <x v="89"/>
    <x v="0"/>
    <x v="0"/>
    <x v="0"/>
    <x v="0"/>
    <x v="4"/>
    <x v="1"/>
    <x v="4"/>
    <x v="1"/>
    <x v="0"/>
  </r>
  <r>
    <x v="1"/>
    <x v="883"/>
    <x v="883"/>
    <x v="5"/>
    <x v="31"/>
    <x v="18"/>
    <x v="1"/>
    <x v="316"/>
    <x v="1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884"/>
    <x v="884"/>
    <x v="2"/>
    <x v="10"/>
    <x v="11"/>
    <x v="0"/>
    <x v="190"/>
    <x v="9"/>
    <x v="14"/>
    <x v="13"/>
    <x v="13"/>
    <x v="366"/>
    <x v="327"/>
    <x v="1"/>
    <x v="0"/>
    <x v="144"/>
    <x v="0"/>
    <x v="142"/>
    <x v="104"/>
    <x v="1"/>
    <x v="0"/>
    <x v="0"/>
    <x v="2"/>
    <x v="1"/>
    <x v="0"/>
    <x v="1"/>
    <x v="0"/>
  </r>
  <r>
    <x v="1"/>
    <x v="885"/>
    <x v="885"/>
    <x v="5"/>
    <x v="32"/>
    <x v="21"/>
    <x v="1"/>
    <x v="317"/>
    <x v="18"/>
    <x v="11"/>
    <x v="10"/>
    <x v="10"/>
    <x v="354"/>
    <x v="152"/>
    <x v="2"/>
    <x v="0"/>
    <x v="11"/>
    <x v="0"/>
    <x v="11"/>
    <x v="8"/>
    <x v="1"/>
    <x v="0"/>
    <x v="0"/>
    <x v="1"/>
    <x v="1"/>
    <x v="1"/>
    <x v="1"/>
    <x v="0"/>
  </r>
  <r>
    <x v="1"/>
    <x v="886"/>
    <x v="886"/>
    <x v="16"/>
    <x v="64"/>
    <x v="5"/>
    <x v="0"/>
    <x v="153"/>
    <x v="128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5"/>
  </r>
  <r>
    <x v="1"/>
    <x v="887"/>
    <x v="887"/>
    <x v="11"/>
    <x v="77"/>
    <x v="5"/>
    <x v="0"/>
    <x v="224"/>
    <x v="85"/>
    <x v="11"/>
    <x v="10"/>
    <x v="10"/>
    <x v="0"/>
    <x v="0"/>
    <x v="2"/>
    <x v="8"/>
    <x v="4"/>
    <x v="0"/>
    <x v="4"/>
    <x v="0"/>
    <x v="0"/>
    <x v="0"/>
    <x v="0"/>
    <x v="0"/>
    <x v="0"/>
    <x v="0"/>
    <x v="1"/>
    <x v="54"/>
  </r>
  <r>
    <x v="1"/>
    <x v="888"/>
    <x v="888"/>
    <x v="12"/>
    <x v="49"/>
    <x v="96"/>
    <x v="0"/>
    <x v="182"/>
    <x v="35"/>
    <x v="6"/>
    <x v="3"/>
    <x v="3"/>
    <x v="0"/>
    <x v="0"/>
    <x v="2"/>
    <x v="8"/>
    <x v="4"/>
    <x v="0"/>
    <x v="4"/>
    <x v="0"/>
    <x v="0"/>
    <x v="0"/>
    <x v="0"/>
    <x v="0"/>
    <x v="0"/>
    <x v="0"/>
    <x v="1"/>
    <x v="55"/>
  </r>
  <r>
    <x v="1"/>
    <x v="889"/>
    <x v="889"/>
    <x v="18"/>
    <x v="15"/>
    <x v="5"/>
    <x v="0"/>
    <x v="166"/>
    <x v="64"/>
    <x v="6"/>
    <x v="3"/>
    <x v="3"/>
    <x v="200"/>
    <x v="143"/>
    <x v="1"/>
    <x v="0"/>
    <x v="28"/>
    <x v="0"/>
    <x v="28"/>
    <x v="24"/>
    <x v="1"/>
    <x v="0"/>
    <x v="0"/>
    <x v="1"/>
    <x v="1"/>
    <x v="1"/>
    <x v="1"/>
    <x v="0"/>
  </r>
  <r>
    <x v="1"/>
    <x v="890"/>
    <x v="890"/>
    <x v="2"/>
    <x v="10"/>
    <x v="11"/>
    <x v="0"/>
    <x v="190"/>
    <x v="9"/>
    <x v="2"/>
    <x v="2"/>
    <x v="2"/>
    <x v="0"/>
    <x v="308"/>
    <x v="2"/>
    <x v="0"/>
    <x v="0"/>
    <x v="0"/>
    <x v="0"/>
    <x v="0"/>
    <x v="0"/>
    <x v="0"/>
    <x v="0"/>
    <x v="3"/>
    <x v="1"/>
    <x v="3"/>
    <x v="1"/>
    <x v="0"/>
  </r>
  <r>
    <x v="1"/>
    <x v="891"/>
    <x v="891"/>
    <x v="0"/>
    <x v="29"/>
    <x v="15"/>
    <x v="1"/>
    <x v="63"/>
    <x v="2"/>
    <x v="16"/>
    <x v="15"/>
    <x v="15"/>
    <x v="367"/>
    <x v="0"/>
    <x v="1"/>
    <x v="0"/>
    <x v="0"/>
    <x v="0"/>
    <x v="0"/>
    <x v="0"/>
    <x v="0"/>
    <x v="0"/>
    <x v="0"/>
    <x v="4"/>
    <x v="1"/>
    <x v="4"/>
    <x v="1"/>
    <x v="0"/>
  </r>
  <r>
    <x v="1"/>
    <x v="892"/>
    <x v="892"/>
    <x v="0"/>
    <x v="9"/>
    <x v="5"/>
    <x v="0"/>
    <x v="105"/>
    <x v="42"/>
    <x v="10"/>
    <x v="9"/>
    <x v="9"/>
    <x v="285"/>
    <x v="127"/>
    <x v="1"/>
    <x v="0"/>
    <x v="180"/>
    <x v="0"/>
    <x v="178"/>
    <x v="133"/>
    <x v="1"/>
    <x v="73"/>
    <x v="64"/>
    <x v="2"/>
    <x v="1"/>
    <x v="0"/>
    <x v="1"/>
    <x v="0"/>
  </r>
  <r>
    <x v="1"/>
    <x v="893"/>
    <x v="893"/>
    <x v="1"/>
    <x v="39"/>
    <x v="35"/>
    <x v="1"/>
    <x v="62"/>
    <x v="12"/>
    <x v="2"/>
    <x v="2"/>
    <x v="2"/>
    <x v="98"/>
    <x v="85"/>
    <x v="1"/>
    <x v="0"/>
    <x v="18"/>
    <x v="0"/>
    <x v="18"/>
    <x v="15"/>
    <x v="1"/>
    <x v="0"/>
    <x v="0"/>
    <x v="2"/>
    <x v="1"/>
    <x v="0"/>
    <x v="1"/>
    <x v="0"/>
  </r>
  <r>
    <x v="1"/>
    <x v="894"/>
    <x v="894"/>
    <x v="4"/>
    <x v="34"/>
    <x v="133"/>
    <x v="0"/>
    <x v="287"/>
    <x v="37"/>
    <x v="23"/>
    <x v="22"/>
    <x v="22"/>
    <x v="263"/>
    <x v="140"/>
    <x v="1"/>
    <x v="0"/>
    <x v="110"/>
    <x v="0"/>
    <x v="109"/>
    <x v="78"/>
    <x v="1"/>
    <x v="0"/>
    <x v="0"/>
    <x v="2"/>
    <x v="1"/>
    <x v="0"/>
    <x v="1"/>
    <x v="0"/>
  </r>
  <r>
    <x v="1"/>
    <x v="895"/>
    <x v="895"/>
    <x v="3"/>
    <x v="69"/>
    <x v="5"/>
    <x v="0"/>
    <x v="179"/>
    <x v="6"/>
    <x v="23"/>
    <x v="22"/>
    <x v="22"/>
    <x v="368"/>
    <x v="328"/>
    <x v="1"/>
    <x v="0"/>
    <x v="170"/>
    <x v="0"/>
    <x v="168"/>
    <x v="126"/>
    <x v="1"/>
    <x v="0"/>
    <x v="0"/>
    <x v="2"/>
    <x v="1"/>
    <x v="0"/>
    <x v="1"/>
    <x v="0"/>
  </r>
  <r>
    <x v="1"/>
    <x v="896"/>
    <x v="896"/>
    <x v="2"/>
    <x v="3"/>
    <x v="15"/>
    <x v="1"/>
    <x v="21"/>
    <x v="2"/>
    <x v="13"/>
    <x v="12"/>
    <x v="12"/>
    <x v="369"/>
    <x v="44"/>
    <x v="1"/>
    <x v="0"/>
    <x v="58"/>
    <x v="0"/>
    <x v="58"/>
    <x v="44"/>
    <x v="1"/>
    <x v="0"/>
    <x v="0"/>
    <x v="2"/>
    <x v="1"/>
    <x v="0"/>
    <x v="1"/>
    <x v="0"/>
  </r>
  <r>
    <x v="1"/>
    <x v="897"/>
    <x v="897"/>
    <x v="5"/>
    <x v="43"/>
    <x v="56"/>
    <x v="0"/>
    <x v="160"/>
    <x v="29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898"/>
    <x v="898"/>
    <x v="20"/>
    <x v="70"/>
    <x v="5"/>
    <x v="0"/>
    <x v="188"/>
    <x v="87"/>
    <x v="11"/>
    <x v="10"/>
    <x v="10"/>
    <x v="160"/>
    <x v="12"/>
    <x v="1"/>
    <x v="0"/>
    <x v="236"/>
    <x v="0"/>
    <x v="234"/>
    <x v="0"/>
    <x v="0"/>
    <x v="0"/>
    <x v="0"/>
    <x v="1"/>
    <x v="1"/>
    <x v="1"/>
    <x v="1"/>
    <x v="0"/>
  </r>
  <r>
    <x v="1"/>
    <x v="899"/>
    <x v="899"/>
    <x v="4"/>
    <x v="43"/>
    <x v="5"/>
    <x v="0"/>
    <x v="75"/>
    <x v="53"/>
    <x v="6"/>
    <x v="3"/>
    <x v="3"/>
    <x v="370"/>
    <x v="128"/>
    <x v="1"/>
    <x v="0"/>
    <x v="180"/>
    <x v="0"/>
    <x v="178"/>
    <x v="133"/>
    <x v="1"/>
    <x v="0"/>
    <x v="0"/>
    <x v="1"/>
    <x v="1"/>
    <x v="1"/>
    <x v="1"/>
    <x v="0"/>
  </r>
  <r>
    <x v="1"/>
    <x v="900"/>
    <x v="900"/>
    <x v="5"/>
    <x v="31"/>
    <x v="5"/>
    <x v="1"/>
    <x v="96"/>
    <x v="33"/>
    <x v="11"/>
    <x v="10"/>
    <x v="10"/>
    <x v="113"/>
    <x v="329"/>
    <x v="1"/>
    <x v="0"/>
    <x v="237"/>
    <x v="0"/>
    <x v="235"/>
    <x v="172"/>
    <x v="1"/>
    <x v="0"/>
    <x v="0"/>
    <x v="1"/>
    <x v="1"/>
    <x v="1"/>
    <x v="1"/>
    <x v="0"/>
  </r>
  <r>
    <x v="1"/>
    <x v="901"/>
    <x v="901"/>
    <x v="5"/>
    <x v="32"/>
    <x v="5"/>
    <x v="1"/>
    <x v="107"/>
    <x v="33"/>
    <x v="11"/>
    <x v="10"/>
    <x v="10"/>
    <x v="371"/>
    <x v="330"/>
    <x v="1"/>
    <x v="0"/>
    <x v="238"/>
    <x v="0"/>
    <x v="236"/>
    <x v="173"/>
    <x v="1"/>
    <x v="0"/>
    <x v="0"/>
    <x v="1"/>
    <x v="1"/>
    <x v="1"/>
    <x v="1"/>
    <x v="0"/>
  </r>
  <r>
    <x v="1"/>
    <x v="902"/>
    <x v="902"/>
    <x v="3"/>
    <x v="93"/>
    <x v="135"/>
    <x v="0"/>
    <x v="290"/>
    <x v="6"/>
    <x v="4"/>
    <x v="4"/>
    <x v="4"/>
    <x v="0"/>
    <x v="331"/>
    <x v="2"/>
    <x v="0"/>
    <x v="0"/>
    <x v="0"/>
    <x v="0"/>
    <x v="0"/>
    <x v="0"/>
    <x v="0"/>
    <x v="0"/>
    <x v="3"/>
    <x v="1"/>
    <x v="3"/>
    <x v="1"/>
    <x v="0"/>
  </r>
  <r>
    <x v="1"/>
    <x v="903"/>
    <x v="903"/>
    <x v="3"/>
    <x v="60"/>
    <x v="74"/>
    <x v="0"/>
    <x v="131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04"/>
    <x v="904"/>
    <x v="5"/>
    <x v="53"/>
    <x v="53"/>
    <x v="0"/>
    <x v="94"/>
    <x v="6"/>
    <x v="30"/>
    <x v="29"/>
    <x v="29"/>
    <x v="372"/>
    <x v="39"/>
    <x v="1"/>
    <x v="0"/>
    <x v="33"/>
    <x v="0"/>
    <x v="33"/>
    <x v="28"/>
    <x v="1"/>
    <x v="0"/>
    <x v="0"/>
    <x v="2"/>
    <x v="1"/>
    <x v="0"/>
    <x v="1"/>
    <x v="0"/>
  </r>
  <r>
    <x v="1"/>
    <x v="905"/>
    <x v="905"/>
    <x v="5"/>
    <x v="55"/>
    <x v="143"/>
    <x v="0"/>
    <x v="312"/>
    <x v="6"/>
    <x v="14"/>
    <x v="13"/>
    <x v="13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06"/>
    <x v="906"/>
    <x v="4"/>
    <x v="34"/>
    <x v="145"/>
    <x v="0"/>
    <x v="318"/>
    <x v="37"/>
    <x v="14"/>
    <x v="13"/>
    <x v="13"/>
    <x v="73"/>
    <x v="0"/>
    <x v="1"/>
    <x v="0"/>
    <x v="0"/>
    <x v="0"/>
    <x v="0"/>
    <x v="0"/>
    <x v="0"/>
    <x v="0"/>
    <x v="0"/>
    <x v="3"/>
    <x v="1"/>
    <x v="3"/>
    <x v="1"/>
    <x v="0"/>
  </r>
  <r>
    <x v="1"/>
    <x v="907"/>
    <x v="907"/>
    <x v="3"/>
    <x v="4"/>
    <x v="15"/>
    <x v="1"/>
    <x v="194"/>
    <x v="12"/>
    <x v="28"/>
    <x v="27"/>
    <x v="27"/>
    <x v="0"/>
    <x v="332"/>
    <x v="2"/>
    <x v="0"/>
    <x v="0"/>
    <x v="0"/>
    <x v="0"/>
    <x v="0"/>
    <x v="0"/>
    <x v="0"/>
    <x v="0"/>
    <x v="4"/>
    <x v="1"/>
    <x v="4"/>
    <x v="1"/>
    <x v="0"/>
  </r>
  <r>
    <x v="1"/>
    <x v="908"/>
    <x v="908"/>
    <x v="4"/>
    <x v="10"/>
    <x v="11"/>
    <x v="0"/>
    <x v="164"/>
    <x v="9"/>
    <x v="11"/>
    <x v="10"/>
    <x v="10"/>
    <x v="149"/>
    <x v="333"/>
    <x v="1"/>
    <x v="0"/>
    <x v="129"/>
    <x v="0"/>
    <x v="128"/>
    <x v="93"/>
    <x v="1"/>
    <x v="0"/>
    <x v="0"/>
    <x v="2"/>
    <x v="1"/>
    <x v="0"/>
    <x v="1"/>
    <x v="0"/>
  </r>
  <r>
    <x v="1"/>
    <x v="909"/>
    <x v="909"/>
    <x v="2"/>
    <x v="42"/>
    <x v="146"/>
    <x v="0"/>
    <x v="319"/>
    <x v="6"/>
    <x v="3"/>
    <x v="3"/>
    <x v="3"/>
    <x v="373"/>
    <x v="0"/>
    <x v="2"/>
    <x v="0"/>
    <x v="0"/>
    <x v="0"/>
    <x v="0"/>
    <x v="0"/>
    <x v="0"/>
    <x v="0"/>
    <x v="0"/>
    <x v="3"/>
    <x v="0"/>
    <x v="0"/>
    <x v="1"/>
    <x v="0"/>
  </r>
  <r>
    <x v="1"/>
    <x v="910"/>
    <x v="910"/>
    <x v="5"/>
    <x v="32"/>
    <x v="4"/>
    <x v="1"/>
    <x v="82"/>
    <x v="75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11"/>
    <x v="911"/>
    <x v="3"/>
    <x v="4"/>
    <x v="21"/>
    <x v="1"/>
    <x v="207"/>
    <x v="18"/>
    <x v="3"/>
    <x v="3"/>
    <x v="3"/>
    <x v="0"/>
    <x v="0"/>
    <x v="1"/>
    <x v="0"/>
    <x v="0"/>
    <x v="0"/>
    <x v="0"/>
    <x v="0"/>
    <x v="0"/>
    <x v="74"/>
    <x v="65"/>
    <x v="0"/>
    <x v="0"/>
    <x v="0"/>
    <x v="1"/>
    <x v="0"/>
  </r>
  <r>
    <x v="1"/>
    <x v="912"/>
    <x v="912"/>
    <x v="2"/>
    <x v="20"/>
    <x v="4"/>
    <x v="1"/>
    <x v="195"/>
    <x v="3"/>
    <x v="11"/>
    <x v="10"/>
    <x v="10"/>
    <x v="149"/>
    <x v="334"/>
    <x v="1"/>
    <x v="0"/>
    <x v="87"/>
    <x v="0"/>
    <x v="87"/>
    <x v="0"/>
    <x v="0"/>
    <x v="0"/>
    <x v="0"/>
    <x v="2"/>
    <x v="1"/>
    <x v="0"/>
    <x v="1"/>
    <x v="0"/>
  </r>
  <r>
    <x v="1"/>
    <x v="913"/>
    <x v="913"/>
    <x v="3"/>
    <x v="10"/>
    <x v="11"/>
    <x v="0"/>
    <x v="121"/>
    <x v="9"/>
    <x v="15"/>
    <x v="14"/>
    <x v="14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14"/>
    <x v="914"/>
    <x v="17"/>
    <x v="81"/>
    <x v="5"/>
    <x v="0"/>
    <x v="244"/>
    <x v="129"/>
    <x v="6"/>
    <x v="3"/>
    <x v="3"/>
    <x v="123"/>
    <x v="335"/>
    <x v="1"/>
    <x v="0"/>
    <x v="97"/>
    <x v="0"/>
    <x v="97"/>
    <x v="69"/>
    <x v="1"/>
    <x v="0"/>
    <x v="0"/>
    <x v="1"/>
    <x v="1"/>
    <x v="1"/>
    <x v="1"/>
    <x v="0"/>
  </r>
  <r>
    <x v="1"/>
    <x v="915"/>
    <x v="915"/>
    <x v="4"/>
    <x v="12"/>
    <x v="147"/>
    <x v="0"/>
    <x v="320"/>
    <x v="6"/>
    <x v="23"/>
    <x v="22"/>
    <x v="22"/>
    <x v="100"/>
    <x v="97"/>
    <x v="1"/>
    <x v="0"/>
    <x v="239"/>
    <x v="0"/>
    <x v="237"/>
    <x v="174"/>
    <x v="1"/>
    <x v="0"/>
    <x v="0"/>
    <x v="2"/>
    <x v="1"/>
    <x v="0"/>
    <x v="1"/>
    <x v="0"/>
  </r>
  <r>
    <x v="1"/>
    <x v="916"/>
    <x v="916"/>
    <x v="17"/>
    <x v="65"/>
    <x v="5"/>
    <x v="0"/>
    <x v="158"/>
    <x v="130"/>
    <x v="6"/>
    <x v="3"/>
    <x v="3"/>
    <x v="374"/>
    <x v="113"/>
    <x v="1"/>
    <x v="0"/>
    <x v="13"/>
    <x v="0"/>
    <x v="13"/>
    <x v="10"/>
    <x v="1"/>
    <x v="0"/>
    <x v="0"/>
    <x v="2"/>
    <x v="1"/>
    <x v="0"/>
    <x v="1"/>
    <x v="0"/>
  </r>
  <r>
    <x v="1"/>
    <x v="917"/>
    <x v="917"/>
    <x v="2"/>
    <x v="5"/>
    <x v="49"/>
    <x v="0"/>
    <x v="88"/>
    <x v="24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18"/>
    <x v="918"/>
    <x v="5"/>
    <x v="53"/>
    <x v="93"/>
    <x v="0"/>
    <x v="176"/>
    <x v="37"/>
    <x v="6"/>
    <x v="3"/>
    <x v="3"/>
    <x v="0"/>
    <x v="0"/>
    <x v="2"/>
    <x v="0"/>
    <x v="0"/>
    <x v="0"/>
    <x v="0"/>
    <x v="0"/>
    <x v="0"/>
    <x v="0"/>
    <x v="0"/>
    <x v="0"/>
    <x v="0"/>
    <x v="0"/>
    <x v="1"/>
    <x v="4"/>
  </r>
  <r>
    <x v="1"/>
    <x v="919"/>
    <x v="919"/>
    <x v="5"/>
    <x v="32"/>
    <x v="18"/>
    <x v="1"/>
    <x v="50"/>
    <x v="17"/>
    <x v="2"/>
    <x v="2"/>
    <x v="2"/>
    <x v="212"/>
    <x v="336"/>
    <x v="1"/>
    <x v="0"/>
    <x v="227"/>
    <x v="0"/>
    <x v="226"/>
    <x v="166"/>
    <x v="1"/>
    <x v="0"/>
    <x v="0"/>
    <x v="2"/>
    <x v="1"/>
    <x v="0"/>
    <x v="1"/>
    <x v="0"/>
  </r>
  <r>
    <x v="1"/>
    <x v="920"/>
    <x v="920"/>
    <x v="5"/>
    <x v="32"/>
    <x v="18"/>
    <x v="1"/>
    <x v="50"/>
    <x v="17"/>
    <x v="10"/>
    <x v="9"/>
    <x v="9"/>
    <x v="346"/>
    <x v="337"/>
    <x v="2"/>
    <x v="0"/>
    <x v="240"/>
    <x v="0"/>
    <x v="238"/>
    <x v="175"/>
    <x v="1"/>
    <x v="0"/>
    <x v="0"/>
    <x v="2"/>
    <x v="1"/>
    <x v="0"/>
    <x v="1"/>
    <x v="0"/>
  </r>
  <r>
    <x v="1"/>
    <x v="921"/>
    <x v="921"/>
    <x v="3"/>
    <x v="4"/>
    <x v="4"/>
    <x v="1"/>
    <x v="185"/>
    <x v="3"/>
    <x v="11"/>
    <x v="10"/>
    <x v="10"/>
    <x v="375"/>
    <x v="75"/>
    <x v="1"/>
    <x v="0"/>
    <x v="175"/>
    <x v="0"/>
    <x v="173"/>
    <x v="130"/>
    <x v="1"/>
    <x v="75"/>
    <x v="66"/>
    <x v="4"/>
    <x v="1"/>
    <x v="4"/>
    <x v="1"/>
    <x v="0"/>
  </r>
  <r>
    <x v="1"/>
    <x v="922"/>
    <x v="922"/>
    <x v="1"/>
    <x v="41"/>
    <x v="144"/>
    <x v="0"/>
    <x v="313"/>
    <x v="6"/>
    <x v="4"/>
    <x v="4"/>
    <x v="4"/>
    <x v="60"/>
    <x v="149"/>
    <x v="1"/>
    <x v="0"/>
    <x v="117"/>
    <x v="0"/>
    <x v="116"/>
    <x v="84"/>
    <x v="1"/>
    <x v="0"/>
    <x v="0"/>
    <x v="4"/>
    <x v="1"/>
    <x v="4"/>
    <x v="1"/>
    <x v="0"/>
  </r>
  <r>
    <x v="1"/>
    <x v="923"/>
    <x v="923"/>
    <x v="6"/>
    <x v="51"/>
    <x v="83"/>
    <x v="0"/>
    <x v="157"/>
    <x v="2"/>
    <x v="18"/>
    <x v="17"/>
    <x v="17"/>
    <x v="376"/>
    <x v="0"/>
    <x v="1"/>
    <x v="0"/>
    <x v="0"/>
    <x v="0"/>
    <x v="0"/>
    <x v="0"/>
    <x v="0"/>
    <x v="0"/>
    <x v="0"/>
    <x v="3"/>
    <x v="1"/>
    <x v="3"/>
    <x v="1"/>
    <x v="0"/>
  </r>
  <r>
    <x v="1"/>
    <x v="924"/>
    <x v="924"/>
    <x v="5"/>
    <x v="32"/>
    <x v="21"/>
    <x v="1"/>
    <x v="317"/>
    <x v="43"/>
    <x v="11"/>
    <x v="10"/>
    <x v="10"/>
    <x v="102"/>
    <x v="338"/>
    <x v="1"/>
    <x v="0"/>
    <x v="223"/>
    <x v="0"/>
    <x v="222"/>
    <x v="163"/>
    <x v="1"/>
    <x v="0"/>
    <x v="0"/>
    <x v="1"/>
    <x v="1"/>
    <x v="1"/>
    <x v="1"/>
    <x v="0"/>
  </r>
  <r>
    <x v="1"/>
    <x v="925"/>
    <x v="925"/>
    <x v="4"/>
    <x v="7"/>
    <x v="84"/>
    <x v="0"/>
    <x v="159"/>
    <x v="6"/>
    <x v="14"/>
    <x v="13"/>
    <x v="13"/>
    <x v="144"/>
    <x v="0"/>
    <x v="1"/>
    <x v="0"/>
    <x v="0"/>
    <x v="0"/>
    <x v="0"/>
    <x v="0"/>
    <x v="0"/>
    <x v="76"/>
    <x v="67"/>
    <x v="2"/>
    <x v="1"/>
    <x v="0"/>
    <x v="1"/>
    <x v="0"/>
  </r>
  <r>
    <x v="1"/>
    <x v="926"/>
    <x v="926"/>
    <x v="5"/>
    <x v="53"/>
    <x v="111"/>
    <x v="0"/>
    <x v="236"/>
    <x v="8"/>
    <x v="19"/>
    <x v="18"/>
    <x v="18"/>
    <x v="251"/>
    <x v="0"/>
    <x v="2"/>
    <x v="0"/>
    <x v="0"/>
    <x v="0"/>
    <x v="0"/>
    <x v="0"/>
    <x v="0"/>
    <x v="0"/>
    <x v="0"/>
    <x v="3"/>
    <x v="1"/>
    <x v="3"/>
    <x v="1"/>
    <x v="0"/>
  </r>
  <r>
    <x v="1"/>
    <x v="927"/>
    <x v="927"/>
    <x v="6"/>
    <x v="10"/>
    <x v="11"/>
    <x v="0"/>
    <x v="49"/>
    <x v="9"/>
    <x v="6"/>
    <x v="3"/>
    <x v="3"/>
    <x v="246"/>
    <x v="206"/>
    <x v="1"/>
    <x v="0"/>
    <x v="124"/>
    <x v="0"/>
    <x v="123"/>
    <x v="89"/>
    <x v="1"/>
    <x v="0"/>
    <x v="0"/>
    <x v="2"/>
    <x v="1"/>
    <x v="0"/>
    <x v="1"/>
    <x v="0"/>
  </r>
  <r>
    <x v="1"/>
    <x v="928"/>
    <x v="928"/>
    <x v="12"/>
    <x v="49"/>
    <x v="89"/>
    <x v="0"/>
    <x v="169"/>
    <x v="48"/>
    <x v="6"/>
    <x v="3"/>
    <x v="3"/>
    <x v="250"/>
    <x v="143"/>
    <x v="1"/>
    <x v="0"/>
    <x v="16"/>
    <x v="0"/>
    <x v="16"/>
    <x v="13"/>
    <x v="1"/>
    <x v="0"/>
    <x v="0"/>
    <x v="1"/>
    <x v="1"/>
    <x v="1"/>
    <x v="1"/>
    <x v="0"/>
  </r>
  <r>
    <x v="1"/>
    <x v="929"/>
    <x v="929"/>
    <x v="2"/>
    <x v="3"/>
    <x v="4"/>
    <x v="1"/>
    <x v="4"/>
    <x v="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30"/>
    <x v="930"/>
    <x v="6"/>
    <x v="28"/>
    <x v="70"/>
    <x v="1"/>
    <x v="134"/>
    <x v="46"/>
    <x v="23"/>
    <x v="22"/>
    <x v="22"/>
    <x v="377"/>
    <x v="339"/>
    <x v="1"/>
    <x v="0"/>
    <x v="169"/>
    <x v="0"/>
    <x v="167"/>
    <x v="125"/>
    <x v="1"/>
    <x v="0"/>
    <x v="0"/>
    <x v="2"/>
    <x v="1"/>
    <x v="0"/>
    <x v="1"/>
    <x v="0"/>
  </r>
  <r>
    <x v="1"/>
    <x v="931"/>
    <x v="931"/>
    <x v="12"/>
    <x v="49"/>
    <x v="89"/>
    <x v="0"/>
    <x v="169"/>
    <x v="59"/>
    <x v="6"/>
    <x v="3"/>
    <x v="3"/>
    <x v="201"/>
    <x v="39"/>
    <x v="1"/>
    <x v="0"/>
    <x v="131"/>
    <x v="0"/>
    <x v="130"/>
    <x v="95"/>
    <x v="1"/>
    <x v="0"/>
    <x v="0"/>
    <x v="1"/>
    <x v="1"/>
    <x v="1"/>
    <x v="1"/>
    <x v="0"/>
  </r>
  <r>
    <x v="1"/>
    <x v="932"/>
    <x v="932"/>
    <x v="11"/>
    <x v="47"/>
    <x v="5"/>
    <x v="0"/>
    <x v="80"/>
    <x v="32"/>
    <x v="4"/>
    <x v="4"/>
    <x v="4"/>
    <x v="231"/>
    <x v="340"/>
    <x v="1"/>
    <x v="0"/>
    <x v="185"/>
    <x v="0"/>
    <x v="183"/>
    <x v="138"/>
    <x v="1"/>
    <x v="0"/>
    <x v="0"/>
    <x v="5"/>
    <x v="1"/>
    <x v="0"/>
    <x v="1"/>
    <x v="0"/>
  </r>
  <r>
    <x v="1"/>
    <x v="933"/>
    <x v="933"/>
    <x v="6"/>
    <x v="13"/>
    <x v="70"/>
    <x v="1"/>
    <x v="139"/>
    <x v="124"/>
    <x v="35"/>
    <x v="10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34"/>
    <x v="934"/>
    <x v="6"/>
    <x v="9"/>
    <x v="5"/>
    <x v="0"/>
    <x v="200"/>
    <x v="42"/>
    <x v="6"/>
    <x v="3"/>
    <x v="3"/>
    <x v="378"/>
    <x v="341"/>
    <x v="1"/>
    <x v="0"/>
    <x v="196"/>
    <x v="0"/>
    <x v="195"/>
    <x v="145"/>
    <x v="1"/>
    <x v="0"/>
    <x v="0"/>
    <x v="2"/>
    <x v="1"/>
    <x v="0"/>
    <x v="1"/>
    <x v="0"/>
  </r>
  <r>
    <x v="1"/>
    <x v="935"/>
    <x v="935"/>
    <x v="1"/>
    <x v="41"/>
    <x v="66"/>
    <x v="0"/>
    <x v="115"/>
    <x v="6"/>
    <x v="41"/>
    <x v="39"/>
    <x v="39"/>
    <x v="280"/>
    <x v="0"/>
    <x v="1"/>
    <x v="0"/>
    <x v="0"/>
    <x v="0"/>
    <x v="0"/>
    <x v="0"/>
    <x v="0"/>
    <x v="0"/>
    <x v="0"/>
    <x v="4"/>
    <x v="1"/>
    <x v="4"/>
    <x v="1"/>
    <x v="0"/>
  </r>
  <r>
    <x v="1"/>
    <x v="936"/>
    <x v="936"/>
    <x v="3"/>
    <x v="62"/>
    <x v="5"/>
    <x v="0"/>
    <x v="144"/>
    <x v="3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37"/>
    <x v="937"/>
    <x v="6"/>
    <x v="13"/>
    <x v="40"/>
    <x v="1"/>
    <x v="70"/>
    <x v="1"/>
    <x v="31"/>
    <x v="30"/>
    <x v="30"/>
    <x v="133"/>
    <x v="342"/>
    <x v="1"/>
    <x v="0"/>
    <x v="26"/>
    <x v="0"/>
    <x v="26"/>
    <x v="22"/>
    <x v="1"/>
    <x v="77"/>
    <x v="68"/>
    <x v="2"/>
    <x v="1"/>
    <x v="0"/>
    <x v="1"/>
    <x v="0"/>
  </r>
  <r>
    <x v="1"/>
    <x v="938"/>
    <x v="938"/>
    <x v="5"/>
    <x v="100"/>
    <x v="5"/>
    <x v="0"/>
    <x v="321"/>
    <x v="6"/>
    <x v="14"/>
    <x v="13"/>
    <x v="13"/>
    <x v="73"/>
    <x v="343"/>
    <x v="1"/>
    <x v="0"/>
    <x v="4"/>
    <x v="0"/>
    <x v="4"/>
    <x v="0"/>
    <x v="0"/>
    <x v="0"/>
    <x v="0"/>
    <x v="2"/>
    <x v="1"/>
    <x v="0"/>
    <x v="1"/>
    <x v="0"/>
  </r>
  <r>
    <x v="1"/>
    <x v="939"/>
    <x v="939"/>
    <x v="3"/>
    <x v="33"/>
    <x v="29"/>
    <x v="0"/>
    <x v="51"/>
    <x v="24"/>
    <x v="3"/>
    <x v="3"/>
    <x v="3"/>
    <x v="379"/>
    <x v="344"/>
    <x v="2"/>
    <x v="0"/>
    <x v="241"/>
    <x v="0"/>
    <x v="239"/>
    <x v="0"/>
    <x v="0"/>
    <x v="0"/>
    <x v="0"/>
    <x v="4"/>
    <x v="0"/>
    <x v="0"/>
    <x v="1"/>
    <x v="0"/>
  </r>
  <r>
    <x v="1"/>
    <x v="940"/>
    <x v="940"/>
    <x v="20"/>
    <x v="70"/>
    <x v="5"/>
    <x v="0"/>
    <x v="188"/>
    <x v="87"/>
    <x v="10"/>
    <x v="9"/>
    <x v="9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41"/>
    <x v="941"/>
    <x v="6"/>
    <x v="57"/>
    <x v="57"/>
    <x v="0"/>
    <x v="100"/>
    <x v="1"/>
    <x v="17"/>
    <x v="16"/>
    <x v="16"/>
    <x v="380"/>
    <x v="345"/>
    <x v="1"/>
    <x v="0"/>
    <x v="155"/>
    <x v="0"/>
    <x v="152"/>
    <x v="113"/>
    <x v="1"/>
    <x v="0"/>
    <x v="0"/>
    <x v="2"/>
    <x v="1"/>
    <x v="0"/>
    <x v="1"/>
    <x v="0"/>
  </r>
  <r>
    <x v="1"/>
    <x v="942"/>
    <x v="942"/>
    <x v="5"/>
    <x v="32"/>
    <x v="12"/>
    <x v="1"/>
    <x v="53"/>
    <x v="1"/>
    <x v="28"/>
    <x v="27"/>
    <x v="27"/>
    <x v="381"/>
    <x v="0"/>
    <x v="1"/>
    <x v="0"/>
    <x v="0"/>
    <x v="0"/>
    <x v="0"/>
    <x v="0"/>
    <x v="0"/>
    <x v="0"/>
    <x v="0"/>
    <x v="3"/>
    <x v="1"/>
    <x v="3"/>
    <x v="1"/>
    <x v="0"/>
  </r>
  <r>
    <x v="1"/>
    <x v="943"/>
    <x v="943"/>
    <x v="5"/>
    <x v="15"/>
    <x v="5"/>
    <x v="0"/>
    <x v="322"/>
    <x v="81"/>
    <x v="6"/>
    <x v="3"/>
    <x v="3"/>
    <x v="4"/>
    <x v="5"/>
    <x v="1"/>
    <x v="0"/>
    <x v="4"/>
    <x v="0"/>
    <x v="4"/>
    <x v="0"/>
    <x v="0"/>
    <x v="0"/>
    <x v="0"/>
    <x v="1"/>
    <x v="1"/>
    <x v="1"/>
    <x v="1"/>
    <x v="0"/>
  </r>
  <r>
    <x v="1"/>
    <x v="944"/>
    <x v="944"/>
    <x v="5"/>
    <x v="55"/>
    <x v="55"/>
    <x v="0"/>
    <x v="98"/>
    <x v="24"/>
    <x v="14"/>
    <x v="13"/>
    <x v="13"/>
    <x v="382"/>
    <x v="346"/>
    <x v="1"/>
    <x v="0"/>
    <x v="242"/>
    <x v="0"/>
    <x v="240"/>
    <x v="176"/>
    <x v="1"/>
    <x v="78"/>
    <x v="69"/>
    <x v="2"/>
    <x v="1"/>
    <x v="0"/>
    <x v="1"/>
    <x v="0"/>
  </r>
  <r>
    <x v="1"/>
    <x v="945"/>
    <x v="945"/>
    <x v="4"/>
    <x v="34"/>
    <x v="5"/>
    <x v="0"/>
    <x v="323"/>
    <x v="5"/>
    <x v="5"/>
    <x v="5"/>
    <x v="5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46"/>
    <x v="946"/>
    <x v="6"/>
    <x v="28"/>
    <x v="18"/>
    <x v="1"/>
    <x v="48"/>
    <x v="17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47"/>
    <x v="947"/>
    <x v="5"/>
    <x v="101"/>
    <x v="5"/>
    <x v="0"/>
    <x v="324"/>
    <x v="6"/>
    <x v="3"/>
    <x v="3"/>
    <x v="3"/>
    <x v="143"/>
    <x v="347"/>
    <x v="1"/>
    <x v="0"/>
    <x v="243"/>
    <x v="0"/>
    <x v="241"/>
    <x v="0"/>
    <x v="0"/>
    <x v="0"/>
    <x v="0"/>
    <x v="4"/>
    <x v="0"/>
    <x v="0"/>
    <x v="1"/>
    <x v="0"/>
  </r>
  <r>
    <x v="1"/>
    <x v="948"/>
    <x v="948"/>
    <x v="1"/>
    <x v="41"/>
    <x v="38"/>
    <x v="1"/>
    <x v="68"/>
    <x v="28"/>
    <x v="15"/>
    <x v="14"/>
    <x v="14"/>
    <x v="199"/>
    <x v="56"/>
    <x v="1"/>
    <x v="0"/>
    <x v="67"/>
    <x v="0"/>
    <x v="67"/>
    <x v="52"/>
    <x v="1"/>
    <x v="43"/>
    <x v="36"/>
    <x v="2"/>
    <x v="1"/>
    <x v="0"/>
    <x v="1"/>
    <x v="0"/>
  </r>
  <r>
    <x v="1"/>
    <x v="949"/>
    <x v="949"/>
    <x v="5"/>
    <x v="50"/>
    <x v="4"/>
    <x v="1"/>
    <x v="89"/>
    <x v="3"/>
    <x v="11"/>
    <x v="10"/>
    <x v="10"/>
    <x v="0"/>
    <x v="0"/>
    <x v="2"/>
    <x v="0"/>
    <x v="0"/>
    <x v="0"/>
    <x v="0"/>
    <x v="0"/>
    <x v="0"/>
    <x v="79"/>
    <x v="0"/>
    <x v="0"/>
    <x v="1"/>
    <x v="2"/>
    <x v="1"/>
    <x v="0"/>
  </r>
  <r>
    <x v="1"/>
    <x v="950"/>
    <x v="950"/>
    <x v="1"/>
    <x v="41"/>
    <x v="38"/>
    <x v="1"/>
    <x v="68"/>
    <x v="15"/>
    <x v="13"/>
    <x v="12"/>
    <x v="12"/>
    <x v="343"/>
    <x v="0"/>
    <x v="1"/>
    <x v="0"/>
    <x v="0"/>
    <x v="0"/>
    <x v="0"/>
    <x v="0"/>
    <x v="0"/>
    <x v="80"/>
    <x v="70"/>
    <x v="1"/>
    <x v="1"/>
    <x v="1"/>
    <x v="1"/>
    <x v="0"/>
  </r>
  <r>
    <x v="1"/>
    <x v="951"/>
    <x v="951"/>
    <x v="4"/>
    <x v="43"/>
    <x v="5"/>
    <x v="0"/>
    <x v="75"/>
    <x v="29"/>
    <x v="6"/>
    <x v="3"/>
    <x v="3"/>
    <x v="190"/>
    <x v="102"/>
    <x v="1"/>
    <x v="0"/>
    <x v="74"/>
    <x v="0"/>
    <x v="74"/>
    <x v="56"/>
    <x v="1"/>
    <x v="0"/>
    <x v="0"/>
    <x v="2"/>
    <x v="1"/>
    <x v="0"/>
    <x v="1"/>
    <x v="0"/>
  </r>
  <r>
    <x v="1"/>
    <x v="952"/>
    <x v="952"/>
    <x v="5"/>
    <x v="50"/>
    <x v="15"/>
    <x v="1"/>
    <x v="325"/>
    <x v="2"/>
    <x v="11"/>
    <x v="10"/>
    <x v="10"/>
    <x v="0"/>
    <x v="98"/>
    <x v="2"/>
    <x v="0"/>
    <x v="0"/>
    <x v="0"/>
    <x v="0"/>
    <x v="0"/>
    <x v="0"/>
    <x v="0"/>
    <x v="0"/>
    <x v="4"/>
    <x v="1"/>
    <x v="4"/>
    <x v="1"/>
    <x v="0"/>
  </r>
  <r>
    <x v="1"/>
    <x v="953"/>
    <x v="953"/>
    <x v="3"/>
    <x v="33"/>
    <x v="127"/>
    <x v="0"/>
    <x v="272"/>
    <x v="6"/>
    <x v="23"/>
    <x v="22"/>
    <x v="22"/>
    <x v="0"/>
    <x v="0"/>
    <x v="2"/>
    <x v="0"/>
    <x v="0"/>
    <x v="0"/>
    <x v="0"/>
    <x v="0"/>
    <x v="0"/>
    <x v="0"/>
    <x v="0"/>
    <x v="0"/>
    <x v="0"/>
    <x v="0"/>
    <x v="1"/>
    <x v="33"/>
  </r>
  <r>
    <x v="1"/>
    <x v="954"/>
    <x v="954"/>
    <x v="5"/>
    <x v="48"/>
    <x v="91"/>
    <x v="0"/>
    <x v="172"/>
    <x v="37"/>
    <x v="4"/>
    <x v="4"/>
    <x v="4"/>
    <x v="53"/>
    <x v="0"/>
    <x v="1"/>
    <x v="0"/>
    <x v="0"/>
    <x v="0"/>
    <x v="0"/>
    <x v="0"/>
    <x v="0"/>
    <x v="0"/>
    <x v="0"/>
    <x v="3"/>
    <x v="0"/>
    <x v="0"/>
    <x v="1"/>
    <x v="18"/>
  </r>
  <r>
    <x v="1"/>
    <x v="955"/>
    <x v="955"/>
    <x v="12"/>
    <x v="49"/>
    <x v="96"/>
    <x v="0"/>
    <x v="182"/>
    <x v="67"/>
    <x v="6"/>
    <x v="3"/>
    <x v="3"/>
    <x v="0"/>
    <x v="95"/>
    <x v="2"/>
    <x v="0"/>
    <x v="0"/>
    <x v="0"/>
    <x v="0"/>
    <x v="0"/>
    <x v="0"/>
    <x v="0"/>
    <x v="0"/>
    <x v="1"/>
    <x v="1"/>
    <x v="1"/>
    <x v="1"/>
    <x v="0"/>
  </r>
  <r>
    <x v="1"/>
    <x v="956"/>
    <x v="956"/>
    <x v="0"/>
    <x v="29"/>
    <x v="12"/>
    <x v="1"/>
    <x v="52"/>
    <x v="16"/>
    <x v="7"/>
    <x v="6"/>
    <x v="6"/>
    <x v="383"/>
    <x v="0"/>
    <x v="1"/>
    <x v="0"/>
    <x v="0"/>
    <x v="0"/>
    <x v="0"/>
    <x v="0"/>
    <x v="0"/>
    <x v="0"/>
    <x v="0"/>
    <x v="4"/>
    <x v="1"/>
    <x v="4"/>
    <x v="1"/>
    <x v="0"/>
  </r>
  <r>
    <x v="1"/>
    <x v="957"/>
    <x v="957"/>
    <x v="1"/>
    <x v="41"/>
    <x v="118"/>
    <x v="0"/>
    <x v="253"/>
    <x v="6"/>
    <x v="5"/>
    <x v="5"/>
    <x v="5"/>
    <x v="384"/>
    <x v="323"/>
    <x v="1"/>
    <x v="0"/>
    <x v="97"/>
    <x v="0"/>
    <x v="97"/>
    <x v="69"/>
    <x v="1"/>
    <x v="0"/>
    <x v="0"/>
    <x v="2"/>
    <x v="1"/>
    <x v="0"/>
    <x v="1"/>
    <x v="0"/>
  </r>
  <r>
    <x v="1"/>
    <x v="958"/>
    <x v="958"/>
    <x v="5"/>
    <x v="91"/>
    <x v="5"/>
    <x v="0"/>
    <x v="277"/>
    <x v="6"/>
    <x v="14"/>
    <x v="13"/>
    <x v="13"/>
    <x v="385"/>
    <x v="0"/>
    <x v="1"/>
    <x v="0"/>
    <x v="0"/>
    <x v="0"/>
    <x v="0"/>
    <x v="0"/>
    <x v="0"/>
    <x v="0"/>
    <x v="0"/>
    <x v="1"/>
    <x v="1"/>
    <x v="1"/>
    <x v="1"/>
    <x v="0"/>
  </r>
  <r>
    <x v="1"/>
    <x v="959"/>
    <x v="959"/>
    <x v="6"/>
    <x v="57"/>
    <x v="59"/>
    <x v="0"/>
    <x v="103"/>
    <x v="6"/>
    <x v="9"/>
    <x v="8"/>
    <x v="8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60"/>
    <x v="960"/>
    <x v="6"/>
    <x v="57"/>
    <x v="57"/>
    <x v="0"/>
    <x v="100"/>
    <x v="1"/>
    <x v="28"/>
    <x v="27"/>
    <x v="27"/>
    <x v="386"/>
    <x v="0"/>
    <x v="1"/>
    <x v="0"/>
    <x v="0"/>
    <x v="0"/>
    <x v="0"/>
    <x v="0"/>
    <x v="0"/>
    <x v="81"/>
    <x v="71"/>
    <x v="4"/>
    <x v="1"/>
    <x v="4"/>
    <x v="1"/>
    <x v="0"/>
  </r>
  <r>
    <x v="1"/>
    <x v="961"/>
    <x v="961"/>
    <x v="1"/>
    <x v="41"/>
    <x v="38"/>
    <x v="1"/>
    <x v="68"/>
    <x v="2"/>
    <x v="11"/>
    <x v="10"/>
    <x v="10"/>
    <x v="387"/>
    <x v="325"/>
    <x v="2"/>
    <x v="0"/>
    <x v="15"/>
    <x v="0"/>
    <x v="15"/>
    <x v="12"/>
    <x v="1"/>
    <x v="0"/>
    <x v="0"/>
    <x v="1"/>
    <x v="1"/>
    <x v="1"/>
    <x v="1"/>
    <x v="0"/>
  </r>
  <r>
    <x v="1"/>
    <x v="962"/>
    <x v="962"/>
    <x v="0"/>
    <x v="16"/>
    <x v="15"/>
    <x v="1"/>
    <x v="130"/>
    <x v="12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63"/>
    <x v="963"/>
    <x v="6"/>
    <x v="57"/>
    <x v="57"/>
    <x v="0"/>
    <x v="100"/>
    <x v="2"/>
    <x v="28"/>
    <x v="27"/>
    <x v="27"/>
    <x v="0"/>
    <x v="0"/>
    <x v="2"/>
    <x v="0"/>
    <x v="0"/>
    <x v="0"/>
    <x v="0"/>
    <x v="0"/>
    <x v="0"/>
    <x v="0"/>
    <x v="0"/>
    <x v="0"/>
    <x v="1"/>
    <x v="2"/>
    <x v="1"/>
    <x v="0"/>
  </r>
  <r>
    <x v="1"/>
    <x v="964"/>
    <x v="964"/>
    <x v="6"/>
    <x v="28"/>
    <x v="12"/>
    <x v="1"/>
    <x v="41"/>
    <x v="16"/>
    <x v="20"/>
    <x v="19"/>
    <x v="19"/>
    <x v="357"/>
    <x v="68"/>
    <x v="2"/>
    <x v="0"/>
    <x v="112"/>
    <x v="0"/>
    <x v="111"/>
    <x v="80"/>
    <x v="1"/>
    <x v="0"/>
    <x v="0"/>
    <x v="2"/>
    <x v="1"/>
    <x v="0"/>
    <x v="1"/>
    <x v="0"/>
  </r>
  <r>
    <x v="1"/>
    <x v="965"/>
    <x v="965"/>
    <x v="13"/>
    <x v="102"/>
    <x v="5"/>
    <x v="0"/>
    <x v="326"/>
    <x v="131"/>
    <x v="6"/>
    <x v="3"/>
    <x v="3"/>
    <x v="142"/>
    <x v="348"/>
    <x v="1"/>
    <x v="0"/>
    <x v="214"/>
    <x v="0"/>
    <x v="213"/>
    <x v="0"/>
    <x v="0"/>
    <x v="0"/>
    <x v="0"/>
    <x v="1"/>
    <x v="1"/>
    <x v="1"/>
    <x v="1"/>
    <x v="0"/>
  </r>
  <r>
    <x v="1"/>
    <x v="966"/>
    <x v="966"/>
    <x v="5"/>
    <x v="32"/>
    <x v="18"/>
    <x v="1"/>
    <x v="50"/>
    <x v="17"/>
    <x v="7"/>
    <x v="6"/>
    <x v="6"/>
    <x v="388"/>
    <x v="0"/>
    <x v="1"/>
    <x v="0"/>
    <x v="0"/>
    <x v="0"/>
    <x v="0"/>
    <x v="0"/>
    <x v="0"/>
    <x v="0"/>
    <x v="0"/>
    <x v="3"/>
    <x v="1"/>
    <x v="3"/>
    <x v="1"/>
    <x v="0"/>
  </r>
  <r>
    <x v="1"/>
    <x v="967"/>
    <x v="967"/>
    <x v="5"/>
    <x v="43"/>
    <x v="56"/>
    <x v="0"/>
    <x v="160"/>
    <x v="29"/>
    <x v="11"/>
    <x v="10"/>
    <x v="10"/>
    <x v="187"/>
    <x v="349"/>
    <x v="1"/>
    <x v="0"/>
    <x v="244"/>
    <x v="0"/>
    <x v="242"/>
    <x v="177"/>
    <x v="1"/>
    <x v="0"/>
    <x v="0"/>
    <x v="1"/>
    <x v="1"/>
    <x v="1"/>
    <x v="1"/>
    <x v="0"/>
  </r>
  <r>
    <x v="1"/>
    <x v="968"/>
    <x v="968"/>
    <x v="3"/>
    <x v="93"/>
    <x v="135"/>
    <x v="0"/>
    <x v="290"/>
    <x v="6"/>
    <x v="4"/>
    <x v="4"/>
    <x v="4"/>
    <x v="232"/>
    <x v="350"/>
    <x v="1"/>
    <x v="0"/>
    <x v="35"/>
    <x v="0"/>
    <x v="35"/>
    <x v="0"/>
    <x v="0"/>
    <x v="0"/>
    <x v="0"/>
    <x v="2"/>
    <x v="1"/>
    <x v="0"/>
    <x v="1"/>
    <x v="0"/>
  </r>
  <r>
    <x v="1"/>
    <x v="969"/>
    <x v="969"/>
    <x v="4"/>
    <x v="22"/>
    <x v="21"/>
    <x v="1"/>
    <x v="192"/>
    <x v="18"/>
    <x v="2"/>
    <x v="2"/>
    <x v="2"/>
    <x v="297"/>
    <x v="5"/>
    <x v="1"/>
    <x v="0"/>
    <x v="245"/>
    <x v="0"/>
    <x v="243"/>
    <x v="178"/>
    <x v="1"/>
    <x v="0"/>
    <x v="0"/>
    <x v="2"/>
    <x v="1"/>
    <x v="0"/>
    <x v="1"/>
    <x v="0"/>
  </r>
  <r>
    <x v="1"/>
    <x v="970"/>
    <x v="970"/>
    <x v="5"/>
    <x v="32"/>
    <x v="4"/>
    <x v="1"/>
    <x v="82"/>
    <x v="3"/>
    <x v="37"/>
    <x v="35"/>
    <x v="35"/>
    <x v="374"/>
    <x v="351"/>
    <x v="2"/>
    <x v="0"/>
    <x v="115"/>
    <x v="0"/>
    <x v="114"/>
    <x v="82"/>
    <x v="1"/>
    <x v="0"/>
    <x v="0"/>
    <x v="2"/>
    <x v="1"/>
    <x v="0"/>
    <x v="1"/>
    <x v="0"/>
  </r>
  <r>
    <x v="1"/>
    <x v="971"/>
    <x v="971"/>
    <x v="4"/>
    <x v="34"/>
    <x v="104"/>
    <x v="0"/>
    <x v="218"/>
    <x v="6"/>
    <x v="5"/>
    <x v="5"/>
    <x v="5"/>
    <x v="389"/>
    <x v="0"/>
    <x v="1"/>
    <x v="9"/>
    <x v="0"/>
    <x v="8"/>
    <x v="244"/>
    <x v="0"/>
    <x v="0"/>
    <x v="82"/>
    <x v="0"/>
    <x v="4"/>
    <x v="1"/>
    <x v="4"/>
    <x v="1"/>
    <x v="56"/>
  </r>
  <r>
    <x v="1"/>
    <x v="972"/>
    <x v="972"/>
    <x v="5"/>
    <x v="53"/>
    <x v="119"/>
    <x v="0"/>
    <x v="255"/>
    <x v="6"/>
    <x v="14"/>
    <x v="13"/>
    <x v="13"/>
    <x v="270"/>
    <x v="352"/>
    <x v="1"/>
    <x v="0"/>
    <x v="43"/>
    <x v="0"/>
    <x v="43"/>
    <x v="33"/>
    <x v="1"/>
    <x v="0"/>
    <x v="0"/>
    <x v="2"/>
    <x v="1"/>
    <x v="0"/>
    <x v="1"/>
    <x v="0"/>
  </r>
  <r>
    <x v="1"/>
    <x v="973"/>
    <x v="973"/>
    <x v="4"/>
    <x v="10"/>
    <x v="11"/>
    <x v="0"/>
    <x v="164"/>
    <x v="9"/>
    <x v="11"/>
    <x v="10"/>
    <x v="10"/>
    <x v="13"/>
    <x v="5"/>
    <x v="1"/>
    <x v="0"/>
    <x v="130"/>
    <x v="0"/>
    <x v="129"/>
    <x v="94"/>
    <x v="1"/>
    <x v="83"/>
    <x v="72"/>
    <x v="2"/>
    <x v="1"/>
    <x v="0"/>
    <x v="1"/>
    <x v="0"/>
  </r>
  <r>
    <x v="1"/>
    <x v="974"/>
    <x v="974"/>
    <x v="1"/>
    <x v="24"/>
    <x v="22"/>
    <x v="0"/>
    <x v="34"/>
    <x v="3"/>
    <x v="20"/>
    <x v="19"/>
    <x v="19"/>
    <x v="52"/>
    <x v="144"/>
    <x v="1"/>
    <x v="0"/>
    <x v="87"/>
    <x v="0"/>
    <x v="87"/>
    <x v="0"/>
    <x v="0"/>
    <x v="0"/>
    <x v="0"/>
    <x v="2"/>
    <x v="1"/>
    <x v="0"/>
    <x v="1"/>
    <x v="0"/>
  </r>
  <r>
    <x v="1"/>
    <x v="975"/>
    <x v="975"/>
    <x v="6"/>
    <x v="57"/>
    <x v="57"/>
    <x v="0"/>
    <x v="100"/>
    <x v="17"/>
    <x v="13"/>
    <x v="12"/>
    <x v="12"/>
    <x v="57"/>
    <x v="0"/>
    <x v="1"/>
    <x v="0"/>
    <x v="0"/>
    <x v="0"/>
    <x v="0"/>
    <x v="0"/>
    <x v="0"/>
    <x v="0"/>
    <x v="0"/>
    <x v="4"/>
    <x v="1"/>
    <x v="4"/>
    <x v="1"/>
    <x v="0"/>
  </r>
  <r>
    <x v="1"/>
    <x v="976"/>
    <x v="976"/>
    <x v="5"/>
    <x v="53"/>
    <x v="148"/>
    <x v="0"/>
    <x v="327"/>
    <x v="6"/>
    <x v="14"/>
    <x v="13"/>
    <x v="13"/>
    <x v="71"/>
    <x v="343"/>
    <x v="1"/>
    <x v="0"/>
    <x v="48"/>
    <x v="0"/>
    <x v="48"/>
    <x v="0"/>
    <x v="0"/>
    <x v="0"/>
    <x v="0"/>
    <x v="2"/>
    <x v="1"/>
    <x v="0"/>
    <x v="1"/>
    <x v="0"/>
  </r>
  <r>
    <x v="1"/>
    <x v="977"/>
    <x v="977"/>
    <x v="6"/>
    <x v="57"/>
    <x v="60"/>
    <x v="0"/>
    <x v="104"/>
    <x v="132"/>
    <x v="4"/>
    <x v="4"/>
    <x v="4"/>
    <x v="60"/>
    <x v="149"/>
    <x v="1"/>
    <x v="0"/>
    <x v="117"/>
    <x v="0"/>
    <x v="116"/>
    <x v="84"/>
    <x v="1"/>
    <x v="0"/>
    <x v="0"/>
    <x v="4"/>
    <x v="1"/>
    <x v="4"/>
    <x v="1"/>
    <x v="0"/>
  </r>
  <r>
    <x v="1"/>
    <x v="978"/>
    <x v="978"/>
    <x v="2"/>
    <x v="27"/>
    <x v="67"/>
    <x v="0"/>
    <x v="117"/>
    <x v="37"/>
    <x v="4"/>
    <x v="4"/>
    <x v="4"/>
    <x v="0"/>
    <x v="0"/>
    <x v="2"/>
    <x v="0"/>
    <x v="0"/>
    <x v="0"/>
    <x v="0"/>
    <x v="0"/>
    <x v="0"/>
    <x v="0"/>
    <x v="0"/>
    <x v="0"/>
    <x v="0"/>
    <x v="0"/>
    <x v="1"/>
    <x v="18"/>
  </r>
  <r>
    <x v="1"/>
    <x v="979"/>
    <x v="979"/>
    <x v="3"/>
    <x v="33"/>
    <x v="127"/>
    <x v="0"/>
    <x v="272"/>
    <x v="6"/>
    <x v="23"/>
    <x v="22"/>
    <x v="22"/>
    <x v="141"/>
    <x v="353"/>
    <x v="1"/>
    <x v="0"/>
    <x v="144"/>
    <x v="0"/>
    <x v="142"/>
    <x v="104"/>
    <x v="1"/>
    <x v="0"/>
    <x v="0"/>
    <x v="2"/>
    <x v="1"/>
    <x v="0"/>
    <x v="1"/>
    <x v="0"/>
  </r>
  <r>
    <x v="1"/>
    <x v="980"/>
    <x v="980"/>
    <x v="6"/>
    <x v="28"/>
    <x v="12"/>
    <x v="1"/>
    <x v="41"/>
    <x v="1"/>
    <x v="19"/>
    <x v="18"/>
    <x v="18"/>
    <x v="360"/>
    <x v="112"/>
    <x v="2"/>
    <x v="0"/>
    <x v="246"/>
    <x v="0"/>
    <x v="245"/>
    <x v="179"/>
    <x v="1"/>
    <x v="0"/>
    <x v="0"/>
    <x v="5"/>
    <x v="1"/>
    <x v="0"/>
    <x v="1"/>
    <x v="0"/>
  </r>
  <r>
    <x v="1"/>
    <x v="981"/>
    <x v="981"/>
    <x v="3"/>
    <x v="76"/>
    <x v="5"/>
    <x v="0"/>
    <x v="220"/>
    <x v="37"/>
    <x v="4"/>
    <x v="4"/>
    <x v="4"/>
    <x v="0"/>
    <x v="354"/>
    <x v="2"/>
    <x v="0"/>
    <x v="0"/>
    <x v="0"/>
    <x v="0"/>
    <x v="0"/>
    <x v="0"/>
    <x v="0"/>
    <x v="0"/>
    <x v="1"/>
    <x v="1"/>
    <x v="1"/>
    <x v="1"/>
    <x v="0"/>
  </r>
  <r>
    <x v="1"/>
    <x v="982"/>
    <x v="982"/>
    <x v="12"/>
    <x v="49"/>
    <x v="89"/>
    <x v="0"/>
    <x v="169"/>
    <x v="67"/>
    <x v="6"/>
    <x v="3"/>
    <x v="3"/>
    <x v="390"/>
    <x v="39"/>
    <x v="2"/>
    <x v="0"/>
    <x v="199"/>
    <x v="0"/>
    <x v="44"/>
    <x v="34"/>
    <x v="1"/>
    <x v="0"/>
    <x v="0"/>
    <x v="1"/>
    <x v="1"/>
    <x v="1"/>
    <x v="1"/>
    <x v="0"/>
  </r>
  <r>
    <x v="1"/>
    <x v="983"/>
    <x v="983"/>
    <x v="0"/>
    <x v="6"/>
    <x v="149"/>
    <x v="0"/>
    <x v="328"/>
    <x v="6"/>
    <x v="14"/>
    <x v="13"/>
    <x v="13"/>
    <x v="385"/>
    <x v="0"/>
    <x v="1"/>
    <x v="0"/>
    <x v="0"/>
    <x v="0"/>
    <x v="0"/>
    <x v="0"/>
    <x v="0"/>
    <x v="0"/>
    <x v="0"/>
    <x v="1"/>
    <x v="1"/>
    <x v="1"/>
    <x v="1"/>
    <x v="0"/>
  </r>
  <r>
    <x v="1"/>
    <x v="984"/>
    <x v="984"/>
    <x v="4"/>
    <x v="22"/>
    <x v="18"/>
    <x v="1"/>
    <x v="31"/>
    <x v="17"/>
    <x v="11"/>
    <x v="10"/>
    <x v="10"/>
    <x v="101"/>
    <x v="355"/>
    <x v="1"/>
    <x v="0"/>
    <x v="155"/>
    <x v="0"/>
    <x v="152"/>
    <x v="113"/>
    <x v="1"/>
    <x v="0"/>
    <x v="0"/>
    <x v="2"/>
    <x v="1"/>
    <x v="0"/>
    <x v="1"/>
    <x v="0"/>
  </r>
  <r>
    <x v="1"/>
    <x v="985"/>
    <x v="985"/>
    <x v="6"/>
    <x v="17"/>
    <x v="72"/>
    <x v="0"/>
    <x v="127"/>
    <x v="29"/>
    <x v="30"/>
    <x v="29"/>
    <x v="29"/>
    <x v="0"/>
    <x v="0"/>
    <x v="2"/>
    <x v="0"/>
    <x v="0"/>
    <x v="0"/>
    <x v="0"/>
    <x v="0"/>
    <x v="0"/>
    <x v="0"/>
    <x v="0"/>
    <x v="0"/>
    <x v="0"/>
    <x v="0"/>
    <x v="1"/>
    <x v="57"/>
  </r>
  <r>
    <x v="1"/>
    <x v="986"/>
    <x v="986"/>
    <x v="6"/>
    <x v="57"/>
    <x v="57"/>
    <x v="0"/>
    <x v="100"/>
    <x v="16"/>
    <x v="11"/>
    <x v="10"/>
    <x v="10"/>
    <x v="214"/>
    <x v="79"/>
    <x v="1"/>
    <x v="0"/>
    <x v="247"/>
    <x v="0"/>
    <x v="246"/>
    <x v="180"/>
    <x v="1"/>
    <x v="0"/>
    <x v="0"/>
    <x v="2"/>
    <x v="1"/>
    <x v="0"/>
    <x v="1"/>
    <x v="0"/>
  </r>
  <r>
    <x v="1"/>
    <x v="987"/>
    <x v="987"/>
    <x v="6"/>
    <x v="10"/>
    <x v="11"/>
    <x v="0"/>
    <x v="49"/>
    <x v="9"/>
    <x v="6"/>
    <x v="3"/>
    <x v="3"/>
    <x v="201"/>
    <x v="154"/>
    <x v="1"/>
    <x v="0"/>
    <x v="113"/>
    <x v="0"/>
    <x v="112"/>
    <x v="81"/>
    <x v="1"/>
    <x v="0"/>
    <x v="0"/>
    <x v="2"/>
    <x v="1"/>
    <x v="0"/>
    <x v="1"/>
    <x v="0"/>
  </r>
  <r>
    <x v="1"/>
    <x v="988"/>
    <x v="988"/>
    <x v="0"/>
    <x v="6"/>
    <x v="137"/>
    <x v="0"/>
    <x v="329"/>
    <x v="6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  <r>
    <x v="1"/>
    <x v="989"/>
    <x v="989"/>
    <x v="11"/>
    <x v="47"/>
    <x v="5"/>
    <x v="0"/>
    <x v="80"/>
    <x v="133"/>
    <x v="3"/>
    <x v="3"/>
    <x v="3"/>
    <x v="0"/>
    <x v="0"/>
    <x v="1"/>
    <x v="0"/>
    <x v="0"/>
    <x v="0"/>
    <x v="0"/>
    <x v="0"/>
    <x v="0"/>
    <x v="0"/>
    <x v="0"/>
    <x v="0"/>
    <x v="0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E115" firstHeaderRow="1" firstDataRow="2" firstDataCol="2"/>
  <pivotFields count="28"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91">
        <item x="16"/>
        <item x="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3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851"/>
        <item x="852"/>
        <item x="428"/>
        <item x="337"/>
        <item x="669"/>
        <item x="670"/>
        <item x="668"/>
        <item x="427"/>
        <item x="962"/>
        <item x="741"/>
        <item x="740"/>
        <item x="444"/>
        <item x="445"/>
        <item x="443"/>
        <item x="331"/>
        <item x="446"/>
        <item x="554"/>
        <item x="890"/>
        <item x="908"/>
        <item x="901"/>
        <item x="895"/>
        <item x="907"/>
        <item x="882"/>
        <item x="879"/>
        <item x="863"/>
        <item x="893"/>
        <item x="864"/>
        <item x="859"/>
        <item x="860"/>
        <item x="876"/>
        <item x="877"/>
        <item x="866"/>
        <item x="891"/>
        <item x="892"/>
        <item x="889"/>
        <item x="861"/>
        <item x="862"/>
        <item x="865"/>
        <item x="898"/>
        <item x="897"/>
        <item x="905"/>
        <item x="911"/>
        <item x="902"/>
        <item x="878"/>
        <item x="867"/>
        <item x="875"/>
        <item x="14"/>
        <item x="903"/>
        <item x="904"/>
        <item x="883"/>
        <item x="868"/>
        <item x="887"/>
        <item x="886"/>
        <item x="880"/>
        <item x="900"/>
        <item x="894"/>
        <item x="888"/>
        <item x="858"/>
        <item x="884"/>
        <item x="869"/>
        <item x="896"/>
        <item x="899"/>
        <item x="872"/>
        <item x="873"/>
        <item x="874"/>
        <item x="910"/>
        <item x="906"/>
        <item x="15"/>
        <item x="885"/>
        <item x="881"/>
        <item x="909"/>
        <item x="871"/>
        <item x="870"/>
        <item x="912"/>
        <item x="913"/>
        <item x="794"/>
        <item x="165"/>
        <item x="190"/>
        <item x="336"/>
        <item x="334"/>
        <item x="335"/>
        <item x="333"/>
        <item x="426"/>
        <item x="798"/>
        <item x="795"/>
        <item x="796"/>
        <item x="797"/>
        <item x="832"/>
        <item x="699"/>
        <item x="737"/>
        <item x="736"/>
        <item x="514"/>
        <item x="515"/>
        <item x="513"/>
        <item x="571"/>
        <item x="730"/>
        <item x="731"/>
        <item x="733"/>
        <item x="732"/>
        <item x="429"/>
        <item x="430"/>
        <item x="431"/>
        <item x="432"/>
        <item x="433"/>
        <item x="434"/>
        <item x="769"/>
        <item x="196"/>
        <item x="202"/>
        <item x="198"/>
        <item x="197"/>
        <item x="199"/>
        <item x="203"/>
        <item x="195"/>
        <item x="201"/>
        <item x="200"/>
        <item x="191"/>
        <item x="671"/>
        <item x="338"/>
        <item x="955"/>
        <item x="957"/>
        <item x="952"/>
        <item x="956"/>
        <item x="951"/>
        <item x="950"/>
        <item x="954"/>
        <item x="953"/>
        <item x="735"/>
        <item x="700"/>
        <item x="989"/>
        <item x="933"/>
        <item x="935"/>
        <item x="932"/>
        <item x="934"/>
        <item x="194"/>
        <item x="828"/>
        <item x="825"/>
        <item x="824"/>
        <item x="831"/>
        <item x="829"/>
        <item x="830"/>
        <item x="823"/>
        <item x="827"/>
        <item x="826"/>
        <item x="925"/>
        <item x="930"/>
        <item x="929"/>
        <item x="928"/>
        <item x="927"/>
        <item x="926"/>
        <item x="819"/>
        <item x="820"/>
        <item x="822"/>
        <item x="821"/>
        <item x="175"/>
        <item x="173"/>
        <item x="177"/>
        <item x="179"/>
        <item x="178"/>
        <item x="174"/>
        <item x="180"/>
        <item x="176"/>
        <item x="770"/>
        <item x="588"/>
        <item x="587"/>
        <item x="189"/>
        <item x="712"/>
        <item x="11"/>
        <item x="709"/>
        <item x="707"/>
        <item x="715"/>
        <item x="710"/>
        <item x="708"/>
        <item x="711"/>
        <item x="714"/>
        <item x="713"/>
        <item x="721"/>
        <item x="965"/>
        <item x="970"/>
        <item x="976"/>
        <item x="966"/>
        <item x="967"/>
        <item x="980"/>
        <item x="977"/>
        <item x="969"/>
        <item x="983"/>
        <item x="973"/>
        <item x="964"/>
        <item x="974"/>
        <item x="978"/>
        <item x="979"/>
        <item x="963"/>
        <item x="981"/>
        <item x="975"/>
        <item x="968"/>
        <item x="972"/>
        <item x="982"/>
        <item x="971"/>
        <item x="921"/>
        <item x="258"/>
        <item x="757"/>
        <item x="771"/>
        <item x="772"/>
        <item x="773"/>
        <item x="688"/>
        <item x="687"/>
        <item x="576"/>
        <item x="575"/>
        <item x="296"/>
        <item x="301"/>
        <item x="300"/>
        <item x="297"/>
        <item x="299"/>
        <item x="298"/>
        <item x="738"/>
        <item x="603"/>
        <item x="833"/>
        <item x="835"/>
        <item x="837"/>
        <item x="838"/>
        <item x="836"/>
        <item x="834"/>
        <item x="345"/>
        <item x="339"/>
        <item x="192"/>
        <item x="193"/>
        <item x="920"/>
        <item x="986"/>
        <item x="984"/>
        <item x="985"/>
        <item x="462"/>
        <item x="494"/>
        <item x="496"/>
        <item x="495"/>
        <item x="483"/>
        <item x="464"/>
        <item x="475"/>
        <item x="474"/>
        <item x="469"/>
        <item x="467"/>
        <item x="463"/>
        <item x="509"/>
        <item x="492"/>
        <item x="506"/>
        <item x="484"/>
        <item x="485"/>
        <item x="486"/>
        <item x="471"/>
        <item x="472"/>
        <item x="501"/>
        <item x="500"/>
        <item x="499"/>
        <item x="504"/>
        <item x="503"/>
        <item x="470"/>
        <item x="479"/>
        <item x="461"/>
        <item x="498"/>
        <item x="482"/>
        <item x="489"/>
        <item x="502"/>
        <item x="491"/>
        <item x="476"/>
        <item x="490"/>
        <item x="478"/>
        <item x="465"/>
        <item x="488"/>
        <item x="512"/>
        <item x="477"/>
        <item x="510"/>
        <item x="459"/>
        <item x="460"/>
        <item x="487"/>
        <item x="505"/>
        <item x="511"/>
        <item x="9"/>
        <item x="497"/>
        <item x="466"/>
        <item x="507"/>
        <item x="493"/>
        <item x="480"/>
        <item x="481"/>
        <item x="10"/>
        <item x="508"/>
        <item x="468"/>
        <item x="473"/>
        <item x="559"/>
        <item x="558"/>
        <item x="557"/>
        <item x="556"/>
        <item x="340"/>
        <item x="341"/>
        <item x="343"/>
        <item x="342"/>
        <item x="344"/>
        <item x="552"/>
        <item x="553"/>
        <item x="538"/>
        <item x="545"/>
        <item x="540"/>
        <item x="550"/>
        <item x="542"/>
        <item x="544"/>
        <item x="541"/>
        <item x="547"/>
        <item x="546"/>
        <item x="551"/>
        <item x="539"/>
        <item x="549"/>
        <item x="548"/>
        <item x="543"/>
        <item x="210"/>
        <item x="211"/>
        <item x="237"/>
        <item x="231"/>
        <item x="226"/>
        <item x="240"/>
        <item x="244"/>
        <item x="218"/>
        <item x="219"/>
        <item x="217"/>
        <item x="208"/>
        <item x="4"/>
        <item x="209"/>
        <item x="241"/>
        <item x="212"/>
        <item x="223"/>
        <item x="243"/>
        <item x="230"/>
        <item x="239"/>
        <item x="205"/>
        <item x="236"/>
        <item x="224"/>
        <item x="213"/>
        <item x="221"/>
        <item x="222"/>
        <item x="215"/>
        <item x="207"/>
        <item x="228"/>
        <item x="233"/>
        <item x="238"/>
        <item x="220"/>
        <item x="229"/>
        <item x="206"/>
        <item x="234"/>
        <item x="225"/>
        <item x="214"/>
        <item x="242"/>
        <item x="235"/>
        <item x="227"/>
        <item x="204"/>
        <item x="216"/>
        <item x="5"/>
        <item x="232"/>
        <item x="555"/>
        <item x="988"/>
        <item x="302"/>
        <item x="245"/>
        <item x="853"/>
        <item x="854"/>
        <item x="857"/>
        <item x="855"/>
        <item x="856"/>
        <item x="791"/>
        <item x="792"/>
        <item x="172"/>
        <item x="692"/>
        <item x="691"/>
        <item x="694"/>
        <item x="693"/>
        <item x="697"/>
        <item x="698"/>
        <item x="695"/>
        <item x="696"/>
        <item x="949"/>
        <item x="948"/>
        <item x="947"/>
        <item x="260"/>
        <item x="943"/>
        <item x="942"/>
        <item x="946"/>
        <item x="945"/>
        <item x="938"/>
        <item x="941"/>
        <item x="939"/>
        <item x="940"/>
        <item x="944"/>
        <item x="574"/>
        <item x="561"/>
        <item x="560"/>
        <item x="562"/>
        <item x="316"/>
        <item x="729"/>
        <item x="849"/>
        <item x="438"/>
        <item x="734"/>
        <item x="690"/>
        <item x="682"/>
        <item x="701"/>
        <item x="702"/>
        <item x="317"/>
        <item x="563"/>
        <item x="564"/>
        <item x="566"/>
        <item x="565"/>
        <item x="596"/>
        <item x="595"/>
        <item x="597"/>
        <item x="599"/>
        <item x="598"/>
        <item x="601"/>
        <item x="600"/>
        <item x="410"/>
        <item x="411"/>
        <item x="739"/>
        <item x="602"/>
        <item x="458"/>
        <item x="425"/>
        <item x="987"/>
        <item x="842"/>
        <item x="844"/>
        <item x="843"/>
        <item x="159"/>
        <item x="677"/>
        <item x="680"/>
        <item x="681"/>
        <item x="678"/>
        <item x="679"/>
        <item x="802"/>
        <item x="806"/>
        <item x="13"/>
        <item x="805"/>
        <item x="803"/>
        <item x="804"/>
        <item x="801"/>
        <item x="442"/>
        <item x="330"/>
        <item x="168"/>
        <item x="169"/>
        <item x="167"/>
        <item x="170"/>
        <item x="171"/>
        <item x="290"/>
        <item x="325"/>
        <item x="324"/>
        <item x="807"/>
        <item x="808"/>
        <item x="667"/>
        <item x="580"/>
        <item x="582"/>
        <item x="581"/>
        <item x="583"/>
        <item x="584"/>
        <item x="586"/>
        <item x="585"/>
        <item x="672"/>
        <item x="437"/>
        <item x="436"/>
        <item x="435"/>
        <item x="673"/>
        <item x="248"/>
        <item x="247"/>
        <item x="720"/>
        <item x="719"/>
        <item x="717"/>
        <item x="718"/>
        <item x="257"/>
        <item x="322"/>
        <item x="318"/>
        <item x="319"/>
        <item x="321"/>
        <item x="320"/>
        <item x="323"/>
        <item x="723"/>
        <item x="725"/>
        <item x="722"/>
        <item x="728"/>
        <item x="726"/>
        <item x="727"/>
        <item x="724"/>
        <item x="918"/>
        <item x="917"/>
        <item x="919"/>
        <item x="303"/>
        <item x="307"/>
        <item x="310"/>
        <item x="311"/>
        <item x="306"/>
        <item x="309"/>
        <item x="305"/>
        <item x="313"/>
        <item x="312"/>
        <item x="308"/>
        <item x="314"/>
        <item x="304"/>
        <item x="315"/>
        <item x="755"/>
        <item x="768"/>
        <item x="766"/>
        <item x="767"/>
        <item x="577"/>
        <item x="285"/>
        <item x="289"/>
        <item x="287"/>
        <item x="286"/>
        <item x="288"/>
        <item x="284"/>
        <item x="915"/>
        <item x="916"/>
        <item x="914"/>
        <item x="593"/>
        <item x="594"/>
        <item x="666"/>
        <item x="665"/>
        <item x="187"/>
        <item x="686"/>
        <item x="157"/>
        <item x="579"/>
        <item x="578"/>
        <item x="620"/>
        <item x="621"/>
        <item x="610"/>
        <item x="606"/>
        <item x="607"/>
        <item x="630"/>
        <item x="631"/>
        <item x="660"/>
        <item x="663"/>
        <item x="639"/>
        <item x="652"/>
        <item x="643"/>
        <item x="655"/>
        <item x="664"/>
        <item x="608"/>
        <item x="622"/>
        <item x="613"/>
        <item x="623"/>
        <item x="641"/>
        <item x="609"/>
        <item x="611"/>
        <item x="648"/>
        <item x="649"/>
        <item x="645"/>
        <item x="637"/>
        <item x="624"/>
        <item x="662"/>
        <item x="617"/>
        <item x="628"/>
        <item x="634"/>
        <item x="614"/>
        <item x="615"/>
        <item x="618"/>
        <item x="654"/>
        <item x="633"/>
        <item x="644"/>
        <item x="638"/>
        <item x="651"/>
        <item x="625"/>
        <item x="640"/>
        <item x="635"/>
        <item x="636"/>
        <item x="661"/>
        <item x="656"/>
        <item x="659"/>
        <item x="653"/>
        <item x="657"/>
        <item x="612"/>
        <item x="629"/>
        <item x="616"/>
        <item x="647"/>
        <item x="658"/>
        <item x="646"/>
        <item x="642"/>
        <item x="650"/>
        <item x="632"/>
        <item x="627"/>
        <item x="626"/>
        <item x="619"/>
        <item x="246"/>
        <item x="922"/>
        <item x="923"/>
        <item x="924"/>
        <item x="960"/>
        <item x="959"/>
        <item x="961"/>
        <item x="958"/>
        <item x="590"/>
        <item x="589"/>
        <item x="263"/>
        <item x="6"/>
        <item x="269"/>
        <item x="264"/>
        <item x="265"/>
        <item x="267"/>
        <item x="261"/>
        <item x="268"/>
        <item x="266"/>
        <item x="271"/>
        <item x="262"/>
        <item x="270"/>
        <item x="570"/>
        <item x="569"/>
        <item x="568"/>
        <item x="567"/>
        <item x="291"/>
        <item x="292"/>
        <item x="293"/>
        <item x="259"/>
        <item x="931"/>
        <item x="705"/>
        <item x="704"/>
        <item x="706"/>
        <item x="703"/>
        <item x="765"/>
        <item x="764"/>
        <item x="761"/>
        <item x="762"/>
        <item x="763"/>
        <item x="793"/>
        <item x="800"/>
        <item x="799"/>
        <item x="604"/>
        <item x="605"/>
        <item x="423"/>
        <item x="412"/>
        <item x="417"/>
        <item x="419"/>
        <item x="418"/>
        <item x="422"/>
        <item x="413"/>
        <item x="420"/>
        <item x="415"/>
        <item x="416"/>
        <item x="414"/>
        <item x="421"/>
        <item x="760"/>
        <item x="759"/>
        <item x="758"/>
        <item x="689"/>
        <item x="743"/>
        <item x="745"/>
        <item x="744"/>
        <item x="742"/>
        <item x="846"/>
        <item x="845"/>
        <item x="847"/>
        <item x="848"/>
        <item x="158"/>
        <item x="850"/>
        <item x="936"/>
        <item x="937"/>
        <item x="516"/>
        <item x="518"/>
        <item x="525"/>
        <item x="527"/>
        <item x="526"/>
        <item x="532"/>
        <item x="533"/>
        <item x="522"/>
        <item x="534"/>
        <item x="528"/>
        <item x="536"/>
        <item x="519"/>
        <item x="517"/>
        <item x="529"/>
        <item x="535"/>
        <item x="537"/>
        <item x="521"/>
        <item x="520"/>
        <item x="530"/>
        <item x="523"/>
        <item x="524"/>
        <item x="531"/>
        <item x="294"/>
        <item x="295"/>
        <item x="250"/>
        <item x="254"/>
        <item x="256"/>
        <item x="252"/>
        <item x="251"/>
        <item x="255"/>
        <item x="249"/>
        <item x="253"/>
        <item x="188"/>
        <item x="439"/>
        <item x="440"/>
        <item x="572"/>
        <item x="573"/>
        <item x="328"/>
        <item x="329"/>
        <item x="327"/>
        <item x="326"/>
        <item x="161"/>
        <item x="163"/>
        <item x="164"/>
        <item x="160"/>
        <item x="162"/>
        <item x="182"/>
        <item x="183"/>
        <item x="185"/>
        <item x="186"/>
        <item x="181"/>
        <item x="184"/>
        <item x="746"/>
        <item x="749"/>
        <item x="754"/>
        <item x="747"/>
        <item x="753"/>
        <item x="751"/>
        <item x="748"/>
        <item x="750"/>
        <item x="752"/>
        <item x="332"/>
        <item x="424"/>
        <item x="716"/>
        <item x="756"/>
        <item x="592"/>
        <item x="591"/>
        <item x="349"/>
        <item x="395"/>
        <item x="369"/>
        <item x="382"/>
        <item x="386"/>
        <item x="385"/>
        <item x="397"/>
        <item x="373"/>
        <item x="368"/>
        <item x="354"/>
        <item x="355"/>
        <item x="408"/>
        <item x="351"/>
        <item x="363"/>
        <item x="367"/>
        <item x="366"/>
        <item x="383"/>
        <item x="357"/>
        <item x="393"/>
        <item x="352"/>
        <item x="377"/>
        <item x="392"/>
        <item x="401"/>
        <item x="350"/>
        <item x="409"/>
        <item x="391"/>
        <item x="353"/>
        <item x="407"/>
        <item x="387"/>
        <item x="364"/>
        <item x="381"/>
        <item x="347"/>
        <item x="348"/>
        <item x="356"/>
        <item x="396"/>
        <item x="359"/>
        <item x="402"/>
        <item x="372"/>
        <item x="375"/>
        <item x="400"/>
        <item x="378"/>
        <item x="384"/>
        <item x="405"/>
        <item x="365"/>
        <item x="374"/>
        <item x="358"/>
        <item x="406"/>
        <item x="403"/>
        <item x="404"/>
        <item x="388"/>
        <item x="346"/>
        <item x="398"/>
        <item x="8"/>
        <item x="399"/>
        <item x="360"/>
        <item x="390"/>
        <item x="389"/>
        <item x="370"/>
        <item x="371"/>
        <item x="376"/>
        <item x="361"/>
        <item x="362"/>
        <item x="379"/>
        <item x="380"/>
        <item x="394"/>
        <item x="683"/>
        <item x="685"/>
        <item x="684"/>
        <item x="790"/>
        <item x="786"/>
        <item x="776"/>
        <item x="784"/>
        <item x="775"/>
        <item x="779"/>
        <item x="789"/>
        <item x="777"/>
        <item x="782"/>
        <item x="783"/>
        <item x="788"/>
        <item x="780"/>
        <item x="12"/>
        <item x="774"/>
        <item x="785"/>
        <item x="778"/>
        <item x="787"/>
        <item x="781"/>
        <item x="815"/>
        <item x="812"/>
        <item x="814"/>
        <item x="813"/>
        <item x="818"/>
        <item x="817"/>
        <item x="816"/>
        <item x="441"/>
        <item x="839"/>
        <item x="840"/>
        <item x="841"/>
        <item x="166"/>
        <item x="275"/>
        <item x="278"/>
        <item x="272"/>
        <item x="283"/>
        <item x="282"/>
        <item x="280"/>
        <item x="273"/>
        <item x="279"/>
        <item x="276"/>
        <item x="277"/>
        <item x="274"/>
        <item x="281"/>
        <item x="451"/>
        <item x="450"/>
        <item x="448"/>
        <item x="454"/>
        <item x="452"/>
        <item x="447"/>
        <item x="455"/>
        <item x="456"/>
        <item x="453"/>
        <item x="457"/>
        <item x="449"/>
        <item x="676"/>
        <item x="674"/>
        <item x="675"/>
        <item x="811"/>
        <item x="810"/>
        <item x="809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991">
        <item x="396"/>
        <item x="186"/>
        <item x="426"/>
        <item x="521"/>
        <item x="358"/>
        <item x="576"/>
        <item x="236"/>
        <item x="189"/>
        <item x="703"/>
        <item x="583"/>
        <item x="880"/>
        <item x="167"/>
        <item x="873"/>
        <item x="942"/>
        <item x="347"/>
        <item x="704"/>
        <item x="697"/>
        <item x="629"/>
        <item x="161"/>
        <item x="85"/>
        <item x="776"/>
        <item x="569"/>
        <item x="924"/>
        <item x="920"/>
        <item x="363"/>
        <item x="800"/>
        <item x="726"/>
        <item x="973"/>
        <item x="444"/>
        <item x="572"/>
        <item x="981"/>
        <item x="315"/>
        <item x="760"/>
        <item x="323"/>
        <item x="943"/>
        <item x="192"/>
        <item x="585"/>
        <item x="241"/>
        <item x="263"/>
        <item x="474"/>
        <item x="305"/>
        <item x="706"/>
        <item x="710"/>
        <item x="617"/>
        <item x="295"/>
        <item x="173"/>
        <item x="605"/>
        <item x="265"/>
        <item x="450"/>
        <item x="894"/>
        <item x="248"/>
        <item x="564"/>
        <item x="696"/>
        <item x="298"/>
        <item x="647"/>
        <item x="986"/>
        <item x="933"/>
        <item x="375"/>
        <item x="448"/>
        <item x="162"/>
        <item x="568"/>
        <item x="374"/>
        <item x="750"/>
        <item x="532"/>
        <item x="90"/>
        <item x="440"/>
        <item x="661"/>
        <item x="633"/>
        <item x="246"/>
        <item x="361"/>
        <item x="550"/>
        <item x="804"/>
        <item x="235"/>
        <item x="808"/>
        <item x="197"/>
        <item x="95"/>
        <item x="786"/>
        <item x="76"/>
        <item x="321"/>
        <item x="798"/>
        <item x="179"/>
        <item x="820"/>
        <item x="147"/>
        <item x="496"/>
        <item x="56"/>
        <item x="570"/>
        <item x="392"/>
        <item x="40"/>
        <item x="853"/>
        <item x="987"/>
        <item x="326"/>
        <item x="796"/>
        <item x="283"/>
        <item x="656"/>
        <item x="349"/>
        <item x="947"/>
        <item x="560"/>
        <item x="25"/>
        <item x="898"/>
        <item x="217"/>
        <item x="835"/>
        <item x="97"/>
        <item x="954"/>
        <item x="816"/>
        <item x="542"/>
        <item x="41"/>
        <item x="749"/>
        <item x="648"/>
        <item x="709"/>
        <item x="743"/>
        <item x="662"/>
        <item x="282"/>
        <item x="770"/>
        <item x="159"/>
        <item x="36"/>
        <item x="213"/>
        <item x="945"/>
        <item x="540"/>
        <item x="680"/>
        <item x="511"/>
        <item x="19"/>
        <item x="393"/>
        <item x="42"/>
        <item x="80"/>
        <item x="477"/>
        <item x="831"/>
        <item x="408"/>
        <item x="651"/>
        <item x="508"/>
        <item x="571"/>
        <item x="887"/>
        <item x="136"/>
        <item x="87"/>
        <item x="61"/>
        <item x="34"/>
        <item x="156"/>
        <item x="252"/>
        <item x="152"/>
        <item x="100"/>
        <item x="98"/>
        <item x="94"/>
        <item x="67"/>
        <item x="125"/>
        <item x="143"/>
        <item x="257"/>
        <item x="314"/>
        <item x="588"/>
        <item x="594"/>
        <item x="410"/>
        <item x="936"/>
        <item x="763"/>
        <item x="897"/>
        <item x="985"/>
        <item x="904"/>
        <item x="677"/>
        <item x="249"/>
        <item x="71"/>
        <item x="606"/>
        <item x="913"/>
        <item x="739"/>
        <item x="893"/>
        <item x="390"/>
        <item x="802"/>
        <item x="430"/>
        <item x="961"/>
        <item x="264"/>
        <item x="736"/>
        <item x="445"/>
        <item x="638"/>
        <item x="730"/>
        <item x="744"/>
        <item x="104"/>
        <item x="553"/>
        <item x="101"/>
        <item x="830"/>
        <item x="883"/>
        <item x="900"/>
        <item x="174"/>
        <item x="782"/>
        <item x="185"/>
        <item x="708"/>
        <item x="469"/>
        <item x="870"/>
        <item x="967"/>
        <item x="654"/>
        <item x="722"/>
        <item x="6"/>
        <item x="879"/>
        <item x="11"/>
        <item x="480"/>
        <item x="874"/>
        <item x="545"/>
        <item x="862"/>
        <item x="556"/>
        <item x="682"/>
        <item x="297"/>
        <item x="514"/>
        <item x="669"/>
        <item x="627"/>
        <item x="381"/>
        <item x="206"/>
        <item x="418"/>
        <item x="659"/>
        <item x="271"/>
        <item x="401"/>
        <item x="848"/>
        <item x="752"/>
        <item x="895"/>
        <item x="907"/>
        <item x="718"/>
        <item x="932"/>
        <item x="370"/>
        <item x="331"/>
        <item x="232"/>
        <item x="716"/>
        <item x="634"/>
        <item x="515"/>
        <item x="917"/>
        <item x="285"/>
        <item x="302"/>
        <item x="502"/>
        <item x="678"/>
        <item x="182"/>
        <item x="653"/>
        <item x="491"/>
        <item x="775"/>
        <item x="624"/>
        <item x="489"/>
        <item x="150"/>
        <item x="851"/>
        <item x="841"/>
        <item x="778"/>
        <item x="582"/>
        <item x="296"/>
        <item x="958"/>
        <item x="240"/>
        <item x="866"/>
        <item x="598"/>
        <item x="618"/>
        <item x="555"/>
        <item x="318"/>
        <item x="340"/>
        <item x="693"/>
        <item x="888"/>
        <item x="777"/>
        <item x="689"/>
        <item x="649"/>
        <item x="5"/>
        <item x="313"/>
        <item x="610"/>
        <item x="233"/>
        <item x="501"/>
        <item x="201"/>
        <item x="322"/>
        <item x="838"/>
        <item x="202"/>
        <item x="247"/>
        <item x="278"/>
        <item x="667"/>
        <item x="850"/>
        <item x="243"/>
        <item x="466"/>
        <item x="988"/>
        <item x="32"/>
        <item x="761"/>
        <item x="366"/>
        <item x="294"/>
        <item x="645"/>
        <item x="959"/>
        <item x="621"/>
        <item x="21"/>
        <item x="138"/>
        <item x="83"/>
        <item x="245"/>
        <item x="395"/>
        <item x="72"/>
        <item x="51"/>
        <item x="65"/>
        <item x="391"/>
        <item x="344"/>
        <item x="482"/>
        <item x="350"/>
        <item x="745"/>
        <item x="817"/>
        <item x="875"/>
        <item x="937"/>
        <item x="231"/>
        <item x="307"/>
        <item x="773"/>
        <item x="715"/>
        <item x="834"/>
        <item x="494"/>
        <item x="333"/>
        <item x="740"/>
        <item x="485"/>
        <item x="565"/>
        <item x="801"/>
        <item x="837"/>
        <item x="686"/>
        <item x="112"/>
        <item x="250"/>
        <item x="419"/>
        <item x="330"/>
        <item x="200"/>
        <item x="735"/>
        <item x="424"/>
        <item x="388"/>
        <item x="721"/>
        <item x="332"/>
        <item x="528"/>
        <item x="82"/>
        <item x="672"/>
        <item x="827"/>
        <item x="843"/>
        <item x="918"/>
        <item x="789"/>
        <item x="890"/>
        <item x="694"/>
        <item x="751"/>
        <item x="811"/>
        <item x="158"/>
        <item x="488"/>
        <item x="352"/>
        <item x="978"/>
        <item x="409"/>
        <item x="389"/>
        <item x="320"/>
        <item x="251"/>
        <item x="914"/>
        <item x="281"/>
        <item x="495"/>
        <item x="490"/>
        <item x="484"/>
        <item x="658"/>
        <item x="404"/>
        <item x="684"/>
        <item x="256"/>
        <item x="58"/>
        <item x="676"/>
        <item x="823"/>
        <item x="329"/>
        <item x="382"/>
        <item x="756"/>
        <item x="567"/>
        <item x="652"/>
        <item x="455"/>
        <item x="239"/>
        <item x="403"/>
        <item x="23"/>
        <item x="922"/>
        <item x="461"/>
        <item x="506"/>
        <item x="45"/>
        <item x="81"/>
        <item x="75"/>
        <item x="449"/>
        <item x="238"/>
        <item x="128"/>
        <item x="727"/>
        <item x="437"/>
        <item x="462"/>
        <item x="164"/>
        <item x="328"/>
        <item x="791"/>
        <item x="741"/>
        <item x="522"/>
        <item x="177"/>
        <item x="371"/>
        <item x="309"/>
        <item x="759"/>
        <item x="308"/>
        <item x="639"/>
        <item x="698"/>
        <item x="379"/>
        <item x="304"/>
        <item x="531"/>
        <item x="554"/>
        <item x="939"/>
        <item x="475"/>
        <item x="288"/>
        <item x="783"/>
        <item x="432"/>
        <item x="442"/>
        <item x="362"/>
        <item x="833"/>
        <item x="699"/>
        <item x="259"/>
        <item x="668"/>
        <item x="657"/>
        <item x="772"/>
        <item x="616"/>
        <item x="810"/>
        <item x="549"/>
        <item x="612"/>
        <item x="971"/>
        <item x="797"/>
        <item x="60"/>
        <item x="805"/>
        <item x="832"/>
        <item x="746"/>
        <item x="367"/>
        <item x="178"/>
        <item x="372"/>
        <item x="541"/>
        <item x="237"/>
        <item x="509"/>
        <item x="551"/>
        <item x="543"/>
        <item x="443"/>
        <item x="411"/>
        <item x="434"/>
        <item x="771"/>
        <item x="459"/>
        <item x="755"/>
        <item x="578"/>
        <item x="640"/>
        <item x="16"/>
        <item x="646"/>
        <item x="145"/>
        <item x="885"/>
        <item x="272"/>
        <item x="707"/>
        <item x="852"/>
        <item x="14"/>
        <item x="229"/>
        <item x="170"/>
        <item x="595"/>
        <item x="270"/>
        <item x="590"/>
        <item x="400"/>
        <item x="223"/>
        <item x="785"/>
        <item x="886"/>
        <item x="208"/>
        <item x="413"/>
        <item x="881"/>
        <item x="129"/>
        <item x="635"/>
        <item x="114"/>
        <item x="368"/>
        <item x="225"/>
        <item x="912"/>
        <item x="155"/>
        <item x="386"/>
        <item x="44"/>
        <item x="417"/>
        <item x="287"/>
        <item x="844"/>
        <item x="906"/>
        <item x="341"/>
        <item x="566"/>
        <item x="498"/>
        <item x="463"/>
        <item x="53"/>
        <item x="91"/>
        <item x="609"/>
        <item x="365"/>
        <item x="574"/>
        <item x="157"/>
        <item x="37"/>
        <item x="336"/>
        <item x="573"/>
        <item x="938"/>
        <item x="50"/>
        <item x="218"/>
        <item x="577"/>
        <item x="187"/>
        <item x="891"/>
        <item x="64"/>
        <item x="148"/>
        <item x="737"/>
        <item x="558"/>
        <item x="876"/>
        <item x="453"/>
        <item x="415"/>
        <item x="530"/>
        <item x="338"/>
        <item x="183"/>
        <item x="325"/>
        <item x="544"/>
        <item x="731"/>
        <item x="524"/>
        <item x="149"/>
        <item x="8"/>
        <item x="964"/>
        <item x="373"/>
        <item x="20"/>
        <item x="896"/>
        <item x="899"/>
        <item x="131"/>
        <item x="224"/>
        <item x="956"/>
        <item x="68"/>
        <item x="905"/>
        <item x="666"/>
        <item x="59"/>
        <item x="925"/>
        <item x="425"/>
        <item x="613"/>
        <item x="849"/>
        <item x="931"/>
        <item x="623"/>
        <item x="63"/>
        <item x="357"/>
        <item x="780"/>
        <item x="151"/>
        <item x="557"/>
        <item x="733"/>
        <item x="436"/>
        <item x="15"/>
        <item x="711"/>
        <item x="476"/>
        <item x="603"/>
        <item x="299"/>
        <item x="160"/>
        <item x="946"/>
        <item x="969"/>
        <item x="516"/>
        <item x="184"/>
        <item x="533"/>
        <item x="842"/>
        <item x="637"/>
        <item x="353"/>
        <item x="607"/>
        <item x="604"/>
        <item x="198"/>
        <item x="291"/>
        <item x="527"/>
        <item x="327"/>
        <item x="74"/>
        <item x="260"/>
        <item x="525"/>
        <item x="720"/>
        <item x="909"/>
        <item x="622"/>
        <item x="203"/>
        <item x="562"/>
        <item x="380"/>
        <item x="181"/>
        <item x="356"/>
        <item x="960"/>
        <item x="428"/>
        <item x="970"/>
        <item x="536"/>
        <item x="276"/>
        <item x="732"/>
        <item x="118"/>
        <item x="526"/>
        <item x="681"/>
        <item x="854"/>
        <item x="116"/>
        <item x="626"/>
        <item x="927"/>
        <item x="348"/>
        <item x="435"/>
        <item x="451"/>
        <item x="289"/>
        <item x="467"/>
        <item x="714"/>
        <item x="768"/>
        <item x="951"/>
        <item x="631"/>
        <item x="439"/>
        <item x="234"/>
        <item x="43"/>
        <item x="119"/>
        <item x="337"/>
        <item x="360"/>
        <item x="857"/>
        <item x="593"/>
        <item x="940"/>
        <item x="824"/>
        <item x="944"/>
        <item x="478"/>
        <item x="713"/>
        <item x="781"/>
        <item x="279"/>
        <item x="828"/>
        <item x="103"/>
        <item x="188"/>
        <item x="575"/>
        <item x="517"/>
        <item x="758"/>
        <item x="69"/>
        <item x="204"/>
        <item x="110"/>
        <item x="921"/>
        <item x="84"/>
        <item x="701"/>
        <item x="779"/>
        <item x="787"/>
        <item x="88"/>
        <item x="948"/>
        <item x="665"/>
        <item x="807"/>
        <item x="930"/>
        <item x="953"/>
        <item x="539"/>
        <item x="670"/>
        <item x="175"/>
        <item x="966"/>
        <item x="592"/>
        <item x="882"/>
        <item x="78"/>
        <item x="452"/>
        <item x="456"/>
        <item x="774"/>
        <item x="929"/>
        <item x="483"/>
        <item x="935"/>
        <item x="941"/>
        <item x="591"/>
        <item x="92"/>
        <item x="441"/>
        <item x="205"/>
        <item x="354"/>
        <item x="856"/>
        <item x="962"/>
        <item x="316"/>
        <item x="465"/>
        <item x="457"/>
        <item x="284"/>
        <item x="479"/>
        <item x="790"/>
        <item x="855"/>
        <item x="207"/>
        <item x="695"/>
        <item x="402"/>
        <item x="364"/>
        <item x="169"/>
        <item x="275"/>
        <item x="262"/>
        <item x="166"/>
        <item x="641"/>
        <item x="614"/>
        <item x="230"/>
        <item x="54"/>
        <item x="253"/>
        <item x="244"/>
        <item x="255"/>
        <item x="723"/>
        <item x="724"/>
        <item x="195"/>
        <item x="813"/>
        <item x="729"/>
        <item x="492"/>
        <item x="464"/>
        <item x="928"/>
        <item x="254"/>
        <item x="799"/>
        <item x="468"/>
        <item x="926"/>
        <item x="346"/>
        <item x="685"/>
        <item x="794"/>
        <item x="293"/>
        <item x="584"/>
        <item x="792"/>
        <item x="438"/>
        <item x="600"/>
        <item x="814"/>
        <item x="35"/>
        <item x="982"/>
        <item x="109"/>
        <item x="497"/>
        <item x="27"/>
        <item x="846"/>
        <item x="286"/>
        <item x="753"/>
        <item x="671"/>
        <item x="889"/>
        <item x="871"/>
        <item x="310"/>
        <item x="687"/>
        <item x="369"/>
        <item x="306"/>
        <item x="77"/>
        <item x="972"/>
        <item x="55"/>
        <item x="22"/>
        <item x="106"/>
        <item x="141"/>
        <item x="139"/>
        <item x="48"/>
        <item x="46"/>
        <item x="108"/>
        <item x="29"/>
        <item x="33"/>
        <item x="30"/>
        <item x="107"/>
        <item x="31"/>
        <item x="102"/>
        <item x="481"/>
        <item x="700"/>
        <item x="632"/>
        <item x="806"/>
        <item x="769"/>
        <item x="317"/>
        <item x="405"/>
        <item x="911"/>
        <item x="193"/>
        <item x="860"/>
        <item x="427"/>
        <item x="625"/>
        <item x="345"/>
        <item x="493"/>
        <item x="636"/>
        <item x="581"/>
        <item x="934"/>
        <item x="66"/>
        <item x="503"/>
        <item x="191"/>
        <item x="535"/>
        <item x="214"/>
        <item x="422"/>
        <item x="548"/>
        <item x="734"/>
        <item x="487"/>
        <item x="589"/>
        <item x="825"/>
        <item x="809"/>
        <item x="691"/>
        <item x="194"/>
        <item x="683"/>
        <item x="675"/>
        <item x="812"/>
        <item x="500"/>
        <item x="919"/>
        <item x="754"/>
        <item x="117"/>
        <item x="242"/>
        <item x="137"/>
        <item x="538"/>
        <item x="504"/>
        <item x="277"/>
        <item x="446"/>
        <item x="211"/>
        <item x="154"/>
        <item x="24"/>
        <item x="644"/>
        <item x="643"/>
        <item x="916"/>
        <item x="86"/>
        <item x="93"/>
        <item x="311"/>
        <item x="429"/>
        <item x="196"/>
        <item x="471"/>
        <item x="99"/>
        <item x="793"/>
        <item x="826"/>
        <item x="486"/>
        <item x="176"/>
        <item x="180"/>
        <item x="660"/>
        <item x="447"/>
        <item x="738"/>
        <item x="767"/>
        <item x="126"/>
        <item x="394"/>
        <item x="601"/>
        <item x="728"/>
        <item x="725"/>
        <item x="111"/>
        <item x="132"/>
        <item x="12"/>
        <item x="292"/>
        <item x="983"/>
        <item x="663"/>
        <item x="788"/>
        <item x="869"/>
        <item x="123"/>
        <item x="546"/>
        <item x="303"/>
        <item x="228"/>
        <item x="343"/>
        <item x="829"/>
        <item x="599"/>
        <item x="219"/>
        <item x="520"/>
        <item x="124"/>
        <item x="877"/>
        <item x="619"/>
        <item x="17"/>
        <item x="290"/>
        <item x="226"/>
        <item x="518"/>
        <item x="784"/>
        <item x="414"/>
        <item x="795"/>
        <item x="376"/>
        <item x="49"/>
        <item x="420"/>
        <item x="847"/>
        <item x="977"/>
        <item x="209"/>
        <item x="407"/>
        <item x="384"/>
        <item x="674"/>
        <item x="268"/>
        <item x="818"/>
        <item x="89"/>
        <item x="216"/>
        <item x="70"/>
        <item x="762"/>
        <item x="266"/>
        <item x="122"/>
        <item x="121"/>
        <item x="512"/>
        <item x="552"/>
        <item x="872"/>
        <item x="433"/>
        <item x="579"/>
        <item x="454"/>
        <item x="171"/>
        <item x="324"/>
        <item x="105"/>
        <item x="915"/>
        <item x="859"/>
        <item x="747"/>
        <item x="79"/>
        <item x="221"/>
        <item x="965"/>
        <item x="975"/>
        <item x="903"/>
        <item x="507"/>
        <item x="258"/>
        <item x="586"/>
        <item x="765"/>
        <item x="267"/>
        <item x="274"/>
        <item x="865"/>
        <item x="163"/>
        <item x="473"/>
        <item x="742"/>
        <item x="561"/>
        <item x="140"/>
        <item x="142"/>
        <item x="690"/>
        <item x="529"/>
        <item x="385"/>
        <item x="9"/>
        <item x="702"/>
        <item x="979"/>
        <item x="534"/>
        <item x="26"/>
        <item x="38"/>
        <item x="923"/>
        <item x="28"/>
        <item x="153"/>
        <item x="416"/>
        <item x="222"/>
        <item x="513"/>
        <item x="989"/>
        <item x="300"/>
        <item x="319"/>
        <item x="273"/>
        <item x="628"/>
        <item x="717"/>
        <item x="261"/>
        <item x="630"/>
        <item x="398"/>
        <item x="135"/>
        <item x="963"/>
        <item x="664"/>
        <item x="910"/>
        <item x="387"/>
        <item x="378"/>
        <item x="597"/>
        <item x="120"/>
        <item x="868"/>
        <item x="615"/>
        <item x="57"/>
        <item x="355"/>
        <item x="301"/>
        <item x="359"/>
        <item x="901"/>
        <item x="861"/>
        <item x="803"/>
        <item x="165"/>
        <item x="499"/>
        <item x="172"/>
        <item x="908"/>
        <item x="878"/>
        <item x="563"/>
        <item x="596"/>
        <item x="980"/>
        <item x="864"/>
        <item x="127"/>
        <item x="719"/>
        <item x="130"/>
        <item x="523"/>
        <item x="146"/>
        <item x="460"/>
        <item x="867"/>
        <item x="748"/>
        <item x="968"/>
        <item x="458"/>
        <item x="822"/>
        <item x="215"/>
        <item x="351"/>
        <item x="472"/>
        <item x="602"/>
        <item x="212"/>
        <item x="115"/>
        <item x="431"/>
        <item x="537"/>
        <item x="377"/>
        <item x="423"/>
        <item x="705"/>
        <item x="819"/>
        <item x="2"/>
        <item x="199"/>
        <item x="342"/>
        <item x="559"/>
        <item x="611"/>
        <item x="845"/>
        <item x="949"/>
        <item x="840"/>
        <item x="96"/>
        <item x="52"/>
        <item x="406"/>
        <item x="836"/>
        <item x="655"/>
        <item x="47"/>
        <item x="608"/>
        <item x="821"/>
        <item x="650"/>
        <item x="580"/>
        <item x="712"/>
        <item x="269"/>
        <item x="383"/>
        <item x="764"/>
        <item x="470"/>
        <item x="957"/>
        <item x="339"/>
        <item x="13"/>
        <item x="280"/>
        <item x="113"/>
        <item x="133"/>
        <item x="397"/>
        <item x="950"/>
        <item x="210"/>
        <item x="587"/>
        <item x="39"/>
        <item x="815"/>
        <item x="974"/>
        <item x="757"/>
        <item x="412"/>
        <item x="547"/>
        <item x="227"/>
        <item x="892"/>
        <item x="505"/>
        <item x="62"/>
        <item x="7"/>
        <item x="144"/>
        <item x="884"/>
        <item x="863"/>
        <item x="334"/>
        <item x="679"/>
        <item x="692"/>
        <item x="18"/>
        <item x="4"/>
        <item x="955"/>
        <item x="839"/>
        <item x="984"/>
        <item x="642"/>
        <item x="220"/>
        <item x="73"/>
        <item x="335"/>
        <item x="134"/>
        <item x="312"/>
        <item x="519"/>
        <item x="766"/>
        <item x="421"/>
        <item x="620"/>
        <item x="190"/>
        <item x="3"/>
        <item x="0"/>
        <item x="399"/>
        <item x="688"/>
        <item x="858"/>
        <item x="10"/>
        <item x="168"/>
        <item x="902"/>
        <item x="976"/>
        <item x="1"/>
        <item x="952"/>
        <item x="673"/>
        <item x="5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4">
        <item sd="0" x="20"/>
        <item sd="0" x="8"/>
        <item sd="0" x="7"/>
        <item sd="0" x="18"/>
        <item sd="0" x="17"/>
        <item sd="0" x="9"/>
        <item sd="0" x="11"/>
        <item x="2"/>
        <item x="3"/>
        <item sd="0" x="21"/>
        <item x="1"/>
        <item sd="0" x="14"/>
        <item sd="0" x="22"/>
        <item x="0"/>
        <item x="5"/>
        <item sd="0" x="15"/>
        <item sd="0" x="10"/>
        <item sd="0" x="13"/>
        <item sd="0" x="19"/>
        <item sd="0" x="16"/>
        <item x="4"/>
        <item sd="0" x="1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04">
        <item x="15"/>
        <item x="52"/>
        <item x="1"/>
        <item x="29"/>
        <item x="84"/>
        <item x="55"/>
        <item x="38"/>
        <item x="91"/>
        <item x="72"/>
        <item x="50"/>
        <item x="68"/>
        <item x="73"/>
        <item x="16"/>
        <item x="33"/>
        <item x="88"/>
        <item x="28"/>
        <item x="6"/>
        <item x="34"/>
        <item x="67"/>
        <item x="53"/>
        <item x="26"/>
        <item x="21"/>
        <item x="93"/>
        <item x="32"/>
        <item x="98"/>
        <item x="46"/>
        <item x="12"/>
        <item x="22"/>
        <item x="69"/>
        <item x="31"/>
        <item x="101"/>
        <item x="13"/>
        <item x="56"/>
        <item x="40"/>
        <item x="62"/>
        <item x="20"/>
        <item x="23"/>
        <item x="42"/>
        <item x="3"/>
        <item x="79"/>
        <item x="76"/>
        <item x="57"/>
        <item x="27"/>
        <item x="60"/>
        <item x="7"/>
        <item x="8"/>
        <item x="30"/>
        <item x="39"/>
        <item x="2"/>
        <item x="41"/>
        <item x="24"/>
        <item x="4"/>
        <item x="89"/>
        <item x="48"/>
        <item x="74"/>
        <item x="96"/>
        <item x="95"/>
        <item x="0"/>
        <item x="100"/>
        <item x="17"/>
        <item x="5"/>
        <item x="51"/>
        <item x="82"/>
        <item x="11"/>
        <item x="35"/>
        <item x="36"/>
        <item x="58"/>
        <item x="18"/>
        <item x="59"/>
        <item x="83"/>
        <item x="9"/>
        <item x="85"/>
        <item x="25"/>
        <item x="61"/>
        <item x="19"/>
        <item x="92"/>
        <item x="14"/>
        <item x="43"/>
        <item x="75"/>
        <item x="70"/>
        <item x="47"/>
        <item x="77"/>
        <item x="86"/>
        <item x="65"/>
        <item x="71"/>
        <item x="99"/>
        <item x="78"/>
        <item x="49"/>
        <item x="87"/>
        <item x="66"/>
        <item x="102"/>
        <item x="63"/>
        <item x="45"/>
        <item x="44"/>
        <item x="37"/>
        <item x="97"/>
        <item x="90"/>
        <item x="10"/>
        <item x="64"/>
        <item x="54"/>
        <item x="81"/>
        <item x="94"/>
        <item x="8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1">
        <item x="5"/>
        <item x="19"/>
        <item x="30"/>
        <item x="52"/>
        <item x="10"/>
        <item x="2"/>
        <item x="14"/>
        <item x="62"/>
        <item x="104"/>
        <item x="48"/>
        <item x="33"/>
        <item x="37"/>
        <item x="137"/>
        <item x="65"/>
        <item x="124"/>
        <item x="147"/>
        <item x="43"/>
        <item x="58"/>
        <item x="93"/>
        <item x="45"/>
        <item x="113"/>
        <item x="28"/>
        <item x="34"/>
        <item x="81"/>
        <item x="6"/>
        <item x="7"/>
        <item x="123"/>
        <item x="29"/>
        <item x="38"/>
        <item x="92"/>
        <item x="139"/>
        <item x="127"/>
        <item x="53"/>
        <item x="25"/>
        <item x="54"/>
        <item x="17"/>
        <item x="135"/>
        <item x="68"/>
        <item x="35"/>
        <item x="16"/>
        <item x="136"/>
        <item x="80"/>
        <item x="31"/>
        <item x="111"/>
        <item x="101"/>
        <item x="110"/>
        <item x="23"/>
        <item x="103"/>
        <item x="41"/>
        <item x="94"/>
        <item x="64"/>
        <item x="0"/>
        <item x="102"/>
        <item x="67"/>
        <item x="63"/>
        <item x="66"/>
        <item x="61"/>
        <item x="120"/>
        <item x="73"/>
        <item x="72"/>
        <item x="141"/>
        <item x="9"/>
        <item x="138"/>
        <item x="116"/>
        <item x="140"/>
        <item x="126"/>
        <item x="130"/>
        <item x="112"/>
        <item x="145"/>
        <item x="13"/>
        <item x="36"/>
        <item x="49"/>
        <item x="100"/>
        <item x="122"/>
        <item x="1"/>
        <item x="32"/>
        <item x="131"/>
        <item x="27"/>
        <item x="3"/>
        <item x="134"/>
        <item x="99"/>
        <item x="146"/>
        <item x="78"/>
        <item x="74"/>
        <item x="22"/>
        <item x="39"/>
        <item x="75"/>
        <item x="50"/>
        <item x="129"/>
        <item x="125"/>
        <item x="46"/>
        <item x="119"/>
        <item x="109"/>
        <item x="82"/>
        <item x="85"/>
        <item x="86"/>
        <item x="148"/>
        <item x="143"/>
        <item x="108"/>
        <item x="133"/>
        <item x="98"/>
        <item x="95"/>
        <item x="118"/>
        <item x="83"/>
        <item x="117"/>
        <item x="115"/>
        <item x="57"/>
        <item x="59"/>
        <item x="20"/>
        <item x="97"/>
        <item x="60"/>
        <item x="8"/>
        <item x="106"/>
        <item x="144"/>
        <item x="107"/>
        <item x="55"/>
        <item x="26"/>
        <item x="91"/>
        <item x="77"/>
        <item x="149"/>
        <item x="84"/>
        <item x="105"/>
        <item x="42"/>
        <item x="12"/>
        <item x="87"/>
        <item x="47"/>
        <item x="15"/>
        <item x="89"/>
        <item x="24"/>
        <item x="18"/>
        <item x="96"/>
        <item x="44"/>
        <item x="121"/>
        <item x="40"/>
        <item x="51"/>
        <item x="128"/>
        <item x="56"/>
        <item x="79"/>
        <item x="132"/>
        <item x="76"/>
        <item x="11"/>
        <item x="70"/>
        <item x="21"/>
        <item x="90"/>
        <item x="69"/>
        <item x="142"/>
        <item x="71"/>
        <item x="88"/>
        <item x="4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31">
        <item x="199"/>
        <item x="188"/>
        <item x="203"/>
        <item x="226"/>
        <item x="240"/>
        <item x="20"/>
        <item x="57"/>
        <item x="25"/>
        <item x="35"/>
        <item x="26"/>
        <item x="19"/>
        <item x="58"/>
        <item x="166"/>
        <item x="175"/>
        <item x="252"/>
        <item x="219"/>
        <item x="158"/>
        <item x="315"/>
        <item x="244"/>
        <item x="295"/>
        <item x="76"/>
        <item x="300"/>
        <item x="80"/>
        <item x="224"/>
        <item x="298"/>
        <item x="79"/>
        <item x="119"/>
        <item x="30"/>
        <item x="210"/>
        <item x="27"/>
        <item x="108"/>
        <item x="195"/>
        <item x="32"/>
        <item x="225"/>
        <item x="281"/>
        <item x="319"/>
        <item x="72"/>
        <item x="261"/>
        <item x="15"/>
        <item x="21"/>
        <item x="38"/>
        <item x="47"/>
        <item x="33"/>
        <item x="4"/>
        <item x="229"/>
        <item x="117"/>
        <item x="40"/>
        <item x="43"/>
        <item x="6"/>
        <item x="88"/>
        <item x="193"/>
        <item x="221"/>
        <item x="247"/>
        <item x="14"/>
        <item x="87"/>
        <item x="55"/>
        <item x="228"/>
        <item x="137"/>
        <item x="118"/>
        <item x="190"/>
        <item x="148"/>
        <item x="213"/>
        <item x="258"/>
        <item x="51"/>
        <item x="272"/>
        <item x="269"/>
        <item x="171"/>
        <item x="284"/>
        <item x="290"/>
        <item x="179"/>
        <item x="144"/>
        <item x="220"/>
        <item x="260"/>
        <item x="268"/>
        <item x="285"/>
        <item x="131"/>
        <item x="230"/>
        <item x="5"/>
        <item x="202"/>
        <item x="194"/>
        <item x="67"/>
        <item x="227"/>
        <item x="207"/>
        <item x="185"/>
        <item x="270"/>
        <item x="223"/>
        <item x="234"/>
        <item x="262"/>
        <item x="56"/>
        <item x="69"/>
        <item x="11"/>
        <item x="235"/>
        <item x="251"/>
        <item x="197"/>
        <item x="216"/>
        <item x="121"/>
        <item x="259"/>
        <item x="286"/>
        <item x="302"/>
        <item x="86"/>
        <item x="114"/>
        <item x="238"/>
        <item x="62"/>
        <item x="289"/>
        <item x="187"/>
        <item x="211"/>
        <item x="12"/>
        <item x="2"/>
        <item x="191"/>
        <item x="305"/>
        <item x="68"/>
        <item x="115"/>
        <item x="106"/>
        <item x="245"/>
        <item x="232"/>
        <item x="161"/>
        <item x="180"/>
        <item x="253"/>
        <item x="241"/>
        <item x="313"/>
        <item x="122"/>
        <item x="46"/>
        <item x="34"/>
        <item x="267"/>
        <item x="170"/>
        <item x="299"/>
        <item x="274"/>
        <item x="308"/>
        <item x="140"/>
        <item x="264"/>
        <item x="246"/>
        <item x="93"/>
        <item x="152"/>
        <item x="184"/>
        <item x="116"/>
        <item x="18"/>
        <item x="309"/>
        <item x="1"/>
        <item x="52"/>
        <item x="63"/>
        <item x="42"/>
        <item x="233"/>
        <item x="155"/>
        <item x="206"/>
        <item x="66"/>
        <item x="292"/>
        <item x="61"/>
        <item x="71"/>
        <item x="22"/>
        <item x="130"/>
        <item x="64"/>
        <item x="311"/>
        <item x="168"/>
        <item x="329"/>
        <item x="78"/>
        <item x="7"/>
        <item x="8"/>
        <item x="36"/>
        <item x="328"/>
        <item x="215"/>
        <item x="280"/>
        <item x="291"/>
        <item x="0"/>
        <item x="3"/>
        <item x="162"/>
        <item x="105"/>
        <item x="109"/>
        <item x="263"/>
        <item x="13"/>
        <item x="322"/>
        <item x="250"/>
        <item x="102"/>
        <item x="312"/>
        <item x="98"/>
        <item x="277"/>
        <item x="204"/>
        <item x="307"/>
        <item x="325"/>
        <item x="217"/>
        <item x="296"/>
        <item x="89"/>
        <item x="174"/>
        <item x="176"/>
        <item x="94"/>
        <item x="236"/>
        <item x="178"/>
        <item x="132"/>
        <item x="279"/>
        <item x="255"/>
        <item x="327"/>
        <item x="107"/>
        <item x="53"/>
        <item x="90"/>
        <item x="50"/>
        <item x="273"/>
        <item x="317"/>
        <item x="82"/>
        <item x="314"/>
        <item x="96"/>
        <item x="45"/>
        <item x="254"/>
        <item x="316"/>
        <item x="276"/>
        <item x="151"/>
        <item x="324"/>
        <item x="275"/>
        <item x="265"/>
        <item x="65"/>
        <item x="156"/>
        <item x="256"/>
        <item x="59"/>
        <item x="146"/>
        <item x="112"/>
        <item x="10"/>
        <item x="306"/>
        <item x="237"/>
        <item x="83"/>
        <item x="172"/>
        <item x="293"/>
        <item x="288"/>
        <item x="321"/>
        <item x="150"/>
        <item x="271"/>
        <item x="160"/>
        <item x="143"/>
        <item x="243"/>
        <item x="74"/>
        <item x="145"/>
        <item x="123"/>
        <item x="278"/>
        <item x="147"/>
        <item x="77"/>
        <item x="326"/>
        <item x="97"/>
        <item x="167"/>
        <item x="249"/>
        <item x="153"/>
        <item x="212"/>
        <item x="323"/>
        <item x="54"/>
        <item x="218"/>
        <item x="294"/>
        <item x="318"/>
        <item x="287"/>
        <item x="282"/>
        <item x="37"/>
        <item x="141"/>
        <item x="154"/>
        <item x="135"/>
        <item x="189"/>
        <item x="136"/>
        <item x="310"/>
        <item x="320"/>
        <item x="73"/>
        <item x="297"/>
        <item x="113"/>
        <item x="208"/>
        <item x="16"/>
        <item x="44"/>
        <item x="196"/>
        <item x="214"/>
        <item x="128"/>
        <item x="31"/>
        <item x="124"/>
        <item x="192"/>
        <item x="222"/>
        <item x="101"/>
        <item x="24"/>
        <item x="120"/>
        <item x="301"/>
        <item x="138"/>
        <item x="9"/>
        <item x="159"/>
        <item x="75"/>
        <item x="142"/>
        <item x="164"/>
        <item x="125"/>
        <item x="201"/>
        <item x="163"/>
        <item x="84"/>
        <item x="169"/>
        <item x="182"/>
        <item x="92"/>
        <item x="133"/>
        <item x="126"/>
        <item x="165"/>
        <item x="239"/>
        <item x="81"/>
        <item x="41"/>
        <item x="177"/>
        <item x="48"/>
        <item x="134"/>
        <item x="181"/>
        <item x="205"/>
        <item x="304"/>
        <item x="28"/>
        <item x="39"/>
        <item x="95"/>
        <item x="183"/>
        <item x="242"/>
        <item x="17"/>
        <item x="60"/>
        <item x="111"/>
        <item x="70"/>
        <item x="139"/>
        <item x="110"/>
        <item x="198"/>
        <item x="99"/>
        <item x="283"/>
        <item x="303"/>
        <item x="100"/>
        <item x="103"/>
        <item x="104"/>
        <item x="85"/>
        <item x="173"/>
        <item x="23"/>
        <item x="209"/>
        <item x="257"/>
        <item x="129"/>
        <item x="127"/>
        <item x="266"/>
        <item x="231"/>
        <item x="29"/>
        <item x="149"/>
        <item x="91"/>
        <item x="157"/>
        <item x="248"/>
        <item x="200"/>
        <item x="186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35">
        <item x="73"/>
        <item x="77"/>
        <item x="96"/>
        <item x="79"/>
        <item x="74"/>
        <item x="69"/>
        <item x="10"/>
        <item x="78"/>
        <item x="33"/>
        <item x="4"/>
        <item x="49"/>
        <item x="120"/>
        <item x="122"/>
        <item x="89"/>
        <item x="7"/>
        <item x="109"/>
        <item x="12"/>
        <item x="108"/>
        <item x="2"/>
        <item x="112"/>
        <item x="5"/>
        <item x="36"/>
        <item x="75"/>
        <item x="28"/>
        <item x="58"/>
        <item x="86"/>
        <item x="59"/>
        <item x="63"/>
        <item x="38"/>
        <item x="105"/>
        <item x="39"/>
        <item x="57"/>
        <item x="76"/>
        <item x="113"/>
        <item x="31"/>
        <item x="80"/>
        <item x="32"/>
        <item x="87"/>
        <item x="26"/>
        <item x="91"/>
        <item x="99"/>
        <item x="131"/>
        <item x="72"/>
        <item x="115"/>
        <item x="97"/>
        <item x="129"/>
        <item x="118"/>
        <item x="14"/>
        <item x="71"/>
        <item x="98"/>
        <item x="68"/>
        <item x="67"/>
        <item x="65"/>
        <item x="70"/>
        <item x="130"/>
        <item x="62"/>
        <item x="107"/>
        <item x="111"/>
        <item x="124"/>
        <item x="46"/>
        <item x="56"/>
        <item x="64"/>
        <item x="52"/>
        <item x="127"/>
        <item x="106"/>
        <item x="19"/>
        <item x="90"/>
        <item x="41"/>
        <item x="29"/>
        <item x="44"/>
        <item x="94"/>
        <item x="53"/>
        <item x="85"/>
        <item x="126"/>
        <item x="27"/>
        <item x="23"/>
        <item x="103"/>
        <item x="40"/>
        <item x="48"/>
        <item x="35"/>
        <item x="81"/>
        <item x="9"/>
        <item x="43"/>
        <item x="18"/>
        <item x="102"/>
        <item x="13"/>
        <item x="22"/>
        <item x="25"/>
        <item x="92"/>
        <item x="54"/>
        <item x="117"/>
        <item x="30"/>
        <item x="104"/>
        <item x="88"/>
        <item x="110"/>
        <item x="55"/>
        <item x="83"/>
        <item x="51"/>
        <item x="11"/>
        <item x="121"/>
        <item x="123"/>
        <item x="20"/>
        <item x="82"/>
        <item x="21"/>
        <item x="95"/>
        <item x="125"/>
        <item x="66"/>
        <item x="84"/>
        <item x="116"/>
        <item x="93"/>
        <item x="17"/>
        <item x="15"/>
        <item x="24"/>
        <item x="119"/>
        <item x="37"/>
        <item x="50"/>
        <item x="128"/>
        <item x="60"/>
        <item x="6"/>
        <item x="132"/>
        <item x="8"/>
        <item x="133"/>
        <item x="101"/>
        <item x="61"/>
        <item x="47"/>
        <item x="42"/>
        <item x="3"/>
        <item x="34"/>
        <item x="16"/>
        <item x="45"/>
        <item x="1"/>
        <item x="0"/>
        <item x="114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3">
        <item x="0"/>
        <item x="39"/>
        <item x="40"/>
        <item x="27"/>
        <item x="29"/>
        <item x="1"/>
        <item x="9"/>
        <item x="4"/>
        <item x="23"/>
        <item x="14"/>
        <item x="5"/>
        <item x="17"/>
        <item x="32"/>
        <item x="2"/>
        <item x="20"/>
        <item x="11"/>
        <item x="6"/>
        <item x="10"/>
        <item x="30"/>
        <item x="8"/>
        <item x="37"/>
        <item x="19"/>
        <item x="34"/>
        <item x="15"/>
        <item x="31"/>
        <item x="28"/>
        <item x="26"/>
        <item x="13"/>
        <item x="41"/>
        <item x="12"/>
        <item x="18"/>
        <item x="22"/>
        <item x="7"/>
        <item x="36"/>
        <item x="16"/>
        <item x="25"/>
        <item x="33"/>
        <item x="38"/>
        <item x="21"/>
        <item x="24"/>
        <item x="3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39"/>
        <item x="11"/>
        <item x="17"/>
        <item x="21"/>
        <item x="6"/>
        <item x="34"/>
        <item x="15"/>
        <item x="24"/>
        <item x="32"/>
        <item x="36"/>
        <item x="20"/>
        <item x="23"/>
        <item x="37"/>
        <item x="38"/>
        <item x="26"/>
        <item x="28"/>
        <item x="1"/>
        <item x="8"/>
        <item x="4"/>
        <item x="22"/>
        <item x="13"/>
        <item x="5"/>
        <item x="16"/>
        <item x="31"/>
        <item x="2"/>
        <item x="19"/>
        <item x="10"/>
        <item x="3"/>
        <item x="9"/>
        <item x="29"/>
        <item x="7"/>
        <item x="35"/>
        <item x="18"/>
        <item x="33"/>
        <item x="14"/>
        <item x="30"/>
        <item x="27"/>
        <item x="2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57">
        <item x="0"/>
        <item x="312"/>
        <item x="227"/>
        <item x="45"/>
        <item x="326"/>
        <item x="52"/>
        <item x="150"/>
        <item x="304"/>
        <item x="13"/>
        <item x="229"/>
        <item x="90"/>
        <item x="178"/>
        <item x="38"/>
        <item x="291"/>
        <item x="212"/>
        <item x="280"/>
        <item x="242"/>
        <item x="277"/>
        <item x="66"/>
        <item x="65"/>
        <item x="11"/>
        <item x="55"/>
        <item x="87"/>
        <item x="153"/>
        <item x="41"/>
        <item x="2"/>
        <item x="35"/>
        <item x="354"/>
        <item x="14"/>
        <item x="50"/>
        <item x="164"/>
        <item x="274"/>
        <item x="8"/>
        <item x="40"/>
        <item x="187"/>
        <item x="347"/>
        <item x="48"/>
        <item x="313"/>
        <item x="161"/>
        <item x="235"/>
        <item x="59"/>
        <item x="261"/>
        <item x="256"/>
        <item x="350"/>
        <item x="20"/>
        <item x="149"/>
        <item x="104"/>
        <item x="331"/>
        <item x="22"/>
        <item x="163"/>
        <item x="53"/>
        <item x="124"/>
        <item x="202"/>
        <item x="99"/>
        <item x="176"/>
        <item x="252"/>
        <item x="301"/>
        <item x="286"/>
        <item x="271"/>
        <item x="353"/>
        <item x="24"/>
        <item x="259"/>
        <item x="194"/>
        <item x="211"/>
        <item x="306"/>
        <item x="213"/>
        <item x="117"/>
        <item x="339"/>
        <item x="109"/>
        <item x="247"/>
        <item x="76"/>
        <item x="344"/>
        <item x="47"/>
        <item x="343"/>
        <item x="276"/>
        <item x="294"/>
        <item x="210"/>
        <item x="281"/>
        <item x="193"/>
        <item x="86"/>
        <item x="322"/>
        <item x="145"/>
        <item x="248"/>
        <item x="4"/>
        <item x="245"/>
        <item x="126"/>
        <item x="156"/>
        <item x="287"/>
        <item x="140"/>
        <item x="92"/>
        <item x="258"/>
        <item x="309"/>
        <item x="323"/>
        <item x="319"/>
        <item x="233"/>
        <item x="315"/>
        <item x="72"/>
        <item x="234"/>
        <item x="327"/>
        <item x="83"/>
        <item x="300"/>
        <item x="157"/>
        <item x="62"/>
        <item x="307"/>
        <item x="121"/>
        <item x="209"/>
        <item x="328"/>
        <item x="262"/>
        <item x="31"/>
        <item x="97"/>
        <item x="232"/>
        <item x="64"/>
        <item x="151"/>
        <item x="352"/>
        <item x="60"/>
        <item x="32"/>
        <item x="136"/>
        <item x="272"/>
        <item x="255"/>
        <item x="70"/>
        <item x="297"/>
        <item x="345"/>
        <item x="316"/>
        <item x="74"/>
        <item x="267"/>
        <item x="118"/>
        <item x="283"/>
        <item x="34"/>
        <item x="134"/>
        <item x="318"/>
        <item x="208"/>
        <item x="27"/>
        <item x="147"/>
        <item x="21"/>
        <item x="80"/>
        <item x="105"/>
        <item x="123"/>
        <item x="63"/>
        <item x="85"/>
        <item x="42"/>
        <item x="159"/>
        <item x="172"/>
        <item x="340"/>
        <item x="78"/>
        <item x="188"/>
        <item x="215"/>
        <item x="217"/>
        <item x="101"/>
        <item x="88"/>
        <item x="325"/>
        <item x="219"/>
        <item x="19"/>
        <item x="225"/>
        <item x="51"/>
        <item x="12"/>
        <item x="7"/>
        <item x="58"/>
        <item x="144"/>
        <item x="230"/>
        <item x="61"/>
        <item x="348"/>
        <item x="15"/>
        <item x="203"/>
        <item x="226"/>
        <item x="107"/>
        <item x="241"/>
        <item x="296"/>
        <item x="138"/>
        <item x="223"/>
        <item x="251"/>
        <item x="17"/>
        <item x="36"/>
        <item x="3"/>
        <item x="171"/>
        <item x="334"/>
        <item x="183"/>
        <item x="98"/>
        <item x="28"/>
        <item x="282"/>
        <item x="239"/>
        <item x="285"/>
        <item x="270"/>
        <item x="218"/>
        <item x="299"/>
        <item x="67"/>
        <item x="308"/>
        <item x="335"/>
        <item x="302"/>
        <item x="158"/>
        <item x="175"/>
        <item x="166"/>
        <item x="5"/>
        <item x="73"/>
        <item x="174"/>
        <item x="95"/>
        <item x="333"/>
        <item x="122"/>
        <item x="170"/>
        <item x="43"/>
        <item x="206"/>
        <item x="250"/>
        <item x="246"/>
        <item x="317"/>
        <item x="26"/>
        <item x="355"/>
        <item x="71"/>
        <item x="191"/>
        <item x="154"/>
        <item x="180"/>
        <item x="268"/>
        <item x="141"/>
        <item x="119"/>
        <item x="216"/>
        <item x="110"/>
        <item x="10"/>
        <item x="295"/>
        <item x="127"/>
        <item x="162"/>
        <item x="130"/>
        <item x="143"/>
        <item x="96"/>
        <item x="311"/>
        <item x="46"/>
        <item x="201"/>
        <item x="169"/>
        <item x="260"/>
        <item x="220"/>
        <item x="102"/>
        <item x="186"/>
        <item x="298"/>
        <item x="228"/>
        <item x="266"/>
        <item x="128"/>
        <item x="133"/>
        <item x="23"/>
        <item x="185"/>
        <item x="113"/>
        <item x="81"/>
        <item x="39"/>
        <item x="290"/>
        <item x="273"/>
        <item x="94"/>
        <item x="68"/>
        <item x="131"/>
        <item x="139"/>
        <item x="152"/>
        <item x="305"/>
        <item x="293"/>
        <item x="9"/>
        <item x="205"/>
        <item x="337"/>
        <item x="265"/>
        <item x="197"/>
        <item x="336"/>
        <item x="167"/>
        <item x="324"/>
        <item x="173"/>
        <item x="289"/>
        <item x="346"/>
        <item x="132"/>
        <item x="189"/>
        <item x="190"/>
        <item x="314"/>
        <item x="253"/>
        <item x="89"/>
        <item x="182"/>
        <item x="33"/>
        <item x="243"/>
        <item x="29"/>
        <item x="249"/>
        <item x="120"/>
        <item x="351"/>
        <item x="184"/>
        <item x="224"/>
        <item x="341"/>
        <item x="142"/>
        <item x="264"/>
        <item x="310"/>
        <item x="111"/>
        <item x="179"/>
        <item x="108"/>
        <item x="195"/>
        <item x="160"/>
        <item x="137"/>
        <item x="129"/>
        <item x="116"/>
        <item x="196"/>
        <item x="338"/>
        <item x="82"/>
        <item x="254"/>
        <item x="237"/>
        <item x="115"/>
        <item x="349"/>
        <item x="79"/>
        <item x="16"/>
        <item x="292"/>
        <item x="288"/>
        <item x="103"/>
        <item x="207"/>
        <item x="91"/>
        <item x="192"/>
        <item x="238"/>
        <item x="75"/>
        <item x="54"/>
        <item x="165"/>
        <item x="125"/>
        <item x="181"/>
        <item x="168"/>
        <item x="200"/>
        <item x="263"/>
        <item x="275"/>
        <item x="330"/>
        <item x="148"/>
        <item x="56"/>
        <item x="6"/>
        <item x="222"/>
        <item x="84"/>
        <item x="204"/>
        <item x="77"/>
        <item x="231"/>
        <item x="198"/>
        <item x="244"/>
        <item x="37"/>
        <item x="93"/>
        <item x="303"/>
        <item x="214"/>
        <item x="30"/>
        <item x="100"/>
        <item x="69"/>
        <item x="342"/>
        <item x="236"/>
        <item x="112"/>
        <item x="135"/>
        <item x="25"/>
        <item x="320"/>
        <item x="199"/>
        <item x="49"/>
        <item x="155"/>
        <item x="278"/>
        <item x="329"/>
        <item x="114"/>
        <item x="284"/>
        <item x="18"/>
        <item x="279"/>
        <item x="221"/>
        <item x="177"/>
        <item x="57"/>
        <item x="240"/>
        <item x="321"/>
        <item x="257"/>
        <item x="106"/>
        <item x="146"/>
        <item x="269"/>
        <item x="332"/>
        <item x="44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1">
        <item x="0"/>
        <item x="2"/>
        <item x="3"/>
        <item x="6"/>
        <item x="1"/>
        <item x="5"/>
        <item x="9"/>
        <item x="4"/>
        <item x="8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9">
        <item x="0"/>
        <item x="125"/>
        <item x="114"/>
        <item x="229"/>
        <item x="241"/>
        <item x="153"/>
        <item x="228"/>
        <item x="70"/>
        <item x="164"/>
        <item x="121"/>
        <item x="195"/>
        <item x="243"/>
        <item x="94"/>
        <item x="31"/>
        <item x="212"/>
        <item x="120"/>
        <item x="91"/>
        <item x="141"/>
        <item x="208"/>
        <item x="135"/>
        <item x="107"/>
        <item x="215"/>
        <item x="191"/>
        <item x="44"/>
        <item x="79"/>
        <item x="89"/>
        <item x="53"/>
        <item x="52"/>
        <item x="40"/>
        <item x="176"/>
        <item x="62"/>
        <item x="1"/>
        <item x="41"/>
        <item x="101"/>
        <item x="217"/>
        <item x="49"/>
        <item x="162"/>
        <item x="39"/>
        <item x="71"/>
        <item x="25"/>
        <item x="34"/>
        <item x="128"/>
        <item x="69"/>
        <item x="76"/>
        <item x="214"/>
        <item x="168"/>
        <item x="186"/>
        <item x="209"/>
        <item x="226"/>
        <item x="179"/>
        <item x="187"/>
        <item x="127"/>
        <item x="172"/>
        <item x="207"/>
        <item x="236"/>
        <item x="99"/>
        <item x="3"/>
        <item x="221"/>
        <item x="83"/>
        <item x="85"/>
        <item x="133"/>
        <item x="35"/>
        <item x="48"/>
        <item x="81"/>
        <item x="204"/>
        <item x="87"/>
        <item x="78"/>
        <item x="105"/>
        <item x="4"/>
        <item x="7"/>
        <item x="97"/>
        <item x="17"/>
        <item x="36"/>
        <item x="144"/>
        <item x="18"/>
        <item x="33"/>
        <item x="51"/>
        <item x="117"/>
        <item x="23"/>
        <item x="103"/>
        <item x="113"/>
        <item x="58"/>
        <item x="13"/>
        <item x="28"/>
        <item x="77"/>
        <item x="16"/>
        <item x="161"/>
        <item x="26"/>
        <item x="132"/>
        <item x="6"/>
        <item x="67"/>
        <item x="167"/>
        <item x="84"/>
        <item x="57"/>
        <item x="129"/>
        <item x="180"/>
        <item x="75"/>
        <item x="106"/>
        <item x="45"/>
        <item x="210"/>
        <item x="219"/>
        <item x="10"/>
        <item x="80"/>
        <item x="55"/>
        <item x="163"/>
        <item x="149"/>
        <item x="134"/>
        <item x="59"/>
        <item x="140"/>
        <item x="11"/>
        <item x="50"/>
        <item x="130"/>
        <item x="169"/>
        <item x="20"/>
        <item x="66"/>
        <item x="178"/>
        <item x="155"/>
        <item x="19"/>
        <item x="198"/>
        <item x="2"/>
        <item x="131"/>
        <item x="213"/>
        <item x="183"/>
        <item x="37"/>
        <item x="9"/>
        <item x="143"/>
        <item x="74"/>
        <item x="126"/>
        <item x="193"/>
        <item x="189"/>
        <item x="15"/>
        <item x="109"/>
        <item x="29"/>
        <item x="220"/>
        <item x="124"/>
        <item x="230"/>
        <item x="110"/>
        <item x="119"/>
        <item x="184"/>
        <item x="95"/>
        <item x="115"/>
        <item x="165"/>
        <item x="190"/>
        <item x="182"/>
        <item x="137"/>
        <item x="42"/>
        <item x="111"/>
        <item x="188"/>
        <item x="200"/>
        <item x="43"/>
        <item x="118"/>
        <item x="234"/>
        <item x="32"/>
        <item x="38"/>
        <item x="12"/>
        <item x="245"/>
        <item x="158"/>
        <item x="225"/>
        <item x="30"/>
        <item x="218"/>
        <item x="181"/>
        <item x="63"/>
        <item x="170"/>
        <item x="224"/>
        <item x="136"/>
        <item x="202"/>
        <item x="145"/>
        <item x="72"/>
        <item x="56"/>
        <item x="239"/>
        <item x="216"/>
        <item x="174"/>
        <item x="108"/>
        <item x="98"/>
        <item x="138"/>
        <item x="159"/>
        <item x="240"/>
        <item x="64"/>
        <item x="192"/>
        <item x="199"/>
        <item x="232"/>
        <item x="8"/>
        <item x="139"/>
        <item x="14"/>
        <item x="82"/>
        <item x="46"/>
        <item x="123"/>
        <item x="171"/>
        <item x="100"/>
        <item x="196"/>
        <item x="5"/>
        <item x="47"/>
        <item x="194"/>
        <item x="211"/>
        <item x="142"/>
        <item x="104"/>
        <item x="150"/>
        <item x="197"/>
        <item x="93"/>
        <item x="90"/>
        <item x="247"/>
        <item x="147"/>
        <item x="122"/>
        <item x="146"/>
        <item x="231"/>
        <item x="88"/>
        <item x="27"/>
        <item x="203"/>
        <item x="68"/>
        <item x="235"/>
        <item x="148"/>
        <item x="96"/>
        <item x="22"/>
        <item x="154"/>
        <item x="177"/>
        <item x="185"/>
        <item x="157"/>
        <item x="244"/>
        <item x="21"/>
        <item x="223"/>
        <item x="201"/>
        <item x="54"/>
        <item x="205"/>
        <item x="206"/>
        <item x="175"/>
        <item x="227"/>
        <item x="238"/>
        <item x="73"/>
        <item x="166"/>
        <item x="246"/>
        <item x="102"/>
        <item x="112"/>
        <item x="156"/>
        <item x="61"/>
        <item x="222"/>
        <item x="92"/>
        <item x="65"/>
        <item x="24"/>
        <item x="233"/>
        <item x="173"/>
        <item x="242"/>
        <item x="237"/>
        <item x="152"/>
        <item x="151"/>
        <item x="86"/>
        <item x="116"/>
        <item x="60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">
        <item x="0"/>
        <item x="2"/>
        <item x="3"/>
        <item x="6"/>
        <item x="5"/>
        <item x="1"/>
        <item x="8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8">
        <item x="0"/>
        <item x="124"/>
        <item x="192"/>
        <item x="113"/>
        <item x="228"/>
        <item x="239"/>
        <item x="150"/>
        <item x="244"/>
        <item x="227"/>
        <item x="70"/>
        <item x="161"/>
        <item x="120"/>
        <item x="194"/>
        <item x="241"/>
        <item x="94"/>
        <item x="31"/>
        <item x="211"/>
        <item x="119"/>
        <item x="91"/>
        <item x="139"/>
        <item x="207"/>
        <item x="133"/>
        <item x="106"/>
        <item x="214"/>
        <item x="189"/>
        <item x="79"/>
        <item x="89"/>
        <item x="53"/>
        <item x="52"/>
        <item x="40"/>
        <item x="174"/>
        <item x="62"/>
        <item x="1"/>
        <item x="41"/>
        <item x="148"/>
        <item x="216"/>
        <item x="49"/>
        <item x="159"/>
        <item x="39"/>
        <item x="71"/>
        <item x="25"/>
        <item x="34"/>
        <item x="69"/>
        <item x="76"/>
        <item x="213"/>
        <item x="166"/>
        <item x="184"/>
        <item x="208"/>
        <item x="225"/>
        <item x="177"/>
        <item x="185"/>
        <item x="170"/>
        <item x="206"/>
        <item x="234"/>
        <item x="99"/>
        <item x="3"/>
        <item x="220"/>
        <item x="83"/>
        <item x="85"/>
        <item x="132"/>
        <item x="35"/>
        <item x="48"/>
        <item x="81"/>
        <item x="203"/>
        <item x="87"/>
        <item x="78"/>
        <item x="104"/>
        <item x="4"/>
        <item x="7"/>
        <item x="97"/>
        <item x="17"/>
        <item x="36"/>
        <item x="142"/>
        <item x="18"/>
        <item x="33"/>
        <item x="51"/>
        <item x="116"/>
        <item x="23"/>
        <item x="102"/>
        <item x="112"/>
        <item x="58"/>
        <item x="13"/>
        <item x="28"/>
        <item x="77"/>
        <item x="16"/>
        <item x="158"/>
        <item x="26"/>
        <item x="131"/>
        <item x="6"/>
        <item x="67"/>
        <item x="164"/>
        <item x="84"/>
        <item x="57"/>
        <item x="128"/>
        <item x="178"/>
        <item x="75"/>
        <item x="45"/>
        <item x="209"/>
        <item x="218"/>
        <item x="10"/>
        <item x="80"/>
        <item x="55"/>
        <item x="160"/>
        <item x="126"/>
        <item x="127"/>
        <item x="59"/>
        <item x="138"/>
        <item x="11"/>
        <item x="50"/>
        <item x="129"/>
        <item x="167"/>
        <item x="20"/>
        <item x="66"/>
        <item x="176"/>
        <item x="152"/>
        <item x="19"/>
        <item x="197"/>
        <item x="2"/>
        <item x="130"/>
        <item x="212"/>
        <item x="181"/>
        <item x="37"/>
        <item x="9"/>
        <item x="141"/>
        <item x="74"/>
        <item x="125"/>
        <item x="191"/>
        <item x="187"/>
        <item x="15"/>
        <item x="108"/>
        <item x="29"/>
        <item x="219"/>
        <item x="123"/>
        <item x="229"/>
        <item x="109"/>
        <item x="118"/>
        <item x="182"/>
        <item x="95"/>
        <item x="114"/>
        <item x="162"/>
        <item x="188"/>
        <item x="180"/>
        <item x="135"/>
        <item x="42"/>
        <item x="110"/>
        <item x="186"/>
        <item x="198"/>
        <item x="43"/>
        <item x="117"/>
        <item x="105"/>
        <item x="32"/>
        <item x="38"/>
        <item x="12"/>
        <item x="243"/>
        <item x="155"/>
        <item x="224"/>
        <item x="30"/>
        <item x="217"/>
        <item x="179"/>
        <item x="63"/>
        <item x="168"/>
        <item x="223"/>
        <item x="134"/>
        <item x="201"/>
        <item x="165"/>
        <item x="72"/>
        <item x="56"/>
        <item x="237"/>
        <item x="215"/>
        <item x="172"/>
        <item x="107"/>
        <item x="98"/>
        <item x="136"/>
        <item x="156"/>
        <item x="238"/>
        <item x="64"/>
        <item x="190"/>
        <item x="44"/>
        <item x="231"/>
        <item x="8"/>
        <item x="137"/>
        <item x="14"/>
        <item x="82"/>
        <item x="46"/>
        <item x="122"/>
        <item x="169"/>
        <item x="100"/>
        <item x="195"/>
        <item x="5"/>
        <item x="47"/>
        <item x="193"/>
        <item x="210"/>
        <item x="140"/>
        <item x="103"/>
        <item x="146"/>
        <item x="196"/>
        <item x="93"/>
        <item x="90"/>
        <item x="246"/>
        <item x="144"/>
        <item x="121"/>
        <item x="143"/>
        <item x="230"/>
        <item x="88"/>
        <item x="27"/>
        <item x="202"/>
        <item x="68"/>
        <item x="233"/>
        <item x="145"/>
        <item x="96"/>
        <item x="22"/>
        <item x="151"/>
        <item x="175"/>
        <item x="183"/>
        <item x="154"/>
        <item x="242"/>
        <item x="21"/>
        <item x="222"/>
        <item x="199"/>
        <item x="54"/>
        <item x="204"/>
        <item x="205"/>
        <item x="173"/>
        <item x="226"/>
        <item x="236"/>
        <item x="73"/>
        <item x="163"/>
        <item x="245"/>
        <item x="101"/>
        <item x="111"/>
        <item x="153"/>
        <item x="200"/>
        <item x="61"/>
        <item x="221"/>
        <item x="92"/>
        <item x="65"/>
        <item x="24"/>
        <item x="232"/>
        <item x="171"/>
        <item x="240"/>
        <item x="235"/>
        <item x="149"/>
        <item x="147"/>
        <item x="86"/>
        <item x="115"/>
        <item x="60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2">
        <item x="0"/>
        <item x="4"/>
        <item x="69"/>
        <item x="14"/>
        <item x="29"/>
        <item x="104"/>
        <item x="15"/>
        <item x="28"/>
        <item x="39"/>
        <item x="84"/>
        <item x="20"/>
        <item x="73"/>
        <item x="81"/>
        <item x="44"/>
        <item x="10"/>
        <item x="24"/>
        <item x="58"/>
        <item x="13"/>
        <item x="119"/>
        <item x="22"/>
        <item x="96"/>
        <item x="3"/>
        <item x="52"/>
        <item x="123"/>
        <item x="61"/>
        <item x="43"/>
        <item x="93"/>
        <item x="133"/>
        <item x="57"/>
        <item x="35"/>
        <item x="155"/>
        <item x="160"/>
        <item x="7"/>
        <item x="59"/>
        <item x="41"/>
        <item x="120"/>
        <item x="91"/>
        <item x="108"/>
        <item x="92"/>
        <item x="45"/>
        <item x="101"/>
        <item x="8"/>
        <item x="38"/>
        <item x="94"/>
        <item x="125"/>
        <item x="17"/>
        <item x="51"/>
        <item x="132"/>
        <item x="113"/>
        <item x="16"/>
        <item x="147"/>
        <item x="1"/>
        <item x="95"/>
        <item x="157"/>
        <item x="136"/>
        <item x="30"/>
        <item x="6"/>
        <item x="103"/>
        <item x="56"/>
        <item x="90"/>
        <item x="143"/>
        <item x="140"/>
        <item x="12"/>
        <item x="77"/>
        <item x="25"/>
        <item x="161"/>
        <item x="89"/>
        <item x="167"/>
        <item x="78"/>
        <item x="86"/>
        <item x="137"/>
        <item x="67"/>
        <item x="82"/>
        <item x="121"/>
        <item x="141"/>
        <item x="135"/>
        <item x="98"/>
        <item x="32"/>
        <item x="79"/>
        <item x="139"/>
        <item x="148"/>
        <item x="33"/>
        <item x="85"/>
        <item x="75"/>
        <item x="27"/>
        <item x="31"/>
        <item x="9"/>
        <item x="178"/>
        <item x="116"/>
        <item x="165"/>
        <item x="26"/>
        <item x="159"/>
        <item x="134"/>
        <item x="48"/>
        <item x="126"/>
        <item x="164"/>
        <item x="97"/>
        <item x="151"/>
        <item x="124"/>
        <item x="54"/>
        <item x="42"/>
        <item x="174"/>
        <item x="158"/>
        <item x="129"/>
        <item x="76"/>
        <item x="70"/>
        <item x="99"/>
        <item x="117"/>
        <item x="175"/>
        <item x="49"/>
        <item x="142"/>
        <item x="34"/>
        <item x="169"/>
        <item x="5"/>
        <item x="100"/>
        <item x="11"/>
        <item x="60"/>
        <item x="36"/>
        <item x="88"/>
        <item x="127"/>
        <item x="71"/>
        <item x="145"/>
        <item x="2"/>
        <item x="37"/>
        <item x="144"/>
        <item x="156"/>
        <item x="102"/>
        <item x="74"/>
        <item x="109"/>
        <item x="146"/>
        <item x="66"/>
        <item x="64"/>
        <item x="180"/>
        <item x="106"/>
        <item x="87"/>
        <item x="105"/>
        <item x="168"/>
        <item x="63"/>
        <item x="23"/>
        <item x="152"/>
        <item x="53"/>
        <item x="171"/>
        <item x="107"/>
        <item x="68"/>
        <item x="19"/>
        <item x="112"/>
        <item x="131"/>
        <item x="138"/>
        <item x="115"/>
        <item x="177"/>
        <item x="18"/>
        <item x="163"/>
        <item x="149"/>
        <item x="40"/>
        <item x="153"/>
        <item x="154"/>
        <item x="130"/>
        <item x="166"/>
        <item x="173"/>
        <item x="55"/>
        <item x="122"/>
        <item x="179"/>
        <item x="72"/>
        <item x="80"/>
        <item x="114"/>
        <item x="150"/>
        <item x="47"/>
        <item x="162"/>
        <item x="65"/>
        <item x="50"/>
        <item x="21"/>
        <item x="170"/>
        <item x="128"/>
        <item x="176"/>
        <item x="172"/>
        <item x="111"/>
        <item x="110"/>
        <item x="62"/>
        <item x="83"/>
        <item x="46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5">
        <item x="0"/>
        <item x="23"/>
        <item x="12"/>
        <item x="16"/>
        <item x="68"/>
        <item x="42"/>
        <item x="82"/>
        <item x="33"/>
        <item x="70"/>
        <item x="35"/>
        <item x="5"/>
        <item x="79"/>
        <item x="65"/>
        <item x="76"/>
        <item x="11"/>
        <item x="39"/>
        <item x="80"/>
        <item x="74"/>
        <item x="26"/>
        <item x="7"/>
        <item x="2"/>
        <item x="53"/>
        <item x="41"/>
        <item x="40"/>
        <item x="27"/>
        <item x="55"/>
        <item x="10"/>
        <item x="18"/>
        <item x="56"/>
        <item x="54"/>
        <item x="77"/>
        <item x="6"/>
        <item x="63"/>
        <item x="14"/>
        <item x="83"/>
        <item x="43"/>
        <item x="73"/>
        <item x="59"/>
        <item x="45"/>
        <item x="44"/>
        <item x="19"/>
        <item x="34"/>
        <item x="31"/>
        <item x="48"/>
        <item x="62"/>
        <item x="52"/>
        <item x="66"/>
        <item x="64"/>
        <item x="67"/>
        <item x="8"/>
        <item x="60"/>
        <item x="37"/>
        <item x="58"/>
        <item x="9"/>
        <item x="3"/>
        <item x="4"/>
        <item x="13"/>
        <item x="29"/>
        <item x="17"/>
        <item x="22"/>
        <item x="75"/>
        <item x="72"/>
        <item x="36"/>
        <item x="28"/>
        <item x="46"/>
        <item x="38"/>
        <item x="69"/>
        <item x="32"/>
        <item x="24"/>
        <item x="20"/>
        <item x="49"/>
        <item x="50"/>
        <item x="25"/>
        <item x="51"/>
        <item x="61"/>
        <item x="15"/>
        <item x="71"/>
        <item x="21"/>
        <item x="81"/>
        <item x="1"/>
        <item x="78"/>
        <item x="47"/>
        <item x="57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4">
        <item x="0"/>
        <item x="58"/>
        <item x="67"/>
        <item x="10"/>
        <item x="33"/>
        <item x="70"/>
        <item x="65"/>
        <item x="22"/>
        <item x="6"/>
        <item x="2"/>
        <item x="46"/>
        <item x="35"/>
        <item x="34"/>
        <item x="23"/>
        <item x="48"/>
        <item x="9"/>
        <item x="15"/>
        <item x="49"/>
        <item x="47"/>
        <item x="68"/>
        <item x="5"/>
        <item x="56"/>
        <item x="12"/>
        <item x="72"/>
        <item x="36"/>
        <item x="64"/>
        <item x="52"/>
        <item x="38"/>
        <item x="37"/>
        <item x="16"/>
        <item x="29"/>
        <item x="27"/>
        <item x="41"/>
        <item x="55"/>
        <item x="45"/>
        <item x="59"/>
        <item x="57"/>
        <item x="60"/>
        <item x="7"/>
        <item x="53"/>
        <item x="31"/>
        <item x="51"/>
        <item x="8"/>
        <item x="3"/>
        <item x="4"/>
        <item x="11"/>
        <item x="25"/>
        <item x="14"/>
        <item x="19"/>
        <item x="66"/>
        <item x="63"/>
        <item x="30"/>
        <item x="24"/>
        <item x="39"/>
        <item x="32"/>
        <item x="61"/>
        <item x="28"/>
        <item x="20"/>
        <item x="17"/>
        <item x="42"/>
        <item x="43"/>
        <item x="21"/>
        <item x="44"/>
        <item x="54"/>
        <item x="13"/>
        <item x="62"/>
        <item x="18"/>
        <item x="71"/>
        <item x="1"/>
        <item x="69"/>
        <item x="40"/>
        <item x="50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">
        <item x="0"/>
        <item x="3"/>
        <item x="1"/>
        <item x="4"/>
        <item x="2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">
        <item x="0"/>
        <item x="4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9">
        <item x="0"/>
        <item x="24"/>
        <item x="41"/>
        <item x="3"/>
        <item x="22"/>
        <item x="11"/>
        <item x="57"/>
        <item x="21"/>
        <item x="48"/>
        <item x="26"/>
        <item x="9"/>
        <item x="40"/>
        <item x="45"/>
        <item x="18"/>
        <item x="33"/>
        <item x="39"/>
        <item x="32"/>
        <item x="51"/>
        <item x="10"/>
        <item x="27"/>
        <item x="15"/>
        <item x="31"/>
        <item x="8"/>
        <item x="49"/>
        <item x="5"/>
        <item x="4"/>
        <item x="37"/>
        <item x="14"/>
        <item x="13"/>
        <item x="54"/>
        <item x="55"/>
        <item x="47"/>
        <item x="56"/>
        <item x="19"/>
        <item x="20"/>
        <item x="35"/>
        <item x="28"/>
        <item x="42"/>
        <item x="6"/>
        <item x="16"/>
        <item x="17"/>
        <item x="43"/>
        <item x="50"/>
        <item x="1"/>
        <item x="29"/>
        <item x="2"/>
        <item x="44"/>
        <item x="53"/>
        <item x="7"/>
        <item x="25"/>
        <item x="30"/>
        <item x="12"/>
        <item x="36"/>
        <item x="46"/>
        <item x="38"/>
        <item x="52"/>
        <item x="34"/>
        <item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  <x/>
    </i>
    <i r="1">
      <x v="25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6"/>
    </i>
    <i r="1">
      <x v="60"/>
    </i>
    <i r="1">
      <x v="62"/>
    </i>
    <i r="1">
      <x v="63"/>
    </i>
    <i r="1">
      <x v="64"/>
    </i>
    <i r="1">
      <x v="66"/>
    </i>
    <i r="1">
      <x v="97"/>
    </i>
    <i t="default">
      <x v="7"/>
    </i>
    <i>
      <x v="8"/>
      <x/>
    </i>
    <i r="1">
      <x v="11"/>
    </i>
    <i r="1">
      <x v="13"/>
    </i>
    <i r="1">
      <x v="14"/>
    </i>
    <i r="1">
      <x v="18"/>
    </i>
    <i r="1">
      <x v="22"/>
    </i>
    <i r="1">
      <x v="28"/>
    </i>
    <i r="1">
      <x v="34"/>
    </i>
    <i r="1">
      <x v="40"/>
    </i>
    <i r="1">
      <x v="43"/>
    </i>
    <i r="1">
      <x v="51"/>
    </i>
    <i r="1">
      <x v="52"/>
    </i>
    <i r="1">
      <x v="65"/>
    </i>
    <i r="1">
      <x v="70"/>
    </i>
    <i r="1">
      <x v="77"/>
    </i>
    <i r="1">
      <x v="97"/>
    </i>
    <i t="default">
      <x v="8"/>
    </i>
    <i>
      <x v="9"/>
    </i>
    <i>
      <x v="10"/>
      <x v="47"/>
    </i>
    <i r="1">
      <x v="48"/>
    </i>
    <i r="1">
      <x v="49"/>
    </i>
    <i r="1">
      <x v="50"/>
    </i>
    <i r="1">
      <x v="89"/>
    </i>
    <i r="1">
      <x v="96"/>
    </i>
    <i t="default">
      <x v="10"/>
    </i>
    <i>
      <x v="11"/>
    </i>
    <i>
      <x v="12"/>
    </i>
    <i>
      <x v="13"/>
      <x/>
    </i>
    <i r="1">
      <x v="1"/>
    </i>
    <i r="1">
      <x v="2"/>
    </i>
    <i r="1">
      <x v="3"/>
    </i>
    <i r="1">
      <x v="6"/>
    </i>
    <i r="1">
      <x v="12"/>
    </i>
    <i r="1">
      <x v="16"/>
    </i>
    <i r="1">
      <x v="54"/>
    </i>
    <i r="1">
      <x v="57"/>
    </i>
    <i r="1">
      <x v="70"/>
    </i>
    <i r="1">
      <x v="77"/>
    </i>
    <i r="1">
      <x v="97"/>
    </i>
    <i t="default">
      <x v="13"/>
    </i>
    <i>
      <x v="14"/>
      <x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9"/>
    </i>
    <i r="1">
      <x v="23"/>
    </i>
    <i r="1">
      <x v="24"/>
    </i>
    <i r="1">
      <x v="29"/>
    </i>
    <i r="1">
      <x v="30"/>
    </i>
    <i r="1">
      <x v="33"/>
    </i>
    <i r="1">
      <x v="45"/>
    </i>
    <i r="1">
      <x v="53"/>
    </i>
    <i r="1">
      <x v="55"/>
    </i>
    <i r="1">
      <x v="56"/>
    </i>
    <i r="1">
      <x v="58"/>
    </i>
    <i r="1">
      <x v="70"/>
    </i>
    <i r="1">
      <x v="77"/>
    </i>
    <i r="1">
      <x v="97"/>
    </i>
    <i t="default">
      <x v="14"/>
    </i>
    <i>
      <x v="15"/>
    </i>
    <i>
      <x v="16"/>
    </i>
    <i>
      <x v="17"/>
    </i>
    <i>
      <x v="18"/>
    </i>
    <i>
      <x v="19"/>
    </i>
    <i>
      <x v="20"/>
      <x/>
    </i>
    <i r="1">
      <x v="17"/>
    </i>
    <i r="1">
      <x v="20"/>
    </i>
    <i r="1">
      <x v="26"/>
    </i>
    <i r="1">
      <x v="27"/>
    </i>
    <i r="1">
      <x v="44"/>
    </i>
    <i r="1">
      <x v="77"/>
    </i>
    <i r="1">
      <x v="97"/>
    </i>
    <i t="default">
      <x v="20"/>
    </i>
    <i>
      <x v="21"/>
    </i>
    <i>
      <x v="22"/>
      <x v="15"/>
    </i>
    <i r="1">
      <x v="21"/>
    </i>
    <i r="1">
      <x v="31"/>
    </i>
    <i r="1">
      <x v="32"/>
    </i>
    <i r="1">
      <x v="41"/>
    </i>
    <i r="1">
      <x v="59"/>
    </i>
    <i r="1">
      <x v="61"/>
    </i>
    <i r="1">
      <x v="70"/>
    </i>
    <i r="1">
      <x v="97"/>
    </i>
    <i t="default">
      <x v="2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计数项:工号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E115" firstHeaderRow="1" firstDataRow="2" firstDataCol="2"/>
  <pivotFields count="28"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91">
        <item x="16"/>
        <item x="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3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851"/>
        <item x="852"/>
        <item x="428"/>
        <item x="337"/>
        <item x="669"/>
        <item x="670"/>
        <item x="668"/>
        <item x="427"/>
        <item x="962"/>
        <item x="741"/>
        <item x="740"/>
        <item x="444"/>
        <item x="445"/>
        <item x="443"/>
        <item x="331"/>
        <item x="446"/>
        <item x="554"/>
        <item x="890"/>
        <item x="908"/>
        <item x="901"/>
        <item x="895"/>
        <item x="907"/>
        <item x="882"/>
        <item x="879"/>
        <item x="863"/>
        <item x="893"/>
        <item x="864"/>
        <item x="859"/>
        <item x="860"/>
        <item x="876"/>
        <item x="877"/>
        <item x="866"/>
        <item x="891"/>
        <item x="892"/>
        <item x="889"/>
        <item x="861"/>
        <item x="862"/>
        <item x="865"/>
        <item x="898"/>
        <item x="897"/>
        <item x="905"/>
        <item x="911"/>
        <item x="902"/>
        <item x="878"/>
        <item x="867"/>
        <item x="875"/>
        <item x="14"/>
        <item x="903"/>
        <item x="904"/>
        <item x="883"/>
        <item x="868"/>
        <item x="887"/>
        <item x="886"/>
        <item x="880"/>
        <item x="900"/>
        <item x="894"/>
        <item x="888"/>
        <item x="858"/>
        <item x="884"/>
        <item x="869"/>
        <item x="896"/>
        <item x="899"/>
        <item x="872"/>
        <item x="873"/>
        <item x="874"/>
        <item x="910"/>
        <item x="906"/>
        <item x="15"/>
        <item x="885"/>
        <item x="881"/>
        <item x="909"/>
        <item x="871"/>
        <item x="870"/>
        <item x="912"/>
        <item x="913"/>
        <item x="794"/>
        <item x="165"/>
        <item x="190"/>
        <item x="336"/>
        <item x="334"/>
        <item x="335"/>
        <item x="333"/>
        <item x="426"/>
        <item x="798"/>
        <item x="795"/>
        <item x="796"/>
        <item x="797"/>
        <item x="832"/>
        <item x="699"/>
        <item x="737"/>
        <item x="736"/>
        <item x="514"/>
        <item x="515"/>
        <item x="513"/>
        <item x="571"/>
        <item x="730"/>
        <item x="731"/>
        <item x="733"/>
        <item x="732"/>
        <item x="429"/>
        <item x="430"/>
        <item x="431"/>
        <item x="432"/>
        <item x="433"/>
        <item x="434"/>
        <item x="769"/>
        <item x="196"/>
        <item x="202"/>
        <item x="198"/>
        <item x="197"/>
        <item x="199"/>
        <item x="203"/>
        <item x="195"/>
        <item x="201"/>
        <item x="200"/>
        <item x="191"/>
        <item x="671"/>
        <item x="338"/>
        <item x="955"/>
        <item x="957"/>
        <item x="952"/>
        <item x="956"/>
        <item x="951"/>
        <item x="950"/>
        <item x="954"/>
        <item x="953"/>
        <item x="735"/>
        <item x="700"/>
        <item x="989"/>
        <item x="933"/>
        <item x="935"/>
        <item x="932"/>
        <item x="934"/>
        <item x="194"/>
        <item x="828"/>
        <item x="825"/>
        <item x="824"/>
        <item x="831"/>
        <item x="829"/>
        <item x="830"/>
        <item x="823"/>
        <item x="827"/>
        <item x="826"/>
        <item x="925"/>
        <item x="930"/>
        <item x="929"/>
        <item x="928"/>
        <item x="927"/>
        <item x="926"/>
        <item x="819"/>
        <item x="820"/>
        <item x="822"/>
        <item x="821"/>
        <item x="175"/>
        <item x="173"/>
        <item x="177"/>
        <item x="179"/>
        <item x="178"/>
        <item x="174"/>
        <item x="180"/>
        <item x="176"/>
        <item x="770"/>
        <item x="588"/>
        <item x="587"/>
        <item x="189"/>
        <item x="712"/>
        <item x="11"/>
        <item x="709"/>
        <item x="707"/>
        <item x="715"/>
        <item x="710"/>
        <item x="708"/>
        <item x="711"/>
        <item x="714"/>
        <item x="713"/>
        <item x="721"/>
        <item x="965"/>
        <item x="970"/>
        <item x="976"/>
        <item x="966"/>
        <item x="967"/>
        <item x="980"/>
        <item x="977"/>
        <item x="969"/>
        <item x="983"/>
        <item x="973"/>
        <item x="964"/>
        <item x="974"/>
        <item x="978"/>
        <item x="979"/>
        <item x="963"/>
        <item x="981"/>
        <item x="975"/>
        <item x="968"/>
        <item x="972"/>
        <item x="982"/>
        <item x="971"/>
        <item x="921"/>
        <item x="258"/>
        <item x="757"/>
        <item x="771"/>
        <item x="772"/>
        <item x="773"/>
        <item x="688"/>
        <item x="687"/>
        <item x="576"/>
        <item x="575"/>
        <item x="296"/>
        <item x="301"/>
        <item x="300"/>
        <item x="297"/>
        <item x="299"/>
        <item x="298"/>
        <item x="738"/>
        <item x="603"/>
        <item x="833"/>
        <item x="835"/>
        <item x="837"/>
        <item x="838"/>
        <item x="836"/>
        <item x="834"/>
        <item x="345"/>
        <item x="339"/>
        <item x="192"/>
        <item x="193"/>
        <item x="920"/>
        <item x="986"/>
        <item x="984"/>
        <item x="985"/>
        <item x="462"/>
        <item x="494"/>
        <item x="496"/>
        <item x="495"/>
        <item x="483"/>
        <item x="464"/>
        <item x="475"/>
        <item x="474"/>
        <item x="469"/>
        <item x="467"/>
        <item x="463"/>
        <item x="509"/>
        <item x="492"/>
        <item x="506"/>
        <item x="484"/>
        <item x="485"/>
        <item x="486"/>
        <item x="471"/>
        <item x="472"/>
        <item x="501"/>
        <item x="500"/>
        <item x="499"/>
        <item x="504"/>
        <item x="503"/>
        <item x="470"/>
        <item x="479"/>
        <item x="461"/>
        <item x="498"/>
        <item x="482"/>
        <item x="489"/>
        <item x="502"/>
        <item x="491"/>
        <item x="476"/>
        <item x="490"/>
        <item x="478"/>
        <item x="465"/>
        <item x="488"/>
        <item x="512"/>
        <item x="477"/>
        <item x="510"/>
        <item x="459"/>
        <item x="460"/>
        <item x="487"/>
        <item x="505"/>
        <item x="511"/>
        <item x="9"/>
        <item x="497"/>
        <item x="466"/>
        <item x="507"/>
        <item x="493"/>
        <item x="480"/>
        <item x="481"/>
        <item x="10"/>
        <item x="508"/>
        <item x="468"/>
        <item x="473"/>
        <item x="559"/>
        <item x="558"/>
        <item x="557"/>
        <item x="556"/>
        <item x="340"/>
        <item x="341"/>
        <item x="343"/>
        <item x="342"/>
        <item x="344"/>
        <item x="552"/>
        <item x="553"/>
        <item x="538"/>
        <item x="545"/>
        <item x="540"/>
        <item x="550"/>
        <item x="542"/>
        <item x="544"/>
        <item x="541"/>
        <item x="547"/>
        <item x="546"/>
        <item x="551"/>
        <item x="539"/>
        <item x="549"/>
        <item x="548"/>
        <item x="543"/>
        <item x="210"/>
        <item x="211"/>
        <item x="237"/>
        <item x="231"/>
        <item x="226"/>
        <item x="240"/>
        <item x="244"/>
        <item x="218"/>
        <item x="219"/>
        <item x="217"/>
        <item x="208"/>
        <item x="4"/>
        <item x="209"/>
        <item x="241"/>
        <item x="212"/>
        <item x="223"/>
        <item x="243"/>
        <item x="230"/>
        <item x="239"/>
        <item x="205"/>
        <item x="236"/>
        <item x="224"/>
        <item x="213"/>
        <item x="221"/>
        <item x="222"/>
        <item x="215"/>
        <item x="207"/>
        <item x="228"/>
        <item x="233"/>
        <item x="238"/>
        <item x="220"/>
        <item x="229"/>
        <item x="206"/>
        <item x="234"/>
        <item x="225"/>
        <item x="214"/>
        <item x="242"/>
        <item x="235"/>
        <item x="227"/>
        <item x="204"/>
        <item x="216"/>
        <item x="5"/>
        <item x="232"/>
        <item x="555"/>
        <item x="988"/>
        <item x="302"/>
        <item x="245"/>
        <item x="853"/>
        <item x="854"/>
        <item x="857"/>
        <item x="855"/>
        <item x="856"/>
        <item x="791"/>
        <item x="792"/>
        <item x="172"/>
        <item x="692"/>
        <item x="691"/>
        <item x="694"/>
        <item x="693"/>
        <item x="697"/>
        <item x="698"/>
        <item x="695"/>
        <item x="696"/>
        <item x="949"/>
        <item x="948"/>
        <item x="947"/>
        <item x="260"/>
        <item x="943"/>
        <item x="942"/>
        <item x="946"/>
        <item x="945"/>
        <item x="938"/>
        <item x="941"/>
        <item x="939"/>
        <item x="940"/>
        <item x="944"/>
        <item x="574"/>
        <item x="561"/>
        <item x="560"/>
        <item x="562"/>
        <item x="316"/>
        <item x="729"/>
        <item x="849"/>
        <item x="438"/>
        <item x="734"/>
        <item x="690"/>
        <item x="682"/>
        <item x="701"/>
        <item x="702"/>
        <item x="317"/>
        <item x="563"/>
        <item x="564"/>
        <item x="566"/>
        <item x="565"/>
        <item x="596"/>
        <item x="595"/>
        <item x="597"/>
        <item x="599"/>
        <item x="598"/>
        <item x="601"/>
        <item x="600"/>
        <item x="410"/>
        <item x="411"/>
        <item x="739"/>
        <item x="602"/>
        <item x="458"/>
        <item x="425"/>
        <item x="987"/>
        <item x="842"/>
        <item x="844"/>
        <item x="843"/>
        <item x="159"/>
        <item x="677"/>
        <item x="680"/>
        <item x="681"/>
        <item x="678"/>
        <item x="679"/>
        <item x="802"/>
        <item x="806"/>
        <item x="13"/>
        <item x="805"/>
        <item x="803"/>
        <item x="804"/>
        <item x="801"/>
        <item x="442"/>
        <item x="330"/>
        <item x="168"/>
        <item x="169"/>
        <item x="167"/>
        <item x="170"/>
        <item x="171"/>
        <item x="290"/>
        <item x="325"/>
        <item x="324"/>
        <item x="807"/>
        <item x="808"/>
        <item x="667"/>
        <item x="580"/>
        <item x="582"/>
        <item x="581"/>
        <item x="583"/>
        <item x="584"/>
        <item x="586"/>
        <item x="585"/>
        <item x="672"/>
        <item x="437"/>
        <item x="436"/>
        <item x="435"/>
        <item x="673"/>
        <item x="248"/>
        <item x="247"/>
        <item x="720"/>
        <item x="719"/>
        <item x="717"/>
        <item x="718"/>
        <item x="257"/>
        <item x="322"/>
        <item x="318"/>
        <item x="319"/>
        <item x="321"/>
        <item x="320"/>
        <item x="323"/>
        <item x="723"/>
        <item x="725"/>
        <item x="722"/>
        <item x="728"/>
        <item x="726"/>
        <item x="727"/>
        <item x="724"/>
        <item x="918"/>
        <item x="917"/>
        <item x="919"/>
        <item x="303"/>
        <item x="307"/>
        <item x="310"/>
        <item x="311"/>
        <item x="306"/>
        <item x="309"/>
        <item x="305"/>
        <item x="313"/>
        <item x="312"/>
        <item x="308"/>
        <item x="314"/>
        <item x="304"/>
        <item x="315"/>
        <item x="755"/>
        <item x="768"/>
        <item x="766"/>
        <item x="767"/>
        <item x="577"/>
        <item x="285"/>
        <item x="289"/>
        <item x="287"/>
        <item x="286"/>
        <item x="288"/>
        <item x="284"/>
        <item x="915"/>
        <item x="916"/>
        <item x="914"/>
        <item x="593"/>
        <item x="594"/>
        <item x="666"/>
        <item x="665"/>
        <item x="187"/>
        <item x="686"/>
        <item x="157"/>
        <item x="579"/>
        <item x="578"/>
        <item x="620"/>
        <item x="621"/>
        <item x="610"/>
        <item x="606"/>
        <item x="607"/>
        <item x="630"/>
        <item x="631"/>
        <item x="660"/>
        <item x="663"/>
        <item x="639"/>
        <item x="652"/>
        <item x="643"/>
        <item x="655"/>
        <item x="664"/>
        <item x="608"/>
        <item x="622"/>
        <item x="613"/>
        <item x="623"/>
        <item x="641"/>
        <item x="609"/>
        <item x="611"/>
        <item x="648"/>
        <item x="649"/>
        <item x="645"/>
        <item x="637"/>
        <item x="624"/>
        <item x="662"/>
        <item x="617"/>
        <item x="628"/>
        <item x="634"/>
        <item x="614"/>
        <item x="615"/>
        <item x="618"/>
        <item x="654"/>
        <item x="633"/>
        <item x="644"/>
        <item x="638"/>
        <item x="651"/>
        <item x="625"/>
        <item x="640"/>
        <item x="635"/>
        <item x="636"/>
        <item x="661"/>
        <item x="656"/>
        <item x="659"/>
        <item x="653"/>
        <item x="657"/>
        <item x="612"/>
        <item x="629"/>
        <item x="616"/>
        <item x="647"/>
        <item x="658"/>
        <item x="646"/>
        <item x="642"/>
        <item x="650"/>
        <item x="632"/>
        <item x="627"/>
        <item x="626"/>
        <item x="619"/>
        <item x="246"/>
        <item x="922"/>
        <item x="923"/>
        <item x="924"/>
        <item x="960"/>
        <item x="959"/>
        <item x="961"/>
        <item x="958"/>
        <item x="590"/>
        <item x="589"/>
        <item x="263"/>
        <item x="6"/>
        <item x="269"/>
        <item x="264"/>
        <item x="265"/>
        <item x="267"/>
        <item x="261"/>
        <item x="268"/>
        <item x="266"/>
        <item x="271"/>
        <item x="262"/>
        <item x="270"/>
        <item x="570"/>
        <item x="569"/>
        <item x="568"/>
        <item x="567"/>
        <item x="291"/>
        <item x="292"/>
        <item x="293"/>
        <item x="259"/>
        <item x="931"/>
        <item x="705"/>
        <item x="704"/>
        <item x="706"/>
        <item x="703"/>
        <item x="765"/>
        <item x="764"/>
        <item x="761"/>
        <item x="762"/>
        <item x="763"/>
        <item x="793"/>
        <item x="800"/>
        <item x="799"/>
        <item x="604"/>
        <item x="605"/>
        <item x="423"/>
        <item x="412"/>
        <item x="417"/>
        <item x="419"/>
        <item x="418"/>
        <item x="422"/>
        <item x="413"/>
        <item x="420"/>
        <item x="415"/>
        <item x="416"/>
        <item x="414"/>
        <item x="421"/>
        <item x="760"/>
        <item x="759"/>
        <item x="758"/>
        <item x="689"/>
        <item x="743"/>
        <item x="745"/>
        <item x="744"/>
        <item x="742"/>
        <item x="846"/>
        <item x="845"/>
        <item x="847"/>
        <item x="848"/>
        <item x="158"/>
        <item x="850"/>
        <item x="936"/>
        <item x="937"/>
        <item x="516"/>
        <item x="518"/>
        <item x="525"/>
        <item x="527"/>
        <item x="526"/>
        <item x="532"/>
        <item x="533"/>
        <item x="522"/>
        <item x="534"/>
        <item x="528"/>
        <item x="536"/>
        <item x="519"/>
        <item x="517"/>
        <item x="529"/>
        <item x="535"/>
        <item x="537"/>
        <item x="521"/>
        <item x="520"/>
        <item x="530"/>
        <item x="523"/>
        <item x="524"/>
        <item x="531"/>
        <item x="294"/>
        <item x="295"/>
        <item x="250"/>
        <item x="254"/>
        <item x="256"/>
        <item x="252"/>
        <item x="251"/>
        <item x="255"/>
        <item x="249"/>
        <item x="253"/>
        <item x="188"/>
        <item x="439"/>
        <item x="440"/>
        <item x="572"/>
        <item x="573"/>
        <item x="328"/>
        <item x="329"/>
        <item x="327"/>
        <item x="326"/>
        <item x="161"/>
        <item x="163"/>
        <item x="164"/>
        <item x="160"/>
        <item x="162"/>
        <item x="182"/>
        <item x="183"/>
        <item x="185"/>
        <item x="186"/>
        <item x="181"/>
        <item x="184"/>
        <item x="746"/>
        <item x="749"/>
        <item x="754"/>
        <item x="747"/>
        <item x="753"/>
        <item x="751"/>
        <item x="748"/>
        <item x="750"/>
        <item x="752"/>
        <item x="332"/>
        <item x="424"/>
        <item x="716"/>
        <item x="756"/>
        <item x="592"/>
        <item x="591"/>
        <item x="349"/>
        <item x="395"/>
        <item x="369"/>
        <item x="382"/>
        <item x="386"/>
        <item x="385"/>
        <item x="397"/>
        <item x="373"/>
        <item x="368"/>
        <item x="354"/>
        <item x="355"/>
        <item x="408"/>
        <item x="351"/>
        <item x="363"/>
        <item x="367"/>
        <item x="366"/>
        <item x="383"/>
        <item x="357"/>
        <item x="393"/>
        <item x="352"/>
        <item x="377"/>
        <item x="392"/>
        <item x="401"/>
        <item x="350"/>
        <item x="409"/>
        <item x="391"/>
        <item x="353"/>
        <item x="407"/>
        <item x="387"/>
        <item x="364"/>
        <item x="381"/>
        <item x="347"/>
        <item x="348"/>
        <item x="356"/>
        <item x="396"/>
        <item x="359"/>
        <item x="402"/>
        <item x="372"/>
        <item x="375"/>
        <item x="400"/>
        <item x="378"/>
        <item x="384"/>
        <item x="405"/>
        <item x="365"/>
        <item x="374"/>
        <item x="358"/>
        <item x="406"/>
        <item x="403"/>
        <item x="404"/>
        <item x="388"/>
        <item x="346"/>
        <item x="398"/>
        <item x="8"/>
        <item x="399"/>
        <item x="360"/>
        <item x="390"/>
        <item x="389"/>
        <item x="370"/>
        <item x="371"/>
        <item x="376"/>
        <item x="361"/>
        <item x="362"/>
        <item x="379"/>
        <item x="380"/>
        <item x="394"/>
        <item x="683"/>
        <item x="685"/>
        <item x="684"/>
        <item x="790"/>
        <item x="786"/>
        <item x="776"/>
        <item x="784"/>
        <item x="775"/>
        <item x="779"/>
        <item x="789"/>
        <item x="777"/>
        <item x="782"/>
        <item x="783"/>
        <item x="788"/>
        <item x="780"/>
        <item x="12"/>
        <item x="774"/>
        <item x="785"/>
        <item x="778"/>
        <item x="787"/>
        <item x="781"/>
        <item x="815"/>
        <item x="812"/>
        <item x="814"/>
        <item x="813"/>
        <item x="818"/>
        <item x="817"/>
        <item x="816"/>
        <item x="441"/>
        <item x="839"/>
        <item x="840"/>
        <item x="841"/>
        <item x="166"/>
        <item x="275"/>
        <item x="278"/>
        <item x="272"/>
        <item x="283"/>
        <item x="282"/>
        <item x="280"/>
        <item x="273"/>
        <item x="279"/>
        <item x="276"/>
        <item x="277"/>
        <item x="274"/>
        <item x="281"/>
        <item x="451"/>
        <item x="450"/>
        <item x="448"/>
        <item x="454"/>
        <item x="452"/>
        <item x="447"/>
        <item x="455"/>
        <item x="456"/>
        <item x="453"/>
        <item x="457"/>
        <item x="449"/>
        <item x="676"/>
        <item x="674"/>
        <item x="675"/>
        <item x="811"/>
        <item x="810"/>
        <item x="809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991">
        <item x="396"/>
        <item x="186"/>
        <item x="426"/>
        <item x="521"/>
        <item x="358"/>
        <item x="576"/>
        <item x="236"/>
        <item x="189"/>
        <item x="703"/>
        <item x="583"/>
        <item x="880"/>
        <item x="167"/>
        <item x="873"/>
        <item x="942"/>
        <item x="347"/>
        <item x="704"/>
        <item x="697"/>
        <item x="629"/>
        <item x="161"/>
        <item x="85"/>
        <item x="776"/>
        <item x="569"/>
        <item x="924"/>
        <item x="920"/>
        <item x="363"/>
        <item x="800"/>
        <item x="726"/>
        <item x="973"/>
        <item x="444"/>
        <item x="572"/>
        <item x="981"/>
        <item x="315"/>
        <item x="760"/>
        <item x="323"/>
        <item x="943"/>
        <item x="192"/>
        <item x="585"/>
        <item x="241"/>
        <item x="263"/>
        <item x="474"/>
        <item x="305"/>
        <item x="706"/>
        <item x="710"/>
        <item x="617"/>
        <item x="295"/>
        <item x="173"/>
        <item x="605"/>
        <item x="265"/>
        <item x="450"/>
        <item x="894"/>
        <item x="248"/>
        <item x="564"/>
        <item x="696"/>
        <item x="298"/>
        <item x="647"/>
        <item x="986"/>
        <item x="933"/>
        <item x="375"/>
        <item x="448"/>
        <item x="162"/>
        <item x="568"/>
        <item x="374"/>
        <item x="750"/>
        <item x="532"/>
        <item x="90"/>
        <item x="440"/>
        <item x="661"/>
        <item x="633"/>
        <item x="246"/>
        <item x="361"/>
        <item x="550"/>
        <item x="804"/>
        <item x="235"/>
        <item x="808"/>
        <item x="197"/>
        <item x="95"/>
        <item x="786"/>
        <item x="76"/>
        <item x="321"/>
        <item x="798"/>
        <item x="179"/>
        <item x="820"/>
        <item x="147"/>
        <item x="496"/>
        <item x="56"/>
        <item x="570"/>
        <item x="392"/>
        <item x="40"/>
        <item x="853"/>
        <item x="987"/>
        <item x="326"/>
        <item x="796"/>
        <item x="283"/>
        <item x="656"/>
        <item x="349"/>
        <item x="947"/>
        <item x="560"/>
        <item x="25"/>
        <item x="898"/>
        <item x="217"/>
        <item x="835"/>
        <item x="97"/>
        <item x="954"/>
        <item x="816"/>
        <item x="542"/>
        <item x="41"/>
        <item x="749"/>
        <item x="648"/>
        <item x="709"/>
        <item x="743"/>
        <item x="662"/>
        <item x="282"/>
        <item x="770"/>
        <item x="159"/>
        <item x="36"/>
        <item x="213"/>
        <item x="945"/>
        <item x="540"/>
        <item x="680"/>
        <item x="511"/>
        <item x="19"/>
        <item x="393"/>
        <item x="42"/>
        <item x="80"/>
        <item x="477"/>
        <item x="831"/>
        <item x="408"/>
        <item x="651"/>
        <item x="508"/>
        <item x="571"/>
        <item x="887"/>
        <item x="136"/>
        <item x="87"/>
        <item x="61"/>
        <item x="34"/>
        <item x="156"/>
        <item x="252"/>
        <item x="152"/>
        <item x="100"/>
        <item x="98"/>
        <item x="94"/>
        <item x="67"/>
        <item x="125"/>
        <item x="143"/>
        <item x="257"/>
        <item x="314"/>
        <item x="588"/>
        <item x="594"/>
        <item x="410"/>
        <item x="936"/>
        <item x="763"/>
        <item x="897"/>
        <item x="985"/>
        <item x="904"/>
        <item x="677"/>
        <item x="249"/>
        <item x="71"/>
        <item x="606"/>
        <item x="913"/>
        <item x="739"/>
        <item x="893"/>
        <item x="390"/>
        <item x="802"/>
        <item x="430"/>
        <item x="961"/>
        <item x="264"/>
        <item x="736"/>
        <item x="445"/>
        <item x="638"/>
        <item x="730"/>
        <item x="744"/>
        <item x="104"/>
        <item x="553"/>
        <item x="101"/>
        <item x="830"/>
        <item x="883"/>
        <item x="900"/>
        <item x="174"/>
        <item x="782"/>
        <item x="185"/>
        <item x="708"/>
        <item x="469"/>
        <item x="870"/>
        <item x="967"/>
        <item x="654"/>
        <item x="722"/>
        <item x="6"/>
        <item x="879"/>
        <item x="11"/>
        <item x="480"/>
        <item x="874"/>
        <item x="545"/>
        <item x="862"/>
        <item x="556"/>
        <item x="682"/>
        <item x="297"/>
        <item x="514"/>
        <item x="669"/>
        <item x="627"/>
        <item x="381"/>
        <item x="206"/>
        <item x="418"/>
        <item x="659"/>
        <item x="271"/>
        <item x="401"/>
        <item x="848"/>
        <item x="752"/>
        <item x="895"/>
        <item x="907"/>
        <item x="718"/>
        <item x="932"/>
        <item x="370"/>
        <item x="331"/>
        <item x="232"/>
        <item x="716"/>
        <item x="634"/>
        <item x="515"/>
        <item x="917"/>
        <item x="285"/>
        <item x="302"/>
        <item x="502"/>
        <item x="678"/>
        <item x="182"/>
        <item x="653"/>
        <item x="491"/>
        <item x="775"/>
        <item x="624"/>
        <item x="489"/>
        <item x="150"/>
        <item x="851"/>
        <item x="841"/>
        <item x="778"/>
        <item x="582"/>
        <item x="296"/>
        <item x="958"/>
        <item x="240"/>
        <item x="866"/>
        <item x="598"/>
        <item x="618"/>
        <item x="555"/>
        <item x="318"/>
        <item x="340"/>
        <item x="693"/>
        <item x="888"/>
        <item x="777"/>
        <item x="689"/>
        <item x="649"/>
        <item x="5"/>
        <item x="313"/>
        <item x="610"/>
        <item x="233"/>
        <item x="501"/>
        <item x="201"/>
        <item x="322"/>
        <item x="838"/>
        <item x="202"/>
        <item x="247"/>
        <item x="278"/>
        <item x="667"/>
        <item x="850"/>
        <item x="243"/>
        <item x="466"/>
        <item x="988"/>
        <item x="32"/>
        <item x="761"/>
        <item x="366"/>
        <item x="294"/>
        <item x="645"/>
        <item x="959"/>
        <item x="621"/>
        <item x="21"/>
        <item x="138"/>
        <item x="83"/>
        <item x="245"/>
        <item x="395"/>
        <item x="72"/>
        <item x="51"/>
        <item x="65"/>
        <item x="391"/>
        <item x="344"/>
        <item x="482"/>
        <item x="350"/>
        <item x="745"/>
        <item x="817"/>
        <item x="875"/>
        <item x="937"/>
        <item x="231"/>
        <item x="307"/>
        <item x="773"/>
        <item x="715"/>
        <item x="834"/>
        <item x="494"/>
        <item x="333"/>
        <item x="740"/>
        <item x="485"/>
        <item x="565"/>
        <item x="801"/>
        <item x="837"/>
        <item x="686"/>
        <item x="112"/>
        <item x="250"/>
        <item x="419"/>
        <item x="330"/>
        <item x="200"/>
        <item x="735"/>
        <item x="424"/>
        <item x="388"/>
        <item x="721"/>
        <item x="332"/>
        <item x="528"/>
        <item x="82"/>
        <item x="672"/>
        <item x="827"/>
        <item x="843"/>
        <item x="918"/>
        <item x="789"/>
        <item x="890"/>
        <item x="694"/>
        <item x="751"/>
        <item x="811"/>
        <item x="158"/>
        <item x="488"/>
        <item x="352"/>
        <item x="978"/>
        <item x="409"/>
        <item x="389"/>
        <item x="320"/>
        <item x="251"/>
        <item x="914"/>
        <item x="281"/>
        <item x="495"/>
        <item x="490"/>
        <item x="484"/>
        <item x="658"/>
        <item x="404"/>
        <item x="684"/>
        <item x="256"/>
        <item x="58"/>
        <item x="676"/>
        <item x="823"/>
        <item x="329"/>
        <item x="382"/>
        <item x="756"/>
        <item x="567"/>
        <item x="652"/>
        <item x="455"/>
        <item x="239"/>
        <item x="403"/>
        <item x="23"/>
        <item x="922"/>
        <item x="461"/>
        <item x="506"/>
        <item x="45"/>
        <item x="81"/>
        <item x="75"/>
        <item x="449"/>
        <item x="238"/>
        <item x="128"/>
        <item x="727"/>
        <item x="437"/>
        <item x="462"/>
        <item x="164"/>
        <item x="328"/>
        <item x="791"/>
        <item x="741"/>
        <item x="522"/>
        <item x="177"/>
        <item x="371"/>
        <item x="309"/>
        <item x="759"/>
        <item x="308"/>
        <item x="639"/>
        <item x="698"/>
        <item x="379"/>
        <item x="304"/>
        <item x="531"/>
        <item x="554"/>
        <item x="939"/>
        <item x="475"/>
        <item x="288"/>
        <item x="783"/>
        <item x="432"/>
        <item x="442"/>
        <item x="362"/>
        <item x="833"/>
        <item x="699"/>
        <item x="259"/>
        <item x="668"/>
        <item x="657"/>
        <item x="772"/>
        <item x="616"/>
        <item x="810"/>
        <item x="549"/>
        <item x="612"/>
        <item x="971"/>
        <item x="797"/>
        <item x="60"/>
        <item x="805"/>
        <item x="832"/>
        <item x="746"/>
        <item x="367"/>
        <item x="178"/>
        <item x="372"/>
        <item x="541"/>
        <item x="237"/>
        <item x="509"/>
        <item x="551"/>
        <item x="543"/>
        <item x="443"/>
        <item x="411"/>
        <item x="434"/>
        <item x="771"/>
        <item x="459"/>
        <item x="755"/>
        <item x="578"/>
        <item x="640"/>
        <item x="16"/>
        <item x="646"/>
        <item x="145"/>
        <item x="885"/>
        <item x="272"/>
        <item x="707"/>
        <item x="852"/>
        <item x="14"/>
        <item x="229"/>
        <item x="170"/>
        <item x="595"/>
        <item x="270"/>
        <item x="590"/>
        <item x="400"/>
        <item x="223"/>
        <item x="785"/>
        <item x="886"/>
        <item x="208"/>
        <item x="413"/>
        <item x="881"/>
        <item x="129"/>
        <item x="635"/>
        <item x="114"/>
        <item x="368"/>
        <item x="225"/>
        <item x="912"/>
        <item x="155"/>
        <item x="386"/>
        <item x="44"/>
        <item x="417"/>
        <item x="287"/>
        <item x="844"/>
        <item x="906"/>
        <item x="341"/>
        <item x="566"/>
        <item x="498"/>
        <item x="463"/>
        <item x="53"/>
        <item x="91"/>
        <item x="609"/>
        <item x="365"/>
        <item x="574"/>
        <item x="157"/>
        <item x="37"/>
        <item x="336"/>
        <item x="573"/>
        <item x="938"/>
        <item x="50"/>
        <item x="218"/>
        <item x="577"/>
        <item x="187"/>
        <item x="891"/>
        <item x="64"/>
        <item x="148"/>
        <item x="737"/>
        <item x="558"/>
        <item x="876"/>
        <item x="453"/>
        <item x="415"/>
        <item x="530"/>
        <item x="338"/>
        <item x="183"/>
        <item x="325"/>
        <item x="544"/>
        <item x="731"/>
        <item x="524"/>
        <item x="149"/>
        <item x="8"/>
        <item x="964"/>
        <item x="373"/>
        <item x="20"/>
        <item x="896"/>
        <item x="899"/>
        <item x="131"/>
        <item x="224"/>
        <item x="956"/>
        <item x="68"/>
        <item x="905"/>
        <item x="666"/>
        <item x="59"/>
        <item x="925"/>
        <item x="425"/>
        <item x="613"/>
        <item x="849"/>
        <item x="931"/>
        <item x="623"/>
        <item x="63"/>
        <item x="357"/>
        <item x="780"/>
        <item x="151"/>
        <item x="557"/>
        <item x="733"/>
        <item x="436"/>
        <item x="15"/>
        <item x="711"/>
        <item x="476"/>
        <item x="603"/>
        <item x="299"/>
        <item x="160"/>
        <item x="946"/>
        <item x="969"/>
        <item x="516"/>
        <item x="184"/>
        <item x="533"/>
        <item x="842"/>
        <item x="637"/>
        <item x="353"/>
        <item x="607"/>
        <item x="604"/>
        <item x="198"/>
        <item x="291"/>
        <item x="527"/>
        <item x="327"/>
        <item x="74"/>
        <item x="260"/>
        <item x="525"/>
        <item x="720"/>
        <item x="909"/>
        <item x="622"/>
        <item x="203"/>
        <item x="562"/>
        <item x="380"/>
        <item x="181"/>
        <item x="356"/>
        <item x="960"/>
        <item x="428"/>
        <item x="970"/>
        <item x="536"/>
        <item x="276"/>
        <item x="732"/>
        <item x="118"/>
        <item x="526"/>
        <item x="681"/>
        <item x="854"/>
        <item x="116"/>
        <item x="626"/>
        <item x="927"/>
        <item x="348"/>
        <item x="435"/>
        <item x="451"/>
        <item x="289"/>
        <item x="467"/>
        <item x="714"/>
        <item x="768"/>
        <item x="951"/>
        <item x="631"/>
        <item x="439"/>
        <item x="234"/>
        <item x="43"/>
        <item x="119"/>
        <item x="337"/>
        <item x="360"/>
        <item x="857"/>
        <item x="593"/>
        <item x="940"/>
        <item x="824"/>
        <item x="944"/>
        <item x="478"/>
        <item x="713"/>
        <item x="781"/>
        <item x="279"/>
        <item x="828"/>
        <item x="103"/>
        <item x="188"/>
        <item x="575"/>
        <item x="517"/>
        <item x="758"/>
        <item x="69"/>
        <item x="204"/>
        <item x="110"/>
        <item x="921"/>
        <item x="84"/>
        <item x="701"/>
        <item x="779"/>
        <item x="787"/>
        <item x="88"/>
        <item x="948"/>
        <item x="665"/>
        <item x="807"/>
        <item x="930"/>
        <item x="953"/>
        <item x="539"/>
        <item x="670"/>
        <item x="175"/>
        <item x="966"/>
        <item x="592"/>
        <item x="882"/>
        <item x="78"/>
        <item x="452"/>
        <item x="456"/>
        <item x="774"/>
        <item x="929"/>
        <item x="483"/>
        <item x="935"/>
        <item x="941"/>
        <item x="591"/>
        <item x="92"/>
        <item x="441"/>
        <item x="205"/>
        <item x="354"/>
        <item x="856"/>
        <item x="962"/>
        <item x="316"/>
        <item x="465"/>
        <item x="457"/>
        <item x="284"/>
        <item x="479"/>
        <item x="790"/>
        <item x="855"/>
        <item x="207"/>
        <item x="695"/>
        <item x="402"/>
        <item x="364"/>
        <item x="169"/>
        <item x="275"/>
        <item x="262"/>
        <item x="166"/>
        <item x="641"/>
        <item x="614"/>
        <item x="230"/>
        <item x="54"/>
        <item x="253"/>
        <item x="244"/>
        <item x="255"/>
        <item x="723"/>
        <item x="724"/>
        <item x="195"/>
        <item x="813"/>
        <item x="729"/>
        <item x="492"/>
        <item x="464"/>
        <item x="928"/>
        <item x="254"/>
        <item x="799"/>
        <item x="468"/>
        <item x="926"/>
        <item x="346"/>
        <item x="685"/>
        <item x="794"/>
        <item x="293"/>
        <item x="584"/>
        <item x="792"/>
        <item x="438"/>
        <item x="600"/>
        <item x="814"/>
        <item x="35"/>
        <item x="982"/>
        <item x="109"/>
        <item x="497"/>
        <item x="27"/>
        <item x="846"/>
        <item x="286"/>
        <item x="753"/>
        <item x="671"/>
        <item x="889"/>
        <item x="871"/>
        <item x="310"/>
        <item x="687"/>
        <item x="369"/>
        <item x="306"/>
        <item x="77"/>
        <item x="972"/>
        <item x="55"/>
        <item x="22"/>
        <item x="106"/>
        <item x="141"/>
        <item x="139"/>
        <item x="48"/>
        <item x="46"/>
        <item x="108"/>
        <item x="29"/>
        <item x="33"/>
        <item x="30"/>
        <item x="107"/>
        <item x="31"/>
        <item x="102"/>
        <item x="481"/>
        <item x="700"/>
        <item x="632"/>
        <item x="806"/>
        <item x="769"/>
        <item x="317"/>
        <item x="405"/>
        <item x="911"/>
        <item x="193"/>
        <item x="860"/>
        <item x="427"/>
        <item x="625"/>
        <item x="345"/>
        <item x="493"/>
        <item x="636"/>
        <item x="581"/>
        <item x="934"/>
        <item x="66"/>
        <item x="503"/>
        <item x="191"/>
        <item x="535"/>
        <item x="214"/>
        <item x="422"/>
        <item x="548"/>
        <item x="734"/>
        <item x="487"/>
        <item x="589"/>
        <item x="825"/>
        <item x="809"/>
        <item x="691"/>
        <item x="194"/>
        <item x="683"/>
        <item x="675"/>
        <item x="812"/>
        <item x="500"/>
        <item x="919"/>
        <item x="754"/>
        <item x="117"/>
        <item x="242"/>
        <item x="137"/>
        <item x="538"/>
        <item x="504"/>
        <item x="277"/>
        <item x="446"/>
        <item x="211"/>
        <item x="154"/>
        <item x="24"/>
        <item x="644"/>
        <item x="643"/>
        <item x="916"/>
        <item x="86"/>
        <item x="93"/>
        <item x="311"/>
        <item x="429"/>
        <item x="196"/>
        <item x="471"/>
        <item x="99"/>
        <item x="793"/>
        <item x="826"/>
        <item x="486"/>
        <item x="176"/>
        <item x="180"/>
        <item x="660"/>
        <item x="447"/>
        <item x="738"/>
        <item x="767"/>
        <item x="126"/>
        <item x="394"/>
        <item x="601"/>
        <item x="728"/>
        <item x="725"/>
        <item x="111"/>
        <item x="132"/>
        <item x="12"/>
        <item x="292"/>
        <item x="983"/>
        <item x="663"/>
        <item x="788"/>
        <item x="869"/>
        <item x="123"/>
        <item x="546"/>
        <item x="303"/>
        <item x="228"/>
        <item x="343"/>
        <item x="829"/>
        <item x="599"/>
        <item x="219"/>
        <item x="520"/>
        <item x="124"/>
        <item x="877"/>
        <item x="619"/>
        <item x="17"/>
        <item x="290"/>
        <item x="226"/>
        <item x="518"/>
        <item x="784"/>
        <item x="414"/>
        <item x="795"/>
        <item x="376"/>
        <item x="49"/>
        <item x="420"/>
        <item x="847"/>
        <item x="977"/>
        <item x="209"/>
        <item x="407"/>
        <item x="384"/>
        <item x="674"/>
        <item x="268"/>
        <item x="818"/>
        <item x="89"/>
        <item x="216"/>
        <item x="70"/>
        <item x="762"/>
        <item x="266"/>
        <item x="122"/>
        <item x="121"/>
        <item x="512"/>
        <item x="552"/>
        <item x="872"/>
        <item x="433"/>
        <item x="579"/>
        <item x="454"/>
        <item x="171"/>
        <item x="324"/>
        <item x="105"/>
        <item x="915"/>
        <item x="859"/>
        <item x="747"/>
        <item x="79"/>
        <item x="221"/>
        <item x="965"/>
        <item x="975"/>
        <item x="903"/>
        <item x="507"/>
        <item x="258"/>
        <item x="586"/>
        <item x="765"/>
        <item x="267"/>
        <item x="274"/>
        <item x="865"/>
        <item x="163"/>
        <item x="473"/>
        <item x="742"/>
        <item x="561"/>
        <item x="140"/>
        <item x="142"/>
        <item x="690"/>
        <item x="529"/>
        <item x="385"/>
        <item x="9"/>
        <item x="702"/>
        <item x="979"/>
        <item x="534"/>
        <item x="26"/>
        <item x="38"/>
        <item x="923"/>
        <item x="28"/>
        <item x="153"/>
        <item x="416"/>
        <item x="222"/>
        <item x="513"/>
        <item x="989"/>
        <item x="300"/>
        <item x="319"/>
        <item x="273"/>
        <item x="628"/>
        <item x="717"/>
        <item x="261"/>
        <item x="630"/>
        <item x="398"/>
        <item x="135"/>
        <item x="963"/>
        <item x="664"/>
        <item x="910"/>
        <item x="387"/>
        <item x="378"/>
        <item x="597"/>
        <item x="120"/>
        <item x="868"/>
        <item x="615"/>
        <item x="57"/>
        <item x="355"/>
        <item x="301"/>
        <item x="359"/>
        <item x="901"/>
        <item x="861"/>
        <item x="803"/>
        <item x="165"/>
        <item x="499"/>
        <item x="172"/>
        <item x="908"/>
        <item x="878"/>
        <item x="563"/>
        <item x="596"/>
        <item x="980"/>
        <item x="864"/>
        <item x="127"/>
        <item x="719"/>
        <item x="130"/>
        <item x="523"/>
        <item x="146"/>
        <item x="460"/>
        <item x="867"/>
        <item x="748"/>
        <item x="968"/>
        <item x="458"/>
        <item x="822"/>
        <item x="215"/>
        <item x="351"/>
        <item x="472"/>
        <item x="602"/>
        <item x="212"/>
        <item x="115"/>
        <item x="431"/>
        <item x="537"/>
        <item x="377"/>
        <item x="423"/>
        <item x="705"/>
        <item x="819"/>
        <item x="2"/>
        <item x="199"/>
        <item x="342"/>
        <item x="559"/>
        <item x="611"/>
        <item x="845"/>
        <item x="949"/>
        <item x="840"/>
        <item x="96"/>
        <item x="52"/>
        <item x="406"/>
        <item x="836"/>
        <item x="655"/>
        <item x="47"/>
        <item x="608"/>
        <item x="821"/>
        <item x="650"/>
        <item x="580"/>
        <item x="712"/>
        <item x="269"/>
        <item x="383"/>
        <item x="764"/>
        <item x="470"/>
        <item x="957"/>
        <item x="339"/>
        <item x="13"/>
        <item x="280"/>
        <item x="113"/>
        <item x="133"/>
        <item x="397"/>
        <item x="950"/>
        <item x="210"/>
        <item x="587"/>
        <item x="39"/>
        <item x="815"/>
        <item x="974"/>
        <item x="757"/>
        <item x="412"/>
        <item x="547"/>
        <item x="227"/>
        <item x="892"/>
        <item x="505"/>
        <item x="62"/>
        <item x="7"/>
        <item x="144"/>
        <item x="884"/>
        <item x="863"/>
        <item x="334"/>
        <item x="679"/>
        <item x="692"/>
        <item x="18"/>
        <item x="4"/>
        <item x="955"/>
        <item x="839"/>
        <item x="984"/>
        <item x="642"/>
        <item x="220"/>
        <item x="73"/>
        <item x="335"/>
        <item x="134"/>
        <item x="312"/>
        <item x="519"/>
        <item x="766"/>
        <item x="421"/>
        <item x="620"/>
        <item x="190"/>
        <item x="3"/>
        <item x="0"/>
        <item x="399"/>
        <item x="688"/>
        <item x="858"/>
        <item x="10"/>
        <item x="168"/>
        <item x="902"/>
        <item x="976"/>
        <item x="1"/>
        <item x="952"/>
        <item x="673"/>
        <item x="5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4">
        <item sd="0" x="20"/>
        <item sd="0" x="8"/>
        <item sd="0" x="7"/>
        <item sd="0" x="18"/>
        <item sd="0" x="17"/>
        <item sd="0" x="9"/>
        <item sd="0" x="11"/>
        <item x="2"/>
        <item x="3"/>
        <item sd="0" x="21"/>
        <item x="1"/>
        <item sd="0" x="14"/>
        <item sd="0" x="22"/>
        <item x="0"/>
        <item x="5"/>
        <item sd="0" x="15"/>
        <item sd="0" x="10"/>
        <item sd="0" x="13"/>
        <item sd="0" x="19"/>
        <item sd="0" x="16"/>
        <item x="4"/>
        <item sd="0" x="1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04">
        <item x="15"/>
        <item x="52"/>
        <item x="1"/>
        <item x="29"/>
        <item x="84"/>
        <item x="55"/>
        <item x="38"/>
        <item x="91"/>
        <item x="72"/>
        <item x="50"/>
        <item x="68"/>
        <item x="73"/>
        <item x="16"/>
        <item x="33"/>
        <item x="88"/>
        <item x="28"/>
        <item x="6"/>
        <item x="34"/>
        <item x="67"/>
        <item x="53"/>
        <item x="26"/>
        <item x="21"/>
        <item x="93"/>
        <item x="32"/>
        <item x="98"/>
        <item x="46"/>
        <item x="12"/>
        <item x="22"/>
        <item x="69"/>
        <item x="31"/>
        <item x="101"/>
        <item x="13"/>
        <item x="56"/>
        <item x="40"/>
        <item x="62"/>
        <item x="20"/>
        <item x="23"/>
        <item x="42"/>
        <item x="3"/>
        <item x="79"/>
        <item x="76"/>
        <item x="57"/>
        <item x="27"/>
        <item x="60"/>
        <item x="7"/>
        <item x="8"/>
        <item x="30"/>
        <item x="39"/>
        <item x="2"/>
        <item x="41"/>
        <item x="24"/>
        <item x="4"/>
        <item x="89"/>
        <item x="48"/>
        <item x="74"/>
        <item x="96"/>
        <item x="95"/>
        <item x="0"/>
        <item x="100"/>
        <item x="17"/>
        <item x="5"/>
        <item x="51"/>
        <item x="82"/>
        <item x="11"/>
        <item x="35"/>
        <item x="36"/>
        <item x="58"/>
        <item x="18"/>
        <item x="59"/>
        <item x="83"/>
        <item x="9"/>
        <item x="85"/>
        <item x="25"/>
        <item x="61"/>
        <item x="19"/>
        <item x="92"/>
        <item x="14"/>
        <item x="43"/>
        <item x="75"/>
        <item x="70"/>
        <item x="47"/>
        <item x="77"/>
        <item x="86"/>
        <item x="65"/>
        <item x="71"/>
        <item x="99"/>
        <item x="78"/>
        <item x="49"/>
        <item x="87"/>
        <item x="66"/>
        <item x="102"/>
        <item x="63"/>
        <item x="45"/>
        <item x="44"/>
        <item x="37"/>
        <item x="97"/>
        <item x="90"/>
        <item x="10"/>
        <item x="64"/>
        <item x="54"/>
        <item x="81"/>
        <item x="94"/>
        <item x="8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1">
        <item x="5"/>
        <item x="19"/>
        <item x="30"/>
        <item x="52"/>
        <item x="10"/>
        <item x="2"/>
        <item x="14"/>
        <item x="62"/>
        <item x="104"/>
        <item x="48"/>
        <item x="33"/>
        <item x="37"/>
        <item x="137"/>
        <item x="65"/>
        <item x="124"/>
        <item x="147"/>
        <item x="43"/>
        <item x="58"/>
        <item x="93"/>
        <item x="45"/>
        <item x="113"/>
        <item x="28"/>
        <item x="34"/>
        <item x="81"/>
        <item x="6"/>
        <item x="7"/>
        <item x="123"/>
        <item x="29"/>
        <item x="38"/>
        <item x="92"/>
        <item x="139"/>
        <item x="127"/>
        <item x="53"/>
        <item x="25"/>
        <item x="54"/>
        <item x="17"/>
        <item x="135"/>
        <item x="68"/>
        <item x="35"/>
        <item x="16"/>
        <item x="136"/>
        <item x="80"/>
        <item x="31"/>
        <item x="111"/>
        <item x="101"/>
        <item x="110"/>
        <item x="23"/>
        <item x="103"/>
        <item x="41"/>
        <item x="94"/>
        <item x="64"/>
        <item x="0"/>
        <item x="102"/>
        <item x="67"/>
        <item x="63"/>
        <item x="66"/>
        <item x="61"/>
        <item x="120"/>
        <item x="73"/>
        <item x="72"/>
        <item x="141"/>
        <item x="9"/>
        <item x="138"/>
        <item x="116"/>
        <item x="140"/>
        <item x="126"/>
        <item x="130"/>
        <item x="112"/>
        <item x="145"/>
        <item x="13"/>
        <item x="36"/>
        <item x="49"/>
        <item x="100"/>
        <item x="122"/>
        <item x="1"/>
        <item x="32"/>
        <item x="131"/>
        <item x="27"/>
        <item x="3"/>
        <item x="134"/>
        <item x="99"/>
        <item x="146"/>
        <item x="78"/>
        <item x="74"/>
        <item x="22"/>
        <item x="39"/>
        <item x="75"/>
        <item x="50"/>
        <item x="129"/>
        <item x="125"/>
        <item x="46"/>
        <item x="119"/>
        <item x="109"/>
        <item x="82"/>
        <item x="85"/>
        <item x="86"/>
        <item x="148"/>
        <item x="143"/>
        <item x="108"/>
        <item x="133"/>
        <item x="98"/>
        <item x="95"/>
        <item x="118"/>
        <item x="83"/>
        <item x="117"/>
        <item x="115"/>
        <item x="57"/>
        <item x="59"/>
        <item x="20"/>
        <item x="97"/>
        <item x="60"/>
        <item x="8"/>
        <item x="106"/>
        <item x="144"/>
        <item x="107"/>
        <item x="55"/>
        <item x="26"/>
        <item x="91"/>
        <item x="77"/>
        <item x="149"/>
        <item x="84"/>
        <item x="105"/>
        <item x="42"/>
        <item x="12"/>
        <item x="87"/>
        <item x="47"/>
        <item x="15"/>
        <item x="89"/>
        <item x="24"/>
        <item x="18"/>
        <item x="96"/>
        <item x="44"/>
        <item x="121"/>
        <item x="40"/>
        <item x="51"/>
        <item x="128"/>
        <item x="56"/>
        <item x="79"/>
        <item x="132"/>
        <item x="76"/>
        <item x="11"/>
        <item x="70"/>
        <item x="21"/>
        <item x="90"/>
        <item x="69"/>
        <item x="142"/>
        <item x="71"/>
        <item x="88"/>
        <item x="4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31">
        <item x="199"/>
        <item x="188"/>
        <item x="203"/>
        <item x="226"/>
        <item x="240"/>
        <item x="20"/>
        <item x="57"/>
        <item x="25"/>
        <item x="35"/>
        <item x="26"/>
        <item x="19"/>
        <item x="58"/>
        <item x="166"/>
        <item x="175"/>
        <item x="252"/>
        <item x="219"/>
        <item x="158"/>
        <item x="315"/>
        <item x="244"/>
        <item x="295"/>
        <item x="76"/>
        <item x="300"/>
        <item x="80"/>
        <item x="224"/>
        <item x="298"/>
        <item x="79"/>
        <item x="119"/>
        <item x="30"/>
        <item x="210"/>
        <item x="27"/>
        <item x="108"/>
        <item x="195"/>
        <item x="32"/>
        <item x="225"/>
        <item x="281"/>
        <item x="319"/>
        <item x="72"/>
        <item x="261"/>
        <item x="15"/>
        <item x="21"/>
        <item x="38"/>
        <item x="47"/>
        <item x="33"/>
        <item x="4"/>
        <item x="229"/>
        <item x="117"/>
        <item x="40"/>
        <item x="43"/>
        <item x="6"/>
        <item x="88"/>
        <item x="193"/>
        <item x="221"/>
        <item x="247"/>
        <item x="14"/>
        <item x="87"/>
        <item x="55"/>
        <item x="228"/>
        <item x="137"/>
        <item x="118"/>
        <item x="190"/>
        <item x="148"/>
        <item x="213"/>
        <item x="258"/>
        <item x="51"/>
        <item x="272"/>
        <item x="269"/>
        <item x="171"/>
        <item x="284"/>
        <item x="290"/>
        <item x="179"/>
        <item x="144"/>
        <item x="220"/>
        <item x="260"/>
        <item x="268"/>
        <item x="285"/>
        <item x="131"/>
        <item x="230"/>
        <item x="5"/>
        <item x="202"/>
        <item x="194"/>
        <item x="67"/>
        <item x="227"/>
        <item x="207"/>
        <item x="185"/>
        <item x="270"/>
        <item x="223"/>
        <item x="234"/>
        <item x="262"/>
        <item x="56"/>
        <item x="69"/>
        <item x="11"/>
        <item x="235"/>
        <item x="251"/>
        <item x="197"/>
        <item x="216"/>
        <item x="121"/>
        <item x="259"/>
        <item x="286"/>
        <item x="302"/>
        <item x="86"/>
        <item x="114"/>
        <item x="238"/>
        <item x="62"/>
        <item x="289"/>
        <item x="187"/>
        <item x="211"/>
        <item x="12"/>
        <item x="2"/>
        <item x="191"/>
        <item x="305"/>
        <item x="68"/>
        <item x="115"/>
        <item x="106"/>
        <item x="245"/>
        <item x="232"/>
        <item x="161"/>
        <item x="180"/>
        <item x="253"/>
        <item x="241"/>
        <item x="313"/>
        <item x="122"/>
        <item x="46"/>
        <item x="34"/>
        <item x="267"/>
        <item x="170"/>
        <item x="299"/>
        <item x="274"/>
        <item x="308"/>
        <item x="140"/>
        <item x="264"/>
        <item x="246"/>
        <item x="93"/>
        <item x="152"/>
        <item x="184"/>
        <item x="116"/>
        <item x="18"/>
        <item x="309"/>
        <item x="1"/>
        <item x="52"/>
        <item x="63"/>
        <item x="42"/>
        <item x="233"/>
        <item x="155"/>
        <item x="206"/>
        <item x="66"/>
        <item x="292"/>
        <item x="61"/>
        <item x="71"/>
        <item x="22"/>
        <item x="130"/>
        <item x="64"/>
        <item x="311"/>
        <item x="168"/>
        <item x="329"/>
        <item x="78"/>
        <item x="7"/>
        <item x="8"/>
        <item x="36"/>
        <item x="328"/>
        <item x="215"/>
        <item x="280"/>
        <item x="291"/>
        <item x="0"/>
        <item x="3"/>
        <item x="162"/>
        <item x="105"/>
        <item x="109"/>
        <item x="263"/>
        <item x="13"/>
        <item x="322"/>
        <item x="250"/>
        <item x="102"/>
        <item x="312"/>
        <item x="98"/>
        <item x="277"/>
        <item x="204"/>
        <item x="307"/>
        <item x="325"/>
        <item x="217"/>
        <item x="296"/>
        <item x="89"/>
        <item x="174"/>
        <item x="176"/>
        <item x="94"/>
        <item x="236"/>
        <item x="178"/>
        <item x="132"/>
        <item x="279"/>
        <item x="255"/>
        <item x="327"/>
        <item x="107"/>
        <item x="53"/>
        <item x="90"/>
        <item x="50"/>
        <item x="273"/>
        <item x="317"/>
        <item x="82"/>
        <item x="314"/>
        <item x="96"/>
        <item x="45"/>
        <item x="254"/>
        <item x="316"/>
        <item x="276"/>
        <item x="151"/>
        <item x="324"/>
        <item x="275"/>
        <item x="265"/>
        <item x="65"/>
        <item x="156"/>
        <item x="256"/>
        <item x="59"/>
        <item x="146"/>
        <item x="112"/>
        <item x="10"/>
        <item x="306"/>
        <item x="237"/>
        <item x="83"/>
        <item x="172"/>
        <item x="293"/>
        <item x="288"/>
        <item x="321"/>
        <item x="150"/>
        <item x="271"/>
        <item x="160"/>
        <item x="143"/>
        <item x="243"/>
        <item x="74"/>
        <item x="145"/>
        <item x="123"/>
        <item x="278"/>
        <item x="147"/>
        <item x="77"/>
        <item x="326"/>
        <item x="97"/>
        <item x="167"/>
        <item x="249"/>
        <item x="153"/>
        <item x="212"/>
        <item x="323"/>
        <item x="54"/>
        <item x="218"/>
        <item x="294"/>
        <item x="318"/>
        <item x="287"/>
        <item x="282"/>
        <item x="37"/>
        <item x="141"/>
        <item x="154"/>
        <item x="135"/>
        <item x="189"/>
        <item x="136"/>
        <item x="310"/>
        <item x="320"/>
        <item x="73"/>
        <item x="297"/>
        <item x="113"/>
        <item x="208"/>
        <item x="16"/>
        <item x="44"/>
        <item x="196"/>
        <item x="214"/>
        <item x="128"/>
        <item x="31"/>
        <item x="124"/>
        <item x="192"/>
        <item x="222"/>
        <item x="101"/>
        <item x="24"/>
        <item x="120"/>
        <item x="301"/>
        <item x="138"/>
        <item x="9"/>
        <item x="159"/>
        <item x="75"/>
        <item x="142"/>
        <item x="164"/>
        <item x="125"/>
        <item x="201"/>
        <item x="163"/>
        <item x="84"/>
        <item x="169"/>
        <item x="182"/>
        <item x="92"/>
        <item x="133"/>
        <item x="126"/>
        <item x="165"/>
        <item x="239"/>
        <item x="81"/>
        <item x="41"/>
        <item x="177"/>
        <item x="48"/>
        <item x="134"/>
        <item x="181"/>
        <item x="205"/>
        <item x="304"/>
        <item x="28"/>
        <item x="39"/>
        <item x="95"/>
        <item x="183"/>
        <item x="242"/>
        <item x="17"/>
        <item x="60"/>
        <item x="111"/>
        <item x="70"/>
        <item x="139"/>
        <item x="110"/>
        <item x="198"/>
        <item x="99"/>
        <item x="283"/>
        <item x="303"/>
        <item x="100"/>
        <item x="103"/>
        <item x="104"/>
        <item x="85"/>
        <item x="173"/>
        <item x="23"/>
        <item x="209"/>
        <item x="257"/>
        <item x="129"/>
        <item x="127"/>
        <item x="266"/>
        <item x="231"/>
        <item x="29"/>
        <item x="149"/>
        <item x="91"/>
        <item x="157"/>
        <item x="248"/>
        <item x="200"/>
        <item x="186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35">
        <item x="73"/>
        <item x="77"/>
        <item x="96"/>
        <item x="79"/>
        <item x="74"/>
        <item x="69"/>
        <item x="10"/>
        <item x="78"/>
        <item x="33"/>
        <item x="4"/>
        <item x="49"/>
        <item x="120"/>
        <item x="122"/>
        <item x="89"/>
        <item x="7"/>
        <item x="109"/>
        <item x="12"/>
        <item x="108"/>
        <item x="2"/>
        <item x="112"/>
        <item x="5"/>
        <item x="36"/>
        <item x="75"/>
        <item x="28"/>
        <item x="58"/>
        <item x="86"/>
        <item x="59"/>
        <item x="63"/>
        <item x="38"/>
        <item x="105"/>
        <item x="39"/>
        <item x="57"/>
        <item x="76"/>
        <item x="113"/>
        <item x="31"/>
        <item x="80"/>
        <item x="32"/>
        <item x="87"/>
        <item x="26"/>
        <item x="91"/>
        <item x="99"/>
        <item x="131"/>
        <item x="72"/>
        <item x="115"/>
        <item x="97"/>
        <item x="129"/>
        <item x="118"/>
        <item x="14"/>
        <item x="71"/>
        <item x="98"/>
        <item x="68"/>
        <item x="67"/>
        <item x="65"/>
        <item x="70"/>
        <item x="130"/>
        <item x="62"/>
        <item x="107"/>
        <item x="111"/>
        <item x="124"/>
        <item x="46"/>
        <item x="56"/>
        <item x="64"/>
        <item x="52"/>
        <item x="127"/>
        <item x="106"/>
        <item x="19"/>
        <item x="90"/>
        <item x="41"/>
        <item x="29"/>
        <item x="44"/>
        <item x="94"/>
        <item x="53"/>
        <item x="85"/>
        <item x="126"/>
        <item x="27"/>
        <item x="23"/>
        <item x="103"/>
        <item x="40"/>
        <item x="48"/>
        <item x="35"/>
        <item x="81"/>
        <item x="9"/>
        <item x="43"/>
        <item x="18"/>
        <item x="102"/>
        <item x="13"/>
        <item x="22"/>
        <item x="25"/>
        <item x="92"/>
        <item x="54"/>
        <item x="117"/>
        <item x="30"/>
        <item x="104"/>
        <item x="88"/>
        <item x="110"/>
        <item x="55"/>
        <item x="83"/>
        <item x="51"/>
        <item x="11"/>
        <item x="121"/>
        <item x="123"/>
        <item x="20"/>
        <item x="82"/>
        <item x="21"/>
        <item x="95"/>
        <item x="125"/>
        <item x="66"/>
        <item x="84"/>
        <item x="116"/>
        <item x="93"/>
        <item x="17"/>
        <item x="15"/>
        <item x="24"/>
        <item x="119"/>
        <item x="37"/>
        <item x="50"/>
        <item x="128"/>
        <item x="60"/>
        <item x="6"/>
        <item x="132"/>
        <item x="8"/>
        <item x="133"/>
        <item x="101"/>
        <item x="61"/>
        <item x="47"/>
        <item x="42"/>
        <item x="3"/>
        <item x="34"/>
        <item x="16"/>
        <item x="45"/>
        <item x="1"/>
        <item x="0"/>
        <item x="114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3">
        <item x="0"/>
        <item x="39"/>
        <item x="40"/>
        <item x="27"/>
        <item x="29"/>
        <item x="1"/>
        <item x="9"/>
        <item x="4"/>
        <item x="23"/>
        <item x="14"/>
        <item x="5"/>
        <item x="17"/>
        <item x="32"/>
        <item x="2"/>
        <item x="20"/>
        <item x="11"/>
        <item x="6"/>
        <item x="10"/>
        <item x="30"/>
        <item x="8"/>
        <item x="37"/>
        <item x="19"/>
        <item x="34"/>
        <item x="15"/>
        <item x="31"/>
        <item x="28"/>
        <item x="26"/>
        <item x="13"/>
        <item x="41"/>
        <item x="12"/>
        <item x="18"/>
        <item x="22"/>
        <item x="7"/>
        <item x="36"/>
        <item x="16"/>
        <item x="25"/>
        <item x="33"/>
        <item x="38"/>
        <item x="21"/>
        <item x="24"/>
        <item x="3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39"/>
        <item x="11"/>
        <item x="17"/>
        <item x="21"/>
        <item x="6"/>
        <item x="34"/>
        <item x="15"/>
        <item x="24"/>
        <item x="32"/>
        <item x="36"/>
        <item x="20"/>
        <item x="23"/>
        <item x="37"/>
        <item x="38"/>
        <item x="26"/>
        <item x="28"/>
        <item x="1"/>
        <item x="8"/>
        <item x="4"/>
        <item x="22"/>
        <item x="13"/>
        <item x="5"/>
        <item x="16"/>
        <item x="31"/>
        <item x="2"/>
        <item x="19"/>
        <item x="10"/>
        <item x="3"/>
        <item x="9"/>
        <item x="29"/>
        <item x="7"/>
        <item x="35"/>
        <item x="18"/>
        <item x="33"/>
        <item x="14"/>
        <item x="30"/>
        <item x="27"/>
        <item x="2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57">
        <item x="0"/>
        <item x="312"/>
        <item x="227"/>
        <item x="45"/>
        <item x="326"/>
        <item x="52"/>
        <item x="150"/>
        <item x="304"/>
        <item x="13"/>
        <item x="229"/>
        <item x="90"/>
        <item x="178"/>
        <item x="38"/>
        <item x="291"/>
        <item x="212"/>
        <item x="280"/>
        <item x="242"/>
        <item x="277"/>
        <item x="66"/>
        <item x="65"/>
        <item x="11"/>
        <item x="55"/>
        <item x="87"/>
        <item x="153"/>
        <item x="41"/>
        <item x="2"/>
        <item x="35"/>
        <item x="354"/>
        <item x="14"/>
        <item x="50"/>
        <item x="164"/>
        <item x="274"/>
        <item x="8"/>
        <item x="40"/>
        <item x="187"/>
        <item x="347"/>
        <item x="48"/>
        <item x="313"/>
        <item x="161"/>
        <item x="235"/>
        <item x="59"/>
        <item x="261"/>
        <item x="256"/>
        <item x="350"/>
        <item x="20"/>
        <item x="149"/>
        <item x="104"/>
        <item x="331"/>
        <item x="22"/>
        <item x="163"/>
        <item x="53"/>
        <item x="124"/>
        <item x="202"/>
        <item x="99"/>
        <item x="176"/>
        <item x="252"/>
        <item x="301"/>
        <item x="286"/>
        <item x="271"/>
        <item x="353"/>
        <item x="24"/>
        <item x="259"/>
        <item x="194"/>
        <item x="211"/>
        <item x="306"/>
        <item x="213"/>
        <item x="117"/>
        <item x="339"/>
        <item x="109"/>
        <item x="247"/>
        <item x="76"/>
        <item x="344"/>
        <item x="47"/>
        <item x="343"/>
        <item x="276"/>
        <item x="294"/>
        <item x="210"/>
        <item x="281"/>
        <item x="193"/>
        <item x="86"/>
        <item x="322"/>
        <item x="145"/>
        <item x="248"/>
        <item x="4"/>
        <item x="245"/>
        <item x="126"/>
        <item x="156"/>
        <item x="287"/>
        <item x="140"/>
        <item x="92"/>
        <item x="258"/>
        <item x="309"/>
        <item x="323"/>
        <item x="319"/>
        <item x="233"/>
        <item x="315"/>
        <item x="72"/>
        <item x="234"/>
        <item x="327"/>
        <item x="83"/>
        <item x="300"/>
        <item x="157"/>
        <item x="62"/>
        <item x="307"/>
        <item x="121"/>
        <item x="209"/>
        <item x="328"/>
        <item x="262"/>
        <item x="31"/>
        <item x="97"/>
        <item x="232"/>
        <item x="64"/>
        <item x="151"/>
        <item x="352"/>
        <item x="60"/>
        <item x="32"/>
        <item x="136"/>
        <item x="272"/>
        <item x="255"/>
        <item x="70"/>
        <item x="297"/>
        <item x="345"/>
        <item x="316"/>
        <item x="74"/>
        <item x="267"/>
        <item x="118"/>
        <item x="283"/>
        <item x="34"/>
        <item x="134"/>
        <item x="318"/>
        <item x="208"/>
        <item x="27"/>
        <item x="147"/>
        <item x="21"/>
        <item x="80"/>
        <item x="105"/>
        <item x="123"/>
        <item x="63"/>
        <item x="85"/>
        <item x="42"/>
        <item x="159"/>
        <item x="172"/>
        <item x="340"/>
        <item x="78"/>
        <item x="188"/>
        <item x="215"/>
        <item x="217"/>
        <item x="101"/>
        <item x="88"/>
        <item x="325"/>
        <item x="219"/>
        <item x="19"/>
        <item x="225"/>
        <item x="51"/>
        <item x="12"/>
        <item x="7"/>
        <item x="58"/>
        <item x="144"/>
        <item x="230"/>
        <item x="61"/>
        <item x="348"/>
        <item x="15"/>
        <item x="203"/>
        <item x="226"/>
        <item x="107"/>
        <item x="241"/>
        <item x="296"/>
        <item x="138"/>
        <item x="223"/>
        <item x="251"/>
        <item x="17"/>
        <item x="36"/>
        <item x="3"/>
        <item x="171"/>
        <item x="334"/>
        <item x="183"/>
        <item x="98"/>
        <item x="28"/>
        <item x="282"/>
        <item x="239"/>
        <item x="285"/>
        <item x="270"/>
        <item x="218"/>
        <item x="299"/>
        <item x="67"/>
        <item x="308"/>
        <item x="335"/>
        <item x="302"/>
        <item x="158"/>
        <item x="175"/>
        <item x="166"/>
        <item x="5"/>
        <item x="73"/>
        <item x="174"/>
        <item x="95"/>
        <item x="333"/>
        <item x="122"/>
        <item x="170"/>
        <item x="43"/>
        <item x="206"/>
        <item x="250"/>
        <item x="246"/>
        <item x="317"/>
        <item x="26"/>
        <item x="355"/>
        <item x="71"/>
        <item x="191"/>
        <item x="154"/>
        <item x="180"/>
        <item x="268"/>
        <item x="141"/>
        <item x="119"/>
        <item x="216"/>
        <item x="110"/>
        <item x="10"/>
        <item x="295"/>
        <item x="127"/>
        <item x="162"/>
        <item x="130"/>
        <item x="143"/>
        <item x="96"/>
        <item x="311"/>
        <item x="46"/>
        <item x="201"/>
        <item x="169"/>
        <item x="260"/>
        <item x="220"/>
        <item x="102"/>
        <item x="186"/>
        <item x="298"/>
        <item x="228"/>
        <item x="266"/>
        <item x="128"/>
        <item x="133"/>
        <item x="23"/>
        <item x="185"/>
        <item x="113"/>
        <item x="81"/>
        <item x="39"/>
        <item x="290"/>
        <item x="273"/>
        <item x="94"/>
        <item x="68"/>
        <item x="131"/>
        <item x="139"/>
        <item x="152"/>
        <item x="305"/>
        <item x="293"/>
        <item x="9"/>
        <item x="205"/>
        <item x="337"/>
        <item x="265"/>
        <item x="197"/>
        <item x="336"/>
        <item x="167"/>
        <item x="324"/>
        <item x="173"/>
        <item x="289"/>
        <item x="346"/>
        <item x="132"/>
        <item x="189"/>
        <item x="190"/>
        <item x="314"/>
        <item x="253"/>
        <item x="89"/>
        <item x="182"/>
        <item x="33"/>
        <item x="243"/>
        <item x="29"/>
        <item x="249"/>
        <item x="120"/>
        <item x="351"/>
        <item x="184"/>
        <item x="224"/>
        <item x="341"/>
        <item x="142"/>
        <item x="264"/>
        <item x="310"/>
        <item x="111"/>
        <item x="179"/>
        <item x="108"/>
        <item x="195"/>
        <item x="160"/>
        <item x="137"/>
        <item x="129"/>
        <item x="116"/>
        <item x="196"/>
        <item x="338"/>
        <item x="82"/>
        <item x="254"/>
        <item x="237"/>
        <item x="115"/>
        <item x="349"/>
        <item x="79"/>
        <item x="16"/>
        <item x="292"/>
        <item x="288"/>
        <item x="103"/>
        <item x="207"/>
        <item x="91"/>
        <item x="192"/>
        <item x="238"/>
        <item x="75"/>
        <item x="54"/>
        <item x="165"/>
        <item x="125"/>
        <item x="181"/>
        <item x="168"/>
        <item x="200"/>
        <item x="263"/>
        <item x="275"/>
        <item x="330"/>
        <item x="148"/>
        <item x="56"/>
        <item x="6"/>
        <item x="222"/>
        <item x="84"/>
        <item x="204"/>
        <item x="77"/>
        <item x="231"/>
        <item x="198"/>
        <item x="244"/>
        <item x="37"/>
        <item x="93"/>
        <item x="303"/>
        <item x="214"/>
        <item x="30"/>
        <item x="100"/>
        <item x="69"/>
        <item x="342"/>
        <item x="236"/>
        <item x="112"/>
        <item x="135"/>
        <item x="25"/>
        <item x="320"/>
        <item x="199"/>
        <item x="49"/>
        <item x="155"/>
        <item x="278"/>
        <item x="329"/>
        <item x="114"/>
        <item x="284"/>
        <item x="18"/>
        <item x="279"/>
        <item x="221"/>
        <item x="177"/>
        <item x="57"/>
        <item x="240"/>
        <item x="321"/>
        <item x="257"/>
        <item x="106"/>
        <item x="146"/>
        <item x="269"/>
        <item x="332"/>
        <item x="44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1">
        <item x="0"/>
        <item x="2"/>
        <item x="3"/>
        <item x="6"/>
        <item x="1"/>
        <item x="5"/>
        <item x="9"/>
        <item x="4"/>
        <item x="8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9">
        <item x="0"/>
        <item x="125"/>
        <item x="114"/>
        <item x="229"/>
        <item x="241"/>
        <item x="153"/>
        <item x="228"/>
        <item x="70"/>
        <item x="164"/>
        <item x="121"/>
        <item x="195"/>
        <item x="243"/>
        <item x="94"/>
        <item x="31"/>
        <item x="212"/>
        <item x="120"/>
        <item x="91"/>
        <item x="141"/>
        <item x="208"/>
        <item x="135"/>
        <item x="107"/>
        <item x="215"/>
        <item x="191"/>
        <item x="44"/>
        <item x="79"/>
        <item x="89"/>
        <item x="53"/>
        <item x="52"/>
        <item x="40"/>
        <item x="176"/>
        <item x="62"/>
        <item x="1"/>
        <item x="41"/>
        <item x="101"/>
        <item x="217"/>
        <item x="49"/>
        <item x="162"/>
        <item x="39"/>
        <item x="71"/>
        <item x="25"/>
        <item x="34"/>
        <item x="128"/>
        <item x="69"/>
        <item x="76"/>
        <item x="214"/>
        <item x="168"/>
        <item x="186"/>
        <item x="209"/>
        <item x="226"/>
        <item x="179"/>
        <item x="187"/>
        <item x="127"/>
        <item x="172"/>
        <item x="207"/>
        <item x="236"/>
        <item x="99"/>
        <item x="3"/>
        <item x="221"/>
        <item x="83"/>
        <item x="85"/>
        <item x="133"/>
        <item x="35"/>
        <item x="48"/>
        <item x="81"/>
        <item x="204"/>
        <item x="87"/>
        <item x="78"/>
        <item x="105"/>
        <item x="4"/>
        <item x="7"/>
        <item x="97"/>
        <item x="17"/>
        <item x="36"/>
        <item x="144"/>
        <item x="18"/>
        <item x="33"/>
        <item x="51"/>
        <item x="117"/>
        <item x="23"/>
        <item x="103"/>
        <item x="113"/>
        <item x="58"/>
        <item x="13"/>
        <item x="28"/>
        <item x="77"/>
        <item x="16"/>
        <item x="161"/>
        <item x="26"/>
        <item x="132"/>
        <item x="6"/>
        <item x="67"/>
        <item x="167"/>
        <item x="84"/>
        <item x="57"/>
        <item x="129"/>
        <item x="180"/>
        <item x="75"/>
        <item x="106"/>
        <item x="45"/>
        <item x="210"/>
        <item x="219"/>
        <item x="10"/>
        <item x="80"/>
        <item x="55"/>
        <item x="163"/>
        <item x="149"/>
        <item x="134"/>
        <item x="59"/>
        <item x="140"/>
        <item x="11"/>
        <item x="50"/>
        <item x="130"/>
        <item x="169"/>
        <item x="20"/>
        <item x="66"/>
        <item x="178"/>
        <item x="155"/>
        <item x="19"/>
        <item x="198"/>
        <item x="2"/>
        <item x="131"/>
        <item x="213"/>
        <item x="183"/>
        <item x="37"/>
        <item x="9"/>
        <item x="143"/>
        <item x="74"/>
        <item x="126"/>
        <item x="193"/>
        <item x="189"/>
        <item x="15"/>
        <item x="109"/>
        <item x="29"/>
        <item x="220"/>
        <item x="124"/>
        <item x="230"/>
        <item x="110"/>
        <item x="119"/>
        <item x="184"/>
        <item x="95"/>
        <item x="115"/>
        <item x="165"/>
        <item x="190"/>
        <item x="182"/>
        <item x="137"/>
        <item x="42"/>
        <item x="111"/>
        <item x="188"/>
        <item x="200"/>
        <item x="43"/>
        <item x="118"/>
        <item x="234"/>
        <item x="32"/>
        <item x="38"/>
        <item x="12"/>
        <item x="245"/>
        <item x="158"/>
        <item x="225"/>
        <item x="30"/>
        <item x="218"/>
        <item x="181"/>
        <item x="63"/>
        <item x="170"/>
        <item x="224"/>
        <item x="136"/>
        <item x="202"/>
        <item x="145"/>
        <item x="72"/>
        <item x="56"/>
        <item x="239"/>
        <item x="216"/>
        <item x="174"/>
        <item x="108"/>
        <item x="98"/>
        <item x="138"/>
        <item x="159"/>
        <item x="240"/>
        <item x="64"/>
        <item x="192"/>
        <item x="199"/>
        <item x="232"/>
        <item x="8"/>
        <item x="139"/>
        <item x="14"/>
        <item x="82"/>
        <item x="46"/>
        <item x="123"/>
        <item x="171"/>
        <item x="100"/>
        <item x="196"/>
        <item x="5"/>
        <item x="47"/>
        <item x="194"/>
        <item x="211"/>
        <item x="142"/>
        <item x="104"/>
        <item x="150"/>
        <item x="197"/>
        <item x="93"/>
        <item x="90"/>
        <item x="247"/>
        <item x="147"/>
        <item x="122"/>
        <item x="146"/>
        <item x="231"/>
        <item x="88"/>
        <item x="27"/>
        <item x="203"/>
        <item x="68"/>
        <item x="235"/>
        <item x="148"/>
        <item x="96"/>
        <item x="22"/>
        <item x="154"/>
        <item x="177"/>
        <item x="185"/>
        <item x="157"/>
        <item x="244"/>
        <item x="21"/>
        <item x="223"/>
        <item x="201"/>
        <item x="54"/>
        <item x="205"/>
        <item x="206"/>
        <item x="175"/>
        <item x="227"/>
        <item x="238"/>
        <item x="73"/>
        <item x="166"/>
        <item x="246"/>
        <item x="102"/>
        <item x="112"/>
        <item x="156"/>
        <item x="61"/>
        <item x="222"/>
        <item x="92"/>
        <item x="65"/>
        <item x="24"/>
        <item x="233"/>
        <item x="173"/>
        <item x="242"/>
        <item x="237"/>
        <item x="152"/>
        <item x="151"/>
        <item x="86"/>
        <item x="116"/>
        <item x="60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">
        <item x="0"/>
        <item x="2"/>
        <item x="3"/>
        <item x="6"/>
        <item x="5"/>
        <item x="1"/>
        <item x="8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8">
        <item x="0"/>
        <item x="124"/>
        <item x="192"/>
        <item x="113"/>
        <item x="228"/>
        <item x="239"/>
        <item x="150"/>
        <item x="244"/>
        <item x="227"/>
        <item x="70"/>
        <item x="161"/>
        <item x="120"/>
        <item x="194"/>
        <item x="241"/>
        <item x="94"/>
        <item x="31"/>
        <item x="211"/>
        <item x="119"/>
        <item x="91"/>
        <item x="139"/>
        <item x="207"/>
        <item x="133"/>
        <item x="106"/>
        <item x="214"/>
        <item x="189"/>
        <item x="79"/>
        <item x="89"/>
        <item x="53"/>
        <item x="52"/>
        <item x="40"/>
        <item x="174"/>
        <item x="62"/>
        <item x="1"/>
        <item x="41"/>
        <item x="148"/>
        <item x="216"/>
        <item x="49"/>
        <item x="159"/>
        <item x="39"/>
        <item x="71"/>
        <item x="25"/>
        <item x="34"/>
        <item x="69"/>
        <item x="76"/>
        <item x="213"/>
        <item x="166"/>
        <item x="184"/>
        <item x="208"/>
        <item x="225"/>
        <item x="177"/>
        <item x="185"/>
        <item x="170"/>
        <item x="206"/>
        <item x="234"/>
        <item x="99"/>
        <item x="3"/>
        <item x="220"/>
        <item x="83"/>
        <item x="85"/>
        <item x="132"/>
        <item x="35"/>
        <item x="48"/>
        <item x="81"/>
        <item x="203"/>
        <item x="87"/>
        <item x="78"/>
        <item x="104"/>
        <item x="4"/>
        <item x="7"/>
        <item x="97"/>
        <item x="17"/>
        <item x="36"/>
        <item x="142"/>
        <item x="18"/>
        <item x="33"/>
        <item x="51"/>
        <item x="116"/>
        <item x="23"/>
        <item x="102"/>
        <item x="112"/>
        <item x="58"/>
        <item x="13"/>
        <item x="28"/>
        <item x="77"/>
        <item x="16"/>
        <item x="158"/>
        <item x="26"/>
        <item x="131"/>
        <item x="6"/>
        <item x="67"/>
        <item x="164"/>
        <item x="84"/>
        <item x="57"/>
        <item x="128"/>
        <item x="178"/>
        <item x="75"/>
        <item x="45"/>
        <item x="209"/>
        <item x="218"/>
        <item x="10"/>
        <item x="80"/>
        <item x="55"/>
        <item x="160"/>
        <item x="126"/>
        <item x="127"/>
        <item x="59"/>
        <item x="138"/>
        <item x="11"/>
        <item x="50"/>
        <item x="129"/>
        <item x="167"/>
        <item x="20"/>
        <item x="66"/>
        <item x="176"/>
        <item x="152"/>
        <item x="19"/>
        <item x="197"/>
        <item x="2"/>
        <item x="130"/>
        <item x="212"/>
        <item x="181"/>
        <item x="37"/>
        <item x="9"/>
        <item x="141"/>
        <item x="74"/>
        <item x="125"/>
        <item x="191"/>
        <item x="187"/>
        <item x="15"/>
        <item x="108"/>
        <item x="29"/>
        <item x="219"/>
        <item x="123"/>
        <item x="229"/>
        <item x="109"/>
        <item x="118"/>
        <item x="182"/>
        <item x="95"/>
        <item x="114"/>
        <item x="162"/>
        <item x="188"/>
        <item x="180"/>
        <item x="135"/>
        <item x="42"/>
        <item x="110"/>
        <item x="186"/>
        <item x="198"/>
        <item x="43"/>
        <item x="117"/>
        <item x="105"/>
        <item x="32"/>
        <item x="38"/>
        <item x="12"/>
        <item x="243"/>
        <item x="155"/>
        <item x="224"/>
        <item x="30"/>
        <item x="217"/>
        <item x="179"/>
        <item x="63"/>
        <item x="168"/>
        <item x="223"/>
        <item x="134"/>
        <item x="201"/>
        <item x="165"/>
        <item x="72"/>
        <item x="56"/>
        <item x="237"/>
        <item x="215"/>
        <item x="172"/>
        <item x="107"/>
        <item x="98"/>
        <item x="136"/>
        <item x="156"/>
        <item x="238"/>
        <item x="64"/>
        <item x="190"/>
        <item x="44"/>
        <item x="231"/>
        <item x="8"/>
        <item x="137"/>
        <item x="14"/>
        <item x="82"/>
        <item x="46"/>
        <item x="122"/>
        <item x="169"/>
        <item x="100"/>
        <item x="195"/>
        <item x="5"/>
        <item x="47"/>
        <item x="193"/>
        <item x="210"/>
        <item x="140"/>
        <item x="103"/>
        <item x="146"/>
        <item x="196"/>
        <item x="93"/>
        <item x="90"/>
        <item x="246"/>
        <item x="144"/>
        <item x="121"/>
        <item x="143"/>
        <item x="230"/>
        <item x="88"/>
        <item x="27"/>
        <item x="202"/>
        <item x="68"/>
        <item x="233"/>
        <item x="145"/>
        <item x="96"/>
        <item x="22"/>
        <item x="151"/>
        <item x="175"/>
        <item x="183"/>
        <item x="154"/>
        <item x="242"/>
        <item x="21"/>
        <item x="222"/>
        <item x="199"/>
        <item x="54"/>
        <item x="204"/>
        <item x="205"/>
        <item x="173"/>
        <item x="226"/>
        <item x="236"/>
        <item x="73"/>
        <item x="163"/>
        <item x="245"/>
        <item x="101"/>
        <item x="111"/>
        <item x="153"/>
        <item x="200"/>
        <item x="61"/>
        <item x="221"/>
        <item x="92"/>
        <item x="65"/>
        <item x="24"/>
        <item x="232"/>
        <item x="171"/>
        <item x="240"/>
        <item x="235"/>
        <item x="149"/>
        <item x="147"/>
        <item x="86"/>
        <item x="115"/>
        <item x="60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2">
        <item x="0"/>
        <item x="4"/>
        <item x="69"/>
        <item x="14"/>
        <item x="29"/>
        <item x="104"/>
        <item x="15"/>
        <item x="28"/>
        <item x="39"/>
        <item x="84"/>
        <item x="20"/>
        <item x="73"/>
        <item x="81"/>
        <item x="44"/>
        <item x="10"/>
        <item x="24"/>
        <item x="58"/>
        <item x="13"/>
        <item x="119"/>
        <item x="22"/>
        <item x="96"/>
        <item x="3"/>
        <item x="52"/>
        <item x="123"/>
        <item x="61"/>
        <item x="43"/>
        <item x="93"/>
        <item x="133"/>
        <item x="57"/>
        <item x="35"/>
        <item x="155"/>
        <item x="160"/>
        <item x="7"/>
        <item x="59"/>
        <item x="41"/>
        <item x="120"/>
        <item x="91"/>
        <item x="108"/>
        <item x="92"/>
        <item x="45"/>
        <item x="101"/>
        <item x="8"/>
        <item x="38"/>
        <item x="94"/>
        <item x="125"/>
        <item x="17"/>
        <item x="51"/>
        <item x="132"/>
        <item x="113"/>
        <item x="16"/>
        <item x="147"/>
        <item x="1"/>
        <item x="95"/>
        <item x="157"/>
        <item x="136"/>
        <item x="30"/>
        <item x="6"/>
        <item x="103"/>
        <item x="56"/>
        <item x="90"/>
        <item x="143"/>
        <item x="140"/>
        <item x="12"/>
        <item x="77"/>
        <item x="25"/>
        <item x="161"/>
        <item x="89"/>
        <item x="167"/>
        <item x="78"/>
        <item x="86"/>
        <item x="137"/>
        <item x="67"/>
        <item x="82"/>
        <item x="121"/>
        <item x="141"/>
        <item x="135"/>
        <item x="98"/>
        <item x="32"/>
        <item x="79"/>
        <item x="139"/>
        <item x="148"/>
        <item x="33"/>
        <item x="85"/>
        <item x="75"/>
        <item x="27"/>
        <item x="31"/>
        <item x="9"/>
        <item x="178"/>
        <item x="116"/>
        <item x="165"/>
        <item x="26"/>
        <item x="159"/>
        <item x="134"/>
        <item x="48"/>
        <item x="126"/>
        <item x="164"/>
        <item x="97"/>
        <item x="151"/>
        <item x="124"/>
        <item x="54"/>
        <item x="42"/>
        <item x="174"/>
        <item x="158"/>
        <item x="129"/>
        <item x="76"/>
        <item x="70"/>
        <item x="99"/>
        <item x="117"/>
        <item x="175"/>
        <item x="49"/>
        <item x="142"/>
        <item x="34"/>
        <item x="169"/>
        <item x="5"/>
        <item x="100"/>
        <item x="11"/>
        <item x="60"/>
        <item x="36"/>
        <item x="88"/>
        <item x="127"/>
        <item x="71"/>
        <item x="145"/>
        <item x="2"/>
        <item x="37"/>
        <item x="144"/>
        <item x="156"/>
        <item x="102"/>
        <item x="74"/>
        <item x="109"/>
        <item x="146"/>
        <item x="66"/>
        <item x="64"/>
        <item x="180"/>
        <item x="106"/>
        <item x="87"/>
        <item x="105"/>
        <item x="168"/>
        <item x="63"/>
        <item x="23"/>
        <item x="152"/>
        <item x="53"/>
        <item x="171"/>
        <item x="107"/>
        <item x="68"/>
        <item x="19"/>
        <item x="112"/>
        <item x="131"/>
        <item x="138"/>
        <item x="115"/>
        <item x="177"/>
        <item x="18"/>
        <item x="163"/>
        <item x="149"/>
        <item x="40"/>
        <item x="153"/>
        <item x="154"/>
        <item x="130"/>
        <item x="166"/>
        <item x="173"/>
        <item x="55"/>
        <item x="122"/>
        <item x="179"/>
        <item x="72"/>
        <item x="80"/>
        <item x="114"/>
        <item x="150"/>
        <item x="47"/>
        <item x="162"/>
        <item x="65"/>
        <item x="50"/>
        <item x="21"/>
        <item x="170"/>
        <item x="128"/>
        <item x="176"/>
        <item x="172"/>
        <item x="111"/>
        <item x="110"/>
        <item x="62"/>
        <item x="83"/>
        <item x="46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5">
        <item x="0"/>
        <item x="23"/>
        <item x="12"/>
        <item x="16"/>
        <item x="68"/>
        <item x="42"/>
        <item x="82"/>
        <item x="33"/>
        <item x="70"/>
        <item x="35"/>
        <item x="5"/>
        <item x="79"/>
        <item x="65"/>
        <item x="76"/>
        <item x="11"/>
        <item x="39"/>
        <item x="80"/>
        <item x="74"/>
        <item x="26"/>
        <item x="7"/>
        <item x="2"/>
        <item x="53"/>
        <item x="41"/>
        <item x="40"/>
        <item x="27"/>
        <item x="55"/>
        <item x="10"/>
        <item x="18"/>
        <item x="56"/>
        <item x="54"/>
        <item x="77"/>
        <item x="6"/>
        <item x="63"/>
        <item x="14"/>
        <item x="83"/>
        <item x="43"/>
        <item x="73"/>
        <item x="59"/>
        <item x="45"/>
        <item x="44"/>
        <item x="19"/>
        <item x="34"/>
        <item x="31"/>
        <item x="48"/>
        <item x="62"/>
        <item x="52"/>
        <item x="66"/>
        <item x="64"/>
        <item x="67"/>
        <item x="8"/>
        <item x="60"/>
        <item x="37"/>
        <item x="58"/>
        <item x="9"/>
        <item x="3"/>
        <item x="4"/>
        <item x="13"/>
        <item x="29"/>
        <item x="17"/>
        <item x="22"/>
        <item x="75"/>
        <item x="72"/>
        <item x="36"/>
        <item x="28"/>
        <item x="46"/>
        <item x="38"/>
        <item x="69"/>
        <item x="32"/>
        <item x="24"/>
        <item x="20"/>
        <item x="49"/>
        <item x="50"/>
        <item x="25"/>
        <item x="51"/>
        <item x="61"/>
        <item x="15"/>
        <item x="71"/>
        <item x="21"/>
        <item x="81"/>
        <item x="1"/>
        <item x="78"/>
        <item x="47"/>
        <item x="57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4">
        <item x="0"/>
        <item x="58"/>
        <item x="67"/>
        <item x="10"/>
        <item x="33"/>
        <item x="70"/>
        <item x="65"/>
        <item x="22"/>
        <item x="6"/>
        <item x="2"/>
        <item x="46"/>
        <item x="35"/>
        <item x="34"/>
        <item x="23"/>
        <item x="48"/>
        <item x="9"/>
        <item x="15"/>
        <item x="49"/>
        <item x="47"/>
        <item x="68"/>
        <item x="5"/>
        <item x="56"/>
        <item x="12"/>
        <item x="72"/>
        <item x="36"/>
        <item x="64"/>
        <item x="52"/>
        <item x="38"/>
        <item x="37"/>
        <item x="16"/>
        <item x="29"/>
        <item x="27"/>
        <item x="41"/>
        <item x="55"/>
        <item x="45"/>
        <item x="59"/>
        <item x="57"/>
        <item x="60"/>
        <item x="7"/>
        <item x="53"/>
        <item x="31"/>
        <item x="51"/>
        <item x="8"/>
        <item x="3"/>
        <item x="4"/>
        <item x="11"/>
        <item x="25"/>
        <item x="14"/>
        <item x="19"/>
        <item x="66"/>
        <item x="63"/>
        <item x="30"/>
        <item x="24"/>
        <item x="39"/>
        <item x="32"/>
        <item x="61"/>
        <item x="28"/>
        <item x="20"/>
        <item x="17"/>
        <item x="42"/>
        <item x="43"/>
        <item x="21"/>
        <item x="44"/>
        <item x="54"/>
        <item x="13"/>
        <item x="62"/>
        <item x="18"/>
        <item x="71"/>
        <item x="1"/>
        <item x="69"/>
        <item x="40"/>
        <item x="50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">
        <item x="0"/>
        <item x="3"/>
        <item x="1"/>
        <item x="4"/>
        <item x="2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">
        <item x="0"/>
        <item x="4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9">
        <item x="0"/>
        <item x="24"/>
        <item x="41"/>
        <item x="3"/>
        <item x="22"/>
        <item x="11"/>
        <item x="57"/>
        <item x="21"/>
        <item x="48"/>
        <item x="26"/>
        <item x="9"/>
        <item x="40"/>
        <item x="45"/>
        <item x="18"/>
        <item x="33"/>
        <item x="39"/>
        <item x="32"/>
        <item x="51"/>
        <item x="10"/>
        <item x="27"/>
        <item x="15"/>
        <item x="31"/>
        <item x="8"/>
        <item x="49"/>
        <item x="5"/>
        <item x="4"/>
        <item x="37"/>
        <item x="14"/>
        <item x="13"/>
        <item x="54"/>
        <item x="55"/>
        <item x="47"/>
        <item x="56"/>
        <item x="19"/>
        <item x="20"/>
        <item x="35"/>
        <item x="28"/>
        <item x="42"/>
        <item x="6"/>
        <item x="16"/>
        <item x="17"/>
        <item x="43"/>
        <item x="50"/>
        <item x="1"/>
        <item x="29"/>
        <item x="2"/>
        <item x="44"/>
        <item x="53"/>
        <item x="7"/>
        <item x="25"/>
        <item x="30"/>
        <item x="12"/>
        <item x="36"/>
        <item x="46"/>
        <item x="38"/>
        <item x="52"/>
        <item x="34"/>
        <item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  <x/>
    </i>
    <i r="1">
      <x v="25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6"/>
    </i>
    <i r="1">
      <x v="60"/>
    </i>
    <i r="1">
      <x v="62"/>
    </i>
    <i r="1">
      <x v="63"/>
    </i>
    <i r="1">
      <x v="64"/>
    </i>
    <i r="1">
      <x v="66"/>
    </i>
    <i r="1">
      <x v="97"/>
    </i>
    <i t="default">
      <x v="7"/>
    </i>
    <i>
      <x v="8"/>
      <x/>
    </i>
    <i r="1">
      <x v="11"/>
    </i>
    <i r="1">
      <x v="13"/>
    </i>
    <i r="1">
      <x v="14"/>
    </i>
    <i r="1">
      <x v="18"/>
    </i>
    <i r="1">
      <x v="22"/>
    </i>
    <i r="1">
      <x v="28"/>
    </i>
    <i r="1">
      <x v="34"/>
    </i>
    <i r="1">
      <x v="40"/>
    </i>
    <i r="1">
      <x v="43"/>
    </i>
    <i r="1">
      <x v="51"/>
    </i>
    <i r="1">
      <x v="52"/>
    </i>
    <i r="1">
      <x v="65"/>
    </i>
    <i r="1">
      <x v="70"/>
    </i>
    <i r="1">
      <x v="77"/>
    </i>
    <i r="1">
      <x v="97"/>
    </i>
    <i t="default">
      <x v="8"/>
    </i>
    <i>
      <x v="9"/>
    </i>
    <i>
      <x v="10"/>
      <x v="47"/>
    </i>
    <i r="1">
      <x v="48"/>
    </i>
    <i r="1">
      <x v="49"/>
    </i>
    <i r="1">
      <x v="50"/>
    </i>
    <i r="1">
      <x v="89"/>
    </i>
    <i r="1">
      <x v="96"/>
    </i>
    <i t="default">
      <x v="10"/>
    </i>
    <i>
      <x v="11"/>
    </i>
    <i>
      <x v="12"/>
    </i>
    <i>
      <x v="13"/>
      <x/>
    </i>
    <i r="1">
      <x v="1"/>
    </i>
    <i r="1">
      <x v="2"/>
    </i>
    <i r="1">
      <x v="3"/>
    </i>
    <i r="1">
      <x v="6"/>
    </i>
    <i r="1">
      <x v="12"/>
    </i>
    <i r="1">
      <x v="16"/>
    </i>
    <i r="1">
      <x v="54"/>
    </i>
    <i r="1">
      <x v="57"/>
    </i>
    <i r="1">
      <x v="70"/>
    </i>
    <i r="1">
      <x v="77"/>
    </i>
    <i r="1">
      <x v="97"/>
    </i>
    <i t="default">
      <x v="13"/>
    </i>
    <i>
      <x v="14"/>
      <x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9"/>
    </i>
    <i r="1">
      <x v="23"/>
    </i>
    <i r="1">
      <x v="24"/>
    </i>
    <i r="1">
      <x v="29"/>
    </i>
    <i r="1">
      <x v="30"/>
    </i>
    <i r="1">
      <x v="33"/>
    </i>
    <i r="1">
      <x v="45"/>
    </i>
    <i r="1">
      <x v="53"/>
    </i>
    <i r="1">
      <x v="55"/>
    </i>
    <i r="1">
      <x v="56"/>
    </i>
    <i r="1">
      <x v="58"/>
    </i>
    <i r="1">
      <x v="70"/>
    </i>
    <i r="1">
      <x v="77"/>
    </i>
    <i r="1">
      <x v="97"/>
    </i>
    <i t="default">
      <x v="14"/>
    </i>
    <i>
      <x v="15"/>
    </i>
    <i>
      <x v="16"/>
    </i>
    <i>
      <x v="17"/>
    </i>
    <i>
      <x v="18"/>
    </i>
    <i>
      <x v="19"/>
    </i>
    <i>
      <x v="20"/>
      <x/>
    </i>
    <i r="1">
      <x v="17"/>
    </i>
    <i r="1">
      <x v="20"/>
    </i>
    <i r="1">
      <x v="26"/>
    </i>
    <i r="1">
      <x v="27"/>
    </i>
    <i r="1">
      <x v="44"/>
    </i>
    <i r="1">
      <x v="77"/>
    </i>
    <i r="1">
      <x v="97"/>
    </i>
    <i t="default">
      <x v="20"/>
    </i>
    <i>
      <x v="21"/>
    </i>
    <i>
      <x v="22"/>
      <x v="15"/>
    </i>
    <i r="1">
      <x v="21"/>
    </i>
    <i r="1">
      <x v="31"/>
    </i>
    <i r="1">
      <x v="32"/>
    </i>
    <i r="1">
      <x v="41"/>
    </i>
    <i r="1">
      <x v="59"/>
    </i>
    <i r="1">
      <x v="61"/>
    </i>
    <i r="1">
      <x v="70"/>
    </i>
    <i r="1">
      <x v="97"/>
    </i>
    <i t="default">
      <x v="22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计数项:工号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F28" firstHeaderRow="1" firstDataRow="2" firstDataCol="2" rowPageCount="1" colPageCount="1"/>
  <pivotFields count="28"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91">
        <item x="16"/>
        <item x="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3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851"/>
        <item x="852"/>
        <item x="428"/>
        <item x="337"/>
        <item x="669"/>
        <item x="670"/>
        <item x="668"/>
        <item x="427"/>
        <item x="962"/>
        <item x="741"/>
        <item x="740"/>
        <item x="444"/>
        <item x="445"/>
        <item x="443"/>
        <item x="331"/>
        <item x="446"/>
        <item x="554"/>
        <item x="890"/>
        <item x="908"/>
        <item x="901"/>
        <item x="895"/>
        <item x="907"/>
        <item x="882"/>
        <item x="879"/>
        <item x="863"/>
        <item x="893"/>
        <item x="864"/>
        <item x="859"/>
        <item x="860"/>
        <item x="876"/>
        <item x="877"/>
        <item x="866"/>
        <item x="891"/>
        <item x="892"/>
        <item x="889"/>
        <item x="861"/>
        <item x="862"/>
        <item x="865"/>
        <item x="898"/>
        <item x="897"/>
        <item x="905"/>
        <item x="911"/>
        <item x="902"/>
        <item x="878"/>
        <item x="867"/>
        <item x="875"/>
        <item x="14"/>
        <item x="903"/>
        <item x="904"/>
        <item x="883"/>
        <item x="868"/>
        <item x="887"/>
        <item x="886"/>
        <item x="880"/>
        <item x="900"/>
        <item x="894"/>
        <item x="888"/>
        <item x="858"/>
        <item x="884"/>
        <item x="869"/>
        <item x="896"/>
        <item x="899"/>
        <item x="872"/>
        <item x="873"/>
        <item x="874"/>
        <item x="910"/>
        <item x="906"/>
        <item x="15"/>
        <item x="885"/>
        <item x="881"/>
        <item x="909"/>
        <item x="871"/>
        <item x="870"/>
        <item x="912"/>
        <item x="913"/>
        <item x="794"/>
        <item x="165"/>
        <item x="190"/>
        <item x="336"/>
        <item x="334"/>
        <item x="335"/>
        <item x="333"/>
        <item x="426"/>
        <item x="798"/>
        <item x="795"/>
        <item x="796"/>
        <item x="797"/>
        <item x="832"/>
        <item x="699"/>
        <item x="737"/>
        <item x="736"/>
        <item x="514"/>
        <item x="515"/>
        <item x="513"/>
        <item x="571"/>
        <item x="730"/>
        <item x="731"/>
        <item x="733"/>
        <item x="732"/>
        <item x="429"/>
        <item x="430"/>
        <item x="431"/>
        <item x="432"/>
        <item x="433"/>
        <item x="434"/>
        <item x="769"/>
        <item x="196"/>
        <item x="202"/>
        <item x="198"/>
        <item x="197"/>
        <item x="199"/>
        <item x="203"/>
        <item x="195"/>
        <item x="201"/>
        <item x="200"/>
        <item x="191"/>
        <item x="671"/>
        <item x="338"/>
        <item x="955"/>
        <item x="957"/>
        <item x="952"/>
        <item x="956"/>
        <item x="951"/>
        <item x="950"/>
        <item x="954"/>
        <item x="953"/>
        <item x="735"/>
        <item x="700"/>
        <item x="989"/>
        <item x="933"/>
        <item x="935"/>
        <item x="932"/>
        <item x="934"/>
        <item x="194"/>
        <item x="828"/>
        <item x="825"/>
        <item x="824"/>
        <item x="831"/>
        <item x="829"/>
        <item x="830"/>
        <item x="823"/>
        <item x="827"/>
        <item x="826"/>
        <item x="925"/>
        <item x="930"/>
        <item x="929"/>
        <item x="928"/>
        <item x="927"/>
        <item x="926"/>
        <item x="819"/>
        <item x="820"/>
        <item x="822"/>
        <item x="821"/>
        <item x="175"/>
        <item x="173"/>
        <item x="177"/>
        <item x="179"/>
        <item x="178"/>
        <item x="174"/>
        <item x="180"/>
        <item x="176"/>
        <item x="770"/>
        <item x="588"/>
        <item x="587"/>
        <item x="189"/>
        <item x="712"/>
        <item x="11"/>
        <item x="709"/>
        <item x="707"/>
        <item x="715"/>
        <item x="710"/>
        <item x="708"/>
        <item x="711"/>
        <item x="714"/>
        <item x="713"/>
        <item x="721"/>
        <item x="965"/>
        <item x="970"/>
        <item x="976"/>
        <item x="966"/>
        <item x="967"/>
        <item x="980"/>
        <item x="977"/>
        <item x="969"/>
        <item x="983"/>
        <item x="973"/>
        <item x="964"/>
        <item x="974"/>
        <item x="978"/>
        <item x="979"/>
        <item x="963"/>
        <item x="981"/>
        <item x="975"/>
        <item x="968"/>
        <item x="972"/>
        <item x="982"/>
        <item x="971"/>
        <item x="921"/>
        <item x="258"/>
        <item x="757"/>
        <item x="771"/>
        <item x="772"/>
        <item x="773"/>
        <item x="688"/>
        <item x="687"/>
        <item x="576"/>
        <item x="575"/>
        <item x="296"/>
        <item x="301"/>
        <item x="300"/>
        <item x="297"/>
        <item x="299"/>
        <item x="298"/>
        <item x="738"/>
        <item x="603"/>
        <item x="833"/>
        <item x="835"/>
        <item x="837"/>
        <item x="838"/>
        <item x="836"/>
        <item x="834"/>
        <item x="345"/>
        <item x="339"/>
        <item x="192"/>
        <item x="193"/>
        <item x="920"/>
        <item x="986"/>
        <item x="984"/>
        <item x="985"/>
        <item x="462"/>
        <item x="494"/>
        <item x="496"/>
        <item x="495"/>
        <item x="483"/>
        <item x="464"/>
        <item x="475"/>
        <item x="474"/>
        <item x="469"/>
        <item x="467"/>
        <item x="463"/>
        <item x="509"/>
        <item x="492"/>
        <item x="506"/>
        <item x="484"/>
        <item x="485"/>
        <item x="486"/>
        <item x="471"/>
        <item x="472"/>
        <item x="501"/>
        <item x="500"/>
        <item x="499"/>
        <item x="504"/>
        <item x="503"/>
        <item x="470"/>
        <item x="479"/>
        <item x="461"/>
        <item x="498"/>
        <item x="482"/>
        <item x="489"/>
        <item x="502"/>
        <item x="491"/>
        <item x="476"/>
        <item x="490"/>
        <item x="478"/>
        <item x="465"/>
        <item x="488"/>
        <item x="512"/>
        <item x="477"/>
        <item x="510"/>
        <item x="459"/>
        <item x="460"/>
        <item x="487"/>
        <item x="505"/>
        <item x="511"/>
        <item x="9"/>
        <item x="497"/>
        <item x="466"/>
        <item x="507"/>
        <item x="493"/>
        <item x="480"/>
        <item x="481"/>
        <item x="10"/>
        <item x="508"/>
        <item x="468"/>
        <item x="473"/>
        <item x="559"/>
        <item x="558"/>
        <item x="557"/>
        <item x="556"/>
        <item x="340"/>
        <item x="341"/>
        <item x="343"/>
        <item x="342"/>
        <item x="344"/>
        <item x="552"/>
        <item x="553"/>
        <item x="538"/>
        <item x="545"/>
        <item x="540"/>
        <item x="550"/>
        <item x="542"/>
        <item x="544"/>
        <item x="541"/>
        <item x="547"/>
        <item x="546"/>
        <item x="551"/>
        <item x="539"/>
        <item x="549"/>
        <item x="548"/>
        <item x="543"/>
        <item x="210"/>
        <item x="211"/>
        <item x="237"/>
        <item x="231"/>
        <item x="226"/>
        <item x="240"/>
        <item x="244"/>
        <item x="218"/>
        <item x="219"/>
        <item x="217"/>
        <item x="208"/>
        <item x="4"/>
        <item x="209"/>
        <item x="241"/>
        <item x="212"/>
        <item x="223"/>
        <item x="243"/>
        <item x="230"/>
        <item x="239"/>
        <item x="205"/>
        <item x="236"/>
        <item x="224"/>
        <item x="213"/>
        <item x="221"/>
        <item x="222"/>
        <item x="215"/>
        <item x="207"/>
        <item x="228"/>
        <item x="233"/>
        <item x="238"/>
        <item x="220"/>
        <item x="229"/>
        <item x="206"/>
        <item x="234"/>
        <item x="225"/>
        <item x="214"/>
        <item x="242"/>
        <item x="235"/>
        <item x="227"/>
        <item x="204"/>
        <item x="216"/>
        <item x="5"/>
        <item x="232"/>
        <item x="555"/>
        <item x="988"/>
        <item x="302"/>
        <item x="245"/>
        <item x="853"/>
        <item x="854"/>
        <item x="857"/>
        <item x="855"/>
        <item x="856"/>
        <item x="791"/>
        <item x="792"/>
        <item x="172"/>
        <item x="692"/>
        <item x="691"/>
        <item x="694"/>
        <item x="693"/>
        <item x="697"/>
        <item x="698"/>
        <item x="695"/>
        <item x="696"/>
        <item x="949"/>
        <item x="948"/>
        <item x="947"/>
        <item x="260"/>
        <item x="943"/>
        <item x="942"/>
        <item x="946"/>
        <item x="945"/>
        <item x="938"/>
        <item x="941"/>
        <item x="939"/>
        <item x="940"/>
        <item x="944"/>
        <item x="574"/>
        <item x="561"/>
        <item x="560"/>
        <item x="562"/>
        <item x="316"/>
        <item x="729"/>
        <item x="849"/>
        <item x="438"/>
        <item x="734"/>
        <item x="690"/>
        <item x="682"/>
        <item x="701"/>
        <item x="702"/>
        <item x="317"/>
        <item x="563"/>
        <item x="564"/>
        <item x="566"/>
        <item x="565"/>
        <item x="596"/>
        <item x="595"/>
        <item x="597"/>
        <item x="599"/>
        <item x="598"/>
        <item x="601"/>
        <item x="600"/>
        <item x="410"/>
        <item x="411"/>
        <item x="739"/>
        <item x="602"/>
        <item x="458"/>
        <item x="425"/>
        <item x="987"/>
        <item x="842"/>
        <item x="844"/>
        <item x="843"/>
        <item x="159"/>
        <item x="677"/>
        <item x="680"/>
        <item x="681"/>
        <item x="678"/>
        <item x="679"/>
        <item x="802"/>
        <item x="806"/>
        <item x="13"/>
        <item x="805"/>
        <item x="803"/>
        <item x="804"/>
        <item x="801"/>
        <item x="442"/>
        <item x="330"/>
        <item x="168"/>
        <item x="169"/>
        <item x="167"/>
        <item x="170"/>
        <item x="171"/>
        <item x="290"/>
        <item x="325"/>
        <item x="324"/>
        <item x="807"/>
        <item x="808"/>
        <item x="667"/>
        <item x="580"/>
        <item x="582"/>
        <item x="581"/>
        <item x="583"/>
        <item x="584"/>
        <item x="586"/>
        <item x="585"/>
        <item x="672"/>
        <item x="437"/>
        <item x="436"/>
        <item x="435"/>
        <item x="673"/>
        <item x="248"/>
        <item x="247"/>
        <item x="720"/>
        <item x="719"/>
        <item x="717"/>
        <item x="718"/>
        <item x="257"/>
        <item x="322"/>
        <item x="318"/>
        <item x="319"/>
        <item x="321"/>
        <item x="320"/>
        <item x="323"/>
        <item x="723"/>
        <item x="725"/>
        <item x="722"/>
        <item x="728"/>
        <item x="726"/>
        <item x="727"/>
        <item x="724"/>
        <item x="918"/>
        <item x="917"/>
        <item x="919"/>
        <item x="303"/>
        <item x="307"/>
        <item x="310"/>
        <item x="311"/>
        <item x="306"/>
        <item x="309"/>
        <item x="305"/>
        <item x="313"/>
        <item x="312"/>
        <item x="308"/>
        <item x="314"/>
        <item x="304"/>
        <item x="315"/>
        <item x="755"/>
        <item x="768"/>
        <item x="766"/>
        <item x="767"/>
        <item x="577"/>
        <item x="285"/>
        <item x="289"/>
        <item x="287"/>
        <item x="286"/>
        <item x="288"/>
        <item x="284"/>
        <item x="915"/>
        <item x="916"/>
        <item x="914"/>
        <item x="593"/>
        <item x="594"/>
        <item x="666"/>
        <item x="665"/>
        <item x="187"/>
        <item x="686"/>
        <item x="157"/>
        <item x="579"/>
        <item x="578"/>
        <item x="620"/>
        <item x="621"/>
        <item x="610"/>
        <item x="606"/>
        <item x="607"/>
        <item x="630"/>
        <item x="631"/>
        <item x="660"/>
        <item x="663"/>
        <item x="639"/>
        <item x="652"/>
        <item x="643"/>
        <item x="655"/>
        <item x="664"/>
        <item x="608"/>
        <item x="622"/>
        <item x="613"/>
        <item x="623"/>
        <item x="641"/>
        <item x="609"/>
        <item x="611"/>
        <item x="648"/>
        <item x="649"/>
        <item x="645"/>
        <item x="637"/>
        <item x="624"/>
        <item x="662"/>
        <item x="617"/>
        <item x="628"/>
        <item x="634"/>
        <item x="614"/>
        <item x="615"/>
        <item x="618"/>
        <item x="654"/>
        <item x="633"/>
        <item x="644"/>
        <item x="638"/>
        <item x="651"/>
        <item x="625"/>
        <item x="640"/>
        <item x="635"/>
        <item x="636"/>
        <item x="661"/>
        <item x="656"/>
        <item x="659"/>
        <item x="653"/>
        <item x="657"/>
        <item x="612"/>
        <item x="629"/>
        <item x="616"/>
        <item x="647"/>
        <item x="658"/>
        <item x="646"/>
        <item x="642"/>
        <item x="650"/>
        <item x="632"/>
        <item x="627"/>
        <item x="626"/>
        <item x="619"/>
        <item x="246"/>
        <item x="922"/>
        <item x="923"/>
        <item x="924"/>
        <item x="960"/>
        <item x="959"/>
        <item x="961"/>
        <item x="958"/>
        <item x="590"/>
        <item x="589"/>
        <item x="263"/>
        <item x="6"/>
        <item x="269"/>
        <item x="264"/>
        <item x="265"/>
        <item x="267"/>
        <item x="261"/>
        <item x="268"/>
        <item x="266"/>
        <item x="271"/>
        <item x="262"/>
        <item x="270"/>
        <item x="570"/>
        <item x="569"/>
        <item x="568"/>
        <item x="567"/>
        <item x="291"/>
        <item x="292"/>
        <item x="293"/>
        <item x="259"/>
        <item x="931"/>
        <item x="705"/>
        <item x="704"/>
        <item x="706"/>
        <item x="703"/>
        <item x="765"/>
        <item x="764"/>
        <item x="761"/>
        <item x="762"/>
        <item x="763"/>
        <item x="793"/>
        <item x="800"/>
        <item x="799"/>
        <item x="604"/>
        <item x="605"/>
        <item x="423"/>
        <item x="412"/>
        <item x="417"/>
        <item x="419"/>
        <item x="418"/>
        <item x="422"/>
        <item x="413"/>
        <item x="420"/>
        <item x="415"/>
        <item x="416"/>
        <item x="414"/>
        <item x="421"/>
        <item x="760"/>
        <item x="759"/>
        <item x="758"/>
        <item x="689"/>
        <item x="743"/>
        <item x="745"/>
        <item x="744"/>
        <item x="742"/>
        <item x="846"/>
        <item x="845"/>
        <item x="847"/>
        <item x="848"/>
        <item x="158"/>
        <item x="850"/>
        <item x="936"/>
        <item x="937"/>
        <item x="516"/>
        <item x="518"/>
        <item x="525"/>
        <item x="527"/>
        <item x="526"/>
        <item x="532"/>
        <item x="533"/>
        <item x="522"/>
        <item x="534"/>
        <item x="528"/>
        <item x="536"/>
        <item x="519"/>
        <item x="517"/>
        <item x="529"/>
        <item x="535"/>
        <item x="537"/>
        <item x="521"/>
        <item x="520"/>
        <item x="530"/>
        <item x="523"/>
        <item x="524"/>
        <item x="531"/>
        <item x="294"/>
        <item x="295"/>
        <item x="250"/>
        <item x="254"/>
        <item x="256"/>
        <item x="252"/>
        <item x="251"/>
        <item x="255"/>
        <item x="249"/>
        <item x="253"/>
        <item x="188"/>
        <item x="439"/>
        <item x="440"/>
        <item x="572"/>
        <item x="573"/>
        <item x="328"/>
        <item x="329"/>
        <item x="327"/>
        <item x="326"/>
        <item x="161"/>
        <item x="163"/>
        <item x="164"/>
        <item x="160"/>
        <item x="162"/>
        <item x="182"/>
        <item x="183"/>
        <item x="185"/>
        <item x="186"/>
        <item x="181"/>
        <item x="184"/>
        <item x="746"/>
        <item x="749"/>
        <item x="754"/>
        <item x="747"/>
        <item x="753"/>
        <item x="751"/>
        <item x="748"/>
        <item x="750"/>
        <item x="752"/>
        <item x="332"/>
        <item x="424"/>
        <item x="716"/>
        <item x="756"/>
        <item x="592"/>
        <item x="591"/>
        <item x="349"/>
        <item x="395"/>
        <item x="369"/>
        <item x="382"/>
        <item x="386"/>
        <item x="385"/>
        <item x="397"/>
        <item x="373"/>
        <item x="368"/>
        <item x="354"/>
        <item x="355"/>
        <item x="408"/>
        <item x="351"/>
        <item x="363"/>
        <item x="367"/>
        <item x="366"/>
        <item x="383"/>
        <item x="357"/>
        <item x="393"/>
        <item x="352"/>
        <item x="377"/>
        <item x="392"/>
        <item x="401"/>
        <item x="350"/>
        <item x="409"/>
        <item x="391"/>
        <item x="353"/>
        <item x="407"/>
        <item x="387"/>
        <item x="364"/>
        <item x="381"/>
        <item x="347"/>
        <item x="348"/>
        <item x="356"/>
        <item x="396"/>
        <item x="359"/>
        <item x="402"/>
        <item x="372"/>
        <item x="375"/>
        <item x="400"/>
        <item x="378"/>
        <item x="384"/>
        <item x="405"/>
        <item x="365"/>
        <item x="374"/>
        <item x="358"/>
        <item x="406"/>
        <item x="403"/>
        <item x="404"/>
        <item x="388"/>
        <item x="346"/>
        <item x="398"/>
        <item x="8"/>
        <item x="399"/>
        <item x="360"/>
        <item x="390"/>
        <item x="389"/>
        <item x="370"/>
        <item x="371"/>
        <item x="376"/>
        <item x="361"/>
        <item x="362"/>
        <item x="379"/>
        <item x="380"/>
        <item x="394"/>
        <item x="683"/>
        <item x="685"/>
        <item x="684"/>
        <item x="790"/>
        <item x="786"/>
        <item x="776"/>
        <item x="784"/>
        <item x="775"/>
        <item x="779"/>
        <item x="789"/>
        <item x="777"/>
        <item x="782"/>
        <item x="783"/>
        <item x="788"/>
        <item x="780"/>
        <item x="12"/>
        <item x="774"/>
        <item x="785"/>
        <item x="778"/>
        <item x="787"/>
        <item x="781"/>
        <item x="815"/>
        <item x="812"/>
        <item x="814"/>
        <item x="813"/>
        <item x="818"/>
        <item x="817"/>
        <item x="816"/>
        <item x="441"/>
        <item x="839"/>
        <item x="840"/>
        <item x="841"/>
        <item x="166"/>
        <item x="275"/>
        <item x="278"/>
        <item x="272"/>
        <item x="283"/>
        <item x="282"/>
        <item x="280"/>
        <item x="273"/>
        <item x="279"/>
        <item x="276"/>
        <item x="277"/>
        <item x="274"/>
        <item x="281"/>
        <item x="451"/>
        <item x="450"/>
        <item x="448"/>
        <item x="454"/>
        <item x="452"/>
        <item x="447"/>
        <item x="455"/>
        <item x="456"/>
        <item x="453"/>
        <item x="457"/>
        <item x="449"/>
        <item x="676"/>
        <item x="674"/>
        <item x="675"/>
        <item x="811"/>
        <item x="810"/>
        <item x="809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991">
        <item x="396"/>
        <item x="186"/>
        <item x="426"/>
        <item x="521"/>
        <item x="358"/>
        <item x="576"/>
        <item x="236"/>
        <item x="189"/>
        <item x="703"/>
        <item x="583"/>
        <item x="880"/>
        <item x="167"/>
        <item x="873"/>
        <item x="942"/>
        <item x="347"/>
        <item x="704"/>
        <item x="697"/>
        <item x="629"/>
        <item x="161"/>
        <item x="85"/>
        <item x="776"/>
        <item x="569"/>
        <item x="924"/>
        <item x="920"/>
        <item x="363"/>
        <item x="800"/>
        <item x="726"/>
        <item x="973"/>
        <item x="444"/>
        <item x="572"/>
        <item x="981"/>
        <item x="315"/>
        <item x="760"/>
        <item x="323"/>
        <item x="943"/>
        <item x="192"/>
        <item x="585"/>
        <item x="241"/>
        <item x="263"/>
        <item x="474"/>
        <item x="305"/>
        <item x="706"/>
        <item x="710"/>
        <item x="617"/>
        <item x="295"/>
        <item x="173"/>
        <item x="605"/>
        <item x="265"/>
        <item x="450"/>
        <item x="894"/>
        <item x="248"/>
        <item x="564"/>
        <item x="696"/>
        <item x="298"/>
        <item x="647"/>
        <item x="986"/>
        <item x="933"/>
        <item x="375"/>
        <item x="448"/>
        <item x="162"/>
        <item x="568"/>
        <item x="374"/>
        <item x="750"/>
        <item x="532"/>
        <item x="90"/>
        <item x="440"/>
        <item x="661"/>
        <item x="633"/>
        <item x="246"/>
        <item x="361"/>
        <item x="550"/>
        <item x="804"/>
        <item x="235"/>
        <item x="808"/>
        <item x="197"/>
        <item x="95"/>
        <item x="786"/>
        <item x="76"/>
        <item x="321"/>
        <item x="798"/>
        <item x="179"/>
        <item x="820"/>
        <item x="147"/>
        <item x="496"/>
        <item x="56"/>
        <item x="570"/>
        <item x="392"/>
        <item x="40"/>
        <item x="853"/>
        <item x="987"/>
        <item x="326"/>
        <item x="796"/>
        <item x="283"/>
        <item x="656"/>
        <item x="349"/>
        <item x="947"/>
        <item x="560"/>
        <item x="25"/>
        <item x="898"/>
        <item x="217"/>
        <item x="835"/>
        <item x="97"/>
        <item x="954"/>
        <item x="816"/>
        <item x="542"/>
        <item x="41"/>
        <item x="749"/>
        <item x="648"/>
        <item x="709"/>
        <item x="743"/>
        <item x="662"/>
        <item x="282"/>
        <item x="770"/>
        <item x="159"/>
        <item x="36"/>
        <item x="213"/>
        <item x="945"/>
        <item x="540"/>
        <item x="680"/>
        <item x="511"/>
        <item x="19"/>
        <item x="393"/>
        <item x="42"/>
        <item x="80"/>
        <item x="477"/>
        <item x="831"/>
        <item x="408"/>
        <item x="651"/>
        <item x="508"/>
        <item x="571"/>
        <item x="887"/>
        <item x="136"/>
        <item x="87"/>
        <item x="61"/>
        <item x="34"/>
        <item x="156"/>
        <item x="252"/>
        <item x="152"/>
        <item x="100"/>
        <item x="98"/>
        <item x="94"/>
        <item x="67"/>
        <item x="125"/>
        <item x="143"/>
        <item x="257"/>
        <item x="314"/>
        <item x="588"/>
        <item x="594"/>
        <item x="410"/>
        <item x="936"/>
        <item x="763"/>
        <item x="897"/>
        <item x="985"/>
        <item x="904"/>
        <item x="677"/>
        <item x="249"/>
        <item x="71"/>
        <item x="606"/>
        <item x="913"/>
        <item x="739"/>
        <item x="893"/>
        <item x="390"/>
        <item x="802"/>
        <item x="430"/>
        <item x="961"/>
        <item x="264"/>
        <item x="736"/>
        <item x="445"/>
        <item x="638"/>
        <item x="730"/>
        <item x="744"/>
        <item x="104"/>
        <item x="553"/>
        <item x="101"/>
        <item x="830"/>
        <item x="883"/>
        <item x="900"/>
        <item x="174"/>
        <item x="782"/>
        <item x="185"/>
        <item x="708"/>
        <item x="469"/>
        <item x="870"/>
        <item x="967"/>
        <item x="654"/>
        <item x="722"/>
        <item x="6"/>
        <item x="879"/>
        <item x="11"/>
        <item x="480"/>
        <item x="874"/>
        <item x="545"/>
        <item x="862"/>
        <item x="556"/>
        <item x="682"/>
        <item x="297"/>
        <item x="514"/>
        <item x="669"/>
        <item x="627"/>
        <item x="381"/>
        <item x="206"/>
        <item x="418"/>
        <item x="659"/>
        <item x="271"/>
        <item x="401"/>
        <item x="848"/>
        <item x="752"/>
        <item x="895"/>
        <item x="907"/>
        <item x="718"/>
        <item x="932"/>
        <item x="370"/>
        <item x="331"/>
        <item x="232"/>
        <item x="716"/>
        <item x="634"/>
        <item x="515"/>
        <item x="917"/>
        <item x="285"/>
        <item x="302"/>
        <item x="502"/>
        <item x="678"/>
        <item x="182"/>
        <item x="653"/>
        <item x="491"/>
        <item x="775"/>
        <item x="624"/>
        <item x="489"/>
        <item x="150"/>
        <item x="851"/>
        <item x="841"/>
        <item x="778"/>
        <item x="582"/>
        <item x="296"/>
        <item x="958"/>
        <item x="240"/>
        <item x="866"/>
        <item x="598"/>
        <item x="618"/>
        <item x="555"/>
        <item x="318"/>
        <item x="340"/>
        <item x="693"/>
        <item x="888"/>
        <item x="777"/>
        <item x="689"/>
        <item x="649"/>
        <item x="5"/>
        <item x="313"/>
        <item x="610"/>
        <item x="233"/>
        <item x="501"/>
        <item x="201"/>
        <item x="322"/>
        <item x="838"/>
        <item x="202"/>
        <item x="247"/>
        <item x="278"/>
        <item x="667"/>
        <item x="850"/>
        <item x="243"/>
        <item x="466"/>
        <item x="988"/>
        <item x="32"/>
        <item x="761"/>
        <item x="366"/>
        <item x="294"/>
        <item x="645"/>
        <item x="959"/>
        <item x="621"/>
        <item x="21"/>
        <item x="138"/>
        <item x="83"/>
        <item x="245"/>
        <item x="395"/>
        <item x="72"/>
        <item x="51"/>
        <item x="65"/>
        <item x="391"/>
        <item x="344"/>
        <item x="482"/>
        <item x="350"/>
        <item x="745"/>
        <item x="817"/>
        <item x="875"/>
        <item x="937"/>
        <item x="231"/>
        <item x="307"/>
        <item x="773"/>
        <item x="715"/>
        <item x="834"/>
        <item x="494"/>
        <item x="333"/>
        <item x="740"/>
        <item x="485"/>
        <item x="565"/>
        <item x="801"/>
        <item x="837"/>
        <item x="686"/>
        <item x="112"/>
        <item x="250"/>
        <item x="419"/>
        <item x="330"/>
        <item x="200"/>
        <item x="735"/>
        <item x="424"/>
        <item x="388"/>
        <item x="721"/>
        <item x="332"/>
        <item x="528"/>
        <item x="82"/>
        <item x="672"/>
        <item x="827"/>
        <item x="843"/>
        <item x="918"/>
        <item x="789"/>
        <item x="890"/>
        <item x="694"/>
        <item x="751"/>
        <item x="811"/>
        <item x="158"/>
        <item x="488"/>
        <item x="352"/>
        <item x="978"/>
        <item x="409"/>
        <item x="389"/>
        <item x="320"/>
        <item x="251"/>
        <item x="914"/>
        <item x="281"/>
        <item x="495"/>
        <item x="490"/>
        <item x="484"/>
        <item x="658"/>
        <item x="404"/>
        <item x="684"/>
        <item x="256"/>
        <item x="58"/>
        <item x="676"/>
        <item x="823"/>
        <item x="329"/>
        <item x="382"/>
        <item x="756"/>
        <item x="567"/>
        <item x="652"/>
        <item x="455"/>
        <item x="239"/>
        <item x="403"/>
        <item x="23"/>
        <item x="922"/>
        <item x="461"/>
        <item x="506"/>
        <item x="45"/>
        <item x="81"/>
        <item x="75"/>
        <item x="449"/>
        <item x="238"/>
        <item x="128"/>
        <item x="727"/>
        <item x="437"/>
        <item x="462"/>
        <item x="164"/>
        <item x="328"/>
        <item x="791"/>
        <item x="741"/>
        <item x="522"/>
        <item x="177"/>
        <item x="371"/>
        <item x="309"/>
        <item x="759"/>
        <item x="308"/>
        <item x="639"/>
        <item x="698"/>
        <item x="379"/>
        <item x="304"/>
        <item x="531"/>
        <item x="554"/>
        <item x="939"/>
        <item x="475"/>
        <item x="288"/>
        <item x="783"/>
        <item x="432"/>
        <item x="442"/>
        <item x="362"/>
        <item x="833"/>
        <item x="699"/>
        <item x="259"/>
        <item x="668"/>
        <item x="657"/>
        <item x="772"/>
        <item x="616"/>
        <item x="810"/>
        <item x="549"/>
        <item x="612"/>
        <item x="971"/>
        <item x="797"/>
        <item x="60"/>
        <item x="805"/>
        <item x="832"/>
        <item x="746"/>
        <item x="367"/>
        <item x="178"/>
        <item x="372"/>
        <item x="541"/>
        <item x="237"/>
        <item x="509"/>
        <item x="551"/>
        <item x="543"/>
        <item x="443"/>
        <item x="411"/>
        <item x="434"/>
        <item x="771"/>
        <item x="459"/>
        <item x="755"/>
        <item x="578"/>
        <item x="640"/>
        <item x="16"/>
        <item x="646"/>
        <item x="145"/>
        <item x="885"/>
        <item x="272"/>
        <item x="707"/>
        <item x="852"/>
        <item x="14"/>
        <item x="229"/>
        <item x="170"/>
        <item x="595"/>
        <item x="270"/>
        <item x="590"/>
        <item x="400"/>
        <item x="223"/>
        <item x="785"/>
        <item x="886"/>
        <item x="208"/>
        <item x="413"/>
        <item x="881"/>
        <item x="129"/>
        <item x="635"/>
        <item x="114"/>
        <item x="368"/>
        <item x="225"/>
        <item x="912"/>
        <item x="155"/>
        <item x="386"/>
        <item x="44"/>
        <item x="417"/>
        <item x="287"/>
        <item x="844"/>
        <item x="906"/>
        <item x="341"/>
        <item x="566"/>
        <item x="498"/>
        <item x="463"/>
        <item x="53"/>
        <item x="91"/>
        <item x="609"/>
        <item x="365"/>
        <item x="574"/>
        <item x="157"/>
        <item x="37"/>
        <item x="336"/>
        <item x="573"/>
        <item x="938"/>
        <item x="50"/>
        <item x="218"/>
        <item x="577"/>
        <item x="187"/>
        <item x="891"/>
        <item x="64"/>
        <item x="148"/>
        <item x="737"/>
        <item x="558"/>
        <item x="876"/>
        <item x="453"/>
        <item x="415"/>
        <item x="530"/>
        <item x="338"/>
        <item x="183"/>
        <item x="325"/>
        <item x="544"/>
        <item x="731"/>
        <item x="524"/>
        <item x="149"/>
        <item x="8"/>
        <item x="964"/>
        <item x="373"/>
        <item x="20"/>
        <item x="896"/>
        <item x="899"/>
        <item x="131"/>
        <item x="224"/>
        <item x="956"/>
        <item x="68"/>
        <item x="905"/>
        <item x="666"/>
        <item x="59"/>
        <item x="925"/>
        <item x="425"/>
        <item x="613"/>
        <item x="849"/>
        <item x="931"/>
        <item x="623"/>
        <item x="63"/>
        <item x="357"/>
        <item x="780"/>
        <item x="151"/>
        <item x="557"/>
        <item x="733"/>
        <item x="436"/>
        <item x="15"/>
        <item x="711"/>
        <item x="476"/>
        <item x="603"/>
        <item x="299"/>
        <item x="160"/>
        <item x="946"/>
        <item x="969"/>
        <item x="516"/>
        <item x="184"/>
        <item x="533"/>
        <item x="842"/>
        <item x="637"/>
        <item x="353"/>
        <item x="607"/>
        <item x="604"/>
        <item x="198"/>
        <item x="291"/>
        <item x="527"/>
        <item x="327"/>
        <item x="74"/>
        <item x="260"/>
        <item x="525"/>
        <item x="720"/>
        <item x="909"/>
        <item x="622"/>
        <item x="203"/>
        <item x="562"/>
        <item x="380"/>
        <item x="181"/>
        <item x="356"/>
        <item x="960"/>
        <item x="428"/>
        <item x="970"/>
        <item x="536"/>
        <item x="276"/>
        <item x="732"/>
        <item x="118"/>
        <item x="526"/>
        <item x="681"/>
        <item x="854"/>
        <item x="116"/>
        <item x="626"/>
        <item x="927"/>
        <item x="348"/>
        <item x="435"/>
        <item x="451"/>
        <item x="289"/>
        <item x="467"/>
        <item x="714"/>
        <item x="768"/>
        <item x="951"/>
        <item x="631"/>
        <item x="439"/>
        <item x="234"/>
        <item x="43"/>
        <item x="119"/>
        <item x="337"/>
        <item x="360"/>
        <item x="857"/>
        <item x="593"/>
        <item x="940"/>
        <item x="824"/>
        <item x="944"/>
        <item x="478"/>
        <item x="713"/>
        <item x="781"/>
        <item x="279"/>
        <item x="828"/>
        <item x="103"/>
        <item x="188"/>
        <item x="575"/>
        <item x="517"/>
        <item x="758"/>
        <item x="69"/>
        <item x="204"/>
        <item x="110"/>
        <item x="921"/>
        <item x="84"/>
        <item x="701"/>
        <item x="779"/>
        <item x="787"/>
        <item x="88"/>
        <item x="948"/>
        <item x="665"/>
        <item x="807"/>
        <item x="930"/>
        <item x="953"/>
        <item x="539"/>
        <item x="670"/>
        <item x="175"/>
        <item x="966"/>
        <item x="592"/>
        <item x="882"/>
        <item x="78"/>
        <item x="452"/>
        <item x="456"/>
        <item x="774"/>
        <item x="929"/>
        <item x="483"/>
        <item x="935"/>
        <item x="941"/>
        <item x="591"/>
        <item x="92"/>
        <item x="441"/>
        <item x="205"/>
        <item x="354"/>
        <item x="856"/>
        <item x="962"/>
        <item x="316"/>
        <item x="465"/>
        <item x="457"/>
        <item x="284"/>
        <item x="479"/>
        <item x="790"/>
        <item x="855"/>
        <item x="207"/>
        <item x="695"/>
        <item x="402"/>
        <item x="364"/>
        <item x="169"/>
        <item x="275"/>
        <item x="262"/>
        <item x="166"/>
        <item x="641"/>
        <item x="614"/>
        <item x="230"/>
        <item x="54"/>
        <item x="253"/>
        <item x="244"/>
        <item x="255"/>
        <item x="723"/>
        <item x="724"/>
        <item x="195"/>
        <item x="813"/>
        <item x="729"/>
        <item x="492"/>
        <item x="464"/>
        <item x="928"/>
        <item x="254"/>
        <item x="799"/>
        <item x="468"/>
        <item x="926"/>
        <item x="346"/>
        <item x="685"/>
        <item x="794"/>
        <item x="293"/>
        <item x="584"/>
        <item x="792"/>
        <item x="438"/>
        <item x="600"/>
        <item x="814"/>
        <item x="35"/>
        <item x="982"/>
        <item x="109"/>
        <item x="497"/>
        <item x="27"/>
        <item x="846"/>
        <item x="286"/>
        <item x="753"/>
        <item x="671"/>
        <item x="889"/>
        <item x="871"/>
        <item x="310"/>
        <item x="687"/>
        <item x="369"/>
        <item x="306"/>
        <item x="77"/>
        <item x="972"/>
        <item x="55"/>
        <item x="22"/>
        <item x="106"/>
        <item x="141"/>
        <item x="139"/>
        <item x="48"/>
        <item x="46"/>
        <item x="108"/>
        <item x="29"/>
        <item x="33"/>
        <item x="30"/>
        <item x="107"/>
        <item x="31"/>
        <item x="102"/>
        <item x="481"/>
        <item x="700"/>
        <item x="632"/>
        <item x="806"/>
        <item x="769"/>
        <item x="317"/>
        <item x="405"/>
        <item x="911"/>
        <item x="193"/>
        <item x="860"/>
        <item x="427"/>
        <item x="625"/>
        <item x="345"/>
        <item x="493"/>
        <item x="636"/>
        <item x="581"/>
        <item x="934"/>
        <item x="66"/>
        <item x="503"/>
        <item x="191"/>
        <item x="535"/>
        <item x="214"/>
        <item x="422"/>
        <item x="548"/>
        <item x="734"/>
        <item x="487"/>
        <item x="589"/>
        <item x="825"/>
        <item x="809"/>
        <item x="691"/>
        <item x="194"/>
        <item x="683"/>
        <item x="675"/>
        <item x="812"/>
        <item x="500"/>
        <item x="919"/>
        <item x="754"/>
        <item x="117"/>
        <item x="242"/>
        <item x="137"/>
        <item x="538"/>
        <item x="504"/>
        <item x="277"/>
        <item x="446"/>
        <item x="211"/>
        <item x="154"/>
        <item x="24"/>
        <item x="644"/>
        <item x="643"/>
        <item x="916"/>
        <item x="86"/>
        <item x="93"/>
        <item x="311"/>
        <item x="429"/>
        <item x="196"/>
        <item x="471"/>
        <item x="99"/>
        <item x="793"/>
        <item x="826"/>
        <item x="486"/>
        <item x="176"/>
        <item x="180"/>
        <item x="660"/>
        <item x="447"/>
        <item x="738"/>
        <item x="767"/>
        <item x="126"/>
        <item x="394"/>
        <item x="601"/>
        <item x="728"/>
        <item x="725"/>
        <item x="111"/>
        <item x="132"/>
        <item x="12"/>
        <item x="292"/>
        <item x="983"/>
        <item x="663"/>
        <item x="788"/>
        <item x="869"/>
        <item x="123"/>
        <item x="546"/>
        <item x="303"/>
        <item x="228"/>
        <item x="343"/>
        <item x="829"/>
        <item x="599"/>
        <item x="219"/>
        <item x="520"/>
        <item x="124"/>
        <item x="877"/>
        <item x="619"/>
        <item x="17"/>
        <item x="290"/>
        <item x="226"/>
        <item x="518"/>
        <item x="784"/>
        <item x="414"/>
        <item x="795"/>
        <item x="376"/>
        <item x="49"/>
        <item x="420"/>
        <item x="847"/>
        <item x="977"/>
        <item x="209"/>
        <item x="407"/>
        <item x="384"/>
        <item x="674"/>
        <item x="268"/>
        <item x="818"/>
        <item x="89"/>
        <item x="216"/>
        <item x="70"/>
        <item x="762"/>
        <item x="266"/>
        <item x="122"/>
        <item x="121"/>
        <item x="512"/>
        <item x="552"/>
        <item x="872"/>
        <item x="433"/>
        <item x="579"/>
        <item x="454"/>
        <item x="171"/>
        <item x="324"/>
        <item x="105"/>
        <item x="915"/>
        <item x="859"/>
        <item x="747"/>
        <item x="79"/>
        <item x="221"/>
        <item x="965"/>
        <item x="975"/>
        <item x="903"/>
        <item x="507"/>
        <item x="258"/>
        <item x="586"/>
        <item x="765"/>
        <item x="267"/>
        <item x="274"/>
        <item x="865"/>
        <item x="163"/>
        <item x="473"/>
        <item x="742"/>
        <item x="561"/>
        <item x="140"/>
        <item x="142"/>
        <item x="690"/>
        <item x="529"/>
        <item x="385"/>
        <item x="9"/>
        <item x="702"/>
        <item x="979"/>
        <item x="534"/>
        <item x="26"/>
        <item x="38"/>
        <item x="923"/>
        <item x="28"/>
        <item x="153"/>
        <item x="416"/>
        <item x="222"/>
        <item x="513"/>
        <item x="989"/>
        <item x="300"/>
        <item x="319"/>
        <item x="273"/>
        <item x="628"/>
        <item x="717"/>
        <item x="261"/>
        <item x="630"/>
        <item x="398"/>
        <item x="135"/>
        <item x="963"/>
        <item x="664"/>
        <item x="910"/>
        <item x="387"/>
        <item x="378"/>
        <item x="597"/>
        <item x="120"/>
        <item x="868"/>
        <item x="615"/>
        <item x="57"/>
        <item x="355"/>
        <item x="301"/>
        <item x="359"/>
        <item x="901"/>
        <item x="861"/>
        <item x="803"/>
        <item x="165"/>
        <item x="499"/>
        <item x="172"/>
        <item x="908"/>
        <item x="878"/>
        <item x="563"/>
        <item x="596"/>
        <item x="980"/>
        <item x="864"/>
        <item x="127"/>
        <item x="719"/>
        <item x="130"/>
        <item x="523"/>
        <item x="146"/>
        <item x="460"/>
        <item x="867"/>
        <item x="748"/>
        <item x="968"/>
        <item x="458"/>
        <item x="822"/>
        <item x="215"/>
        <item x="351"/>
        <item x="472"/>
        <item x="602"/>
        <item x="212"/>
        <item x="115"/>
        <item x="431"/>
        <item x="537"/>
        <item x="377"/>
        <item x="423"/>
        <item x="705"/>
        <item x="819"/>
        <item x="2"/>
        <item x="199"/>
        <item x="342"/>
        <item x="559"/>
        <item x="611"/>
        <item x="845"/>
        <item x="949"/>
        <item x="840"/>
        <item x="96"/>
        <item x="52"/>
        <item x="406"/>
        <item x="836"/>
        <item x="655"/>
        <item x="47"/>
        <item x="608"/>
        <item x="821"/>
        <item x="650"/>
        <item x="580"/>
        <item x="712"/>
        <item x="269"/>
        <item x="383"/>
        <item x="764"/>
        <item x="470"/>
        <item x="957"/>
        <item x="339"/>
        <item x="13"/>
        <item x="280"/>
        <item x="113"/>
        <item x="133"/>
        <item x="397"/>
        <item x="950"/>
        <item x="210"/>
        <item x="587"/>
        <item x="39"/>
        <item x="815"/>
        <item x="974"/>
        <item x="757"/>
        <item x="412"/>
        <item x="547"/>
        <item x="227"/>
        <item x="892"/>
        <item x="505"/>
        <item x="62"/>
        <item x="7"/>
        <item x="144"/>
        <item x="884"/>
        <item x="863"/>
        <item x="334"/>
        <item x="679"/>
        <item x="692"/>
        <item x="18"/>
        <item x="4"/>
        <item x="955"/>
        <item x="839"/>
        <item x="984"/>
        <item x="642"/>
        <item x="220"/>
        <item x="73"/>
        <item x="335"/>
        <item x="134"/>
        <item x="312"/>
        <item x="519"/>
        <item x="766"/>
        <item x="421"/>
        <item x="620"/>
        <item x="190"/>
        <item x="3"/>
        <item x="0"/>
        <item x="399"/>
        <item x="688"/>
        <item x="858"/>
        <item x="10"/>
        <item x="168"/>
        <item x="902"/>
        <item x="976"/>
        <item x="1"/>
        <item x="952"/>
        <item x="673"/>
        <item x="5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4">
        <item sd="0" x="20"/>
        <item sd="0" x="8"/>
        <item sd="0" x="7"/>
        <item sd="0" x="18"/>
        <item sd="0" x="17"/>
        <item sd="0" x="9"/>
        <item sd="0" x="11"/>
        <item x="2"/>
        <item x="3"/>
        <item sd="0" x="21"/>
        <item x="1"/>
        <item sd="0" x="14"/>
        <item sd="0" x="22"/>
        <item x="0"/>
        <item x="5"/>
        <item sd="0" x="15"/>
        <item sd="0" x="10"/>
        <item sd="0" x="13"/>
        <item sd="0" x="19"/>
        <item sd="0" x="16"/>
        <item x="4"/>
        <item sd="0" x="1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04">
        <item x="15"/>
        <item x="52"/>
        <item x="1"/>
        <item x="29"/>
        <item x="84"/>
        <item x="55"/>
        <item x="38"/>
        <item x="91"/>
        <item x="72"/>
        <item x="50"/>
        <item x="68"/>
        <item x="73"/>
        <item x="16"/>
        <item x="33"/>
        <item x="88"/>
        <item x="28"/>
        <item x="6"/>
        <item x="34"/>
        <item x="67"/>
        <item x="53"/>
        <item x="26"/>
        <item x="21"/>
        <item x="93"/>
        <item x="32"/>
        <item x="98"/>
        <item x="46"/>
        <item x="12"/>
        <item x="22"/>
        <item x="69"/>
        <item x="31"/>
        <item x="101"/>
        <item x="13"/>
        <item x="56"/>
        <item x="40"/>
        <item x="62"/>
        <item x="20"/>
        <item x="23"/>
        <item x="42"/>
        <item x="3"/>
        <item x="79"/>
        <item x="76"/>
        <item x="57"/>
        <item x="27"/>
        <item x="60"/>
        <item x="7"/>
        <item x="8"/>
        <item x="30"/>
        <item x="39"/>
        <item x="2"/>
        <item x="41"/>
        <item x="24"/>
        <item x="4"/>
        <item x="89"/>
        <item x="48"/>
        <item x="74"/>
        <item x="96"/>
        <item x="95"/>
        <item x="0"/>
        <item x="100"/>
        <item x="17"/>
        <item x="5"/>
        <item x="51"/>
        <item x="82"/>
        <item x="11"/>
        <item x="35"/>
        <item x="36"/>
        <item x="58"/>
        <item x="18"/>
        <item x="59"/>
        <item x="83"/>
        <item x="9"/>
        <item x="85"/>
        <item x="25"/>
        <item x="61"/>
        <item x="19"/>
        <item x="92"/>
        <item x="14"/>
        <item x="43"/>
        <item x="75"/>
        <item x="70"/>
        <item x="47"/>
        <item x="77"/>
        <item x="86"/>
        <item x="65"/>
        <item x="71"/>
        <item x="99"/>
        <item x="78"/>
        <item x="49"/>
        <item x="87"/>
        <item x="66"/>
        <item x="102"/>
        <item x="63"/>
        <item x="45"/>
        <item x="44"/>
        <item x="37"/>
        <item x="97"/>
        <item x="90"/>
        <item x="10"/>
        <item x="64"/>
        <item x="54"/>
        <item x="81"/>
        <item x="94"/>
        <item x="8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1">
        <item x="5"/>
        <item x="19"/>
        <item x="30"/>
        <item x="52"/>
        <item x="10"/>
        <item x="2"/>
        <item x="14"/>
        <item x="62"/>
        <item x="104"/>
        <item x="48"/>
        <item x="33"/>
        <item x="37"/>
        <item x="137"/>
        <item x="65"/>
        <item x="124"/>
        <item x="147"/>
        <item x="43"/>
        <item x="58"/>
        <item x="93"/>
        <item x="45"/>
        <item x="113"/>
        <item x="28"/>
        <item x="34"/>
        <item x="81"/>
        <item x="6"/>
        <item x="7"/>
        <item x="123"/>
        <item x="29"/>
        <item x="38"/>
        <item x="92"/>
        <item x="139"/>
        <item x="127"/>
        <item x="53"/>
        <item x="25"/>
        <item x="54"/>
        <item x="17"/>
        <item x="135"/>
        <item x="68"/>
        <item x="35"/>
        <item x="16"/>
        <item x="136"/>
        <item x="80"/>
        <item x="31"/>
        <item x="111"/>
        <item x="101"/>
        <item x="110"/>
        <item x="23"/>
        <item x="103"/>
        <item x="41"/>
        <item x="94"/>
        <item x="64"/>
        <item x="0"/>
        <item x="102"/>
        <item x="67"/>
        <item x="63"/>
        <item x="66"/>
        <item x="61"/>
        <item x="120"/>
        <item x="73"/>
        <item x="72"/>
        <item x="141"/>
        <item x="9"/>
        <item x="138"/>
        <item x="116"/>
        <item x="140"/>
        <item x="126"/>
        <item x="130"/>
        <item x="112"/>
        <item x="145"/>
        <item x="13"/>
        <item x="36"/>
        <item x="49"/>
        <item x="100"/>
        <item x="122"/>
        <item x="1"/>
        <item x="32"/>
        <item x="131"/>
        <item x="27"/>
        <item x="3"/>
        <item x="134"/>
        <item x="99"/>
        <item x="146"/>
        <item x="78"/>
        <item x="74"/>
        <item x="22"/>
        <item x="39"/>
        <item x="75"/>
        <item x="50"/>
        <item x="129"/>
        <item x="125"/>
        <item x="46"/>
        <item x="119"/>
        <item x="109"/>
        <item x="82"/>
        <item x="85"/>
        <item x="86"/>
        <item x="148"/>
        <item x="143"/>
        <item x="108"/>
        <item x="133"/>
        <item x="98"/>
        <item x="95"/>
        <item x="118"/>
        <item x="83"/>
        <item x="117"/>
        <item x="115"/>
        <item x="57"/>
        <item x="59"/>
        <item x="20"/>
        <item x="97"/>
        <item x="60"/>
        <item x="8"/>
        <item x="106"/>
        <item x="144"/>
        <item x="107"/>
        <item x="55"/>
        <item x="26"/>
        <item x="91"/>
        <item x="77"/>
        <item x="149"/>
        <item x="84"/>
        <item x="105"/>
        <item x="42"/>
        <item x="12"/>
        <item x="87"/>
        <item x="47"/>
        <item x="15"/>
        <item x="89"/>
        <item x="24"/>
        <item x="18"/>
        <item x="96"/>
        <item x="44"/>
        <item x="121"/>
        <item x="40"/>
        <item x="51"/>
        <item x="128"/>
        <item x="56"/>
        <item x="79"/>
        <item x="132"/>
        <item x="76"/>
        <item x="11"/>
        <item x="70"/>
        <item x="21"/>
        <item x="90"/>
        <item x="69"/>
        <item x="142"/>
        <item x="71"/>
        <item x="88"/>
        <item x="4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31">
        <item x="199"/>
        <item x="188"/>
        <item x="203"/>
        <item x="226"/>
        <item x="240"/>
        <item x="20"/>
        <item x="57"/>
        <item x="25"/>
        <item x="35"/>
        <item x="26"/>
        <item x="19"/>
        <item x="58"/>
        <item x="166"/>
        <item x="175"/>
        <item x="252"/>
        <item x="219"/>
        <item x="158"/>
        <item x="315"/>
        <item x="244"/>
        <item x="295"/>
        <item x="76"/>
        <item x="300"/>
        <item x="80"/>
        <item x="224"/>
        <item x="298"/>
        <item x="79"/>
        <item x="119"/>
        <item x="30"/>
        <item x="210"/>
        <item x="27"/>
        <item x="108"/>
        <item x="195"/>
        <item x="32"/>
        <item x="225"/>
        <item x="281"/>
        <item x="319"/>
        <item x="72"/>
        <item x="261"/>
        <item x="15"/>
        <item x="21"/>
        <item x="38"/>
        <item x="47"/>
        <item x="33"/>
        <item x="4"/>
        <item x="229"/>
        <item x="117"/>
        <item x="40"/>
        <item x="43"/>
        <item x="6"/>
        <item x="88"/>
        <item x="193"/>
        <item x="221"/>
        <item x="247"/>
        <item x="14"/>
        <item x="87"/>
        <item x="55"/>
        <item x="228"/>
        <item x="137"/>
        <item x="118"/>
        <item x="190"/>
        <item x="148"/>
        <item x="213"/>
        <item x="258"/>
        <item x="51"/>
        <item x="272"/>
        <item x="269"/>
        <item x="171"/>
        <item x="284"/>
        <item x="290"/>
        <item x="179"/>
        <item x="144"/>
        <item x="220"/>
        <item x="260"/>
        <item x="268"/>
        <item x="285"/>
        <item x="131"/>
        <item x="230"/>
        <item x="5"/>
        <item x="202"/>
        <item x="194"/>
        <item x="67"/>
        <item x="227"/>
        <item x="207"/>
        <item x="185"/>
        <item x="270"/>
        <item x="223"/>
        <item x="234"/>
        <item x="262"/>
        <item x="56"/>
        <item x="69"/>
        <item x="11"/>
        <item x="235"/>
        <item x="251"/>
        <item x="197"/>
        <item x="216"/>
        <item x="121"/>
        <item x="259"/>
        <item x="286"/>
        <item x="302"/>
        <item x="86"/>
        <item x="114"/>
        <item x="238"/>
        <item x="62"/>
        <item x="289"/>
        <item x="187"/>
        <item x="211"/>
        <item x="12"/>
        <item x="2"/>
        <item x="191"/>
        <item x="305"/>
        <item x="68"/>
        <item x="115"/>
        <item x="106"/>
        <item x="245"/>
        <item x="232"/>
        <item x="161"/>
        <item x="180"/>
        <item x="253"/>
        <item x="241"/>
        <item x="313"/>
        <item x="122"/>
        <item x="46"/>
        <item x="34"/>
        <item x="267"/>
        <item x="170"/>
        <item x="299"/>
        <item x="274"/>
        <item x="308"/>
        <item x="140"/>
        <item x="264"/>
        <item x="246"/>
        <item x="93"/>
        <item x="152"/>
        <item x="184"/>
        <item x="116"/>
        <item x="18"/>
        <item x="309"/>
        <item x="1"/>
        <item x="52"/>
        <item x="63"/>
        <item x="42"/>
        <item x="233"/>
        <item x="155"/>
        <item x="206"/>
        <item x="66"/>
        <item x="292"/>
        <item x="61"/>
        <item x="71"/>
        <item x="22"/>
        <item x="130"/>
        <item x="64"/>
        <item x="311"/>
        <item x="168"/>
        <item x="329"/>
        <item x="78"/>
        <item x="7"/>
        <item x="8"/>
        <item x="36"/>
        <item x="328"/>
        <item x="215"/>
        <item x="280"/>
        <item x="291"/>
        <item x="0"/>
        <item x="3"/>
        <item x="162"/>
        <item x="105"/>
        <item x="109"/>
        <item x="263"/>
        <item x="13"/>
        <item x="322"/>
        <item x="250"/>
        <item x="102"/>
        <item x="312"/>
        <item x="98"/>
        <item x="277"/>
        <item x="204"/>
        <item x="307"/>
        <item x="325"/>
        <item x="217"/>
        <item x="296"/>
        <item x="89"/>
        <item x="174"/>
        <item x="176"/>
        <item x="94"/>
        <item x="236"/>
        <item x="178"/>
        <item x="132"/>
        <item x="279"/>
        <item x="255"/>
        <item x="327"/>
        <item x="107"/>
        <item x="53"/>
        <item x="90"/>
        <item x="50"/>
        <item x="273"/>
        <item x="317"/>
        <item x="82"/>
        <item x="314"/>
        <item x="96"/>
        <item x="45"/>
        <item x="254"/>
        <item x="316"/>
        <item x="276"/>
        <item x="151"/>
        <item x="324"/>
        <item x="275"/>
        <item x="265"/>
        <item x="65"/>
        <item x="156"/>
        <item x="256"/>
        <item x="59"/>
        <item x="146"/>
        <item x="112"/>
        <item x="10"/>
        <item x="306"/>
        <item x="237"/>
        <item x="83"/>
        <item x="172"/>
        <item x="293"/>
        <item x="288"/>
        <item x="321"/>
        <item x="150"/>
        <item x="271"/>
        <item x="160"/>
        <item x="143"/>
        <item x="243"/>
        <item x="74"/>
        <item x="145"/>
        <item x="123"/>
        <item x="278"/>
        <item x="147"/>
        <item x="77"/>
        <item x="326"/>
        <item x="97"/>
        <item x="167"/>
        <item x="249"/>
        <item x="153"/>
        <item x="212"/>
        <item x="323"/>
        <item x="54"/>
        <item x="218"/>
        <item x="294"/>
        <item x="318"/>
        <item x="287"/>
        <item x="282"/>
        <item x="37"/>
        <item x="141"/>
        <item x="154"/>
        <item x="135"/>
        <item x="189"/>
        <item x="136"/>
        <item x="310"/>
        <item x="320"/>
        <item x="73"/>
        <item x="297"/>
        <item x="113"/>
        <item x="208"/>
        <item x="16"/>
        <item x="44"/>
        <item x="196"/>
        <item x="214"/>
        <item x="128"/>
        <item x="31"/>
        <item x="124"/>
        <item x="192"/>
        <item x="222"/>
        <item x="101"/>
        <item x="24"/>
        <item x="120"/>
        <item x="301"/>
        <item x="138"/>
        <item x="9"/>
        <item x="159"/>
        <item x="75"/>
        <item x="142"/>
        <item x="164"/>
        <item x="125"/>
        <item x="201"/>
        <item x="163"/>
        <item x="84"/>
        <item x="169"/>
        <item x="182"/>
        <item x="92"/>
        <item x="133"/>
        <item x="126"/>
        <item x="165"/>
        <item x="239"/>
        <item x="81"/>
        <item x="41"/>
        <item x="177"/>
        <item x="48"/>
        <item x="134"/>
        <item x="181"/>
        <item x="205"/>
        <item x="304"/>
        <item x="28"/>
        <item x="39"/>
        <item x="95"/>
        <item x="183"/>
        <item x="242"/>
        <item x="17"/>
        <item x="60"/>
        <item x="111"/>
        <item x="70"/>
        <item x="139"/>
        <item x="110"/>
        <item x="198"/>
        <item x="99"/>
        <item x="283"/>
        <item x="303"/>
        <item x="100"/>
        <item x="103"/>
        <item x="104"/>
        <item x="85"/>
        <item x="173"/>
        <item x="23"/>
        <item x="209"/>
        <item x="257"/>
        <item x="129"/>
        <item x="127"/>
        <item x="266"/>
        <item x="231"/>
        <item x="29"/>
        <item x="149"/>
        <item x="91"/>
        <item x="157"/>
        <item x="248"/>
        <item x="200"/>
        <item x="186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35">
        <item x="73"/>
        <item x="77"/>
        <item x="96"/>
        <item x="79"/>
        <item x="74"/>
        <item x="69"/>
        <item x="10"/>
        <item x="78"/>
        <item x="33"/>
        <item x="4"/>
        <item x="49"/>
        <item x="120"/>
        <item x="122"/>
        <item x="89"/>
        <item x="7"/>
        <item x="109"/>
        <item x="12"/>
        <item x="108"/>
        <item x="2"/>
        <item x="112"/>
        <item x="5"/>
        <item x="36"/>
        <item x="75"/>
        <item x="28"/>
        <item x="58"/>
        <item x="86"/>
        <item x="59"/>
        <item x="63"/>
        <item x="38"/>
        <item x="105"/>
        <item x="39"/>
        <item x="57"/>
        <item x="76"/>
        <item x="113"/>
        <item x="31"/>
        <item x="80"/>
        <item x="32"/>
        <item x="87"/>
        <item x="26"/>
        <item x="91"/>
        <item x="99"/>
        <item x="131"/>
        <item x="72"/>
        <item x="115"/>
        <item x="97"/>
        <item x="129"/>
        <item x="118"/>
        <item x="14"/>
        <item x="71"/>
        <item x="98"/>
        <item x="68"/>
        <item x="67"/>
        <item x="65"/>
        <item x="70"/>
        <item x="130"/>
        <item x="62"/>
        <item x="107"/>
        <item x="111"/>
        <item x="124"/>
        <item x="46"/>
        <item x="56"/>
        <item x="64"/>
        <item x="52"/>
        <item x="127"/>
        <item x="106"/>
        <item x="19"/>
        <item x="90"/>
        <item x="41"/>
        <item x="29"/>
        <item x="44"/>
        <item x="94"/>
        <item x="53"/>
        <item x="85"/>
        <item x="126"/>
        <item x="27"/>
        <item x="23"/>
        <item x="103"/>
        <item x="40"/>
        <item x="48"/>
        <item x="35"/>
        <item x="81"/>
        <item x="9"/>
        <item x="43"/>
        <item x="18"/>
        <item x="102"/>
        <item x="13"/>
        <item x="22"/>
        <item x="25"/>
        <item x="92"/>
        <item x="54"/>
        <item x="117"/>
        <item x="30"/>
        <item x="104"/>
        <item x="88"/>
        <item x="110"/>
        <item x="55"/>
        <item x="83"/>
        <item x="51"/>
        <item x="11"/>
        <item x="121"/>
        <item x="123"/>
        <item x="20"/>
        <item x="82"/>
        <item x="21"/>
        <item x="95"/>
        <item x="125"/>
        <item x="66"/>
        <item x="84"/>
        <item x="116"/>
        <item x="93"/>
        <item x="17"/>
        <item x="15"/>
        <item x="24"/>
        <item x="119"/>
        <item x="37"/>
        <item x="50"/>
        <item x="128"/>
        <item x="60"/>
        <item x="6"/>
        <item x="132"/>
        <item x="8"/>
        <item x="133"/>
        <item x="101"/>
        <item x="61"/>
        <item x="47"/>
        <item x="42"/>
        <item x="3"/>
        <item x="34"/>
        <item x="16"/>
        <item x="45"/>
        <item x="1"/>
        <item x="0"/>
        <item x="114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3">
        <item x="0"/>
        <item x="39"/>
        <item x="40"/>
        <item x="27"/>
        <item x="29"/>
        <item x="1"/>
        <item x="9"/>
        <item x="4"/>
        <item x="23"/>
        <item x="14"/>
        <item x="5"/>
        <item x="17"/>
        <item x="32"/>
        <item x="2"/>
        <item x="20"/>
        <item x="11"/>
        <item x="6"/>
        <item x="10"/>
        <item x="30"/>
        <item x="8"/>
        <item x="37"/>
        <item x="19"/>
        <item x="34"/>
        <item x="15"/>
        <item x="31"/>
        <item x="28"/>
        <item x="26"/>
        <item x="13"/>
        <item x="41"/>
        <item x="12"/>
        <item x="18"/>
        <item x="22"/>
        <item x="7"/>
        <item x="36"/>
        <item x="16"/>
        <item x="25"/>
        <item x="33"/>
        <item x="38"/>
        <item x="21"/>
        <item x="24"/>
        <item x="3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39"/>
        <item x="11"/>
        <item x="17"/>
        <item x="21"/>
        <item x="6"/>
        <item x="34"/>
        <item x="15"/>
        <item x="24"/>
        <item x="32"/>
        <item x="36"/>
        <item x="20"/>
        <item x="23"/>
        <item x="37"/>
        <item x="38"/>
        <item x="26"/>
        <item x="28"/>
        <item x="1"/>
        <item x="8"/>
        <item x="4"/>
        <item x="22"/>
        <item x="13"/>
        <item x="5"/>
        <item x="16"/>
        <item x="31"/>
        <item x="2"/>
        <item x="19"/>
        <item x="10"/>
        <item x="3"/>
        <item x="9"/>
        <item x="29"/>
        <item x="7"/>
        <item x="35"/>
        <item x="18"/>
        <item x="33"/>
        <item x="14"/>
        <item x="30"/>
        <item x="27"/>
        <item x="2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57">
        <item x="0"/>
        <item x="312"/>
        <item x="227"/>
        <item x="45"/>
        <item x="326"/>
        <item x="52"/>
        <item x="150"/>
        <item x="304"/>
        <item x="13"/>
        <item x="229"/>
        <item x="90"/>
        <item x="178"/>
        <item x="38"/>
        <item x="291"/>
        <item x="212"/>
        <item x="280"/>
        <item x="242"/>
        <item x="277"/>
        <item x="66"/>
        <item x="65"/>
        <item x="11"/>
        <item x="55"/>
        <item x="87"/>
        <item x="153"/>
        <item x="41"/>
        <item x="2"/>
        <item x="35"/>
        <item x="354"/>
        <item x="14"/>
        <item x="50"/>
        <item x="164"/>
        <item x="274"/>
        <item x="8"/>
        <item x="40"/>
        <item x="187"/>
        <item x="347"/>
        <item x="48"/>
        <item x="313"/>
        <item x="161"/>
        <item x="235"/>
        <item x="59"/>
        <item x="261"/>
        <item x="256"/>
        <item x="350"/>
        <item x="20"/>
        <item x="149"/>
        <item x="104"/>
        <item x="331"/>
        <item x="22"/>
        <item x="163"/>
        <item x="53"/>
        <item x="124"/>
        <item x="202"/>
        <item x="99"/>
        <item x="176"/>
        <item x="252"/>
        <item x="301"/>
        <item x="286"/>
        <item x="271"/>
        <item x="353"/>
        <item x="24"/>
        <item x="259"/>
        <item x="194"/>
        <item x="211"/>
        <item x="306"/>
        <item x="213"/>
        <item x="117"/>
        <item x="339"/>
        <item x="109"/>
        <item x="247"/>
        <item x="76"/>
        <item x="344"/>
        <item x="47"/>
        <item x="343"/>
        <item x="276"/>
        <item x="294"/>
        <item x="210"/>
        <item x="281"/>
        <item x="193"/>
        <item x="86"/>
        <item x="322"/>
        <item x="145"/>
        <item x="248"/>
        <item x="4"/>
        <item x="245"/>
        <item x="126"/>
        <item x="156"/>
        <item x="287"/>
        <item x="140"/>
        <item x="92"/>
        <item x="258"/>
        <item x="309"/>
        <item x="323"/>
        <item x="319"/>
        <item x="233"/>
        <item x="315"/>
        <item x="72"/>
        <item x="234"/>
        <item x="327"/>
        <item x="83"/>
        <item x="300"/>
        <item x="157"/>
        <item x="62"/>
        <item x="307"/>
        <item x="121"/>
        <item x="209"/>
        <item x="328"/>
        <item x="262"/>
        <item x="31"/>
        <item x="97"/>
        <item x="232"/>
        <item x="64"/>
        <item x="151"/>
        <item x="352"/>
        <item x="60"/>
        <item x="32"/>
        <item x="136"/>
        <item x="272"/>
        <item x="255"/>
        <item x="70"/>
        <item x="297"/>
        <item x="345"/>
        <item x="316"/>
        <item x="74"/>
        <item x="267"/>
        <item x="118"/>
        <item x="283"/>
        <item x="34"/>
        <item x="134"/>
        <item x="318"/>
        <item x="208"/>
        <item x="27"/>
        <item x="147"/>
        <item x="21"/>
        <item x="80"/>
        <item x="105"/>
        <item x="123"/>
        <item x="63"/>
        <item x="85"/>
        <item x="42"/>
        <item x="159"/>
        <item x="172"/>
        <item x="340"/>
        <item x="78"/>
        <item x="188"/>
        <item x="215"/>
        <item x="217"/>
        <item x="101"/>
        <item x="88"/>
        <item x="325"/>
        <item x="219"/>
        <item x="19"/>
        <item x="225"/>
        <item x="51"/>
        <item x="12"/>
        <item x="7"/>
        <item x="58"/>
        <item x="144"/>
        <item x="230"/>
        <item x="61"/>
        <item x="348"/>
        <item x="15"/>
        <item x="203"/>
        <item x="226"/>
        <item x="107"/>
        <item x="241"/>
        <item x="296"/>
        <item x="138"/>
        <item x="223"/>
        <item x="251"/>
        <item x="17"/>
        <item x="36"/>
        <item x="3"/>
        <item x="171"/>
        <item x="334"/>
        <item x="183"/>
        <item x="98"/>
        <item x="28"/>
        <item x="282"/>
        <item x="239"/>
        <item x="285"/>
        <item x="270"/>
        <item x="218"/>
        <item x="299"/>
        <item x="67"/>
        <item x="308"/>
        <item x="335"/>
        <item x="302"/>
        <item x="158"/>
        <item x="175"/>
        <item x="166"/>
        <item x="5"/>
        <item x="73"/>
        <item x="174"/>
        <item x="95"/>
        <item x="333"/>
        <item x="122"/>
        <item x="170"/>
        <item x="43"/>
        <item x="206"/>
        <item x="250"/>
        <item x="246"/>
        <item x="317"/>
        <item x="26"/>
        <item x="355"/>
        <item x="71"/>
        <item x="191"/>
        <item x="154"/>
        <item x="180"/>
        <item x="268"/>
        <item x="141"/>
        <item x="119"/>
        <item x="216"/>
        <item x="110"/>
        <item x="10"/>
        <item x="295"/>
        <item x="127"/>
        <item x="162"/>
        <item x="130"/>
        <item x="143"/>
        <item x="96"/>
        <item x="311"/>
        <item x="46"/>
        <item x="201"/>
        <item x="169"/>
        <item x="260"/>
        <item x="220"/>
        <item x="102"/>
        <item x="186"/>
        <item x="298"/>
        <item x="228"/>
        <item x="266"/>
        <item x="128"/>
        <item x="133"/>
        <item x="23"/>
        <item x="185"/>
        <item x="113"/>
        <item x="81"/>
        <item x="39"/>
        <item x="290"/>
        <item x="273"/>
        <item x="94"/>
        <item x="68"/>
        <item x="131"/>
        <item x="139"/>
        <item x="152"/>
        <item x="305"/>
        <item x="293"/>
        <item x="9"/>
        <item x="205"/>
        <item x="337"/>
        <item x="265"/>
        <item x="197"/>
        <item x="336"/>
        <item x="167"/>
        <item x="324"/>
        <item x="173"/>
        <item x="289"/>
        <item x="346"/>
        <item x="132"/>
        <item x="189"/>
        <item x="190"/>
        <item x="314"/>
        <item x="253"/>
        <item x="89"/>
        <item x="182"/>
        <item x="33"/>
        <item x="243"/>
        <item x="29"/>
        <item x="249"/>
        <item x="120"/>
        <item x="351"/>
        <item x="184"/>
        <item x="224"/>
        <item x="341"/>
        <item x="142"/>
        <item x="264"/>
        <item x="310"/>
        <item x="111"/>
        <item x="179"/>
        <item x="108"/>
        <item x="195"/>
        <item x="160"/>
        <item x="137"/>
        <item x="129"/>
        <item x="116"/>
        <item x="196"/>
        <item x="338"/>
        <item x="82"/>
        <item x="254"/>
        <item x="237"/>
        <item x="115"/>
        <item x="349"/>
        <item x="79"/>
        <item x="16"/>
        <item x="292"/>
        <item x="288"/>
        <item x="103"/>
        <item x="207"/>
        <item x="91"/>
        <item x="192"/>
        <item x="238"/>
        <item x="75"/>
        <item x="54"/>
        <item x="165"/>
        <item x="125"/>
        <item x="181"/>
        <item x="168"/>
        <item x="200"/>
        <item x="263"/>
        <item x="275"/>
        <item x="330"/>
        <item x="148"/>
        <item x="56"/>
        <item x="6"/>
        <item x="222"/>
        <item x="84"/>
        <item x="204"/>
        <item x="77"/>
        <item x="231"/>
        <item x="198"/>
        <item x="244"/>
        <item x="37"/>
        <item x="93"/>
        <item x="303"/>
        <item x="214"/>
        <item x="30"/>
        <item x="100"/>
        <item x="69"/>
        <item x="342"/>
        <item x="236"/>
        <item x="112"/>
        <item x="135"/>
        <item x="25"/>
        <item x="320"/>
        <item x="199"/>
        <item x="49"/>
        <item x="155"/>
        <item x="278"/>
        <item x="329"/>
        <item x="114"/>
        <item x="284"/>
        <item x="18"/>
        <item x="279"/>
        <item x="221"/>
        <item x="177"/>
        <item x="57"/>
        <item x="240"/>
        <item x="321"/>
        <item x="257"/>
        <item x="106"/>
        <item x="146"/>
        <item x="269"/>
        <item x="332"/>
        <item x="44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1">
        <item x="0"/>
        <item x="2"/>
        <item x="3"/>
        <item x="6"/>
        <item x="1"/>
        <item x="5"/>
        <item x="9"/>
        <item x="4"/>
        <item x="8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9">
        <item x="0"/>
        <item x="125"/>
        <item x="114"/>
        <item x="229"/>
        <item x="241"/>
        <item x="153"/>
        <item x="228"/>
        <item x="70"/>
        <item x="164"/>
        <item x="121"/>
        <item x="195"/>
        <item x="243"/>
        <item x="94"/>
        <item x="31"/>
        <item x="212"/>
        <item x="120"/>
        <item x="91"/>
        <item x="141"/>
        <item x="208"/>
        <item x="135"/>
        <item x="107"/>
        <item x="215"/>
        <item x="191"/>
        <item x="44"/>
        <item x="79"/>
        <item x="89"/>
        <item x="53"/>
        <item x="52"/>
        <item x="40"/>
        <item x="176"/>
        <item x="62"/>
        <item x="1"/>
        <item x="41"/>
        <item x="101"/>
        <item x="217"/>
        <item x="49"/>
        <item x="162"/>
        <item x="39"/>
        <item x="71"/>
        <item x="25"/>
        <item x="34"/>
        <item x="128"/>
        <item x="69"/>
        <item x="76"/>
        <item x="214"/>
        <item x="168"/>
        <item x="186"/>
        <item x="209"/>
        <item x="226"/>
        <item x="179"/>
        <item x="187"/>
        <item x="127"/>
        <item x="172"/>
        <item x="207"/>
        <item x="236"/>
        <item x="99"/>
        <item x="3"/>
        <item x="221"/>
        <item x="83"/>
        <item x="85"/>
        <item x="133"/>
        <item x="35"/>
        <item x="48"/>
        <item x="81"/>
        <item x="204"/>
        <item x="87"/>
        <item x="78"/>
        <item x="105"/>
        <item x="4"/>
        <item x="7"/>
        <item x="97"/>
        <item x="17"/>
        <item x="36"/>
        <item x="144"/>
        <item x="18"/>
        <item x="33"/>
        <item x="51"/>
        <item x="117"/>
        <item x="23"/>
        <item x="103"/>
        <item x="113"/>
        <item x="58"/>
        <item x="13"/>
        <item x="28"/>
        <item x="77"/>
        <item x="16"/>
        <item x="161"/>
        <item x="26"/>
        <item x="132"/>
        <item x="6"/>
        <item x="67"/>
        <item x="167"/>
        <item x="84"/>
        <item x="57"/>
        <item x="129"/>
        <item x="180"/>
        <item x="75"/>
        <item x="106"/>
        <item x="45"/>
        <item x="210"/>
        <item x="219"/>
        <item x="10"/>
        <item x="80"/>
        <item x="55"/>
        <item x="163"/>
        <item x="149"/>
        <item x="134"/>
        <item x="59"/>
        <item x="140"/>
        <item x="11"/>
        <item x="50"/>
        <item x="130"/>
        <item x="169"/>
        <item x="20"/>
        <item x="66"/>
        <item x="178"/>
        <item x="155"/>
        <item x="19"/>
        <item x="198"/>
        <item x="2"/>
        <item x="131"/>
        <item x="213"/>
        <item x="183"/>
        <item x="37"/>
        <item x="9"/>
        <item x="143"/>
        <item x="74"/>
        <item x="126"/>
        <item x="193"/>
        <item x="189"/>
        <item x="15"/>
        <item x="109"/>
        <item x="29"/>
        <item x="220"/>
        <item x="124"/>
        <item x="230"/>
        <item x="110"/>
        <item x="119"/>
        <item x="184"/>
        <item x="95"/>
        <item x="115"/>
        <item x="165"/>
        <item x="190"/>
        <item x="182"/>
        <item x="137"/>
        <item x="42"/>
        <item x="111"/>
        <item x="188"/>
        <item x="200"/>
        <item x="43"/>
        <item x="118"/>
        <item x="234"/>
        <item x="32"/>
        <item x="38"/>
        <item x="12"/>
        <item x="245"/>
        <item x="158"/>
        <item x="225"/>
        <item x="30"/>
        <item x="218"/>
        <item x="181"/>
        <item x="63"/>
        <item x="170"/>
        <item x="224"/>
        <item x="136"/>
        <item x="202"/>
        <item x="145"/>
        <item x="72"/>
        <item x="56"/>
        <item x="239"/>
        <item x="216"/>
        <item x="174"/>
        <item x="108"/>
        <item x="98"/>
        <item x="138"/>
        <item x="159"/>
        <item x="240"/>
        <item x="64"/>
        <item x="192"/>
        <item x="199"/>
        <item x="232"/>
        <item x="8"/>
        <item x="139"/>
        <item x="14"/>
        <item x="82"/>
        <item x="46"/>
        <item x="123"/>
        <item x="171"/>
        <item x="100"/>
        <item x="196"/>
        <item x="5"/>
        <item x="47"/>
        <item x="194"/>
        <item x="211"/>
        <item x="142"/>
        <item x="104"/>
        <item x="150"/>
        <item x="197"/>
        <item x="93"/>
        <item x="90"/>
        <item x="247"/>
        <item x="147"/>
        <item x="122"/>
        <item x="146"/>
        <item x="231"/>
        <item x="88"/>
        <item x="27"/>
        <item x="203"/>
        <item x="68"/>
        <item x="235"/>
        <item x="148"/>
        <item x="96"/>
        <item x="22"/>
        <item x="154"/>
        <item x="177"/>
        <item x="185"/>
        <item x="157"/>
        <item x="244"/>
        <item x="21"/>
        <item x="223"/>
        <item x="201"/>
        <item x="54"/>
        <item x="205"/>
        <item x="206"/>
        <item x="175"/>
        <item x="227"/>
        <item x="238"/>
        <item x="73"/>
        <item x="166"/>
        <item x="246"/>
        <item x="102"/>
        <item x="112"/>
        <item x="156"/>
        <item x="61"/>
        <item x="222"/>
        <item x="92"/>
        <item x="65"/>
        <item x="24"/>
        <item x="233"/>
        <item x="173"/>
        <item x="242"/>
        <item x="237"/>
        <item x="152"/>
        <item x="151"/>
        <item x="86"/>
        <item x="116"/>
        <item x="60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">
        <item x="0"/>
        <item x="2"/>
        <item x="3"/>
        <item x="6"/>
        <item x="5"/>
        <item x="1"/>
        <item x="8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8">
        <item x="0"/>
        <item x="124"/>
        <item x="192"/>
        <item x="113"/>
        <item x="228"/>
        <item x="239"/>
        <item x="150"/>
        <item x="244"/>
        <item x="227"/>
        <item x="70"/>
        <item x="161"/>
        <item x="120"/>
        <item x="194"/>
        <item x="241"/>
        <item x="94"/>
        <item x="31"/>
        <item x="211"/>
        <item x="119"/>
        <item x="91"/>
        <item x="139"/>
        <item x="207"/>
        <item x="133"/>
        <item x="106"/>
        <item x="214"/>
        <item x="189"/>
        <item x="79"/>
        <item x="89"/>
        <item x="53"/>
        <item x="52"/>
        <item x="40"/>
        <item x="174"/>
        <item x="62"/>
        <item x="1"/>
        <item x="41"/>
        <item x="148"/>
        <item x="216"/>
        <item x="49"/>
        <item x="159"/>
        <item x="39"/>
        <item x="71"/>
        <item x="25"/>
        <item x="34"/>
        <item x="69"/>
        <item x="76"/>
        <item x="213"/>
        <item x="166"/>
        <item x="184"/>
        <item x="208"/>
        <item x="225"/>
        <item x="177"/>
        <item x="185"/>
        <item x="170"/>
        <item x="206"/>
        <item x="234"/>
        <item x="99"/>
        <item x="3"/>
        <item x="220"/>
        <item x="83"/>
        <item x="85"/>
        <item x="132"/>
        <item x="35"/>
        <item x="48"/>
        <item x="81"/>
        <item x="203"/>
        <item x="87"/>
        <item x="78"/>
        <item x="104"/>
        <item x="4"/>
        <item x="7"/>
        <item x="97"/>
        <item x="17"/>
        <item x="36"/>
        <item x="142"/>
        <item x="18"/>
        <item x="33"/>
        <item x="51"/>
        <item x="116"/>
        <item x="23"/>
        <item x="102"/>
        <item x="112"/>
        <item x="58"/>
        <item x="13"/>
        <item x="28"/>
        <item x="77"/>
        <item x="16"/>
        <item x="158"/>
        <item x="26"/>
        <item x="131"/>
        <item x="6"/>
        <item x="67"/>
        <item x="164"/>
        <item x="84"/>
        <item x="57"/>
        <item x="128"/>
        <item x="178"/>
        <item x="75"/>
        <item x="45"/>
        <item x="209"/>
        <item x="218"/>
        <item x="10"/>
        <item x="80"/>
        <item x="55"/>
        <item x="160"/>
        <item x="126"/>
        <item x="127"/>
        <item x="59"/>
        <item x="138"/>
        <item x="11"/>
        <item x="50"/>
        <item x="129"/>
        <item x="167"/>
        <item x="20"/>
        <item x="66"/>
        <item x="176"/>
        <item x="152"/>
        <item x="19"/>
        <item x="197"/>
        <item x="2"/>
        <item x="130"/>
        <item x="212"/>
        <item x="181"/>
        <item x="37"/>
        <item x="9"/>
        <item x="141"/>
        <item x="74"/>
        <item x="125"/>
        <item x="191"/>
        <item x="187"/>
        <item x="15"/>
        <item x="108"/>
        <item x="29"/>
        <item x="219"/>
        <item x="123"/>
        <item x="229"/>
        <item x="109"/>
        <item x="118"/>
        <item x="182"/>
        <item x="95"/>
        <item x="114"/>
        <item x="162"/>
        <item x="188"/>
        <item x="180"/>
        <item x="135"/>
        <item x="42"/>
        <item x="110"/>
        <item x="186"/>
        <item x="198"/>
        <item x="43"/>
        <item x="117"/>
        <item x="105"/>
        <item x="32"/>
        <item x="38"/>
        <item x="12"/>
        <item x="243"/>
        <item x="155"/>
        <item x="224"/>
        <item x="30"/>
        <item x="217"/>
        <item x="179"/>
        <item x="63"/>
        <item x="168"/>
        <item x="223"/>
        <item x="134"/>
        <item x="201"/>
        <item x="165"/>
        <item x="72"/>
        <item x="56"/>
        <item x="237"/>
        <item x="215"/>
        <item x="172"/>
        <item x="107"/>
        <item x="98"/>
        <item x="136"/>
        <item x="156"/>
        <item x="238"/>
        <item x="64"/>
        <item x="190"/>
        <item x="44"/>
        <item x="231"/>
        <item x="8"/>
        <item x="137"/>
        <item x="14"/>
        <item x="82"/>
        <item x="46"/>
        <item x="122"/>
        <item x="169"/>
        <item x="100"/>
        <item x="195"/>
        <item x="5"/>
        <item x="47"/>
        <item x="193"/>
        <item x="210"/>
        <item x="140"/>
        <item x="103"/>
        <item x="146"/>
        <item x="196"/>
        <item x="93"/>
        <item x="90"/>
        <item x="246"/>
        <item x="144"/>
        <item x="121"/>
        <item x="143"/>
        <item x="230"/>
        <item x="88"/>
        <item x="27"/>
        <item x="202"/>
        <item x="68"/>
        <item x="233"/>
        <item x="145"/>
        <item x="96"/>
        <item x="22"/>
        <item x="151"/>
        <item x="175"/>
        <item x="183"/>
        <item x="154"/>
        <item x="242"/>
        <item x="21"/>
        <item x="222"/>
        <item x="199"/>
        <item x="54"/>
        <item x="204"/>
        <item x="205"/>
        <item x="173"/>
        <item x="226"/>
        <item x="236"/>
        <item x="73"/>
        <item x="163"/>
        <item x="245"/>
        <item x="101"/>
        <item x="111"/>
        <item x="153"/>
        <item x="200"/>
        <item x="61"/>
        <item x="221"/>
        <item x="92"/>
        <item x="65"/>
        <item x="24"/>
        <item x="232"/>
        <item x="171"/>
        <item x="240"/>
        <item x="235"/>
        <item x="149"/>
        <item x="147"/>
        <item x="86"/>
        <item x="115"/>
        <item x="60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2">
        <item x="0"/>
        <item x="4"/>
        <item x="69"/>
        <item x="14"/>
        <item x="29"/>
        <item x="104"/>
        <item x="15"/>
        <item x="28"/>
        <item x="39"/>
        <item x="84"/>
        <item x="20"/>
        <item x="73"/>
        <item x="81"/>
        <item x="44"/>
        <item x="10"/>
        <item x="24"/>
        <item x="58"/>
        <item x="13"/>
        <item x="119"/>
        <item x="22"/>
        <item x="96"/>
        <item x="3"/>
        <item x="52"/>
        <item x="123"/>
        <item x="61"/>
        <item x="43"/>
        <item x="93"/>
        <item x="133"/>
        <item x="57"/>
        <item x="35"/>
        <item x="155"/>
        <item x="160"/>
        <item x="7"/>
        <item x="59"/>
        <item x="41"/>
        <item x="120"/>
        <item x="91"/>
        <item x="108"/>
        <item x="92"/>
        <item x="45"/>
        <item x="101"/>
        <item x="8"/>
        <item x="38"/>
        <item x="94"/>
        <item x="125"/>
        <item x="17"/>
        <item x="51"/>
        <item x="132"/>
        <item x="113"/>
        <item x="16"/>
        <item x="147"/>
        <item x="1"/>
        <item x="95"/>
        <item x="157"/>
        <item x="136"/>
        <item x="30"/>
        <item x="6"/>
        <item x="103"/>
        <item x="56"/>
        <item x="90"/>
        <item x="143"/>
        <item x="140"/>
        <item x="12"/>
        <item x="77"/>
        <item x="25"/>
        <item x="161"/>
        <item x="89"/>
        <item x="167"/>
        <item x="78"/>
        <item x="86"/>
        <item x="137"/>
        <item x="67"/>
        <item x="82"/>
        <item x="121"/>
        <item x="141"/>
        <item x="135"/>
        <item x="98"/>
        <item x="32"/>
        <item x="79"/>
        <item x="139"/>
        <item x="148"/>
        <item x="33"/>
        <item x="85"/>
        <item x="75"/>
        <item x="27"/>
        <item x="31"/>
        <item x="9"/>
        <item x="178"/>
        <item x="116"/>
        <item x="165"/>
        <item x="26"/>
        <item x="159"/>
        <item x="134"/>
        <item x="48"/>
        <item x="126"/>
        <item x="164"/>
        <item x="97"/>
        <item x="151"/>
        <item x="124"/>
        <item x="54"/>
        <item x="42"/>
        <item x="174"/>
        <item x="158"/>
        <item x="129"/>
        <item x="76"/>
        <item x="70"/>
        <item x="99"/>
        <item x="117"/>
        <item x="175"/>
        <item x="49"/>
        <item x="142"/>
        <item x="34"/>
        <item x="169"/>
        <item x="5"/>
        <item x="100"/>
        <item x="11"/>
        <item x="60"/>
        <item x="36"/>
        <item x="88"/>
        <item x="127"/>
        <item x="71"/>
        <item x="145"/>
        <item x="2"/>
        <item x="37"/>
        <item x="144"/>
        <item x="156"/>
        <item x="102"/>
        <item x="74"/>
        <item x="109"/>
        <item x="146"/>
        <item x="66"/>
        <item x="64"/>
        <item x="180"/>
        <item x="106"/>
        <item x="87"/>
        <item x="105"/>
        <item x="168"/>
        <item x="63"/>
        <item x="23"/>
        <item x="152"/>
        <item x="53"/>
        <item x="171"/>
        <item x="107"/>
        <item x="68"/>
        <item x="19"/>
        <item x="112"/>
        <item x="131"/>
        <item x="138"/>
        <item x="115"/>
        <item x="177"/>
        <item x="18"/>
        <item x="163"/>
        <item x="149"/>
        <item x="40"/>
        <item x="153"/>
        <item x="154"/>
        <item x="130"/>
        <item x="166"/>
        <item x="173"/>
        <item x="55"/>
        <item x="122"/>
        <item x="179"/>
        <item x="72"/>
        <item x="80"/>
        <item x="114"/>
        <item x="150"/>
        <item x="47"/>
        <item x="162"/>
        <item x="65"/>
        <item x="50"/>
        <item x="21"/>
        <item x="170"/>
        <item x="128"/>
        <item x="176"/>
        <item x="172"/>
        <item x="111"/>
        <item x="110"/>
        <item x="62"/>
        <item x="83"/>
        <item x="46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5">
        <item x="0"/>
        <item x="23"/>
        <item x="12"/>
        <item x="16"/>
        <item x="68"/>
        <item x="42"/>
        <item x="82"/>
        <item x="33"/>
        <item x="70"/>
        <item x="35"/>
        <item x="5"/>
        <item x="79"/>
        <item x="65"/>
        <item x="76"/>
        <item x="11"/>
        <item x="39"/>
        <item x="80"/>
        <item x="74"/>
        <item x="26"/>
        <item x="7"/>
        <item x="2"/>
        <item x="53"/>
        <item x="41"/>
        <item x="40"/>
        <item x="27"/>
        <item x="55"/>
        <item x="10"/>
        <item x="18"/>
        <item x="56"/>
        <item x="54"/>
        <item x="77"/>
        <item x="6"/>
        <item x="63"/>
        <item x="14"/>
        <item x="83"/>
        <item x="43"/>
        <item x="73"/>
        <item x="59"/>
        <item x="45"/>
        <item x="44"/>
        <item x="19"/>
        <item x="34"/>
        <item x="31"/>
        <item x="48"/>
        <item x="62"/>
        <item x="52"/>
        <item x="66"/>
        <item x="64"/>
        <item x="67"/>
        <item x="8"/>
        <item x="60"/>
        <item x="37"/>
        <item x="58"/>
        <item x="9"/>
        <item x="3"/>
        <item x="4"/>
        <item x="13"/>
        <item x="29"/>
        <item x="17"/>
        <item x="22"/>
        <item x="75"/>
        <item x="72"/>
        <item x="36"/>
        <item x="28"/>
        <item x="46"/>
        <item x="38"/>
        <item x="69"/>
        <item x="32"/>
        <item x="24"/>
        <item x="20"/>
        <item x="49"/>
        <item x="50"/>
        <item x="25"/>
        <item x="51"/>
        <item x="61"/>
        <item x="15"/>
        <item x="71"/>
        <item x="21"/>
        <item x="81"/>
        <item x="1"/>
        <item x="78"/>
        <item x="47"/>
        <item x="57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4">
        <item x="0"/>
        <item x="58"/>
        <item x="67"/>
        <item x="10"/>
        <item x="33"/>
        <item x="70"/>
        <item x="65"/>
        <item x="22"/>
        <item x="6"/>
        <item x="2"/>
        <item x="46"/>
        <item x="35"/>
        <item x="34"/>
        <item x="23"/>
        <item x="48"/>
        <item x="9"/>
        <item x="15"/>
        <item x="49"/>
        <item x="47"/>
        <item x="68"/>
        <item x="5"/>
        <item x="56"/>
        <item x="12"/>
        <item x="72"/>
        <item x="36"/>
        <item x="64"/>
        <item x="52"/>
        <item x="38"/>
        <item x="37"/>
        <item x="16"/>
        <item x="29"/>
        <item x="27"/>
        <item x="41"/>
        <item x="55"/>
        <item x="45"/>
        <item x="59"/>
        <item x="57"/>
        <item x="60"/>
        <item x="7"/>
        <item x="53"/>
        <item x="31"/>
        <item x="51"/>
        <item x="8"/>
        <item x="3"/>
        <item x="4"/>
        <item x="11"/>
        <item x="25"/>
        <item x="14"/>
        <item x="19"/>
        <item x="66"/>
        <item x="63"/>
        <item x="30"/>
        <item x="24"/>
        <item x="39"/>
        <item x="32"/>
        <item x="61"/>
        <item x="28"/>
        <item x="20"/>
        <item x="17"/>
        <item x="42"/>
        <item x="43"/>
        <item x="21"/>
        <item x="44"/>
        <item x="54"/>
        <item x="13"/>
        <item x="62"/>
        <item x="18"/>
        <item x="71"/>
        <item x="1"/>
        <item x="69"/>
        <item x="40"/>
        <item x="50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">
        <item x="0"/>
        <item x="3"/>
        <item x="1"/>
        <item x="4"/>
        <item x="2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">
        <item x="0"/>
        <item x="4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9">
        <item x="0"/>
        <item x="24"/>
        <item x="41"/>
        <item x="3"/>
        <item x="22"/>
        <item x="11"/>
        <item x="57"/>
        <item x="21"/>
        <item x="48"/>
        <item x="26"/>
        <item x="9"/>
        <item x="40"/>
        <item x="45"/>
        <item x="18"/>
        <item x="33"/>
        <item x="39"/>
        <item x="32"/>
        <item x="51"/>
        <item x="10"/>
        <item x="27"/>
        <item x="15"/>
        <item x="31"/>
        <item x="8"/>
        <item x="49"/>
        <item x="5"/>
        <item x="4"/>
        <item x="37"/>
        <item x="14"/>
        <item x="13"/>
        <item x="54"/>
        <item x="55"/>
        <item x="47"/>
        <item x="56"/>
        <item x="19"/>
        <item x="20"/>
        <item x="35"/>
        <item x="28"/>
        <item x="42"/>
        <item x="6"/>
        <item x="16"/>
        <item x="17"/>
        <item x="43"/>
        <item x="50"/>
        <item x="1"/>
        <item x="29"/>
        <item x="2"/>
        <item x="44"/>
        <item x="53"/>
        <item x="7"/>
        <item x="25"/>
        <item x="30"/>
        <item x="12"/>
        <item x="36"/>
        <item x="46"/>
        <item x="38"/>
        <item x="52"/>
        <item x="34"/>
        <item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">
    <i>
      <x v="7"/>
      <x v="35"/>
    </i>
    <i r="1">
      <x v="38"/>
    </i>
    <i t="default">
      <x v="7"/>
    </i>
    <i>
      <x v="8"/>
      <x v="18"/>
    </i>
    <i r="1">
      <x v="51"/>
    </i>
    <i t="default">
      <x v="8"/>
    </i>
    <i>
      <x v="10"/>
      <x v="47"/>
    </i>
    <i r="1">
      <x v="49"/>
    </i>
    <i t="default">
      <x v="10"/>
    </i>
    <i>
      <x v="13"/>
      <x v="3"/>
    </i>
    <i r="1">
      <x v="12"/>
    </i>
    <i r="1">
      <x v="54"/>
    </i>
    <i t="default">
      <x v="13"/>
    </i>
    <i>
      <x v="14"/>
      <x v="9"/>
    </i>
    <i r="1">
      <x v="23"/>
    </i>
    <i r="1">
      <x v="29"/>
    </i>
    <i t="default">
      <x v="14"/>
    </i>
    <i>
      <x v="20"/>
      <x v="20"/>
    </i>
    <i r="1">
      <x v="27"/>
    </i>
    <i t="default">
      <x v="20"/>
    </i>
    <i>
      <x v="22"/>
      <x v="15"/>
    </i>
    <i r="1">
      <x v="31"/>
    </i>
    <i t="default">
      <x v="2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6"/>
  </pageFields>
  <dataFields count="1">
    <dataField name="计数项:工号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D114" firstHeaderRow="0" firstDataRow="1" firstDataCol="2"/>
  <pivotFields count="28"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91">
        <item x="16"/>
        <item x="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3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851"/>
        <item x="852"/>
        <item x="428"/>
        <item x="337"/>
        <item x="669"/>
        <item x="670"/>
        <item x="668"/>
        <item x="427"/>
        <item x="962"/>
        <item x="741"/>
        <item x="740"/>
        <item x="444"/>
        <item x="445"/>
        <item x="443"/>
        <item x="331"/>
        <item x="446"/>
        <item x="554"/>
        <item x="890"/>
        <item x="908"/>
        <item x="901"/>
        <item x="895"/>
        <item x="907"/>
        <item x="882"/>
        <item x="879"/>
        <item x="863"/>
        <item x="893"/>
        <item x="864"/>
        <item x="859"/>
        <item x="860"/>
        <item x="876"/>
        <item x="877"/>
        <item x="866"/>
        <item x="891"/>
        <item x="892"/>
        <item x="889"/>
        <item x="861"/>
        <item x="862"/>
        <item x="865"/>
        <item x="898"/>
        <item x="897"/>
        <item x="905"/>
        <item x="911"/>
        <item x="902"/>
        <item x="878"/>
        <item x="867"/>
        <item x="875"/>
        <item x="14"/>
        <item x="903"/>
        <item x="904"/>
        <item x="883"/>
        <item x="868"/>
        <item x="887"/>
        <item x="886"/>
        <item x="880"/>
        <item x="900"/>
        <item x="894"/>
        <item x="888"/>
        <item x="858"/>
        <item x="884"/>
        <item x="869"/>
        <item x="896"/>
        <item x="899"/>
        <item x="872"/>
        <item x="873"/>
        <item x="874"/>
        <item x="910"/>
        <item x="906"/>
        <item x="15"/>
        <item x="885"/>
        <item x="881"/>
        <item x="909"/>
        <item x="871"/>
        <item x="870"/>
        <item x="912"/>
        <item x="913"/>
        <item x="794"/>
        <item x="165"/>
        <item x="190"/>
        <item x="336"/>
        <item x="334"/>
        <item x="335"/>
        <item x="333"/>
        <item x="426"/>
        <item x="798"/>
        <item x="795"/>
        <item x="796"/>
        <item x="797"/>
        <item x="832"/>
        <item x="699"/>
        <item x="737"/>
        <item x="736"/>
        <item x="514"/>
        <item x="515"/>
        <item x="513"/>
        <item x="571"/>
        <item x="730"/>
        <item x="731"/>
        <item x="733"/>
        <item x="732"/>
        <item x="429"/>
        <item x="430"/>
        <item x="431"/>
        <item x="432"/>
        <item x="433"/>
        <item x="434"/>
        <item x="769"/>
        <item x="196"/>
        <item x="202"/>
        <item x="198"/>
        <item x="197"/>
        <item x="199"/>
        <item x="203"/>
        <item x="195"/>
        <item x="201"/>
        <item x="200"/>
        <item x="191"/>
        <item x="671"/>
        <item x="338"/>
        <item x="955"/>
        <item x="957"/>
        <item x="952"/>
        <item x="956"/>
        <item x="951"/>
        <item x="950"/>
        <item x="954"/>
        <item x="953"/>
        <item x="735"/>
        <item x="700"/>
        <item x="989"/>
        <item x="933"/>
        <item x="935"/>
        <item x="932"/>
        <item x="934"/>
        <item x="194"/>
        <item x="828"/>
        <item x="825"/>
        <item x="824"/>
        <item x="831"/>
        <item x="829"/>
        <item x="830"/>
        <item x="823"/>
        <item x="827"/>
        <item x="826"/>
        <item x="925"/>
        <item x="930"/>
        <item x="929"/>
        <item x="928"/>
        <item x="927"/>
        <item x="926"/>
        <item x="819"/>
        <item x="820"/>
        <item x="822"/>
        <item x="821"/>
        <item x="175"/>
        <item x="173"/>
        <item x="177"/>
        <item x="179"/>
        <item x="178"/>
        <item x="174"/>
        <item x="180"/>
        <item x="176"/>
        <item x="770"/>
        <item x="588"/>
        <item x="587"/>
        <item x="189"/>
        <item x="712"/>
        <item x="11"/>
        <item x="709"/>
        <item x="707"/>
        <item x="715"/>
        <item x="710"/>
        <item x="708"/>
        <item x="711"/>
        <item x="714"/>
        <item x="713"/>
        <item x="721"/>
        <item x="965"/>
        <item x="970"/>
        <item x="976"/>
        <item x="966"/>
        <item x="967"/>
        <item x="980"/>
        <item x="977"/>
        <item x="969"/>
        <item x="983"/>
        <item x="973"/>
        <item x="964"/>
        <item x="974"/>
        <item x="978"/>
        <item x="979"/>
        <item x="963"/>
        <item x="981"/>
        <item x="975"/>
        <item x="968"/>
        <item x="972"/>
        <item x="982"/>
        <item x="971"/>
        <item x="921"/>
        <item x="258"/>
        <item x="757"/>
        <item x="771"/>
        <item x="772"/>
        <item x="773"/>
        <item x="688"/>
        <item x="687"/>
        <item x="576"/>
        <item x="575"/>
        <item x="296"/>
        <item x="301"/>
        <item x="300"/>
        <item x="297"/>
        <item x="299"/>
        <item x="298"/>
        <item x="738"/>
        <item x="603"/>
        <item x="833"/>
        <item x="835"/>
        <item x="837"/>
        <item x="838"/>
        <item x="836"/>
        <item x="834"/>
        <item x="345"/>
        <item x="339"/>
        <item x="192"/>
        <item x="193"/>
        <item x="920"/>
        <item x="986"/>
        <item x="984"/>
        <item x="985"/>
        <item x="462"/>
        <item x="494"/>
        <item x="496"/>
        <item x="495"/>
        <item x="483"/>
        <item x="464"/>
        <item x="475"/>
        <item x="474"/>
        <item x="469"/>
        <item x="467"/>
        <item x="463"/>
        <item x="509"/>
        <item x="492"/>
        <item x="506"/>
        <item x="484"/>
        <item x="485"/>
        <item x="486"/>
        <item x="471"/>
        <item x="472"/>
        <item x="501"/>
        <item x="500"/>
        <item x="499"/>
        <item x="504"/>
        <item x="503"/>
        <item x="470"/>
        <item x="479"/>
        <item x="461"/>
        <item x="498"/>
        <item x="482"/>
        <item x="489"/>
        <item x="502"/>
        <item x="491"/>
        <item x="476"/>
        <item x="490"/>
        <item x="478"/>
        <item x="465"/>
        <item x="488"/>
        <item x="512"/>
        <item x="477"/>
        <item x="510"/>
        <item x="459"/>
        <item x="460"/>
        <item x="487"/>
        <item x="505"/>
        <item x="511"/>
        <item x="9"/>
        <item x="497"/>
        <item x="466"/>
        <item x="507"/>
        <item x="493"/>
        <item x="480"/>
        <item x="481"/>
        <item x="10"/>
        <item x="508"/>
        <item x="468"/>
        <item x="473"/>
        <item x="559"/>
        <item x="558"/>
        <item x="557"/>
        <item x="556"/>
        <item x="340"/>
        <item x="341"/>
        <item x="343"/>
        <item x="342"/>
        <item x="344"/>
        <item x="552"/>
        <item x="553"/>
        <item x="538"/>
        <item x="545"/>
        <item x="540"/>
        <item x="550"/>
        <item x="542"/>
        <item x="544"/>
        <item x="541"/>
        <item x="547"/>
        <item x="546"/>
        <item x="551"/>
        <item x="539"/>
        <item x="549"/>
        <item x="548"/>
        <item x="543"/>
        <item x="210"/>
        <item x="211"/>
        <item x="237"/>
        <item x="231"/>
        <item x="226"/>
        <item x="240"/>
        <item x="244"/>
        <item x="218"/>
        <item x="219"/>
        <item x="217"/>
        <item x="208"/>
        <item x="4"/>
        <item x="209"/>
        <item x="241"/>
        <item x="212"/>
        <item x="223"/>
        <item x="243"/>
        <item x="230"/>
        <item x="239"/>
        <item x="205"/>
        <item x="236"/>
        <item x="224"/>
        <item x="213"/>
        <item x="221"/>
        <item x="222"/>
        <item x="215"/>
        <item x="207"/>
        <item x="228"/>
        <item x="233"/>
        <item x="238"/>
        <item x="220"/>
        <item x="229"/>
        <item x="206"/>
        <item x="234"/>
        <item x="225"/>
        <item x="214"/>
        <item x="242"/>
        <item x="235"/>
        <item x="227"/>
        <item x="204"/>
        <item x="216"/>
        <item x="5"/>
        <item x="232"/>
        <item x="555"/>
        <item x="988"/>
        <item x="302"/>
        <item x="245"/>
        <item x="853"/>
        <item x="854"/>
        <item x="857"/>
        <item x="855"/>
        <item x="856"/>
        <item x="791"/>
        <item x="792"/>
        <item x="172"/>
        <item x="692"/>
        <item x="691"/>
        <item x="694"/>
        <item x="693"/>
        <item x="697"/>
        <item x="698"/>
        <item x="695"/>
        <item x="696"/>
        <item x="949"/>
        <item x="948"/>
        <item x="947"/>
        <item x="260"/>
        <item x="943"/>
        <item x="942"/>
        <item x="946"/>
        <item x="945"/>
        <item x="938"/>
        <item x="941"/>
        <item x="939"/>
        <item x="940"/>
        <item x="944"/>
        <item x="574"/>
        <item x="561"/>
        <item x="560"/>
        <item x="562"/>
        <item x="316"/>
        <item x="729"/>
        <item x="849"/>
        <item x="438"/>
        <item x="734"/>
        <item x="690"/>
        <item x="682"/>
        <item x="701"/>
        <item x="702"/>
        <item x="317"/>
        <item x="563"/>
        <item x="564"/>
        <item x="566"/>
        <item x="565"/>
        <item x="596"/>
        <item x="595"/>
        <item x="597"/>
        <item x="599"/>
        <item x="598"/>
        <item x="601"/>
        <item x="600"/>
        <item x="410"/>
        <item x="411"/>
        <item x="739"/>
        <item x="602"/>
        <item x="458"/>
        <item x="425"/>
        <item x="987"/>
        <item x="842"/>
        <item x="844"/>
        <item x="843"/>
        <item x="159"/>
        <item x="677"/>
        <item x="680"/>
        <item x="681"/>
        <item x="678"/>
        <item x="679"/>
        <item x="802"/>
        <item x="806"/>
        <item x="13"/>
        <item x="805"/>
        <item x="803"/>
        <item x="804"/>
        <item x="801"/>
        <item x="442"/>
        <item x="330"/>
        <item x="168"/>
        <item x="169"/>
        <item x="167"/>
        <item x="170"/>
        <item x="171"/>
        <item x="290"/>
        <item x="325"/>
        <item x="324"/>
        <item x="807"/>
        <item x="808"/>
        <item x="667"/>
        <item x="580"/>
        <item x="582"/>
        <item x="581"/>
        <item x="583"/>
        <item x="584"/>
        <item x="586"/>
        <item x="585"/>
        <item x="672"/>
        <item x="437"/>
        <item x="436"/>
        <item x="435"/>
        <item x="673"/>
        <item x="248"/>
        <item x="247"/>
        <item x="720"/>
        <item x="719"/>
        <item x="717"/>
        <item x="718"/>
        <item x="257"/>
        <item x="322"/>
        <item x="318"/>
        <item x="319"/>
        <item x="321"/>
        <item x="320"/>
        <item x="323"/>
        <item x="723"/>
        <item x="725"/>
        <item x="722"/>
        <item x="728"/>
        <item x="726"/>
        <item x="727"/>
        <item x="724"/>
        <item x="918"/>
        <item x="917"/>
        <item x="919"/>
        <item x="303"/>
        <item x="307"/>
        <item x="310"/>
        <item x="311"/>
        <item x="306"/>
        <item x="309"/>
        <item x="305"/>
        <item x="313"/>
        <item x="312"/>
        <item x="308"/>
        <item x="314"/>
        <item x="304"/>
        <item x="315"/>
        <item x="755"/>
        <item x="768"/>
        <item x="766"/>
        <item x="767"/>
        <item x="577"/>
        <item x="285"/>
        <item x="289"/>
        <item x="287"/>
        <item x="286"/>
        <item x="288"/>
        <item x="284"/>
        <item x="915"/>
        <item x="916"/>
        <item x="914"/>
        <item x="593"/>
        <item x="594"/>
        <item x="666"/>
        <item x="665"/>
        <item x="187"/>
        <item x="686"/>
        <item x="157"/>
        <item x="579"/>
        <item x="578"/>
        <item x="620"/>
        <item x="621"/>
        <item x="610"/>
        <item x="606"/>
        <item x="607"/>
        <item x="630"/>
        <item x="631"/>
        <item x="660"/>
        <item x="663"/>
        <item x="639"/>
        <item x="652"/>
        <item x="643"/>
        <item x="655"/>
        <item x="664"/>
        <item x="608"/>
        <item x="622"/>
        <item x="613"/>
        <item x="623"/>
        <item x="641"/>
        <item x="609"/>
        <item x="611"/>
        <item x="648"/>
        <item x="649"/>
        <item x="645"/>
        <item x="637"/>
        <item x="624"/>
        <item x="662"/>
        <item x="617"/>
        <item x="628"/>
        <item x="634"/>
        <item x="614"/>
        <item x="615"/>
        <item x="618"/>
        <item x="654"/>
        <item x="633"/>
        <item x="644"/>
        <item x="638"/>
        <item x="651"/>
        <item x="625"/>
        <item x="640"/>
        <item x="635"/>
        <item x="636"/>
        <item x="661"/>
        <item x="656"/>
        <item x="659"/>
        <item x="653"/>
        <item x="657"/>
        <item x="612"/>
        <item x="629"/>
        <item x="616"/>
        <item x="647"/>
        <item x="658"/>
        <item x="646"/>
        <item x="642"/>
        <item x="650"/>
        <item x="632"/>
        <item x="627"/>
        <item x="626"/>
        <item x="619"/>
        <item x="246"/>
        <item x="922"/>
        <item x="923"/>
        <item x="924"/>
        <item x="960"/>
        <item x="959"/>
        <item x="961"/>
        <item x="958"/>
        <item x="590"/>
        <item x="589"/>
        <item x="263"/>
        <item x="6"/>
        <item x="269"/>
        <item x="264"/>
        <item x="265"/>
        <item x="267"/>
        <item x="261"/>
        <item x="268"/>
        <item x="266"/>
        <item x="271"/>
        <item x="262"/>
        <item x="270"/>
        <item x="570"/>
        <item x="569"/>
        <item x="568"/>
        <item x="567"/>
        <item x="291"/>
        <item x="292"/>
        <item x="293"/>
        <item x="259"/>
        <item x="931"/>
        <item x="705"/>
        <item x="704"/>
        <item x="706"/>
        <item x="703"/>
        <item x="765"/>
        <item x="764"/>
        <item x="761"/>
        <item x="762"/>
        <item x="763"/>
        <item x="793"/>
        <item x="800"/>
        <item x="799"/>
        <item x="604"/>
        <item x="605"/>
        <item x="423"/>
        <item x="412"/>
        <item x="417"/>
        <item x="419"/>
        <item x="418"/>
        <item x="422"/>
        <item x="413"/>
        <item x="420"/>
        <item x="415"/>
        <item x="416"/>
        <item x="414"/>
        <item x="421"/>
        <item x="760"/>
        <item x="759"/>
        <item x="758"/>
        <item x="689"/>
        <item x="743"/>
        <item x="745"/>
        <item x="744"/>
        <item x="742"/>
        <item x="846"/>
        <item x="845"/>
        <item x="847"/>
        <item x="848"/>
        <item x="158"/>
        <item x="850"/>
        <item x="936"/>
        <item x="937"/>
        <item x="516"/>
        <item x="518"/>
        <item x="525"/>
        <item x="527"/>
        <item x="526"/>
        <item x="532"/>
        <item x="533"/>
        <item x="522"/>
        <item x="534"/>
        <item x="528"/>
        <item x="536"/>
        <item x="519"/>
        <item x="517"/>
        <item x="529"/>
        <item x="535"/>
        <item x="537"/>
        <item x="521"/>
        <item x="520"/>
        <item x="530"/>
        <item x="523"/>
        <item x="524"/>
        <item x="531"/>
        <item x="294"/>
        <item x="295"/>
        <item x="250"/>
        <item x="254"/>
        <item x="256"/>
        <item x="252"/>
        <item x="251"/>
        <item x="255"/>
        <item x="249"/>
        <item x="253"/>
        <item x="188"/>
        <item x="439"/>
        <item x="440"/>
        <item x="572"/>
        <item x="573"/>
        <item x="328"/>
        <item x="329"/>
        <item x="327"/>
        <item x="326"/>
        <item x="161"/>
        <item x="163"/>
        <item x="164"/>
        <item x="160"/>
        <item x="162"/>
        <item x="182"/>
        <item x="183"/>
        <item x="185"/>
        <item x="186"/>
        <item x="181"/>
        <item x="184"/>
        <item x="746"/>
        <item x="749"/>
        <item x="754"/>
        <item x="747"/>
        <item x="753"/>
        <item x="751"/>
        <item x="748"/>
        <item x="750"/>
        <item x="752"/>
        <item x="332"/>
        <item x="424"/>
        <item x="716"/>
        <item x="756"/>
        <item x="592"/>
        <item x="591"/>
        <item x="349"/>
        <item x="395"/>
        <item x="369"/>
        <item x="382"/>
        <item x="386"/>
        <item x="385"/>
        <item x="397"/>
        <item x="373"/>
        <item x="368"/>
        <item x="354"/>
        <item x="355"/>
        <item x="408"/>
        <item x="351"/>
        <item x="363"/>
        <item x="367"/>
        <item x="366"/>
        <item x="383"/>
        <item x="357"/>
        <item x="393"/>
        <item x="352"/>
        <item x="377"/>
        <item x="392"/>
        <item x="401"/>
        <item x="350"/>
        <item x="409"/>
        <item x="391"/>
        <item x="353"/>
        <item x="407"/>
        <item x="387"/>
        <item x="364"/>
        <item x="381"/>
        <item x="347"/>
        <item x="348"/>
        <item x="356"/>
        <item x="396"/>
        <item x="359"/>
        <item x="402"/>
        <item x="372"/>
        <item x="375"/>
        <item x="400"/>
        <item x="378"/>
        <item x="384"/>
        <item x="405"/>
        <item x="365"/>
        <item x="374"/>
        <item x="358"/>
        <item x="406"/>
        <item x="403"/>
        <item x="404"/>
        <item x="388"/>
        <item x="346"/>
        <item x="398"/>
        <item x="8"/>
        <item x="399"/>
        <item x="360"/>
        <item x="390"/>
        <item x="389"/>
        <item x="370"/>
        <item x="371"/>
        <item x="376"/>
        <item x="361"/>
        <item x="362"/>
        <item x="379"/>
        <item x="380"/>
        <item x="394"/>
        <item x="683"/>
        <item x="685"/>
        <item x="684"/>
        <item x="790"/>
        <item x="786"/>
        <item x="776"/>
        <item x="784"/>
        <item x="775"/>
        <item x="779"/>
        <item x="789"/>
        <item x="777"/>
        <item x="782"/>
        <item x="783"/>
        <item x="788"/>
        <item x="780"/>
        <item x="12"/>
        <item x="774"/>
        <item x="785"/>
        <item x="778"/>
        <item x="787"/>
        <item x="781"/>
        <item x="815"/>
        <item x="812"/>
        <item x="814"/>
        <item x="813"/>
        <item x="818"/>
        <item x="817"/>
        <item x="816"/>
        <item x="441"/>
        <item x="839"/>
        <item x="840"/>
        <item x="841"/>
        <item x="166"/>
        <item x="275"/>
        <item x="278"/>
        <item x="272"/>
        <item x="283"/>
        <item x="282"/>
        <item x="280"/>
        <item x="273"/>
        <item x="279"/>
        <item x="276"/>
        <item x="277"/>
        <item x="274"/>
        <item x="281"/>
        <item x="451"/>
        <item x="450"/>
        <item x="448"/>
        <item x="454"/>
        <item x="452"/>
        <item x="447"/>
        <item x="455"/>
        <item x="456"/>
        <item x="453"/>
        <item x="457"/>
        <item x="449"/>
        <item x="676"/>
        <item x="674"/>
        <item x="675"/>
        <item x="811"/>
        <item x="810"/>
        <item x="809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91">
        <item x="396"/>
        <item x="186"/>
        <item x="426"/>
        <item x="521"/>
        <item x="358"/>
        <item x="576"/>
        <item x="236"/>
        <item x="189"/>
        <item x="703"/>
        <item x="583"/>
        <item x="880"/>
        <item x="167"/>
        <item x="873"/>
        <item x="942"/>
        <item x="347"/>
        <item x="704"/>
        <item x="697"/>
        <item x="629"/>
        <item x="161"/>
        <item x="85"/>
        <item x="776"/>
        <item x="569"/>
        <item x="924"/>
        <item x="920"/>
        <item x="363"/>
        <item x="800"/>
        <item x="726"/>
        <item x="973"/>
        <item x="444"/>
        <item x="572"/>
        <item x="981"/>
        <item x="315"/>
        <item x="760"/>
        <item x="323"/>
        <item x="943"/>
        <item x="192"/>
        <item x="585"/>
        <item x="241"/>
        <item x="263"/>
        <item x="474"/>
        <item x="305"/>
        <item x="706"/>
        <item x="710"/>
        <item x="617"/>
        <item x="295"/>
        <item x="173"/>
        <item x="605"/>
        <item x="265"/>
        <item x="450"/>
        <item x="894"/>
        <item x="248"/>
        <item x="564"/>
        <item x="696"/>
        <item x="298"/>
        <item x="647"/>
        <item x="986"/>
        <item x="933"/>
        <item x="375"/>
        <item x="448"/>
        <item x="162"/>
        <item x="568"/>
        <item x="374"/>
        <item x="750"/>
        <item x="532"/>
        <item x="90"/>
        <item x="440"/>
        <item x="661"/>
        <item x="633"/>
        <item x="246"/>
        <item x="361"/>
        <item x="550"/>
        <item x="804"/>
        <item x="235"/>
        <item x="808"/>
        <item x="197"/>
        <item x="95"/>
        <item x="786"/>
        <item x="76"/>
        <item x="321"/>
        <item x="798"/>
        <item x="179"/>
        <item x="820"/>
        <item x="147"/>
        <item x="496"/>
        <item x="56"/>
        <item x="570"/>
        <item x="392"/>
        <item x="40"/>
        <item x="853"/>
        <item x="987"/>
        <item x="326"/>
        <item x="796"/>
        <item x="283"/>
        <item x="656"/>
        <item x="349"/>
        <item x="947"/>
        <item x="560"/>
        <item x="25"/>
        <item x="898"/>
        <item x="217"/>
        <item x="835"/>
        <item x="97"/>
        <item x="954"/>
        <item x="816"/>
        <item x="542"/>
        <item x="41"/>
        <item x="749"/>
        <item x="648"/>
        <item x="709"/>
        <item x="743"/>
        <item x="662"/>
        <item x="282"/>
        <item x="770"/>
        <item x="159"/>
        <item x="36"/>
        <item x="213"/>
        <item x="945"/>
        <item x="540"/>
        <item x="680"/>
        <item x="511"/>
        <item x="19"/>
        <item x="393"/>
        <item x="42"/>
        <item x="80"/>
        <item x="477"/>
        <item x="831"/>
        <item x="408"/>
        <item x="651"/>
        <item x="508"/>
        <item x="571"/>
        <item x="887"/>
        <item x="136"/>
        <item x="87"/>
        <item x="61"/>
        <item x="34"/>
        <item x="156"/>
        <item x="252"/>
        <item x="152"/>
        <item x="100"/>
        <item x="98"/>
        <item x="94"/>
        <item x="67"/>
        <item x="125"/>
        <item x="143"/>
        <item x="257"/>
        <item x="314"/>
        <item x="588"/>
        <item x="594"/>
        <item x="410"/>
        <item x="936"/>
        <item x="763"/>
        <item x="897"/>
        <item x="985"/>
        <item x="904"/>
        <item x="677"/>
        <item x="249"/>
        <item x="71"/>
        <item x="606"/>
        <item x="913"/>
        <item x="739"/>
        <item x="893"/>
        <item x="390"/>
        <item x="802"/>
        <item x="430"/>
        <item x="961"/>
        <item x="264"/>
        <item x="736"/>
        <item x="445"/>
        <item x="638"/>
        <item x="730"/>
        <item x="744"/>
        <item x="104"/>
        <item x="553"/>
        <item x="101"/>
        <item x="830"/>
        <item x="883"/>
        <item x="900"/>
        <item x="174"/>
        <item x="782"/>
        <item x="185"/>
        <item x="708"/>
        <item x="469"/>
        <item x="870"/>
        <item x="967"/>
        <item x="654"/>
        <item x="722"/>
        <item x="6"/>
        <item x="879"/>
        <item x="11"/>
        <item x="480"/>
        <item x="874"/>
        <item x="545"/>
        <item x="862"/>
        <item x="556"/>
        <item x="682"/>
        <item x="297"/>
        <item x="514"/>
        <item x="669"/>
        <item x="627"/>
        <item x="381"/>
        <item x="206"/>
        <item x="418"/>
        <item x="659"/>
        <item x="271"/>
        <item x="401"/>
        <item x="848"/>
        <item x="752"/>
        <item x="895"/>
        <item x="907"/>
        <item x="718"/>
        <item x="932"/>
        <item x="370"/>
        <item x="331"/>
        <item x="232"/>
        <item x="716"/>
        <item x="634"/>
        <item x="515"/>
        <item x="917"/>
        <item x="285"/>
        <item x="302"/>
        <item x="502"/>
        <item x="678"/>
        <item x="182"/>
        <item x="653"/>
        <item x="491"/>
        <item x="775"/>
        <item x="624"/>
        <item x="489"/>
        <item x="150"/>
        <item x="851"/>
        <item x="841"/>
        <item x="778"/>
        <item x="582"/>
        <item x="296"/>
        <item x="958"/>
        <item x="240"/>
        <item x="866"/>
        <item x="598"/>
        <item x="618"/>
        <item x="555"/>
        <item x="318"/>
        <item x="340"/>
        <item x="693"/>
        <item x="888"/>
        <item x="777"/>
        <item x="689"/>
        <item x="649"/>
        <item x="5"/>
        <item x="313"/>
        <item x="610"/>
        <item x="233"/>
        <item x="501"/>
        <item x="201"/>
        <item x="322"/>
        <item x="838"/>
        <item x="202"/>
        <item x="247"/>
        <item x="278"/>
        <item x="667"/>
        <item x="850"/>
        <item x="243"/>
        <item x="466"/>
        <item x="988"/>
        <item x="32"/>
        <item x="761"/>
        <item x="366"/>
        <item x="294"/>
        <item x="645"/>
        <item x="959"/>
        <item x="621"/>
        <item x="21"/>
        <item x="138"/>
        <item x="83"/>
        <item x="245"/>
        <item x="395"/>
        <item x="72"/>
        <item x="51"/>
        <item x="65"/>
        <item x="391"/>
        <item x="344"/>
        <item x="482"/>
        <item x="350"/>
        <item x="745"/>
        <item x="817"/>
        <item x="875"/>
        <item x="937"/>
        <item x="231"/>
        <item x="307"/>
        <item x="773"/>
        <item x="715"/>
        <item x="834"/>
        <item x="494"/>
        <item x="333"/>
        <item x="740"/>
        <item x="485"/>
        <item x="565"/>
        <item x="801"/>
        <item x="837"/>
        <item x="686"/>
        <item x="112"/>
        <item x="250"/>
        <item x="419"/>
        <item x="330"/>
        <item x="200"/>
        <item x="735"/>
        <item x="424"/>
        <item x="388"/>
        <item x="721"/>
        <item x="332"/>
        <item x="528"/>
        <item x="82"/>
        <item x="672"/>
        <item x="827"/>
        <item x="843"/>
        <item x="918"/>
        <item x="789"/>
        <item x="890"/>
        <item x="694"/>
        <item x="751"/>
        <item x="811"/>
        <item x="158"/>
        <item x="488"/>
        <item x="352"/>
        <item x="978"/>
        <item x="409"/>
        <item x="389"/>
        <item x="320"/>
        <item x="251"/>
        <item x="914"/>
        <item x="281"/>
        <item x="495"/>
        <item x="490"/>
        <item x="484"/>
        <item x="658"/>
        <item x="404"/>
        <item x="684"/>
        <item x="256"/>
        <item x="58"/>
        <item x="676"/>
        <item x="823"/>
        <item x="329"/>
        <item x="382"/>
        <item x="756"/>
        <item x="567"/>
        <item x="652"/>
        <item x="455"/>
        <item x="239"/>
        <item x="403"/>
        <item x="23"/>
        <item x="922"/>
        <item x="461"/>
        <item x="506"/>
        <item x="45"/>
        <item x="81"/>
        <item x="75"/>
        <item x="449"/>
        <item x="238"/>
        <item x="128"/>
        <item x="727"/>
        <item x="437"/>
        <item x="462"/>
        <item x="164"/>
        <item x="328"/>
        <item x="791"/>
        <item x="741"/>
        <item x="522"/>
        <item x="177"/>
        <item x="371"/>
        <item x="309"/>
        <item x="759"/>
        <item x="308"/>
        <item x="639"/>
        <item x="698"/>
        <item x="379"/>
        <item x="304"/>
        <item x="531"/>
        <item x="554"/>
        <item x="939"/>
        <item x="475"/>
        <item x="288"/>
        <item x="783"/>
        <item x="432"/>
        <item x="442"/>
        <item x="362"/>
        <item x="833"/>
        <item x="699"/>
        <item x="259"/>
        <item x="668"/>
        <item x="657"/>
        <item x="772"/>
        <item x="616"/>
        <item x="810"/>
        <item x="549"/>
        <item x="612"/>
        <item x="971"/>
        <item x="797"/>
        <item x="60"/>
        <item x="805"/>
        <item x="832"/>
        <item x="746"/>
        <item x="367"/>
        <item x="178"/>
        <item x="372"/>
        <item x="541"/>
        <item x="237"/>
        <item x="509"/>
        <item x="551"/>
        <item x="543"/>
        <item x="443"/>
        <item x="411"/>
        <item x="434"/>
        <item x="771"/>
        <item x="459"/>
        <item x="755"/>
        <item x="578"/>
        <item x="640"/>
        <item x="16"/>
        <item x="646"/>
        <item x="145"/>
        <item x="885"/>
        <item x="272"/>
        <item x="707"/>
        <item x="852"/>
        <item x="14"/>
        <item x="229"/>
        <item x="170"/>
        <item x="595"/>
        <item x="270"/>
        <item x="590"/>
        <item x="400"/>
        <item x="223"/>
        <item x="785"/>
        <item x="886"/>
        <item x="208"/>
        <item x="413"/>
        <item x="881"/>
        <item x="129"/>
        <item x="635"/>
        <item x="114"/>
        <item x="368"/>
        <item x="225"/>
        <item x="912"/>
        <item x="155"/>
        <item x="386"/>
        <item x="44"/>
        <item x="417"/>
        <item x="287"/>
        <item x="844"/>
        <item x="906"/>
        <item x="341"/>
        <item x="566"/>
        <item x="498"/>
        <item x="463"/>
        <item x="53"/>
        <item x="91"/>
        <item x="609"/>
        <item x="365"/>
        <item x="574"/>
        <item x="157"/>
        <item x="37"/>
        <item x="336"/>
        <item x="573"/>
        <item x="938"/>
        <item x="50"/>
        <item x="218"/>
        <item x="577"/>
        <item x="187"/>
        <item x="891"/>
        <item x="64"/>
        <item x="148"/>
        <item x="737"/>
        <item x="558"/>
        <item x="876"/>
        <item x="453"/>
        <item x="415"/>
        <item x="530"/>
        <item x="338"/>
        <item x="183"/>
        <item x="325"/>
        <item x="544"/>
        <item x="731"/>
        <item x="524"/>
        <item x="149"/>
        <item x="8"/>
        <item x="964"/>
        <item x="373"/>
        <item x="20"/>
        <item x="896"/>
        <item x="899"/>
        <item x="131"/>
        <item x="224"/>
        <item x="956"/>
        <item x="68"/>
        <item x="905"/>
        <item x="666"/>
        <item x="59"/>
        <item x="925"/>
        <item x="425"/>
        <item x="613"/>
        <item x="849"/>
        <item x="931"/>
        <item x="623"/>
        <item x="63"/>
        <item x="357"/>
        <item x="780"/>
        <item x="151"/>
        <item x="557"/>
        <item x="733"/>
        <item x="436"/>
        <item x="15"/>
        <item x="711"/>
        <item x="476"/>
        <item x="603"/>
        <item x="299"/>
        <item x="160"/>
        <item x="946"/>
        <item x="969"/>
        <item x="516"/>
        <item x="184"/>
        <item x="533"/>
        <item x="842"/>
        <item x="637"/>
        <item x="353"/>
        <item x="607"/>
        <item x="604"/>
        <item x="198"/>
        <item x="291"/>
        <item x="527"/>
        <item x="327"/>
        <item x="74"/>
        <item x="260"/>
        <item x="525"/>
        <item x="720"/>
        <item x="909"/>
        <item x="622"/>
        <item x="203"/>
        <item x="562"/>
        <item x="380"/>
        <item x="181"/>
        <item x="356"/>
        <item x="960"/>
        <item x="428"/>
        <item x="970"/>
        <item x="536"/>
        <item x="276"/>
        <item x="732"/>
        <item x="118"/>
        <item x="526"/>
        <item x="681"/>
        <item x="854"/>
        <item x="116"/>
        <item x="626"/>
        <item x="927"/>
        <item x="348"/>
        <item x="435"/>
        <item x="451"/>
        <item x="289"/>
        <item x="467"/>
        <item x="714"/>
        <item x="768"/>
        <item x="951"/>
        <item x="631"/>
        <item x="439"/>
        <item x="234"/>
        <item x="43"/>
        <item x="119"/>
        <item x="337"/>
        <item x="360"/>
        <item x="857"/>
        <item x="593"/>
        <item x="940"/>
        <item x="824"/>
        <item x="944"/>
        <item x="478"/>
        <item x="713"/>
        <item x="781"/>
        <item x="279"/>
        <item x="828"/>
        <item x="103"/>
        <item x="188"/>
        <item x="575"/>
        <item x="517"/>
        <item x="758"/>
        <item x="69"/>
        <item x="204"/>
        <item x="110"/>
        <item x="921"/>
        <item x="84"/>
        <item x="701"/>
        <item x="779"/>
        <item x="787"/>
        <item x="88"/>
        <item x="948"/>
        <item x="665"/>
        <item x="807"/>
        <item x="930"/>
        <item x="953"/>
        <item x="539"/>
        <item x="670"/>
        <item x="175"/>
        <item x="966"/>
        <item x="592"/>
        <item x="882"/>
        <item x="78"/>
        <item x="452"/>
        <item x="456"/>
        <item x="774"/>
        <item x="929"/>
        <item x="483"/>
        <item x="935"/>
        <item x="941"/>
        <item x="591"/>
        <item x="92"/>
        <item x="441"/>
        <item x="205"/>
        <item x="354"/>
        <item x="856"/>
        <item x="962"/>
        <item x="316"/>
        <item x="465"/>
        <item x="457"/>
        <item x="284"/>
        <item x="479"/>
        <item x="790"/>
        <item x="855"/>
        <item x="207"/>
        <item x="695"/>
        <item x="402"/>
        <item x="364"/>
        <item x="169"/>
        <item x="275"/>
        <item x="262"/>
        <item x="166"/>
        <item x="641"/>
        <item x="614"/>
        <item x="230"/>
        <item x="54"/>
        <item x="253"/>
        <item x="244"/>
        <item x="255"/>
        <item x="723"/>
        <item x="724"/>
        <item x="195"/>
        <item x="813"/>
        <item x="729"/>
        <item x="492"/>
        <item x="464"/>
        <item x="928"/>
        <item x="254"/>
        <item x="799"/>
        <item x="468"/>
        <item x="926"/>
        <item x="346"/>
        <item x="685"/>
        <item x="794"/>
        <item x="293"/>
        <item x="584"/>
        <item x="792"/>
        <item x="438"/>
        <item x="600"/>
        <item x="814"/>
        <item x="35"/>
        <item x="982"/>
        <item x="109"/>
        <item x="497"/>
        <item x="27"/>
        <item x="846"/>
        <item x="286"/>
        <item x="753"/>
        <item x="671"/>
        <item x="889"/>
        <item x="871"/>
        <item x="310"/>
        <item x="687"/>
        <item x="369"/>
        <item x="306"/>
        <item x="77"/>
        <item x="972"/>
        <item x="55"/>
        <item x="22"/>
        <item x="106"/>
        <item x="141"/>
        <item x="139"/>
        <item x="48"/>
        <item x="46"/>
        <item x="108"/>
        <item x="29"/>
        <item x="33"/>
        <item x="30"/>
        <item x="107"/>
        <item x="31"/>
        <item x="102"/>
        <item x="481"/>
        <item x="700"/>
        <item x="632"/>
        <item x="806"/>
        <item x="769"/>
        <item x="317"/>
        <item x="405"/>
        <item x="911"/>
        <item x="193"/>
        <item x="860"/>
        <item x="427"/>
        <item x="625"/>
        <item x="345"/>
        <item x="493"/>
        <item x="636"/>
        <item x="581"/>
        <item x="934"/>
        <item x="66"/>
        <item x="503"/>
        <item x="191"/>
        <item x="535"/>
        <item x="214"/>
        <item x="422"/>
        <item x="548"/>
        <item x="734"/>
        <item x="487"/>
        <item x="589"/>
        <item x="825"/>
        <item x="809"/>
        <item x="691"/>
        <item x="194"/>
        <item x="683"/>
        <item x="675"/>
        <item x="812"/>
        <item x="500"/>
        <item x="919"/>
        <item x="754"/>
        <item x="117"/>
        <item x="242"/>
        <item x="137"/>
        <item x="538"/>
        <item x="504"/>
        <item x="277"/>
        <item x="446"/>
        <item x="211"/>
        <item x="154"/>
        <item x="24"/>
        <item x="644"/>
        <item x="643"/>
        <item x="916"/>
        <item x="86"/>
        <item x="93"/>
        <item x="311"/>
        <item x="429"/>
        <item x="196"/>
        <item x="471"/>
        <item x="99"/>
        <item x="793"/>
        <item x="826"/>
        <item x="486"/>
        <item x="176"/>
        <item x="180"/>
        <item x="660"/>
        <item x="447"/>
        <item x="738"/>
        <item x="767"/>
        <item x="126"/>
        <item x="394"/>
        <item x="601"/>
        <item x="728"/>
        <item x="725"/>
        <item x="111"/>
        <item x="132"/>
        <item x="12"/>
        <item x="292"/>
        <item x="983"/>
        <item x="663"/>
        <item x="788"/>
        <item x="869"/>
        <item x="123"/>
        <item x="546"/>
        <item x="303"/>
        <item x="228"/>
        <item x="343"/>
        <item x="829"/>
        <item x="599"/>
        <item x="219"/>
        <item x="520"/>
        <item x="124"/>
        <item x="877"/>
        <item x="619"/>
        <item x="17"/>
        <item x="290"/>
        <item x="226"/>
        <item x="518"/>
        <item x="784"/>
        <item x="414"/>
        <item x="795"/>
        <item x="376"/>
        <item x="49"/>
        <item x="420"/>
        <item x="847"/>
        <item x="977"/>
        <item x="209"/>
        <item x="407"/>
        <item x="384"/>
        <item x="674"/>
        <item x="268"/>
        <item x="818"/>
        <item x="89"/>
        <item x="216"/>
        <item x="70"/>
        <item x="762"/>
        <item x="266"/>
        <item x="122"/>
        <item x="121"/>
        <item x="512"/>
        <item x="552"/>
        <item x="872"/>
        <item x="433"/>
        <item x="579"/>
        <item x="454"/>
        <item x="171"/>
        <item x="324"/>
        <item x="105"/>
        <item x="915"/>
        <item x="859"/>
        <item x="747"/>
        <item x="79"/>
        <item x="221"/>
        <item x="965"/>
        <item x="975"/>
        <item x="903"/>
        <item x="507"/>
        <item x="258"/>
        <item x="586"/>
        <item x="765"/>
        <item x="267"/>
        <item x="274"/>
        <item x="865"/>
        <item x="163"/>
        <item x="473"/>
        <item x="742"/>
        <item x="561"/>
        <item x="140"/>
        <item x="142"/>
        <item x="690"/>
        <item x="529"/>
        <item x="385"/>
        <item x="9"/>
        <item x="702"/>
        <item x="979"/>
        <item x="534"/>
        <item x="26"/>
        <item x="38"/>
        <item x="923"/>
        <item x="28"/>
        <item x="153"/>
        <item x="416"/>
        <item x="222"/>
        <item x="513"/>
        <item x="989"/>
        <item x="300"/>
        <item x="319"/>
        <item x="273"/>
        <item x="628"/>
        <item x="717"/>
        <item x="261"/>
        <item x="630"/>
        <item x="398"/>
        <item x="135"/>
        <item x="963"/>
        <item x="664"/>
        <item x="910"/>
        <item x="387"/>
        <item x="378"/>
        <item x="597"/>
        <item x="120"/>
        <item x="868"/>
        <item x="615"/>
        <item x="57"/>
        <item x="355"/>
        <item x="301"/>
        <item x="359"/>
        <item x="901"/>
        <item x="861"/>
        <item x="803"/>
        <item x="165"/>
        <item x="499"/>
        <item x="172"/>
        <item x="908"/>
        <item x="878"/>
        <item x="563"/>
        <item x="596"/>
        <item x="980"/>
        <item x="864"/>
        <item x="127"/>
        <item x="719"/>
        <item x="130"/>
        <item x="523"/>
        <item x="146"/>
        <item x="460"/>
        <item x="867"/>
        <item x="748"/>
        <item x="968"/>
        <item x="458"/>
        <item x="822"/>
        <item x="215"/>
        <item x="351"/>
        <item x="472"/>
        <item x="602"/>
        <item x="212"/>
        <item x="115"/>
        <item x="431"/>
        <item x="537"/>
        <item x="377"/>
        <item x="423"/>
        <item x="705"/>
        <item x="819"/>
        <item x="2"/>
        <item x="199"/>
        <item x="342"/>
        <item x="559"/>
        <item x="611"/>
        <item x="845"/>
        <item x="949"/>
        <item x="840"/>
        <item x="96"/>
        <item x="52"/>
        <item x="406"/>
        <item x="836"/>
        <item x="655"/>
        <item x="47"/>
        <item x="608"/>
        <item x="821"/>
        <item x="650"/>
        <item x="580"/>
        <item x="712"/>
        <item x="269"/>
        <item x="383"/>
        <item x="764"/>
        <item x="470"/>
        <item x="957"/>
        <item x="339"/>
        <item x="13"/>
        <item x="280"/>
        <item x="113"/>
        <item x="133"/>
        <item x="397"/>
        <item x="950"/>
        <item x="210"/>
        <item x="587"/>
        <item x="39"/>
        <item x="815"/>
        <item x="974"/>
        <item x="757"/>
        <item x="412"/>
        <item x="547"/>
        <item x="227"/>
        <item x="892"/>
        <item x="505"/>
        <item x="62"/>
        <item x="7"/>
        <item x="144"/>
        <item x="884"/>
        <item x="863"/>
        <item x="334"/>
        <item x="679"/>
        <item x="692"/>
        <item x="18"/>
        <item x="4"/>
        <item x="955"/>
        <item x="839"/>
        <item x="984"/>
        <item x="642"/>
        <item x="220"/>
        <item x="73"/>
        <item x="335"/>
        <item x="134"/>
        <item x="312"/>
        <item x="519"/>
        <item x="766"/>
        <item x="421"/>
        <item x="620"/>
        <item x="190"/>
        <item x="3"/>
        <item x="0"/>
        <item x="399"/>
        <item x="688"/>
        <item x="858"/>
        <item x="10"/>
        <item x="168"/>
        <item x="902"/>
        <item x="976"/>
        <item x="1"/>
        <item x="952"/>
        <item x="673"/>
        <item x="5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4">
        <item sd="0" x="20"/>
        <item sd="0" x="8"/>
        <item sd="0" x="7"/>
        <item sd="0" x="18"/>
        <item sd="0" x="17"/>
        <item sd="0" x="9"/>
        <item sd="0" x="11"/>
        <item x="2"/>
        <item x="3"/>
        <item sd="0" x="21"/>
        <item x="1"/>
        <item sd="0" x="14"/>
        <item sd="0" x="22"/>
        <item x="0"/>
        <item x="5"/>
        <item sd="0" x="15"/>
        <item sd="0" x="10"/>
        <item sd="0" x="13"/>
        <item sd="0" x="19"/>
        <item sd="0" x="16"/>
        <item x="4"/>
        <item sd="0" x="1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04">
        <item x="15"/>
        <item x="52"/>
        <item x="1"/>
        <item x="29"/>
        <item x="84"/>
        <item x="55"/>
        <item x="38"/>
        <item x="91"/>
        <item x="72"/>
        <item x="50"/>
        <item x="68"/>
        <item x="73"/>
        <item x="16"/>
        <item x="33"/>
        <item x="88"/>
        <item x="28"/>
        <item x="6"/>
        <item x="34"/>
        <item x="67"/>
        <item x="53"/>
        <item x="26"/>
        <item x="21"/>
        <item x="93"/>
        <item x="32"/>
        <item x="98"/>
        <item x="46"/>
        <item x="12"/>
        <item x="22"/>
        <item x="69"/>
        <item x="31"/>
        <item x="101"/>
        <item x="13"/>
        <item x="56"/>
        <item x="40"/>
        <item x="62"/>
        <item x="20"/>
        <item x="23"/>
        <item x="42"/>
        <item x="3"/>
        <item x="79"/>
        <item x="76"/>
        <item x="57"/>
        <item x="27"/>
        <item x="60"/>
        <item x="7"/>
        <item x="8"/>
        <item x="30"/>
        <item x="39"/>
        <item x="2"/>
        <item x="41"/>
        <item x="24"/>
        <item x="4"/>
        <item x="89"/>
        <item x="48"/>
        <item x="74"/>
        <item x="96"/>
        <item x="95"/>
        <item x="0"/>
        <item x="100"/>
        <item x="17"/>
        <item x="5"/>
        <item x="51"/>
        <item x="82"/>
        <item x="11"/>
        <item x="35"/>
        <item x="36"/>
        <item x="58"/>
        <item x="18"/>
        <item x="59"/>
        <item x="83"/>
        <item x="9"/>
        <item x="85"/>
        <item x="25"/>
        <item x="61"/>
        <item x="19"/>
        <item x="92"/>
        <item x="14"/>
        <item x="43"/>
        <item x="75"/>
        <item x="70"/>
        <item x="47"/>
        <item x="77"/>
        <item x="86"/>
        <item x="65"/>
        <item x="71"/>
        <item x="99"/>
        <item x="78"/>
        <item x="49"/>
        <item x="87"/>
        <item x="66"/>
        <item x="102"/>
        <item x="63"/>
        <item x="45"/>
        <item x="44"/>
        <item x="37"/>
        <item x="97"/>
        <item x="90"/>
        <item x="10"/>
        <item x="64"/>
        <item x="54"/>
        <item x="81"/>
        <item x="94"/>
        <item x="8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1">
        <item x="5"/>
        <item x="19"/>
        <item x="30"/>
        <item x="52"/>
        <item x="10"/>
        <item x="2"/>
        <item x="14"/>
        <item x="62"/>
        <item x="104"/>
        <item x="48"/>
        <item x="33"/>
        <item x="37"/>
        <item x="137"/>
        <item x="65"/>
        <item x="124"/>
        <item x="147"/>
        <item x="43"/>
        <item x="58"/>
        <item x="93"/>
        <item x="45"/>
        <item x="113"/>
        <item x="28"/>
        <item x="34"/>
        <item x="81"/>
        <item x="6"/>
        <item x="7"/>
        <item x="123"/>
        <item x="29"/>
        <item x="38"/>
        <item x="92"/>
        <item x="139"/>
        <item x="127"/>
        <item x="53"/>
        <item x="25"/>
        <item x="54"/>
        <item x="17"/>
        <item x="135"/>
        <item x="68"/>
        <item x="35"/>
        <item x="16"/>
        <item x="136"/>
        <item x="80"/>
        <item x="31"/>
        <item x="111"/>
        <item x="101"/>
        <item x="110"/>
        <item x="23"/>
        <item x="103"/>
        <item x="41"/>
        <item x="94"/>
        <item x="64"/>
        <item x="0"/>
        <item x="102"/>
        <item x="67"/>
        <item x="63"/>
        <item x="66"/>
        <item x="61"/>
        <item x="120"/>
        <item x="73"/>
        <item x="72"/>
        <item x="141"/>
        <item x="9"/>
        <item x="138"/>
        <item x="116"/>
        <item x="140"/>
        <item x="126"/>
        <item x="130"/>
        <item x="112"/>
        <item x="145"/>
        <item x="13"/>
        <item x="36"/>
        <item x="49"/>
        <item x="100"/>
        <item x="122"/>
        <item x="1"/>
        <item x="32"/>
        <item x="131"/>
        <item x="27"/>
        <item x="3"/>
        <item x="134"/>
        <item x="99"/>
        <item x="146"/>
        <item x="78"/>
        <item x="74"/>
        <item x="22"/>
        <item x="39"/>
        <item x="75"/>
        <item x="50"/>
        <item x="129"/>
        <item x="125"/>
        <item x="46"/>
        <item x="119"/>
        <item x="109"/>
        <item x="82"/>
        <item x="85"/>
        <item x="86"/>
        <item x="148"/>
        <item x="143"/>
        <item x="108"/>
        <item x="133"/>
        <item x="98"/>
        <item x="95"/>
        <item x="118"/>
        <item x="83"/>
        <item x="117"/>
        <item x="115"/>
        <item x="57"/>
        <item x="59"/>
        <item x="20"/>
        <item x="97"/>
        <item x="60"/>
        <item x="8"/>
        <item x="106"/>
        <item x="144"/>
        <item x="107"/>
        <item x="55"/>
        <item x="26"/>
        <item x="91"/>
        <item x="77"/>
        <item x="149"/>
        <item x="84"/>
        <item x="105"/>
        <item x="42"/>
        <item x="12"/>
        <item x="87"/>
        <item x="47"/>
        <item x="15"/>
        <item x="89"/>
        <item x="24"/>
        <item x="18"/>
        <item x="96"/>
        <item x="44"/>
        <item x="121"/>
        <item x="40"/>
        <item x="51"/>
        <item x="128"/>
        <item x="56"/>
        <item x="79"/>
        <item x="132"/>
        <item x="76"/>
        <item x="11"/>
        <item x="70"/>
        <item x="21"/>
        <item x="90"/>
        <item x="69"/>
        <item x="142"/>
        <item x="71"/>
        <item x="88"/>
        <item x="4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31">
        <item x="199"/>
        <item x="188"/>
        <item x="203"/>
        <item x="226"/>
        <item x="240"/>
        <item x="20"/>
        <item x="57"/>
        <item x="25"/>
        <item x="35"/>
        <item x="26"/>
        <item x="19"/>
        <item x="58"/>
        <item x="166"/>
        <item x="175"/>
        <item x="252"/>
        <item x="219"/>
        <item x="158"/>
        <item x="315"/>
        <item x="244"/>
        <item x="295"/>
        <item x="76"/>
        <item x="300"/>
        <item x="80"/>
        <item x="224"/>
        <item x="298"/>
        <item x="79"/>
        <item x="119"/>
        <item x="30"/>
        <item x="210"/>
        <item x="27"/>
        <item x="108"/>
        <item x="195"/>
        <item x="32"/>
        <item x="225"/>
        <item x="281"/>
        <item x="319"/>
        <item x="72"/>
        <item x="261"/>
        <item x="15"/>
        <item x="21"/>
        <item x="38"/>
        <item x="47"/>
        <item x="33"/>
        <item x="4"/>
        <item x="229"/>
        <item x="117"/>
        <item x="40"/>
        <item x="43"/>
        <item x="6"/>
        <item x="88"/>
        <item x="193"/>
        <item x="221"/>
        <item x="247"/>
        <item x="14"/>
        <item x="87"/>
        <item x="55"/>
        <item x="228"/>
        <item x="137"/>
        <item x="118"/>
        <item x="190"/>
        <item x="148"/>
        <item x="213"/>
        <item x="258"/>
        <item x="51"/>
        <item x="272"/>
        <item x="269"/>
        <item x="171"/>
        <item x="284"/>
        <item x="290"/>
        <item x="179"/>
        <item x="144"/>
        <item x="220"/>
        <item x="260"/>
        <item x="268"/>
        <item x="285"/>
        <item x="131"/>
        <item x="230"/>
        <item x="5"/>
        <item x="202"/>
        <item x="194"/>
        <item x="67"/>
        <item x="227"/>
        <item x="207"/>
        <item x="185"/>
        <item x="270"/>
        <item x="223"/>
        <item x="234"/>
        <item x="262"/>
        <item x="56"/>
        <item x="69"/>
        <item x="11"/>
        <item x="235"/>
        <item x="251"/>
        <item x="197"/>
        <item x="216"/>
        <item x="121"/>
        <item x="259"/>
        <item x="286"/>
        <item x="302"/>
        <item x="86"/>
        <item x="114"/>
        <item x="238"/>
        <item x="62"/>
        <item x="289"/>
        <item x="187"/>
        <item x="211"/>
        <item x="12"/>
        <item x="2"/>
        <item x="191"/>
        <item x="305"/>
        <item x="68"/>
        <item x="115"/>
        <item x="106"/>
        <item x="245"/>
        <item x="232"/>
        <item x="161"/>
        <item x="180"/>
        <item x="253"/>
        <item x="241"/>
        <item x="313"/>
        <item x="122"/>
        <item x="46"/>
        <item x="34"/>
        <item x="267"/>
        <item x="170"/>
        <item x="299"/>
        <item x="274"/>
        <item x="308"/>
        <item x="140"/>
        <item x="264"/>
        <item x="246"/>
        <item x="93"/>
        <item x="152"/>
        <item x="184"/>
        <item x="116"/>
        <item x="18"/>
        <item x="309"/>
        <item x="1"/>
        <item x="52"/>
        <item x="63"/>
        <item x="42"/>
        <item x="233"/>
        <item x="155"/>
        <item x="206"/>
        <item x="66"/>
        <item x="292"/>
        <item x="61"/>
        <item x="71"/>
        <item x="22"/>
        <item x="130"/>
        <item x="64"/>
        <item x="311"/>
        <item x="168"/>
        <item x="329"/>
        <item x="78"/>
        <item x="7"/>
        <item x="8"/>
        <item x="36"/>
        <item x="328"/>
        <item x="215"/>
        <item x="280"/>
        <item x="291"/>
        <item x="0"/>
        <item x="3"/>
        <item x="162"/>
        <item x="105"/>
        <item x="109"/>
        <item x="263"/>
        <item x="13"/>
        <item x="322"/>
        <item x="250"/>
        <item x="102"/>
        <item x="312"/>
        <item x="98"/>
        <item x="277"/>
        <item x="204"/>
        <item x="307"/>
        <item x="325"/>
        <item x="217"/>
        <item x="296"/>
        <item x="89"/>
        <item x="174"/>
        <item x="176"/>
        <item x="94"/>
        <item x="236"/>
        <item x="178"/>
        <item x="132"/>
        <item x="279"/>
        <item x="255"/>
        <item x="327"/>
        <item x="107"/>
        <item x="53"/>
        <item x="90"/>
        <item x="50"/>
        <item x="273"/>
        <item x="317"/>
        <item x="82"/>
        <item x="314"/>
        <item x="96"/>
        <item x="45"/>
        <item x="254"/>
        <item x="316"/>
        <item x="276"/>
        <item x="151"/>
        <item x="324"/>
        <item x="275"/>
        <item x="265"/>
        <item x="65"/>
        <item x="156"/>
        <item x="256"/>
        <item x="59"/>
        <item x="146"/>
        <item x="112"/>
        <item x="10"/>
        <item x="306"/>
        <item x="237"/>
        <item x="83"/>
        <item x="172"/>
        <item x="293"/>
        <item x="288"/>
        <item x="321"/>
        <item x="150"/>
        <item x="271"/>
        <item x="160"/>
        <item x="143"/>
        <item x="243"/>
        <item x="74"/>
        <item x="145"/>
        <item x="123"/>
        <item x="278"/>
        <item x="147"/>
        <item x="77"/>
        <item x="326"/>
        <item x="97"/>
        <item x="167"/>
        <item x="249"/>
        <item x="153"/>
        <item x="212"/>
        <item x="323"/>
        <item x="54"/>
        <item x="218"/>
        <item x="294"/>
        <item x="318"/>
        <item x="287"/>
        <item x="282"/>
        <item x="37"/>
        <item x="141"/>
        <item x="154"/>
        <item x="135"/>
        <item x="189"/>
        <item x="136"/>
        <item x="310"/>
        <item x="320"/>
        <item x="73"/>
        <item x="297"/>
        <item x="113"/>
        <item x="208"/>
        <item x="16"/>
        <item x="44"/>
        <item x="196"/>
        <item x="214"/>
        <item x="128"/>
        <item x="31"/>
        <item x="124"/>
        <item x="192"/>
        <item x="222"/>
        <item x="101"/>
        <item x="24"/>
        <item x="120"/>
        <item x="301"/>
        <item x="138"/>
        <item x="9"/>
        <item x="159"/>
        <item x="75"/>
        <item x="142"/>
        <item x="164"/>
        <item x="125"/>
        <item x="201"/>
        <item x="163"/>
        <item x="84"/>
        <item x="169"/>
        <item x="182"/>
        <item x="92"/>
        <item x="133"/>
        <item x="126"/>
        <item x="165"/>
        <item x="239"/>
        <item x="81"/>
        <item x="41"/>
        <item x="177"/>
        <item x="48"/>
        <item x="134"/>
        <item x="181"/>
        <item x="205"/>
        <item x="304"/>
        <item x="28"/>
        <item x="39"/>
        <item x="95"/>
        <item x="183"/>
        <item x="242"/>
        <item x="17"/>
        <item x="60"/>
        <item x="111"/>
        <item x="70"/>
        <item x="139"/>
        <item x="110"/>
        <item x="198"/>
        <item x="99"/>
        <item x="283"/>
        <item x="303"/>
        <item x="100"/>
        <item x="103"/>
        <item x="104"/>
        <item x="85"/>
        <item x="173"/>
        <item x="23"/>
        <item x="209"/>
        <item x="257"/>
        <item x="129"/>
        <item x="127"/>
        <item x="266"/>
        <item x="231"/>
        <item x="29"/>
        <item x="149"/>
        <item x="91"/>
        <item x="157"/>
        <item x="248"/>
        <item x="200"/>
        <item x="186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35">
        <item x="73"/>
        <item x="77"/>
        <item x="96"/>
        <item x="79"/>
        <item x="74"/>
        <item x="69"/>
        <item x="10"/>
        <item x="78"/>
        <item x="33"/>
        <item x="4"/>
        <item x="49"/>
        <item x="120"/>
        <item x="122"/>
        <item x="89"/>
        <item x="7"/>
        <item x="109"/>
        <item x="12"/>
        <item x="108"/>
        <item x="2"/>
        <item x="112"/>
        <item x="5"/>
        <item x="36"/>
        <item x="75"/>
        <item x="28"/>
        <item x="58"/>
        <item x="86"/>
        <item x="59"/>
        <item x="63"/>
        <item x="38"/>
        <item x="105"/>
        <item x="39"/>
        <item x="57"/>
        <item x="76"/>
        <item x="113"/>
        <item x="31"/>
        <item x="80"/>
        <item x="32"/>
        <item x="87"/>
        <item x="26"/>
        <item x="91"/>
        <item x="99"/>
        <item x="131"/>
        <item x="72"/>
        <item x="115"/>
        <item x="97"/>
        <item x="129"/>
        <item x="118"/>
        <item x="14"/>
        <item x="71"/>
        <item x="98"/>
        <item x="68"/>
        <item x="67"/>
        <item x="65"/>
        <item x="70"/>
        <item x="130"/>
        <item x="62"/>
        <item x="107"/>
        <item x="111"/>
        <item x="124"/>
        <item x="46"/>
        <item x="56"/>
        <item x="64"/>
        <item x="52"/>
        <item x="127"/>
        <item x="106"/>
        <item x="19"/>
        <item x="90"/>
        <item x="41"/>
        <item x="29"/>
        <item x="44"/>
        <item x="94"/>
        <item x="53"/>
        <item x="85"/>
        <item x="126"/>
        <item x="27"/>
        <item x="23"/>
        <item x="103"/>
        <item x="40"/>
        <item x="48"/>
        <item x="35"/>
        <item x="81"/>
        <item x="9"/>
        <item x="43"/>
        <item x="18"/>
        <item x="102"/>
        <item x="13"/>
        <item x="22"/>
        <item x="25"/>
        <item x="92"/>
        <item x="54"/>
        <item x="117"/>
        <item x="30"/>
        <item x="104"/>
        <item x="88"/>
        <item x="110"/>
        <item x="55"/>
        <item x="83"/>
        <item x="51"/>
        <item x="11"/>
        <item x="121"/>
        <item x="123"/>
        <item x="20"/>
        <item x="82"/>
        <item x="21"/>
        <item x="95"/>
        <item x="125"/>
        <item x="66"/>
        <item x="84"/>
        <item x="116"/>
        <item x="93"/>
        <item x="17"/>
        <item x="15"/>
        <item x="24"/>
        <item x="119"/>
        <item x="37"/>
        <item x="50"/>
        <item x="128"/>
        <item x="60"/>
        <item x="6"/>
        <item x="132"/>
        <item x="8"/>
        <item x="133"/>
        <item x="101"/>
        <item x="61"/>
        <item x="47"/>
        <item x="42"/>
        <item x="3"/>
        <item x="34"/>
        <item x="16"/>
        <item x="45"/>
        <item x="1"/>
        <item x="0"/>
        <item x="114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3">
        <item x="0"/>
        <item x="39"/>
        <item x="40"/>
        <item x="27"/>
        <item x="29"/>
        <item x="1"/>
        <item x="9"/>
        <item x="4"/>
        <item x="23"/>
        <item x="14"/>
        <item x="5"/>
        <item x="17"/>
        <item x="32"/>
        <item x="2"/>
        <item x="20"/>
        <item x="11"/>
        <item x="6"/>
        <item x="10"/>
        <item x="30"/>
        <item x="8"/>
        <item x="37"/>
        <item x="19"/>
        <item x="34"/>
        <item x="15"/>
        <item x="31"/>
        <item x="28"/>
        <item x="26"/>
        <item x="13"/>
        <item x="41"/>
        <item x="12"/>
        <item x="18"/>
        <item x="22"/>
        <item x="7"/>
        <item x="36"/>
        <item x="16"/>
        <item x="25"/>
        <item x="33"/>
        <item x="38"/>
        <item x="21"/>
        <item x="24"/>
        <item x="3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1">
        <item x="0"/>
        <item x="39"/>
        <item x="11"/>
        <item x="17"/>
        <item x="21"/>
        <item x="6"/>
        <item x="34"/>
        <item x="15"/>
        <item x="24"/>
        <item x="32"/>
        <item x="36"/>
        <item x="20"/>
        <item x="23"/>
        <item x="37"/>
        <item x="38"/>
        <item x="26"/>
        <item x="28"/>
        <item x="1"/>
        <item x="8"/>
        <item x="4"/>
        <item x="22"/>
        <item x="13"/>
        <item x="5"/>
        <item x="16"/>
        <item x="31"/>
        <item x="2"/>
        <item x="19"/>
        <item x="10"/>
        <item x="3"/>
        <item x="9"/>
        <item x="29"/>
        <item x="7"/>
        <item x="35"/>
        <item x="18"/>
        <item x="33"/>
        <item x="14"/>
        <item x="30"/>
        <item x="27"/>
        <item x="2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57">
        <item x="0"/>
        <item x="312"/>
        <item x="227"/>
        <item x="45"/>
        <item x="326"/>
        <item x="52"/>
        <item x="150"/>
        <item x="304"/>
        <item x="13"/>
        <item x="229"/>
        <item x="90"/>
        <item x="178"/>
        <item x="38"/>
        <item x="291"/>
        <item x="212"/>
        <item x="280"/>
        <item x="242"/>
        <item x="277"/>
        <item x="66"/>
        <item x="65"/>
        <item x="11"/>
        <item x="55"/>
        <item x="87"/>
        <item x="153"/>
        <item x="41"/>
        <item x="2"/>
        <item x="35"/>
        <item x="354"/>
        <item x="14"/>
        <item x="50"/>
        <item x="164"/>
        <item x="274"/>
        <item x="8"/>
        <item x="40"/>
        <item x="187"/>
        <item x="347"/>
        <item x="48"/>
        <item x="313"/>
        <item x="161"/>
        <item x="235"/>
        <item x="59"/>
        <item x="261"/>
        <item x="256"/>
        <item x="350"/>
        <item x="20"/>
        <item x="149"/>
        <item x="104"/>
        <item x="331"/>
        <item x="22"/>
        <item x="163"/>
        <item x="53"/>
        <item x="124"/>
        <item x="202"/>
        <item x="99"/>
        <item x="176"/>
        <item x="252"/>
        <item x="301"/>
        <item x="286"/>
        <item x="271"/>
        <item x="353"/>
        <item x="24"/>
        <item x="259"/>
        <item x="194"/>
        <item x="211"/>
        <item x="306"/>
        <item x="213"/>
        <item x="117"/>
        <item x="339"/>
        <item x="109"/>
        <item x="247"/>
        <item x="76"/>
        <item x="344"/>
        <item x="47"/>
        <item x="343"/>
        <item x="276"/>
        <item x="294"/>
        <item x="210"/>
        <item x="281"/>
        <item x="193"/>
        <item x="86"/>
        <item x="322"/>
        <item x="145"/>
        <item x="248"/>
        <item x="4"/>
        <item x="245"/>
        <item x="126"/>
        <item x="156"/>
        <item x="287"/>
        <item x="140"/>
        <item x="92"/>
        <item x="258"/>
        <item x="309"/>
        <item x="323"/>
        <item x="319"/>
        <item x="233"/>
        <item x="315"/>
        <item x="72"/>
        <item x="234"/>
        <item x="327"/>
        <item x="83"/>
        <item x="300"/>
        <item x="157"/>
        <item x="62"/>
        <item x="307"/>
        <item x="121"/>
        <item x="209"/>
        <item x="328"/>
        <item x="262"/>
        <item x="31"/>
        <item x="97"/>
        <item x="232"/>
        <item x="64"/>
        <item x="151"/>
        <item x="352"/>
        <item x="60"/>
        <item x="32"/>
        <item x="136"/>
        <item x="272"/>
        <item x="255"/>
        <item x="70"/>
        <item x="297"/>
        <item x="345"/>
        <item x="316"/>
        <item x="74"/>
        <item x="267"/>
        <item x="118"/>
        <item x="283"/>
        <item x="34"/>
        <item x="134"/>
        <item x="318"/>
        <item x="208"/>
        <item x="27"/>
        <item x="147"/>
        <item x="21"/>
        <item x="80"/>
        <item x="105"/>
        <item x="123"/>
        <item x="63"/>
        <item x="85"/>
        <item x="42"/>
        <item x="159"/>
        <item x="172"/>
        <item x="340"/>
        <item x="78"/>
        <item x="188"/>
        <item x="215"/>
        <item x="217"/>
        <item x="101"/>
        <item x="88"/>
        <item x="325"/>
        <item x="219"/>
        <item x="19"/>
        <item x="225"/>
        <item x="51"/>
        <item x="12"/>
        <item x="7"/>
        <item x="58"/>
        <item x="144"/>
        <item x="230"/>
        <item x="61"/>
        <item x="348"/>
        <item x="15"/>
        <item x="203"/>
        <item x="226"/>
        <item x="107"/>
        <item x="241"/>
        <item x="296"/>
        <item x="138"/>
        <item x="223"/>
        <item x="251"/>
        <item x="17"/>
        <item x="36"/>
        <item x="3"/>
        <item x="171"/>
        <item x="334"/>
        <item x="183"/>
        <item x="98"/>
        <item x="28"/>
        <item x="282"/>
        <item x="239"/>
        <item x="285"/>
        <item x="270"/>
        <item x="218"/>
        <item x="299"/>
        <item x="67"/>
        <item x="308"/>
        <item x="335"/>
        <item x="302"/>
        <item x="158"/>
        <item x="175"/>
        <item x="166"/>
        <item x="5"/>
        <item x="73"/>
        <item x="174"/>
        <item x="95"/>
        <item x="333"/>
        <item x="122"/>
        <item x="170"/>
        <item x="43"/>
        <item x="206"/>
        <item x="250"/>
        <item x="246"/>
        <item x="317"/>
        <item x="26"/>
        <item x="355"/>
        <item x="71"/>
        <item x="191"/>
        <item x="154"/>
        <item x="180"/>
        <item x="268"/>
        <item x="141"/>
        <item x="119"/>
        <item x="216"/>
        <item x="110"/>
        <item x="10"/>
        <item x="295"/>
        <item x="127"/>
        <item x="162"/>
        <item x="130"/>
        <item x="143"/>
        <item x="96"/>
        <item x="311"/>
        <item x="46"/>
        <item x="201"/>
        <item x="169"/>
        <item x="260"/>
        <item x="220"/>
        <item x="102"/>
        <item x="186"/>
        <item x="298"/>
        <item x="228"/>
        <item x="266"/>
        <item x="128"/>
        <item x="133"/>
        <item x="23"/>
        <item x="185"/>
        <item x="113"/>
        <item x="81"/>
        <item x="39"/>
        <item x="290"/>
        <item x="273"/>
        <item x="94"/>
        <item x="68"/>
        <item x="131"/>
        <item x="139"/>
        <item x="152"/>
        <item x="305"/>
        <item x="293"/>
        <item x="9"/>
        <item x="205"/>
        <item x="337"/>
        <item x="265"/>
        <item x="197"/>
        <item x="336"/>
        <item x="167"/>
        <item x="324"/>
        <item x="173"/>
        <item x="289"/>
        <item x="346"/>
        <item x="132"/>
        <item x="189"/>
        <item x="190"/>
        <item x="314"/>
        <item x="253"/>
        <item x="89"/>
        <item x="182"/>
        <item x="33"/>
        <item x="243"/>
        <item x="29"/>
        <item x="249"/>
        <item x="120"/>
        <item x="351"/>
        <item x="184"/>
        <item x="224"/>
        <item x="341"/>
        <item x="142"/>
        <item x="264"/>
        <item x="310"/>
        <item x="111"/>
        <item x="179"/>
        <item x="108"/>
        <item x="195"/>
        <item x="160"/>
        <item x="137"/>
        <item x="129"/>
        <item x="116"/>
        <item x="196"/>
        <item x="338"/>
        <item x="82"/>
        <item x="254"/>
        <item x="237"/>
        <item x="115"/>
        <item x="349"/>
        <item x="79"/>
        <item x="16"/>
        <item x="292"/>
        <item x="288"/>
        <item x="103"/>
        <item x="207"/>
        <item x="91"/>
        <item x="192"/>
        <item x="238"/>
        <item x="75"/>
        <item x="54"/>
        <item x="165"/>
        <item x="125"/>
        <item x="181"/>
        <item x="168"/>
        <item x="200"/>
        <item x="263"/>
        <item x="275"/>
        <item x="330"/>
        <item x="148"/>
        <item x="56"/>
        <item x="6"/>
        <item x="222"/>
        <item x="84"/>
        <item x="204"/>
        <item x="77"/>
        <item x="231"/>
        <item x="198"/>
        <item x="244"/>
        <item x="37"/>
        <item x="93"/>
        <item x="303"/>
        <item x="214"/>
        <item x="30"/>
        <item x="100"/>
        <item x="69"/>
        <item x="342"/>
        <item x="236"/>
        <item x="112"/>
        <item x="135"/>
        <item x="25"/>
        <item x="320"/>
        <item x="199"/>
        <item x="49"/>
        <item x="155"/>
        <item x="278"/>
        <item x="329"/>
        <item x="114"/>
        <item x="284"/>
        <item x="18"/>
        <item x="279"/>
        <item x="221"/>
        <item x="177"/>
        <item x="57"/>
        <item x="240"/>
        <item x="321"/>
        <item x="257"/>
        <item x="106"/>
        <item x="146"/>
        <item x="269"/>
        <item x="332"/>
        <item x="44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1">
        <item x="0"/>
        <item x="2"/>
        <item x="3"/>
        <item x="6"/>
        <item x="1"/>
        <item x="5"/>
        <item x="9"/>
        <item x="4"/>
        <item x="8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9">
        <item x="0"/>
        <item x="125"/>
        <item x="114"/>
        <item x="229"/>
        <item x="241"/>
        <item x="153"/>
        <item x="228"/>
        <item x="70"/>
        <item x="164"/>
        <item x="121"/>
        <item x="195"/>
        <item x="243"/>
        <item x="94"/>
        <item x="31"/>
        <item x="212"/>
        <item x="120"/>
        <item x="91"/>
        <item x="141"/>
        <item x="208"/>
        <item x="135"/>
        <item x="107"/>
        <item x="215"/>
        <item x="191"/>
        <item x="44"/>
        <item x="79"/>
        <item x="89"/>
        <item x="53"/>
        <item x="52"/>
        <item x="40"/>
        <item x="176"/>
        <item x="62"/>
        <item x="1"/>
        <item x="41"/>
        <item x="101"/>
        <item x="217"/>
        <item x="49"/>
        <item x="162"/>
        <item x="39"/>
        <item x="71"/>
        <item x="25"/>
        <item x="34"/>
        <item x="128"/>
        <item x="69"/>
        <item x="76"/>
        <item x="214"/>
        <item x="168"/>
        <item x="186"/>
        <item x="209"/>
        <item x="226"/>
        <item x="179"/>
        <item x="187"/>
        <item x="127"/>
        <item x="172"/>
        <item x="207"/>
        <item x="236"/>
        <item x="99"/>
        <item x="3"/>
        <item x="221"/>
        <item x="83"/>
        <item x="85"/>
        <item x="133"/>
        <item x="35"/>
        <item x="48"/>
        <item x="81"/>
        <item x="204"/>
        <item x="87"/>
        <item x="78"/>
        <item x="105"/>
        <item x="4"/>
        <item x="7"/>
        <item x="97"/>
        <item x="17"/>
        <item x="36"/>
        <item x="144"/>
        <item x="18"/>
        <item x="33"/>
        <item x="51"/>
        <item x="117"/>
        <item x="23"/>
        <item x="103"/>
        <item x="113"/>
        <item x="58"/>
        <item x="13"/>
        <item x="28"/>
        <item x="77"/>
        <item x="16"/>
        <item x="161"/>
        <item x="26"/>
        <item x="132"/>
        <item x="6"/>
        <item x="67"/>
        <item x="167"/>
        <item x="84"/>
        <item x="57"/>
        <item x="129"/>
        <item x="180"/>
        <item x="75"/>
        <item x="106"/>
        <item x="45"/>
        <item x="210"/>
        <item x="219"/>
        <item x="10"/>
        <item x="80"/>
        <item x="55"/>
        <item x="163"/>
        <item x="149"/>
        <item x="134"/>
        <item x="59"/>
        <item x="140"/>
        <item x="11"/>
        <item x="50"/>
        <item x="130"/>
        <item x="169"/>
        <item x="20"/>
        <item x="66"/>
        <item x="178"/>
        <item x="155"/>
        <item x="19"/>
        <item x="198"/>
        <item x="2"/>
        <item x="131"/>
        <item x="213"/>
        <item x="183"/>
        <item x="37"/>
        <item x="9"/>
        <item x="143"/>
        <item x="74"/>
        <item x="126"/>
        <item x="193"/>
        <item x="189"/>
        <item x="15"/>
        <item x="109"/>
        <item x="29"/>
        <item x="220"/>
        <item x="124"/>
        <item x="230"/>
        <item x="110"/>
        <item x="119"/>
        <item x="184"/>
        <item x="95"/>
        <item x="115"/>
        <item x="165"/>
        <item x="190"/>
        <item x="182"/>
        <item x="137"/>
        <item x="42"/>
        <item x="111"/>
        <item x="188"/>
        <item x="200"/>
        <item x="43"/>
        <item x="118"/>
        <item x="234"/>
        <item x="32"/>
        <item x="38"/>
        <item x="12"/>
        <item x="245"/>
        <item x="158"/>
        <item x="225"/>
        <item x="30"/>
        <item x="218"/>
        <item x="181"/>
        <item x="63"/>
        <item x="170"/>
        <item x="224"/>
        <item x="136"/>
        <item x="202"/>
        <item x="145"/>
        <item x="72"/>
        <item x="56"/>
        <item x="239"/>
        <item x="216"/>
        <item x="174"/>
        <item x="108"/>
        <item x="98"/>
        <item x="138"/>
        <item x="159"/>
        <item x="240"/>
        <item x="64"/>
        <item x="192"/>
        <item x="199"/>
        <item x="232"/>
        <item x="8"/>
        <item x="139"/>
        <item x="14"/>
        <item x="82"/>
        <item x="46"/>
        <item x="123"/>
        <item x="171"/>
        <item x="100"/>
        <item x="196"/>
        <item x="5"/>
        <item x="47"/>
        <item x="194"/>
        <item x="211"/>
        <item x="142"/>
        <item x="104"/>
        <item x="150"/>
        <item x="197"/>
        <item x="93"/>
        <item x="90"/>
        <item x="247"/>
        <item x="147"/>
        <item x="122"/>
        <item x="146"/>
        <item x="231"/>
        <item x="88"/>
        <item x="27"/>
        <item x="203"/>
        <item x="68"/>
        <item x="235"/>
        <item x="148"/>
        <item x="96"/>
        <item x="22"/>
        <item x="154"/>
        <item x="177"/>
        <item x="185"/>
        <item x="157"/>
        <item x="244"/>
        <item x="21"/>
        <item x="223"/>
        <item x="201"/>
        <item x="54"/>
        <item x="205"/>
        <item x="206"/>
        <item x="175"/>
        <item x="227"/>
        <item x="238"/>
        <item x="73"/>
        <item x="166"/>
        <item x="246"/>
        <item x="102"/>
        <item x="112"/>
        <item x="156"/>
        <item x="61"/>
        <item x="222"/>
        <item x="92"/>
        <item x="65"/>
        <item x="24"/>
        <item x="233"/>
        <item x="173"/>
        <item x="242"/>
        <item x="237"/>
        <item x="152"/>
        <item x="151"/>
        <item x="86"/>
        <item x="116"/>
        <item x="60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">
        <item x="0"/>
        <item x="2"/>
        <item x="3"/>
        <item x="6"/>
        <item x="5"/>
        <item x="1"/>
        <item x="8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48">
        <item x="0"/>
        <item x="124"/>
        <item x="192"/>
        <item x="113"/>
        <item x="228"/>
        <item x="239"/>
        <item x="150"/>
        <item x="244"/>
        <item x="227"/>
        <item x="70"/>
        <item x="161"/>
        <item x="120"/>
        <item x="194"/>
        <item x="241"/>
        <item x="94"/>
        <item x="31"/>
        <item x="211"/>
        <item x="119"/>
        <item x="91"/>
        <item x="139"/>
        <item x="207"/>
        <item x="133"/>
        <item x="106"/>
        <item x="214"/>
        <item x="189"/>
        <item x="79"/>
        <item x="89"/>
        <item x="53"/>
        <item x="52"/>
        <item x="40"/>
        <item x="174"/>
        <item x="62"/>
        <item x="1"/>
        <item x="41"/>
        <item x="148"/>
        <item x="216"/>
        <item x="49"/>
        <item x="159"/>
        <item x="39"/>
        <item x="71"/>
        <item x="25"/>
        <item x="34"/>
        <item x="69"/>
        <item x="76"/>
        <item x="213"/>
        <item x="166"/>
        <item x="184"/>
        <item x="208"/>
        <item x="225"/>
        <item x="177"/>
        <item x="185"/>
        <item x="170"/>
        <item x="206"/>
        <item x="234"/>
        <item x="99"/>
        <item x="3"/>
        <item x="220"/>
        <item x="83"/>
        <item x="85"/>
        <item x="132"/>
        <item x="35"/>
        <item x="48"/>
        <item x="81"/>
        <item x="203"/>
        <item x="87"/>
        <item x="78"/>
        <item x="104"/>
        <item x="4"/>
        <item x="7"/>
        <item x="97"/>
        <item x="17"/>
        <item x="36"/>
        <item x="142"/>
        <item x="18"/>
        <item x="33"/>
        <item x="51"/>
        <item x="116"/>
        <item x="23"/>
        <item x="102"/>
        <item x="112"/>
        <item x="58"/>
        <item x="13"/>
        <item x="28"/>
        <item x="77"/>
        <item x="16"/>
        <item x="158"/>
        <item x="26"/>
        <item x="131"/>
        <item x="6"/>
        <item x="67"/>
        <item x="164"/>
        <item x="84"/>
        <item x="57"/>
        <item x="128"/>
        <item x="178"/>
        <item x="75"/>
        <item x="45"/>
        <item x="209"/>
        <item x="218"/>
        <item x="10"/>
        <item x="80"/>
        <item x="55"/>
        <item x="160"/>
        <item x="126"/>
        <item x="127"/>
        <item x="59"/>
        <item x="138"/>
        <item x="11"/>
        <item x="50"/>
        <item x="129"/>
        <item x="167"/>
        <item x="20"/>
        <item x="66"/>
        <item x="176"/>
        <item x="152"/>
        <item x="19"/>
        <item x="197"/>
        <item x="2"/>
        <item x="130"/>
        <item x="212"/>
        <item x="181"/>
        <item x="37"/>
        <item x="9"/>
        <item x="141"/>
        <item x="74"/>
        <item x="125"/>
        <item x="191"/>
        <item x="187"/>
        <item x="15"/>
        <item x="108"/>
        <item x="29"/>
        <item x="219"/>
        <item x="123"/>
        <item x="229"/>
        <item x="109"/>
        <item x="118"/>
        <item x="182"/>
        <item x="95"/>
        <item x="114"/>
        <item x="162"/>
        <item x="188"/>
        <item x="180"/>
        <item x="135"/>
        <item x="42"/>
        <item x="110"/>
        <item x="186"/>
        <item x="198"/>
        <item x="43"/>
        <item x="117"/>
        <item x="105"/>
        <item x="32"/>
        <item x="38"/>
        <item x="12"/>
        <item x="243"/>
        <item x="155"/>
        <item x="224"/>
        <item x="30"/>
        <item x="217"/>
        <item x="179"/>
        <item x="63"/>
        <item x="168"/>
        <item x="223"/>
        <item x="134"/>
        <item x="201"/>
        <item x="165"/>
        <item x="72"/>
        <item x="56"/>
        <item x="237"/>
        <item x="215"/>
        <item x="172"/>
        <item x="107"/>
        <item x="98"/>
        <item x="136"/>
        <item x="156"/>
        <item x="238"/>
        <item x="64"/>
        <item x="190"/>
        <item x="44"/>
        <item x="231"/>
        <item x="8"/>
        <item x="137"/>
        <item x="14"/>
        <item x="82"/>
        <item x="46"/>
        <item x="122"/>
        <item x="169"/>
        <item x="100"/>
        <item x="195"/>
        <item x="5"/>
        <item x="47"/>
        <item x="193"/>
        <item x="210"/>
        <item x="140"/>
        <item x="103"/>
        <item x="146"/>
        <item x="196"/>
        <item x="93"/>
        <item x="90"/>
        <item x="246"/>
        <item x="144"/>
        <item x="121"/>
        <item x="143"/>
        <item x="230"/>
        <item x="88"/>
        <item x="27"/>
        <item x="202"/>
        <item x="68"/>
        <item x="233"/>
        <item x="145"/>
        <item x="96"/>
        <item x="22"/>
        <item x="151"/>
        <item x="175"/>
        <item x="183"/>
        <item x="154"/>
        <item x="242"/>
        <item x="21"/>
        <item x="222"/>
        <item x="199"/>
        <item x="54"/>
        <item x="204"/>
        <item x="205"/>
        <item x="173"/>
        <item x="226"/>
        <item x="236"/>
        <item x="73"/>
        <item x="163"/>
        <item x="245"/>
        <item x="101"/>
        <item x="111"/>
        <item x="153"/>
        <item x="200"/>
        <item x="61"/>
        <item x="221"/>
        <item x="92"/>
        <item x="65"/>
        <item x="24"/>
        <item x="232"/>
        <item x="171"/>
        <item x="240"/>
        <item x="235"/>
        <item x="149"/>
        <item x="147"/>
        <item x="86"/>
        <item x="115"/>
        <item x="60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2">
        <item x="0"/>
        <item x="4"/>
        <item x="69"/>
        <item x="14"/>
        <item x="29"/>
        <item x="104"/>
        <item x="15"/>
        <item x="28"/>
        <item x="39"/>
        <item x="84"/>
        <item x="20"/>
        <item x="73"/>
        <item x="81"/>
        <item x="44"/>
        <item x="10"/>
        <item x="24"/>
        <item x="58"/>
        <item x="13"/>
        <item x="119"/>
        <item x="22"/>
        <item x="96"/>
        <item x="3"/>
        <item x="52"/>
        <item x="123"/>
        <item x="61"/>
        <item x="43"/>
        <item x="93"/>
        <item x="133"/>
        <item x="57"/>
        <item x="35"/>
        <item x="155"/>
        <item x="160"/>
        <item x="7"/>
        <item x="59"/>
        <item x="41"/>
        <item x="120"/>
        <item x="91"/>
        <item x="108"/>
        <item x="92"/>
        <item x="45"/>
        <item x="101"/>
        <item x="8"/>
        <item x="38"/>
        <item x="94"/>
        <item x="125"/>
        <item x="17"/>
        <item x="51"/>
        <item x="132"/>
        <item x="113"/>
        <item x="16"/>
        <item x="147"/>
        <item x="1"/>
        <item x="95"/>
        <item x="157"/>
        <item x="136"/>
        <item x="30"/>
        <item x="6"/>
        <item x="103"/>
        <item x="56"/>
        <item x="90"/>
        <item x="143"/>
        <item x="140"/>
        <item x="12"/>
        <item x="77"/>
        <item x="25"/>
        <item x="161"/>
        <item x="89"/>
        <item x="167"/>
        <item x="78"/>
        <item x="86"/>
        <item x="137"/>
        <item x="67"/>
        <item x="82"/>
        <item x="121"/>
        <item x="141"/>
        <item x="135"/>
        <item x="98"/>
        <item x="32"/>
        <item x="79"/>
        <item x="139"/>
        <item x="148"/>
        <item x="33"/>
        <item x="85"/>
        <item x="75"/>
        <item x="27"/>
        <item x="31"/>
        <item x="9"/>
        <item x="178"/>
        <item x="116"/>
        <item x="165"/>
        <item x="26"/>
        <item x="159"/>
        <item x="134"/>
        <item x="48"/>
        <item x="126"/>
        <item x="164"/>
        <item x="97"/>
        <item x="151"/>
        <item x="124"/>
        <item x="54"/>
        <item x="42"/>
        <item x="174"/>
        <item x="158"/>
        <item x="129"/>
        <item x="76"/>
        <item x="70"/>
        <item x="99"/>
        <item x="117"/>
        <item x="175"/>
        <item x="49"/>
        <item x="142"/>
        <item x="34"/>
        <item x="169"/>
        <item x="5"/>
        <item x="100"/>
        <item x="11"/>
        <item x="60"/>
        <item x="36"/>
        <item x="88"/>
        <item x="127"/>
        <item x="71"/>
        <item x="145"/>
        <item x="2"/>
        <item x="37"/>
        <item x="144"/>
        <item x="156"/>
        <item x="102"/>
        <item x="74"/>
        <item x="109"/>
        <item x="146"/>
        <item x="66"/>
        <item x="64"/>
        <item x="180"/>
        <item x="106"/>
        <item x="87"/>
        <item x="105"/>
        <item x="168"/>
        <item x="63"/>
        <item x="23"/>
        <item x="152"/>
        <item x="53"/>
        <item x="171"/>
        <item x="107"/>
        <item x="68"/>
        <item x="19"/>
        <item x="112"/>
        <item x="131"/>
        <item x="138"/>
        <item x="115"/>
        <item x="177"/>
        <item x="18"/>
        <item x="163"/>
        <item x="149"/>
        <item x="40"/>
        <item x="153"/>
        <item x="154"/>
        <item x="130"/>
        <item x="166"/>
        <item x="173"/>
        <item x="55"/>
        <item x="122"/>
        <item x="179"/>
        <item x="72"/>
        <item x="80"/>
        <item x="114"/>
        <item x="150"/>
        <item x="47"/>
        <item x="162"/>
        <item x="65"/>
        <item x="50"/>
        <item x="21"/>
        <item x="170"/>
        <item x="128"/>
        <item x="176"/>
        <item x="172"/>
        <item x="111"/>
        <item x="110"/>
        <item x="62"/>
        <item x="83"/>
        <item x="46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5">
        <item x="0"/>
        <item x="23"/>
        <item x="12"/>
        <item x="16"/>
        <item x="68"/>
        <item x="42"/>
        <item x="82"/>
        <item x="33"/>
        <item x="70"/>
        <item x="35"/>
        <item x="5"/>
        <item x="79"/>
        <item x="65"/>
        <item x="76"/>
        <item x="11"/>
        <item x="39"/>
        <item x="80"/>
        <item x="74"/>
        <item x="26"/>
        <item x="7"/>
        <item x="2"/>
        <item x="53"/>
        <item x="41"/>
        <item x="40"/>
        <item x="27"/>
        <item x="55"/>
        <item x="10"/>
        <item x="18"/>
        <item x="56"/>
        <item x="54"/>
        <item x="77"/>
        <item x="6"/>
        <item x="63"/>
        <item x="14"/>
        <item x="83"/>
        <item x="43"/>
        <item x="73"/>
        <item x="59"/>
        <item x="45"/>
        <item x="44"/>
        <item x="19"/>
        <item x="34"/>
        <item x="31"/>
        <item x="48"/>
        <item x="62"/>
        <item x="52"/>
        <item x="66"/>
        <item x="64"/>
        <item x="67"/>
        <item x="8"/>
        <item x="60"/>
        <item x="37"/>
        <item x="58"/>
        <item x="9"/>
        <item x="3"/>
        <item x="4"/>
        <item x="13"/>
        <item x="29"/>
        <item x="17"/>
        <item x="22"/>
        <item x="75"/>
        <item x="72"/>
        <item x="36"/>
        <item x="28"/>
        <item x="46"/>
        <item x="38"/>
        <item x="69"/>
        <item x="32"/>
        <item x="24"/>
        <item x="20"/>
        <item x="49"/>
        <item x="50"/>
        <item x="25"/>
        <item x="51"/>
        <item x="61"/>
        <item x="15"/>
        <item x="71"/>
        <item x="21"/>
        <item x="81"/>
        <item x="1"/>
        <item x="78"/>
        <item x="47"/>
        <item x="57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4">
        <item x="0"/>
        <item x="58"/>
        <item x="67"/>
        <item x="10"/>
        <item x="33"/>
        <item x="70"/>
        <item x="65"/>
        <item x="22"/>
        <item x="6"/>
        <item x="2"/>
        <item x="46"/>
        <item x="35"/>
        <item x="34"/>
        <item x="23"/>
        <item x="48"/>
        <item x="9"/>
        <item x="15"/>
        <item x="49"/>
        <item x="47"/>
        <item x="68"/>
        <item x="5"/>
        <item x="56"/>
        <item x="12"/>
        <item x="72"/>
        <item x="36"/>
        <item x="64"/>
        <item x="52"/>
        <item x="38"/>
        <item x="37"/>
        <item x="16"/>
        <item x="29"/>
        <item x="27"/>
        <item x="41"/>
        <item x="55"/>
        <item x="45"/>
        <item x="59"/>
        <item x="57"/>
        <item x="60"/>
        <item x="7"/>
        <item x="53"/>
        <item x="31"/>
        <item x="51"/>
        <item x="8"/>
        <item x="3"/>
        <item x="4"/>
        <item x="11"/>
        <item x="25"/>
        <item x="14"/>
        <item x="19"/>
        <item x="66"/>
        <item x="63"/>
        <item x="30"/>
        <item x="24"/>
        <item x="39"/>
        <item x="32"/>
        <item x="61"/>
        <item x="28"/>
        <item x="20"/>
        <item x="17"/>
        <item x="42"/>
        <item x="43"/>
        <item x="21"/>
        <item x="44"/>
        <item x="54"/>
        <item x="13"/>
        <item x="62"/>
        <item x="18"/>
        <item x="71"/>
        <item x="1"/>
        <item x="69"/>
        <item x="40"/>
        <item x="50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">
        <item x="0"/>
        <item x="3"/>
        <item x="1"/>
        <item x="4"/>
        <item x="2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6">
        <item x="0"/>
        <item x="4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9">
        <item x="0"/>
        <item x="24"/>
        <item x="41"/>
        <item x="3"/>
        <item x="22"/>
        <item x="11"/>
        <item x="57"/>
        <item x="21"/>
        <item x="48"/>
        <item x="26"/>
        <item x="9"/>
        <item x="40"/>
        <item x="45"/>
        <item x="18"/>
        <item x="33"/>
        <item x="39"/>
        <item x="32"/>
        <item x="51"/>
        <item x="10"/>
        <item x="27"/>
        <item x="15"/>
        <item x="31"/>
        <item x="8"/>
        <item x="49"/>
        <item x="5"/>
        <item x="4"/>
        <item x="37"/>
        <item x="14"/>
        <item x="13"/>
        <item x="54"/>
        <item x="55"/>
        <item x="47"/>
        <item x="56"/>
        <item x="19"/>
        <item x="20"/>
        <item x="35"/>
        <item x="28"/>
        <item x="42"/>
        <item x="6"/>
        <item x="16"/>
        <item x="17"/>
        <item x="43"/>
        <item x="50"/>
        <item x="1"/>
        <item x="29"/>
        <item x="2"/>
        <item x="44"/>
        <item x="53"/>
        <item x="7"/>
        <item x="25"/>
        <item x="30"/>
        <item x="12"/>
        <item x="36"/>
        <item x="46"/>
        <item x="38"/>
        <item x="52"/>
        <item x="34"/>
        <item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  <x/>
    </i>
    <i r="1">
      <x v="25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6"/>
    </i>
    <i r="1">
      <x v="60"/>
    </i>
    <i r="1">
      <x v="62"/>
    </i>
    <i r="1">
      <x v="63"/>
    </i>
    <i r="1">
      <x v="64"/>
    </i>
    <i r="1">
      <x v="66"/>
    </i>
    <i r="1">
      <x v="97"/>
    </i>
    <i t="default">
      <x v="7"/>
    </i>
    <i>
      <x v="8"/>
      <x/>
    </i>
    <i r="1">
      <x v="11"/>
    </i>
    <i r="1">
      <x v="13"/>
    </i>
    <i r="1">
      <x v="14"/>
    </i>
    <i r="1">
      <x v="18"/>
    </i>
    <i r="1">
      <x v="22"/>
    </i>
    <i r="1">
      <x v="28"/>
    </i>
    <i r="1">
      <x v="34"/>
    </i>
    <i r="1">
      <x v="40"/>
    </i>
    <i r="1">
      <x v="43"/>
    </i>
    <i r="1">
      <x v="51"/>
    </i>
    <i r="1">
      <x v="52"/>
    </i>
    <i r="1">
      <x v="65"/>
    </i>
    <i r="1">
      <x v="70"/>
    </i>
    <i r="1">
      <x v="77"/>
    </i>
    <i r="1">
      <x v="97"/>
    </i>
    <i t="default">
      <x v="8"/>
    </i>
    <i>
      <x v="9"/>
    </i>
    <i>
      <x v="10"/>
      <x v="47"/>
    </i>
    <i r="1">
      <x v="48"/>
    </i>
    <i r="1">
      <x v="49"/>
    </i>
    <i r="1">
      <x v="50"/>
    </i>
    <i r="1">
      <x v="89"/>
    </i>
    <i r="1">
      <x v="96"/>
    </i>
    <i t="default">
      <x v="10"/>
    </i>
    <i>
      <x v="11"/>
    </i>
    <i>
      <x v="12"/>
    </i>
    <i>
      <x v="13"/>
      <x/>
    </i>
    <i r="1">
      <x v="1"/>
    </i>
    <i r="1">
      <x v="2"/>
    </i>
    <i r="1">
      <x v="3"/>
    </i>
    <i r="1">
      <x v="6"/>
    </i>
    <i r="1">
      <x v="12"/>
    </i>
    <i r="1">
      <x v="16"/>
    </i>
    <i r="1">
      <x v="54"/>
    </i>
    <i r="1">
      <x v="57"/>
    </i>
    <i r="1">
      <x v="70"/>
    </i>
    <i r="1">
      <x v="77"/>
    </i>
    <i r="1">
      <x v="97"/>
    </i>
    <i t="default">
      <x v="13"/>
    </i>
    <i>
      <x v="14"/>
      <x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9"/>
    </i>
    <i r="1">
      <x v="23"/>
    </i>
    <i r="1">
      <x v="24"/>
    </i>
    <i r="1">
      <x v="29"/>
    </i>
    <i r="1">
      <x v="30"/>
    </i>
    <i r="1">
      <x v="33"/>
    </i>
    <i r="1">
      <x v="45"/>
    </i>
    <i r="1">
      <x v="53"/>
    </i>
    <i r="1">
      <x v="55"/>
    </i>
    <i r="1">
      <x v="56"/>
    </i>
    <i r="1">
      <x v="58"/>
    </i>
    <i r="1">
      <x v="70"/>
    </i>
    <i r="1">
      <x v="77"/>
    </i>
    <i r="1">
      <x v="97"/>
    </i>
    <i t="default">
      <x v="14"/>
    </i>
    <i>
      <x v="15"/>
    </i>
    <i>
      <x v="16"/>
    </i>
    <i>
      <x v="17"/>
    </i>
    <i>
      <x v="18"/>
    </i>
    <i>
      <x v="19"/>
    </i>
    <i>
      <x v="20"/>
      <x/>
    </i>
    <i r="1">
      <x v="17"/>
    </i>
    <i r="1">
      <x v="20"/>
    </i>
    <i r="1">
      <x v="26"/>
    </i>
    <i r="1">
      <x v="27"/>
    </i>
    <i r="1">
      <x v="44"/>
    </i>
    <i r="1">
      <x v="77"/>
    </i>
    <i r="1">
      <x v="97"/>
    </i>
    <i t="default">
      <x v="20"/>
    </i>
    <i>
      <x v="21"/>
    </i>
    <i>
      <x v="22"/>
      <x v="15"/>
    </i>
    <i r="1">
      <x v="21"/>
    </i>
    <i r="1">
      <x v="31"/>
    </i>
    <i r="1">
      <x v="32"/>
    </i>
    <i r="1">
      <x v="41"/>
    </i>
    <i r="1">
      <x v="59"/>
    </i>
    <i r="1">
      <x v="61"/>
    </i>
    <i r="1">
      <x v="70"/>
    </i>
    <i r="1">
      <x v="97"/>
    </i>
    <i t="default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缺卡次数" fld="25" baseField="0" baseItem="0"/>
    <dataField name="求和项:标准打卡数" fld="2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15"/>
  <sheetViews>
    <sheetView topLeftCell="A100" workbookViewId="0">
      <selection activeCell="J114" sqref="J114"/>
    </sheetView>
  </sheetViews>
  <sheetFormatPr defaultColWidth="8.88888888888889" defaultRowHeight="14.4"/>
  <cols>
    <col min="1" max="1" width="15.2222222222222"/>
    <col min="2" max="2" width="31"/>
    <col min="3" max="4" width="13.8888888888889"/>
    <col min="5" max="5" width="5.66666666666667"/>
    <col min="6" max="6" width="13.8888888888889"/>
    <col min="7" max="12" width="12.1111111111111" customWidth="1"/>
  </cols>
  <sheetData>
    <row r="3" spans="1:10">
      <c r="A3" t="s">
        <v>0</v>
      </c>
      <c r="B3"/>
      <c r="C3" t="s">
        <v>1</v>
      </c>
      <c r="D3"/>
      <c r="G3" t="s">
        <v>0</v>
      </c>
      <c r="J3" t="s">
        <v>1</v>
      </c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/>
      <c r="G4" t="s">
        <v>2</v>
      </c>
      <c r="H4" t="s">
        <v>3</v>
      </c>
      <c r="I4" s="26" t="s">
        <v>7</v>
      </c>
      <c r="J4" t="s">
        <v>4</v>
      </c>
      <c r="K4" t="s">
        <v>5</v>
      </c>
      <c r="L4" t="s">
        <v>6</v>
      </c>
    </row>
    <row r="5" spans="1:12">
      <c r="A5" t="s">
        <v>8</v>
      </c>
      <c r="B5"/>
      <c r="C5">
        <v>10</v>
      </c>
      <c r="D5">
        <v>8</v>
      </c>
      <c r="E5">
        <v>18</v>
      </c>
      <c r="G5" t="s">
        <v>8</v>
      </c>
      <c r="I5" s="26" t="str">
        <f>G5&amp;""&amp;H5</f>
        <v>AD 行政部</v>
      </c>
      <c r="J5">
        <v>10</v>
      </c>
      <c r="K5">
        <v>8</v>
      </c>
      <c r="L5">
        <v>18</v>
      </c>
    </row>
    <row r="6" spans="1:12">
      <c r="A6" t="s">
        <v>9</v>
      </c>
      <c r="B6"/>
      <c r="C6">
        <v>1</v>
      </c>
      <c r="D6">
        <v>1</v>
      </c>
      <c r="E6">
        <v>2</v>
      </c>
      <c r="G6" t="s">
        <v>9</v>
      </c>
      <c r="I6" s="26" t="str">
        <f t="shared" ref="I6:I37" si="0">G6&amp;""&amp;H6</f>
        <v>AS 审计监察部</v>
      </c>
      <c r="J6">
        <v>1</v>
      </c>
      <c r="K6">
        <v>1</v>
      </c>
      <c r="L6">
        <v>2</v>
      </c>
    </row>
    <row r="7" spans="1:12">
      <c r="A7" t="s">
        <v>10</v>
      </c>
      <c r="B7"/>
      <c r="C7"/>
      <c r="D7">
        <v>17</v>
      </c>
      <c r="E7">
        <v>17</v>
      </c>
      <c r="G7" t="s">
        <v>10</v>
      </c>
      <c r="I7" s="26" t="str">
        <f t="shared" si="0"/>
        <v>BD 本地客户部</v>
      </c>
      <c r="K7">
        <v>17</v>
      </c>
      <c r="L7">
        <v>17</v>
      </c>
    </row>
    <row r="8" spans="1:12">
      <c r="A8" t="s">
        <v>11</v>
      </c>
      <c r="B8"/>
      <c r="C8">
        <v>2</v>
      </c>
      <c r="D8">
        <v>4</v>
      </c>
      <c r="E8">
        <v>6</v>
      </c>
      <c r="G8" t="s">
        <v>11</v>
      </c>
      <c r="I8" s="26" t="str">
        <f t="shared" si="0"/>
        <v>BM 品牌市场部</v>
      </c>
      <c r="J8">
        <v>2</v>
      </c>
      <c r="K8">
        <v>4</v>
      </c>
      <c r="L8">
        <v>6</v>
      </c>
    </row>
    <row r="9" spans="1:12">
      <c r="A9" t="s">
        <v>12</v>
      </c>
      <c r="B9"/>
      <c r="C9">
        <v>5</v>
      </c>
      <c r="D9">
        <v>7</v>
      </c>
      <c r="E9">
        <v>12</v>
      </c>
      <c r="G9" t="s">
        <v>12</v>
      </c>
      <c r="I9" s="26" t="str">
        <f t="shared" si="0"/>
        <v>CM 运力管理部</v>
      </c>
      <c r="J9">
        <v>5</v>
      </c>
      <c r="K9">
        <v>7</v>
      </c>
      <c r="L9">
        <v>12</v>
      </c>
    </row>
    <row r="10" spans="1:12">
      <c r="A10" t="s">
        <v>13</v>
      </c>
      <c r="B10"/>
      <c r="C10">
        <v>6</v>
      </c>
      <c r="D10">
        <v>1</v>
      </c>
      <c r="E10">
        <v>7</v>
      </c>
      <c r="G10" t="s">
        <v>13</v>
      </c>
      <c r="I10" s="26" t="str">
        <f t="shared" si="0"/>
        <v>CS 客户服务部</v>
      </c>
      <c r="J10">
        <v>6</v>
      </c>
      <c r="K10">
        <v>1</v>
      </c>
      <c r="L10">
        <v>7</v>
      </c>
    </row>
    <row r="11" spans="1:12">
      <c r="A11" t="s">
        <v>14</v>
      </c>
      <c r="B11"/>
      <c r="C11">
        <v>3</v>
      </c>
      <c r="D11">
        <v>12</v>
      </c>
      <c r="E11">
        <v>15</v>
      </c>
      <c r="G11" t="s">
        <v>14</v>
      </c>
      <c r="I11" s="26" t="str">
        <f t="shared" si="0"/>
        <v>DO 数字运营部</v>
      </c>
      <c r="J11">
        <v>3</v>
      </c>
      <c r="K11">
        <v>12</v>
      </c>
      <c r="L11">
        <v>15</v>
      </c>
    </row>
    <row r="12" spans="1:12">
      <c r="A12" t="s">
        <v>15</v>
      </c>
      <c r="B12"/>
      <c r="C12"/>
      <c r="D12">
        <v>1</v>
      </c>
      <c r="E12">
        <v>1</v>
      </c>
      <c r="G12" t="s">
        <v>15</v>
      </c>
      <c r="I12" s="26" t="str">
        <f t="shared" si="0"/>
        <v>FL 佛州大区</v>
      </c>
      <c r="K12">
        <v>1</v>
      </c>
      <c r="L12">
        <v>1</v>
      </c>
    </row>
    <row r="13" spans="1:12">
      <c r="A13" t="s">
        <v>15</v>
      </c>
      <c r="B13" t="s">
        <v>16</v>
      </c>
      <c r="C13"/>
      <c r="D13">
        <v>3</v>
      </c>
      <c r="E13">
        <v>3</v>
      </c>
      <c r="G13" t="s">
        <v>15</v>
      </c>
      <c r="H13" t="s">
        <v>16</v>
      </c>
      <c r="I13" s="26" t="str">
        <f t="shared" si="0"/>
        <v>FL 佛州大区FTM01</v>
      </c>
      <c r="K13">
        <v>3</v>
      </c>
      <c r="L13">
        <v>3</v>
      </c>
    </row>
    <row r="14" spans="1:12">
      <c r="A14" t="s">
        <v>15</v>
      </c>
      <c r="B14" t="s">
        <v>17</v>
      </c>
      <c r="C14">
        <v>15</v>
      </c>
      <c r="D14">
        <v>13</v>
      </c>
      <c r="E14">
        <v>28</v>
      </c>
      <c r="G14" t="s">
        <v>15</v>
      </c>
      <c r="H14" t="s">
        <v>17</v>
      </c>
      <c r="I14" s="26" t="str">
        <f t="shared" si="0"/>
        <v>FL 佛州大区MCO.H</v>
      </c>
      <c r="J14">
        <v>15</v>
      </c>
      <c r="K14">
        <v>13</v>
      </c>
      <c r="L14">
        <v>28</v>
      </c>
    </row>
    <row r="15" spans="1:12">
      <c r="A15" t="s">
        <v>15</v>
      </c>
      <c r="B15" t="s">
        <v>18</v>
      </c>
      <c r="C15">
        <v>2</v>
      </c>
      <c r="D15"/>
      <c r="E15">
        <v>2</v>
      </c>
      <c r="G15" t="s">
        <v>15</v>
      </c>
      <c r="H15" t="s">
        <v>18</v>
      </c>
      <c r="I15" s="26" t="str">
        <f t="shared" si="0"/>
        <v>FL 佛州大区MCO01</v>
      </c>
      <c r="J15">
        <v>2</v>
      </c>
      <c r="L15">
        <v>2</v>
      </c>
    </row>
    <row r="16" spans="1:12">
      <c r="A16" t="s">
        <v>15</v>
      </c>
      <c r="B16" t="s">
        <v>19</v>
      </c>
      <c r="C16">
        <v>3</v>
      </c>
      <c r="D16">
        <v>4</v>
      </c>
      <c r="E16">
        <v>7</v>
      </c>
      <c r="G16" t="s">
        <v>15</v>
      </c>
      <c r="H16" t="s">
        <v>19</v>
      </c>
      <c r="I16" s="26" t="str">
        <f t="shared" si="0"/>
        <v>FL 佛州大区MF 中佛片区</v>
      </c>
      <c r="J16">
        <v>3</v>
      </c>
      <c r="K16">
        <v>4</v>
      </c>
      <c r="L16">
        <v>7</v>
      </c>
    </row>
    <row r="17" spans="1:12">
      <c r="A17" t="s">
        <v>15</v>
      </c>
      <c r="B17" t="s">
        <v>20</v>
      </c>
      <c r="C17">
        <v>17</v>
      </c>
      <c r="D17">
        <v>17</v>
      </c>
      <c r="E17">
        <v>34</v>
      </c>
      <c r="G17" t="s">
        <v>15</v>
      </c>
      <c r="H17" t="s">
        <v>20</v>
      </c>
      <c r="I17" s="26" t="str">
        <f t="shared" si="0"/>
        <v>FL 佛州大区MIA.H</v>
      </c>
      <c r="J17">
        <v>17</v>
      </c>
      <c r="K17">
        <v>17</v>
      </c>
      <c r="L17">
        <v>34</v>
      </c>
    </row>
    <row r="18" spans="1:12">
      <c r="A18" t="s">
        <v>15</v>
      </c>
      <c r="B18" t="s">
        <v>21</v>
      </c>
      <c r="C18">
        <v>2</v>
      </c>
      <c r="D18">
        <v>1</v>
      </c>
      <c r="E18">
        <v>3</v>
      </c>
      <c r="G18" t="s">
        <v>15</v>
      </c>
      <c r="H18" t="s">
        <v>21</v>
      </c>
      <c r="I18" s="26" t="str">
        <f t="shared" si="0"/>
        <v>FL 佛州大区MIA01</v>
      </c>
      <c r="J18">
        <v>2</v>
      </c>
      <c r="K18">
        <v>1</v>
      </c>
      <c r="L18">
        <v>3</v>
      </c>
    </row>
    <row r="19" spans="1:12">
      <c r="A19" t="s">
        <v>15</v>
      </c>
      <c r="B19" t="s">
        <v>22</v>
      </c>
      <c r="C19">
        <v>1</v>
      </c>
      <c r="D19">
        <v>6</v>
      </c>
      <c r="E19">
        <v>7</v>
      </c>
      <c r="G19" t="s">
        <v>15</v>
      </c>
      <c r="H19" t="s">
        <v>22</v>
      </c>
      <c r="I19" s="26" t="str">
        <f t="shared" si="0"/>
        <v>FL 佛州大区NF 北佛片区</v>
      </c>
      <c r="J19">
        <v>1</v>
      </c>
      <c r="K19">
        <v>6</v>
      </c>
      <c r="L19">
        <v>7</v>
      </c>
    </row>
    <row r="20" spans="1:12">
      <c r="A20" t="s">
        <v>15</v>
      </c>
      <c r="B20" t="s">
        <v>23</v>
      </c>
      <c r="C20">
        <v>1</v>
      </c>
      <c r="D20"/>
      <c r="E20">
        <v>1</v>
      </c>
      <c r="G20" t="s">
        <v>15</v>
      </c>
      <c r="H20" t="s">
        <v>23</v>
      </c>
      <c r="I20" s="26" t="str">
        <f t="shared" si="0"/>
        <v>FL 佛州大区OCF01</v>
      </c>
      <c r="J20">
        <v>1</v>
      </c>
      <c r="L20">
        <v>1</v>
      </c>
    </row>
    <row r="21" spans="1:12">
      <c r="A21" t="s">
        <v>15</v>
      </c>
      <c r="B21" t="s">
        <v>24</v>
      </c>
      <c r="C21">
        <v>4</v>
      </c>
      <c r="D21">
        <v>6</v>
      </c>
      <c r="E21">
        <v>10</v>
      </c>
      <c r="G21" t="s">
        <v>15</v>
      </c>
      <c r="H21" t="s">
        <v>24</v>
      </c>
      <c r="I21" s="26" t="str">
        <f t="shared" si="0"/>
        <v>FL 佛州大区SF 南佛片区</v>
      </c>
      <c r="J21">
        <v>4</v>
      </c>
      <c r="K21">
        <v>6</v>
      </c>
      <c r="L21">
        <v>10</v>
      </c>
    </row>
    <row r="22" spans="1:12">
      <c r="A22" t="s">
        <v>15</v>
      </c>
      <c r="B22" t="s">
        <v>25</v>
      </c>
      <c r="C22">
        <v>1</v>
      </c>
      <c r="D22"/>
      <c r="E22">
        <v>1</v>
      </c>
      <c r="G22" t="s">
        <v>15</v>
      </c>
      <c r="H22" t="s">
        <v>25</v>
      </c>
      <c r="I22" s="26" t="str">
        <f t="shared" si="0"/>
        <v>FL 佛州大区SRQ01</v>
      </c>
      <c r="J22">
        <v>1</v>
      </c>
      <c r="L22">
        <v>1</v>
      </c>
    </row>
    <row r="23" spans="1:12">
      <c r="A23" t="s">
        <v>15</v>
      </c>
      <c r="B23" t="s">
        <v>26</v>
      </c>
      <c r="C23"/>
      <c r="D23">
        <v>2</v>
      </c>
      <c r="E23">
        <v>2</v>
      </c>
      <c r="G23" t="s">
        <v>15</v>
      </c>
      <c r="H23" t="s">
        <v>26</v>
      </c>
      <c r="I23" s="26" t="str">
        <f t="shared" si="0"/>
        <v>FL 佛州大区TPA01</v>
      </c>
      <c r="K23">
        <v>2</v>
      </c>
      <c r="L23">
        <v>2</v>
      </c>
    </row>
    <row r="24" spans="1:12">
      <c r="A24" t="s">
        <v>15</v>
      </c>
      <c r="B24" t="s">
        <v>27</v>
      </c>
      <c r="C24">
        <v>1</v>
      </c>
      <c r="D24">
        <v>5</v>
      </c>
      <c r="E24">
        <v>6</v>
      </c>
      <c r="G24" t="s">
        <v>15</v>
      </c>
      <c r="H24" t="s">
        <v>27</v>
      </c>
      <c r="I24" s="26" t="str">
        <f t="shared" si="0"/>
        <v>FL 佛州大区WF 西佛片区</v>
      </c>
      <c r="J24">
        <v>1</v>
      </c>
      <c r="K24">
        <v>5</v>
      </c>
      <c r="L24">
        <v>6</v>
      </c>
    </row>
    <row r="25" spans="1:12">
      <c r="A25" t="s">
        <v>15</v>
      </c>
      <c r="B25" t="s">
        <v>28</v>
      </c>
      <c r="C25"/>
      <c r="D25">
        <v>1</v>
      </c>
      <c r="E25">
        <v>1</v>
      </c>
      <c r="G25" t="s">
        <v>15</v>
      </c>
      <c r="H25" t="s">
        <v>28</v>
      </c>
      <c r="I25" s="26" t="str">
        <f t="shared" si="0"/>
        <v>FL 佛州大区WPB01</v>
      </c>
      <c r="K25">
        <v>1</v>
      </c>
      <c r="L25">
        <v>1</v>
      </c>
    </row>
    <row r="26" spans="1:12">
      <c r="A26" t="s">
        <v>15</v>
      </c>
      <c r="B26" t="s">
        <v>29</v>
      </c>
      <c r="C26">
        <v>3</v>
      </c>
      <c r="D26">
        <v>1</v>
      </c>
      <c r="E26">
        <v>4</v>
      </c>
      <c r="G26" t="s">
        <v>15</v>
      </c>
      <c r="H26" t="s">
        <v>29</v>
      </c>
      <c r="I26" s="26" t="str">
        <f t="shared" si="0"/>
        <v>FL 佛州大区运营支持部</v>
      </c>
      <c r="J26">
        <v>3</v>
      </c>
      <c r="K26">
        <v>1</v>
      </c>
      <c r="L26">
        <v>4</v>
      </c>
    </row>
    <row r="27" spans="1:12">
      <c r="A27" t="s">
        <v>30</v>
      </c>
      <c r="B27"/>
      <c r="C27">
        <v>50</v>
      </c>
      <c r="D27">
        <v>60</v>
      </c>
      <c r="E27">
        <v>110</v>
      </c>
      <c r="G27" t="s">
        <v>30</v>
      </c>
      <c r="I27" s="26" t="str">
        <f t="shared" si="0"/>
        <v>FL 佛州大区 汇总</v>
      </c>
      <c r="J27">
        <v>50</v>
      </c>
      <c r="K27">
        <v>60</v>
      </c>
      <c r="L27">
        <v>110</v>
      </c>
    </row>
    <row r="28" spans="1:12">
      <c r="A28" t="s">
        <v>31</v>
      </c>
      <c r="B28"/>
      <c r="C28">
        <v>1</v>
      </c>
      <c r="D28">
        <v>1</v>
      </c>
      <c r="E28">
        <v>2</v>
      </c>
      <c r="G28" t="s">
        <v>31</v>
      </c>
      <c r="I28" s="26" t="str">
        <f t="shared" si="0"/>
        <v>GL 大湖大区</v>
      </c>
      <c r="J28">
        <v>1</v>
      </c>
      <c r="K28">
        <v>1</v>
      </c>
      <c r="L28">
        <v>2</v>
      </c>
    </row>
    <row r="29" spans="1:12">
      <c r="A29" t="s">
        <v>31</v>
      </c>
      <c r="B29" t="s">
        <v>32</v>
      </c>
      <c r="C29">
        <v>1</v>
      </c>
      <c r="D29"/>
      <c r="E29">
        <v>1</v>
      </c>
      <c r="G29" t="s">
        <v>31</v>
      </c>
      <c r="H29" t="s">
        <v>32</v>
      </c>
      <c r="I29" s="26" t="str">
        <f t="shared" si="0"/>
        <v>GL 大湖大区CLE01</v>
      </c>
      <c r="J29">
        <v>1</v>
      </c>
      <c r="L29">
        <v>1</v>
      </c>
    </row>
    <row r="30" spans="1:12">
      <c r="A30" t="s">
        <v>31</v>
      </c>
      <c r="B30" t="s">
        <v>33</v>
      </c>
      <c r="C30">
        <v>2</v>
      </c>
      <c r="D30">
        <v>4</v>
      </c>
      <c r="E30">
        <v>6</v>
      </c>
      <c r="G30" t="s">
        <v>31</v>
      </c>
      <c r="H30" t="s">
        <v>33</v>
      </c>
      <c r="I30" s="26" t="str">
        <f t="shared" si="0"/>
        <v>GL 大湖大区CM 中西部中心片区</v>
      </c>
      <c r="J30">
        <v>2</v>
      </c>
      <c r="K30">
        <v>4</v>
      </c>
      <c r="L30">
        <v>6</v>
      </c>
    </row>
    <row r="31" spans="1:12">
      <c r="A31" t="s">
        <v>31</v>
      </c>
      <c r="B31" t="s">
        <v>34</v>
      </c>
      <c r="C31"/>
      <c r="D31">
        <v>1</v>
      </c>
      <c r="E31">
        <v>1</v>
      </c>
      <c r="G31" t="s">
        <v>31</v>
      </c>
      <c r="H31" t="s">
        <v>34</v>
      </c>
      <c r="I31" s="26" t="str">
        <f t="shared" si="0"/>
        <v>GL 大湖大区CMH01</v>
      </c>
      <c r="K31">
        <v>1</v>
      </c>
      <c r="L31">
        <v>1</v>
      </c>
    </row>
    <row r="32" spans="1:12">
      <c r="A32" t="s">
        <v>31</v>
      </c>
      <c r="B32" t="s">
        <v>35</v>
      </c>
      <c r="C32">
        <v>1</v>
      </c>
      <c r="D32">
        <v>1</v>
      </c>
      <c r="E32">
        <v>2</v>
      </c>
      <c r="G32" t="s">
        <v>31</v>
      </c>
      <c r="H32" t="s">
        <v>35</v>
      </c>
      <c r="I32" s="26" t="str">
        <f t="shared" si="0"/>
        <v>GL 大湖大区CVG.H</v>
      </c>
      <c r="J32">
        <v>1</v>
      </c>
      <c r="K32">
        <v>1</v>
      </c>
      <c r="L32">
        <v>2</v>
      </c>
    </row>
    <row r="33" spans="1:12">
      <c r="A33" t="s">
        <v>31</v>
      </c>
      <c r="B33" t="s">
        <v>36</v>
      </c>
      <c r="C33">
        <v>1</v>
      </c>
      <c r="D33">
        <v>4</v>
      </c>
      <c r="E33">
        <v>5</v>
      </c>
      <c r="G33" t="s">
        <v>31</v>
      </c>
      <c r="H33" t="s">
        <v>36</v>
      </c>
      <c r="I33" s="26" t="str">
        <f t="shared" si="0"/>
        <v>GL 大湖大区EG 东大湖片区</v>
      </c>
      <c r="J33">
        <v>1</v>
      </c>
      <c r="K33">
        <v>4</v>
      </c>
      <c r="L33">
        <v>5</v>
      </c>
    </row>
    <row r="34" spans="1:12">
      <c r="A34" t="s">
        <v>31</v>
      </c>
      <c r="B34" t="s">
        <v>37</v>
      </c>
      <c r="C34">
        <v>1</v>
      </c>
      <c r="D34">
        <v>2</v>
      </c>
      <c r="E34">
        <v>3</v>
      </c>
      <c r="G34" t="s">
        <v>31</v>
      </c>
      <c r="H34" t="s">
        <v>37</v>
      </c>
      <c r="I34" s="26" t="str">
        <f t="shared" si="0"/>
        <v>GL 大湖大区IND01</v>
      </c>
      <c r="J34">
        <v>1</v>
      </c>
      <c r="K34">
        <v>2</v>
      </c>
      <c r="L34">
        <v>3</v>
      </c>
    </row>
    <row r="35" spans="1:12">
      <c r="A35" t="s">
        <v>31</v>
      </c>
      <c r="B35" t="s">
        <v>38</v>
      </c>
      <c r="C35">
        <v>1</v>
      </c>
      <c r="D35">
        <v>1</v>
      </c>
      <c r="E35">
        <v>2</v>
      </c>
      <c r="G35" t="s">
        <v>31</v>
      </c>
      <c r="H35" t="s">
        <v>38</v>
      </c>
      <c r="I35" s="26" t="str">
        <f t="shared" si="0"/>
        <v>GL 大湖大区MCI01</v>
      </c>
      <c r="J35">
        <v>1</v>
      </c>
      <c r="K35">
        <v>1</v>
      </c>
      <c r="L35">
        <v>2</v>
      </c>
    </row>
    <row r="36" spans="1:12">
      <c r="A36" t="s">
        <v>31</v>
      </c>
      <c r="B36" t="s">
        <v>39</v>
      </c>
      <c r="C36"/>
      <c r="D36">
        <v>2</v>
      </c>
      <c r="E36">
        <v>2</v>
      </c>
      <c r="G36" t="s">
        <v>31</v>
      </c>
      <c r="H36" t="s">
        <v>39</v>
      </c>
      <c r="I36" s="26" t="str">
        <f t="shared" si="0"/>
        <v>GL 大湖大区MKE01</v>
      </c>
      <c r="K36">
        <v>2</v>
      </c>
      <c r="L36">
        <v>2</v>
      </c>
    </row>
    <row r="37" spans="1:12">
      <c r="A37" t="s">
        <v>31</v>
      </c>
      <c r="B37" t="s">
        <v>40</v>
      </c>
      <c r="C37">
        <v>2</v>
      </c>
      <c r="D37">
        <v>4</v>
      </c>
      <c r="E37">
        <v>6</v>
      </c>
      <c r="G37" t="s">
        <v>31</v>
      </c>
      <c r="H37" t="s">
        <v>40</v>
      </c>
      <c r="I37" s="26" t="str">
        <f t="shared" si="0"/>
        <v>GL 大湖大区NM 中西部北片区</v>
      </c>
      <c r="J37">
        <v>2</v>
      </c>
      <c r="K37">
        <v>4</v>
      </c>
      <c r="L37">
        <v>6</v>
      </c>
    </row>
    <row r="38" spans="1:12">
      <c r="A38" t="s">
        <v>31</v>
      </c>
      <c r="B38" t="s">
        <v>41</v>
      </c>
      <c r="C38">
        <v>15</v>
      </c>
      <c r="D38">
        <v>14</v>
      </c>
      <c r="E38">
        <v>29</v>
      </c>
      <c r="G38" t="s">
        <v>31</v>
      </c>
      <c r="H38" t="s">
        <v>41</v>
      </c>
      <c r="I38" s="26" t="str">
        <f t="shared" ref="I38:I69" si="1">G38&amp;""&amp;H38</f>
        <v>GL 大湖大区ORD.H</v>
      </c>
      <c r="J38">
        <v>15</v>
      </c>
      <c r="K38">
        <v>14</v>
      </c>
      <c r="L38">
        <v>29</v>
      </c>
    </row>
    <row r="39" spans="1:12">
      <c r="A39" t="s">
        <v>31</v>
      </c>
      <c r="B39" t="s">
        <v>42</v>
      </c>
      <c r="C39"/>
      <c r="D39">
        <v>2</v>
      </c>
      <c r="E39">
        <v>2</v>
      </c>
      <c r="G39" t="s">
        <v>31</v>
      </c>
      <c r="H39" t="s">
        <v>42</v>
      </c>
      <c r="I39" s="26" t="str">
        <f t="shared" si="1"/>
        <v>GL 大湖大区ORD01</v>
      </c>
      <c r="K39">
        <v>2</v>
      </c>
      <c r="L39">
        <v>2</v>
      </c>
    </row>
    <row r="40" spans="1:12">
      <c r="A40" t="s">
        <v>31</v>
      </c>
      <c r="B40" t="s">
        <v>43</v>
      </c>
      <c r="C40">
        <v>3</v>
      </c>
      <c r="D40">
        <v>7</v>
      </c>
      <c r="E40">
        <v>10</v>
      </c>
      <c r="G40" t="s">
        <v>31</v>
      </c>
      <c r="H40" t="s">
        <v>43</v>
      </c>
      <c r="I40" s="26" t="str">
        <f t="shared" si="1"/>
        <v>GL 大湖大区WG 西大湖片区</v>
      </c>
      <c r="J40">
        <v>3</v>
      </c>
      <c r="K40">
        <v>7</v>
      </c>
      <c r="L40">
        <v>10</v>
      </c>
    </row>
    <row r="41" spans="1:12">
      <c r="A41" t="s">
        <v>31</v>
      </c>
      <c r="B41" t="s">
        <v>44</v>
      </c>
      <c r="C41"/>
      <c r="D41">
        <v>1</v>
      </c>
      <c r="E41">
        <v>1</v>
      </c>
      <c r="G41" t="s">
        <v>31</v>
      </c>
      <c r="H41" t="s">
        <v>44</v>
      </c>
      <c r="I41" s="26" t="str">
        <f t="shared" si="1"/>
        <v>GL 大湖大区车辆管理部</v>
      </c>
      <c r="K41">
        <v>1</v>
      </c>
      <c r="L41">
        <v>1</v>
      </c>
    </row>
    <row r="42" spans="1:12">
      <c r="A42" t="s">
        <v>31</v>
      </c>
      <c r="B42" t="s">
        <v>45</v>
      </c>
      <c r="C42">
        <v>4</v>
      </c>
      <c r="D42">
        <v>1</v>
      </c>
      <c r="E42">
        <v>5</v>
      </c>
      <c r="G42" t="s">
        <v>31</v>
      </c>
      <c r="H42" t="s">
        <v>45</v>
      </c>
      <c r="I42" s="26" t="str">
        <f t="shared" si="1"/>
        <v>GL 大湖大区揽收部</v>
      </c>
      <c r="J42">
        <v>4</v>
      </c>
      <c r="K42">
        <v>1</v>
      </c>
      <c r="L42">
        <v>5</v>
      </c>
    </row>
    <row r="43" spans="1:12">
      <c r="A43" t="s">
        <v>31</v>
      </c>
      <c r="B43" t="s">
        <v>29</v>
      </c>
      <c r="C43">
        <v>5</v>
      </c>
      <c r="D43">
        <v>3</v>
      </c>
      <c r="E43">
        <v>8</v>
      </c>
      <c r="G43" t="s">
        <v>31</v>
      </c>
      <c r="H43" t="s">
        <v>29</v>
      </c>
      <c r="I43" s="26" t="str">
        <f t="shared" si="1"/>
        <v>GL 大湖大区运营支持部</v>
      </c>
      <c r="J43">
        <v>5</v>
      </c>
      <c r="K43">
        <v>3</v>
      </c>
      <c r="L43">
        <v>8</v>
      </c>
    </row>
    <row r="44" spans="1:12">
      <c r="A44" t="s">
        <v>46</v>
      </c>
      <c r="B44"/>
      <c r="C44">
        <v>37</v>
      </c>
      <c r="D44">
        <v>48</v>
      </c>
      <c r="E44">
        <v>85</v>
      </c>
      <c r="G44" t="s">
        <v>46</v>
      </c>
      <c r="I44" s="26" t="str">
        <f t="shared" si="1"/>
        <v>GL 大湖大区 汇总</v>
      </c>
      <c r="J44">
        <v>37</v>
      </c>
      <c r="K44">
        <v>48</v>
      </c>
      <c r="L44">
        <v>85</v>
      </c>
    </row>
    <row r="45" spans="1:12">
      <c r="A45" t="s">
        <v>47</v>
      </c>
      <c r="B45"/>
      <c r="C45"/>
      <c r="D45">
        <v>3</v>
      </c>
      <c r="E45">
        <v>3</v>
      </c>
      <c r="G45" t="s">
        <v>47</v>
      </c>
      <c r="I45" s="26" t="str">
        <f t="shared" si="1"/>
        <v>Gofo财务部</v>
      </c>
      <c r="K45">
        <v>3</v>
      </c>
      <c r="L45">
        <v>3</v>
      </c>
    </row>
    <row r="46" spans="1:12">
      <c r="A46" t="s">
        <v>48</v>
      </c>
      <c r="B46" t="s">
        <v>49</v>
      </c>
      <c r="C46">
        <v>12</v>
      </c>
      <c r="D46">
        <v>6</v>
      </c>
      <c r="E46">
        <v>18</v>
      </c>
      <c r="G46" t="s">
        <v>48</v>
      </c>
      <c r="H46" t="s">
        <v>49</v>
      </c>
      <c r="I46" s="26" t="str">
        <f t="shared" si="1"/>
        <v>Ground项目部OG 美东区</v>
      </c>
      <c r="J46">
        <v>12</v>
      </c>
      <c r="K46">
        <v>6</v>
      </c>
      <c r="L46">
        <v>18</v>
      </c>
    </row>
    <row r="47" spans="1:12">
      <c r="A47" t="s">
        <v>48</v>
      </c>
      <c r="B47" t="s">
        <v>50</v>
      </c>
      <c r="C47">
        <v>4</v>
      </c>
      <c r="D47">
        <v>6</v>
      </c>
      <c r="E47">
        <v>10</v>
      </c>
      <c r="G47" t="s">
        <v>48</v>
      </c>
      <c r="H47" t="s">
        <v>50</v>
      </c>
      <c r="I47" s="26" t="str">
        <f t="shared" si="1"/>
        <v>Ground项目部OG 美南区</v>
      </c>
      <c r="J47">
        <v>4</v>
      </c>
      <c r="K47">
        <v>6</v>
      </c>
      <c r="L47">
        <v>10</v>
      </c>
    </row>
    <row r="48" spans="1:12">
      <c r="A48" t="s">
        <v>48</v>
      </c>
      <c r="B48" t="s">
        <v>51</v>
      </c>
      <c r="C48">
        <v>19</v>
      </c>
      <c r="D48">
        <v>23</v>
      </c>
      <c r="E48">
        <v>42</v>
      </c>
      <c r="G48" t="s">
        <v>48</v>
      </c>
      <c r="H48" t="s">
        <v>51</v>
      </c>
      <c r="I48" s="26" t="str">
        <f t="shared" si="1"/>
        <v>Ground项目部OG 美西区</v>
      </c>
      <c r="J48">
        <v>19</v>
      </c>
      <c r="K48">
        <v>23</v>
      </c>
      <c r="L48">
        <v>42</v>
      </c>
    </row>
    <row r="49" spans="1:12">
      <c r="A49" t="s">
        <v>48</v>
      </c>
      <c r="B49" t="s">
        <v>52</v>
      </c>
      <c r="C49">
        <v>2</v>
      </c>
      <c r="D49">
        <v>5</v>
      </c>
      <c r="E49">
        <v>7</v>
      </c>
      <c r="G49" t="s">
        <v>48</v>
      </c>
      <c r="H49" t="s">
        <v>52</v>
      </c>
      <c r="I49" s="26" t="str">
        <f t="shared" si="1"/>
        <v>Ground项目部OG 美中区</v>
      </c>
      <c r="J49">
        <v>2</v>
      </c>
      <c r="K49">
        <v>5</v>
      </c>
      <c r="L49">
        <v>7</v>
      </c>
    </row>
    <row r="50" spans="1:12">
      <c r="A50" t="s">
        <v>48</v>
      </c>
      <c r="B50" t="s">
        <v>53</v>
      </c>
      <c r="C50">
        <v>2</v>
      </c>
      <c r="D50">
        <v>6</v>
      </c>
      <c r="E50">
        <v>8</v>
      </c>
      <c r="G50" t="s">
        <v>48</v>
      </c>
      <c r="H50" t="s">
        <v>53</v>
      </c>
      <c r="I50" s="26" t="str">
        <f t="shared" si="1"/>
        <v>Ground项目部派送管理部</v>
      </c>
      <c r="J50">
        <v>2</v>
      </c>
      <c r="K50">
        <v>6</v>
      </c>
      <c r="L50">
        <v>8</v>
      </c>
    </row>
    <row r="51" spans="1:12">
      <c r="A51" t="s">
        <v>48</v>
      </c>
      <c r="B51" t="s">
        <v>54</v>
      </c>
      <c r="C51">
        <v>2</v>
      </c>
      <c r="D51">
        <v>1</v>
      </c>
      <c r="E51">
        <v>3</v>
      </c>
      <c r="G51" t="s">
        <v>48</v>
      </c>
      <c r="H51" t="s">
        <v>54</v>
      </c>
      <c r="I51" s="26" t="str">
        <f t="shared" si="1"/>
        <v>Ground项目部运营管理部</v>
      </c>
      <c r="J51">
        <v>2</v>
      </c>
      <c r="K51">
        <v>1</v>
      </c>
      <c r="L51">
        <v>3</v>
      </c>
    </row>
    <row r="52" spans="1:12">
      <c r="A52" t="s">
        <v>55</v>
      </c>
      <c r="B52"/>
      <c r="C52">
        <v>41</v>
      </c>
      <c r="D52">
        <v>47</v>
      </c>
      <c r="E52">
        <v>88</v>
      </c>
      <c r="G52" t="s">
        <v>55</v>
      </c>
      <c r="I52" s="26" t="str">
        <f t="shared" si="1"/>
        <v>Ground项目部 汇总</v>
      </c>
      <c r="J52">
        <v>41</v>
      </c>
      <c r="K52">
        <v>47</v>
      </c>
      <c r="L52">
        <v>88</v>
      </c>
    </row>
    <row r="53" spans="1:12">
      <c r="A53" t="s">
        <v>56</v>
      </c>
      <c r="B53"/>
      <c r="C53">
        <v>2</v>
      </c>
      <c r="D53">
        <v>4</v>
      </c>
      <c r="E53">
        <v>6</v>
      </c>
      <c r="G53" t="s">
        <v>56</v>
      </c>
      <c r="I53" s="26" t="str">
        <f t="shared" si="1"/>
        <v>IC 跨境客户部</v>
      </c>
      <c r="J53">
        <v>2</v>
      </c>
      <c r="K53">
        <v>4</v>
      </c>
      <c r="L53">
        <v>6</v>
      </c>
    </row>
    <row r="54" spans="1:12">
      <c r="A54" t="s">
        <v>57</v>
      </c>
      <c r="B54"/>
      <c r="C54">
        <v>1</v>
      </c>
      <c r="D54">
        <v>1</v>
      </c>
      <c r="E54">
        <v>2</v>
      </c>
      <c r="G54" t="s">
        <v>57</v>
      </c>
      <c r="I54" s="26" t="str">
        <f t="shared" si="1"/>
        <v>LD 法务部</v>
      </c>
      <c r="J54">
        <v>1</v>
      </c>
      <c r="K54">
        <v>1</v>
      </c>
      <c r="L54">
        <v>2</v>
      </c>
    </row>
    <row r="55" spans="1:12">
      <c r="A55" t="s">
        <v>58</v>
      </c>
      <c r="B55"/>
      <c r="C55"/>
      <c r="D55">
        <v>1</v>
      </c>
      <c r="E55">
        <v>1</v>
      </c>
      <c r="G55" t="s">
        <v>58</v>
      </c>
      <c r="I55" s="26" t="str">
        <f t="shared" si="1"/>
        <v>MS 中南大区</v>
      </c>
      <c r="K55">
        <v>1</v>
      </c>
      <c r="L55">
        <v>1</v>
      </c>
    </row>
    <row r="56" spans="1:12">
      <c r="A56" t="s">
        <v>58</v>
      </c>
      <c r="B56" t="s">
        <v>59</v>
      </c>
      <c r="C56">
        <v>3</v>
      </c>
      <c r="D56"/>
      <c r="E56">
        <v>3</v>
      </c>
      <c r="G56" t="s">
        <v>58</v>
      </c>
      <c r="H56" t="s">
        <v>59</v>
      </c>
      <c r="I56" s="26" t="str">
        <f t="shared" si="1"/>
        <v>MS 中南大区AS 奥萨查沿海片区</v>
      </c>
      <c r="J56">
        <v>3</v>
      </c>
      <c r="L56">
        <v>3</v>
      </c>
    </row>
    <row r="57" spans="1:12">
      <c r="A57" t="s">
        <v>58</v>
      </c>
      <c r="B57" t="s">
        <v>60</v>
      </c>
      <c r="C57">
        <v>3</v>
      </c>
      <c r="D57">
        <v>9</v>
      </c>
      <c r="E57">
        <v>12</v>
      </c>
      <c r="G57" t="s">
        <v>58</v>
      </c>
      <c r="H57" t="s">
        <v>60</v>
      </c>
      <c r="I57" s="26" t="str">
        <f t="shared" si="1"/>
        <v>MS 中南大区AS 亚特兰大和南阿拉巴马片区</v>
      </c>
      <c r="J57">
        <v>3</v>
      </c>
      <c r="K57">
        <v>9</v>
      </c>
      <c r="L57">
        <v>12</v>
      </c>
    </row>
    <row r="58" spans="1:12">
      <c r="A58" t="s">
        <v>58</v>
      </c>
      <c r="B58" t="s">
        <v>61</v>
      </c>
      <c r="C58">
        <v>11</v>
      </c>
      <c r="D58">
        <v>8</v>
      </c>
      <c r="E58">
        <v>19</v>
      </c>
      <c r="G58" t="s">
        <v>58</v>
      </c>
      <c r="H58" t="s">
        <v>61</v>
      </c>
      <c r="I58" s="26" t="str">
        <f t="shared" si="1"/>
        <v>MS 中南大区ATL.H</v>
      </c>
      <c r="J58">
        <v>11</v>
      </c>
      <c r="K58">
        <v>8</v>
      </c>
      <c r="L58">
        <v>19</v>
      </c>
    </row>
    <row r="59" spans="1:12">
      <c r="A59" t="s">
        <v>58</v>
      </c>
      <c r="B59" t="s">
        <v>62</v>
      </c>
      <c r="C59">
        <v>2</v>
      </c>
      <c r="D59">
        <v>4</v>
      </c>
      <c r="E59">
        <v>6</v>
      </c>
      <c r="G59" t="s">
        <v>58</v>
      </c>
      <c r="H59" t="s">
        <v>62</v>
      </c>
      <c r="I59" s="26" t="str">
        <f t="shared" si="1"/>
        <v>MS 中南大区BN 田纳西和北阿拉巴马片区</v>
      </c>
      <c r="J59">
        <v>2</v>
      </c>
      <c r="K59">
        <v>4</v>
      </c>
      <c r="L59">
        <v>6</v>
      </c>
    </row>
    <row r="60" spans="1:12">
      <c r="A60" t="s">
        <v>58</v>
      </c>
      <c r="B60" t="s">
        <v>63</v>
      </c>
      <c r="C60">
        <v>7</v>
      </c>
      <c r="D60">
        <v>4</v>
      </c>
      <c r="E60">
        <v>11</v>
      </c>
      <c r="G60" t="s">
        <v>58</v>
      </c>
      <c r="H60" t="s">
        <v>63</v>
      </c>
      <c r="I60" s="26" t="str">
        <f t="shared" si="1"/>
        <v>MS 中南大区CLT.H</v>
      </c>
      <c r="J60">
        <v>7</v>
      </c>
      <c r="K60">
        <v>4</v>
      </c>
      <c r="L60">
        <v>11</v>
      </c>
    </row>
    <row r="61" spans="1:12">
      <c r="A61" t="s">
        <v>58</v>
      </c>
      <c r="B61" t="s">
        <v>64</v>
      </c>
      <c r="C61">
        <v>2</v>
      </c>
      <c r="D61">
        <v>11</v>
      </c>
      <c r="E61">
        <v>13</v>
      </c>
      <c r="G61" t="s">
        <v>58</v>
      </c>
      <c r="H61" t="s">
        <v>64</v>
      </c>
      <c r="I61" s="26" t="str">
        <f t="shared" si="1"/>
        <v>MS 中南大区CS 夏洛特及周边片区</v>
      </c>
      <c r="J61">
        <v>2</v>
      </c>
      <c r="K61">
        <v>11</v>
      </c>
      <c r="L61">
        <v>13</v>
      </c>
    </row>
    <row r="62" spans="1:12">
      <c r="A62" t="s">
        <v>58</v>
      </c>
      <c r="B62" t="s">
        <v>65</v>
      </c>
      <c r="C62"/>
      <c r="D62">
        <v>1</v>
      </c>
      <c r="E62">
        <v>1</v>
      </c>
      <c r="G62" t="s">
        <v>58</v>
      </c>
      <c r="H62" t="s">
        <v>65</v>
      </c>
      <c r="I62" s="26" t="str">
        <f t="shared" si="1"/>
        <v>MS 中南大区PDK.H</v>
      </c>
      <c r="K62">
        <v>1</v>
      </c>
      <c r="L62">
        <v>1</v>
      </c>
    </row>
    <row r="63" spans="1:12">
      <c r="A63" t="s">
        <v>58</v>
      </c>
      <c r="B63" t="s">
        <v>66</v>
      </c>
      <c r="C63"/>
      <c r="D63">
        <v>8</v>
      </c>
      <c r="E63">
        <v>8</v>
      </c>
      <c r="G63" t="s">
        <v>58</v>
      </c>
      <c r="H63" t="s">
        <v>66</v>
      </c>
      <c r="I63" s="26" t="str">
        <f t="shared" si="1"/>
        <v>MS 中南大区RE 北卡和东南海岸片区</v>
      </c>
      <c r="K63">
        <v>8</v>
      </c>
      <c r="L63">
        <v>8</v>
      </c>
    </row>
    <row r="64" spans="1:12">
      <c r="A64" t="s">
        <v>58</v>
      </c>
      <c r="B64" t="s">
        <v>44</v>
      </c>
      <c r="C64">
        <v>1</v>
      </c>
      <c r="D64">
        <v>1</v>
      </c>
      <c r="E64">
        <v>2</v>
      </c>
      <c r="G64" t="s">
        <v>58</v>
      </c>
      <c r="H64" t="s">
        <v>44</v>
      </c>
      <c r="I64" s="26" t="str">
        <f t="shared" si="1"/>
        <v>MS 中南大区车辆管理部</v>
      </c>
      <c r="J64">
        <v>1</v>
      </c>
      <c r="K64">
        <v>1</v>
      </c>
      <c r="L64">
        <v>2</v>
      </c>
    </row>
    <row r="65" spans="1:12">
      <c r="A65" t="s">
        <v>58</v>
      </c>
      <c r="B65" t="s">
        <v>45</v>
      </c>
      <c r="C65">
        <v>2</v>
      </c>
      <c r="D65">
        <v>1</v>
      </c>
      <c r="E65">
        <v>3</v>
      </c>
      <c r="G65" t="s">
        <v>58</v>
      </c>
      <c r="H65" t="s">
        <v>45</v>
      </c>
      <c r="I65" s="26" t="str">
        <f t="shared" si="1"/>
        <v>MS 中南大区揽收部</v>
      </c>
      <c r="J65">
        <v>2</v>
      </c>
      <c r="K65">
        <v>1</v>
      </c>
      <c r="L65">
        <v>3</v>
      </c>
    </row>
    <row r="66" spans="1:12">
      <c r="A66" t="s">
        <v>58</v>
      </c>
      <c r="B66" t="s">
        <v>29</v>
      </c>
      <c r="C66"/>
      <c r="D66">
        <v>3</v>
      </c>
      <c r="E66">
        <v>3</v>
      </c>
      <c r="G66" t="s">
        <v>58</v>
      </c>
      <c r="H66" t="s">
        <v>29</v>
      </c>
      <c r="I66" s="26" t="str">
        <f t="shared" si="1"/>
        <v>MS 中南大区运营支持部</v>
      </c>
      <c r="K66">
        <v>3</v>
      </c>
      <c r="L66">
        <v>3</v>
      </c>
    </row>
    <row r="67" spans="1:12">
      <c r="A67" t="s">
        <v>67</v>
      </c>
      <c r="B67"/>
      <c r="C67">
        <v>31</v>
      </c>
      <c r="D67">
        <v>51</v>
      </c>
      <c r="E67">
        <v>82</v>
      </c>
      <c r="G67" t="s">
        <v>67</v>
      </c>
      <c r="I67" s="26" t="str">
        <f t="shared" si="1"/>
        <v>MS 中南大区 汇总</v>
      </c>
      <c r="J67">
        <v>31</v>
      </c>
      <c r="K67">
        <v>51</v>
      </c>
      <c r="L67">
        <v>82</v>
      </c>
    </row>
    <row r="68" spans="1:12">
      <c r="A68" t="s">
        <v>68</v>
      </c>
      <c r="B68"/>
      <c r="C68"/>
      <c r="D68">
        <v>1</v>
      </c>
      <c r="E68">
        <v>1</v>
      </c>
      <c r="G68" t="s">
        <v>68</v>
      </c>
      <c r="I68" s="26" t="str">
        <f t="shared" si="1"/>
        <v>NE 东北大区</v>
      </c>
      <c r="K68">
        <v>1</v>
      </c>
      <c r="L68">
        <v>1</v>
      </c>
    </row>
    <row r="69" spans="1:12">
      <c r="A69" t="s">
        <v>68</v>
      </c>
      <c r="B69" t="s">
        <v>69</v>
      </c>
      <c r="C69">
        <v>2</v>
      </c>
      <c r="D69">
        <v>1</v>
      </c>
      <c r="E69">
        <v>3</v>
      </c>
      <c r="G69" t="s">
        <v>68</v>
      </c>
      <c r="H69" t="s">
        <v>69</v>
      </c>
      <c r="I69" s="26" t="str">
        <f t="shared" si="1"/>
        <v>NE 东北大区BDL01</v>
      </c>
      <c r="J69">
        <v>2</v>
      </c>
      <c r="K69">
        <v>1</v>
      </c>
      <c r="L69">
        <v>3</v>
      </c>
    </row>
    <row r="70" spans="1:12">
      <c r="A70" t="s">
        <v>68</v>
      </c>
      <c r="B70" t="s">
        <v>70</v>
      </c>
      <c r="C70">
        <v>3</v>
      </c>
      <c r="D70">
        <v>3</v>
      </c>
      <c r="E70">
        <v>6</v>
      </c>
      <c r="G70" t="s">
        <v>68</v>
      </c>
      <c r="H70" t="s">
        <v>70</v>
      </c>
      <c r="I70" s="26" t="str">
        <f t="shared" ref="I70:I115" si="2">G70&amp;""&amp;H70</f>
        <v>NE 东北大区BN 布法罗片区</v>
      </c>
      <c r="J70">
        <v>3</v>
      </c>
      <c r="K70">
        <v>3</v>
      </c>
      <c r="L70">
        <v>6</v>
      </c>
    </row>
    <row r="71" spans="1:12">
      <c r="A71" t="s">
        <v>68</v>
      </c>
      <c r="B71" t="s">
        <v>71</v>
      </c>
      <c r="C71"/>
      <c r="D71">
        <v>2</v>
      </c>
      <c r="E71">
        <v>2</v>
      </c>
      <c r="G71" t="s">
        <v>68</v>
      </c>
      <c r="H71" t="s">
        <v>71</v>
      </c>
      <c r="I71" s="26" t="str">
        <f t="shared" si="2"/>
        <v>NE 东北大区BOS01</v>
      </c>
      <c r="K71">
        <v>2</v>
      </c>
      <c r="L71">
        <v>2</v>
      </c>
    </row>
    <row r="72" spans="1:12">
      <c r="A72" t="s">
        <v>68</v>
      </c>
      <c r="B72" t="s">
        <v>72</v>
      </c>
      <c r="C72"/>
      <c r="D72">
        <v>2</v>
      </c>
      <c r="E72">
        <v>2</v>
      </c>
      <c r="G72" t="s">
        <v>68</v>
      </c>
      <c r="H72" t="s">
        <v>72</v>
      </c>
      <c r="I72" s="26" t="str">
        <f t="shared" si="2"/>
        <v>NE 东北大区BUF01</v>
      </c>
      <c r="K72">
        <v>2</v>
      </c>
      <c r="L72">
        <v>2</v>
      </c>
    </row>
    <row r="73" spans="1:12">
      <c r="A73" t="s">
        <v>68</v>
      </c>
      <c r="B73" t="s">
        <v>73</v>
      </c>
      <c r="C73">
        <v>1</v>
      </c>
      <c r="D73">
        <v>5</v>
      </c>
      <c r="E73">
        <v>6</v>
      </c>
      <c r="G73" t="s">
        <v>68</v>
      </c>
      <c r="H73" t="s">
        <v>73</v>
      </c>
      <c r="I73" s="26" t="str">
        <f t="shared" si="2"/>
        <v>NE 东北大区BWI.H</v>
      </c>
      <c r="J73">
        <v>1</v>
      </c>
      <c r="K73">
        <v>5</v>
      </c>
      <c r="L73">
        <v>6</v>
      </c>
    </row>
    <row r="74" spans="1:12">
      <c r="A74" t="s">
        <v>68</v>
      </c>
      <c r="B74" t="s">
        <v>74</v>
      </c>
      <c r="C74">
        <v>2</v>
      </c>
      <c r="D74"/>
      <c r="E74">
        <v>2</v>
      </c>
      <c r="G74" t="s">
        <v>68</v>
      </c>
      <c r="H74" t="s">
        <v>74</v>
      </c>
      <c r="I74" s="26" t="str">
        <f t="shared" si="2"/>
        <v>NE 东北大区BWI01</v>
      </c>
      <c r="J74">
        <v>2</v>
      </c>
      <c r="L74">
        <v>2</v>
      </c>
    </row>
    <row r="75" spans="1:12">
      <c r="A75" t="s">
        <v>68</v>
      </c>
      <c r="B75" t="s">
        <v>75</v>
      </c>
      <c r="C75">
        <v>12</v>
      </c>
      <c r="D75">
        <v>8</v>
      </c>
      <c r="E75">
        <v>20</v>
      </c>
      <c r="G75" t="s">
        <v>68</v>
      </c>
      <c r="H75" t="s">
        <v>75</v>
      </c>
      <c r="I75" s="26" t="str">
        <f t="shared" si="2"/>
        <v>NE 东北大区DC 华盛顿片区</v>
      </c>
      <c r="J75">
        <v>12</v>
      </c>
      <c r="K75">
        <v>8</v>
      </c>
      <c r="L75">
        <v>20</v>
      </c>
    </row>
    <row r="76" spans="1:12">
      <c r="A76" t="s">
        <v>68</v>
      </c>
      <c r="B76" t="s">
        <v>76</v>
      </c>
      <c r="C76">
        <v>22</v>
      </c>
      <c r="D76">
        <v>16</v>
      </c>
      <c r="E76">
        <v>38</v>
      </c>
      <c r="G76" t="s">
        <v>68</v>
      </c>
      <c r="H76" t="s">
        <v>76</v>
      </c>
      <c r="I76" s="26" t="str">
        <f t="shared" si="2"/>
        <v>NE 东北大区EWR.H</v>
      </c>
      <c r="J76">
        <v>22</v>
      </c>
      <c r="K76">
        <v>16</v>
      </c>
      <c r="L76">
        <v>38</v>
      </c>
    </row>
    <row r="77" spans="1:12">
      <c r="A77" t="s">
        <v>68</v>
      </c>
      <c r="B77" t="s">
        <v>77</v>
      </c>
      <c r="C77">
        <v>1</v>
      </c>
      <c r="D77"/>
      <c r="E77">
        <v>1</v>
      </c>
      <c r="G77" t="s">
        <v>68</v>
      </c>
      <c r="H77" t="s">
        <v>77</v>
      </c>
      <c r="I77" s="26" t="str">
        <f t="shared" si="2"/>
        <v>NE 东北大区EWR01</v>
      </c>
      <c r="J77">
        <v>1</v>
      </c>
      <c r="L77">
        <v>1</v>
      </c>
    </row>
    <row r="78" spans="1:12">
      <c r="A78" t="s">
        <v>68</v>
      </c>
      <c r="B78" t="s">
        <v>78</v>
      </c>
      <c r="C78">
        <v>9</v>
      </c>
      <c r="D78">
        <v>6</v>
      </c>
      <c r="E78">
        <v>15</v>
      </c>
      <c r="G78" t="s">
        <v>68</v>
      </c>
      <c r="H78" t="s">
        <v>78</v>
      </c>
      <c r="I78" s="26" t="str">
        <f t="shared" si="2"/>
        <v>NE 东北大区JFK.H</v>
      </c>
      <c r="J78">
        <v>9</v>
      </c>
      <c r="K78">
        <v>6</v>
      </c>
      <c r="L78">
        <v>15</v>
      </c>
    </row>
    <row r="79" spans="1:12">
      <c r="A79" t="s">
        <v>68</v>
      </c>
      <c r="B79" t="s">
        <v>79</v>
      </c>
      <c r="C79"/>
      <c r="D79">
        <v>1</v>
      </c>
      <c r="E79">
        <v>1</v>
      </c>
      <c r="G79" t="s">
        <v>68</v>
      </c>
      <c r="H79" t="s">
        <v>79</v>
      </c>
      <c r="I79" s="26" t="str">
        <f t="shared" si="2"/>
        <v>NE 东北大区JFK01</v>
      </c>
      <c r="K79">
        <v>1</v>
      </c>
      <c r="L79">
        <v>1</v>
      </c>
    </row>
    <row r="80" spans="1:12">
      <c r="A80" t="s">
        <v>68</v>
      </c>
      <c r="B80" t="s">
        <v>80</v>
      </c>
      <c r="C80">
        <v>7</v>
      </c>
      <c r="D80">
        <v>1</v>
      </c>
      <c r="E80">
        <v>8</v>
      </c>
      <c r="G80" t="s">
        <v>68</v>
      </c>
      <c r="H80" t="s">
        <v>80</v>
      </c>
      <c r="I80" s="26" t="str">
        <f t="shared" si="2"/>
        <v>NE 东北大区MA 新英格兰片区</v>
      </c>
      <c r="J80">
        <v>7</v>
      </c>
      <c r="K80">
        <v>1</v>
      </c>
      <c r="L80">
        <v>8</v>
      </c>
    </row>
    <row r="81" spans="1:12">
      <c r="A81" t="s">
        <v>68</v>
      </c>
      <c r="B81" t="s">
        <v>81</v>
      </c>
      <c r="C81">
        <v>5</v>
      </c>
      <c r="D81">
        <v>11</v>
      </c>
      <c r="E81">
        <v>16</v>
      </c>
      <c r="G81" t="s">
        <v>68</v>
      </c>
      <c r="H81" t="s">
        <v>81</v>
      </c>
      <c r="I81" s="26" t="str">
        <f t="shared" si="2"/>
        <v>NE 东北大区NY 纽约片区</v>
      </c>
      <c r="J81">
        <v>5</v>
      </c>
      <c r="K81">
        <v>11</v>
      </c>
      <c r="L81">
        <v>16</v>
      </c>
    </row>
    <row r="82" spans="1:12">
      <c r="A82" t="s">
        <v>68</v>
      </c>
      <c r="B82" t="s">
        <v>82</v>
      </c>
      <c r="C82">
        <v>3</v>
      </c>
      <c r="D82">
        <v>5</v>
      </c>
      <c r="E82">
        <v>8</v>
      </c>
      <c r="G82" t="s">
        <v>68</v>
      </c>
      <c r="H82" t="s">
        <v>82</v>
      </c>
      <c r="I82" s="26" t="str">
        <f t="shared" si="2"/>
        <v>NE 东北大区PA 宾州片区</v>
      </c>
      <c r="J82">
        <v>3</v>
      </c>
      <c r="K82">
        <v>5</v>
      </c>
      <c r="L82">
        <v>8</v>
      </c>
    </row>
    <row r="83" spans="1:12">
      <c r="A83" t="s">
        <v>68</v>
      </c>
      <c r="B83" t="s">
        <v>83</v>
      </c>
      <c r="C83"/>
      <c r="D83">
        <v>1</v>
      </c>
      <c r="E83">
        <v>1</v>
      </c>
      <c r="G83" t="s">
        <v>68</v>
      </c>
      <c r="H83" t="s">
        <v>83</v>
      </c>
      <c r="I83" s="26" t="str">
        <f t="shared" si="2"/>
        <v>NE 东北大区PHL01</v>
      </c>
      <c r="K83">
        <v>1</v>
      </c>
      <c r="L83">
        <v>1</v>
      </c>
    </row>
    <row r="84" spans="1:12">
      <c r="A84" t="s">
        <v>68</v>
      </c>
      <c r="B84" t="s">
        <v>84</v>
      </c>
      <c r="C84">
        <v>1</v>
      </c>
      <c r="D84"/>
      <c r="E84">
        <v>1</v>
      </c>
      <c r="G84" t="s">
        <v>68</v>
      </c>
      <c r="H84" t="s">
        <v>84</v>
      </c>
      <c r="I84" s="26" t="str">
        <f t="shared" si="2"/>
        <v>NE 东北大区PIT01</v>
      </c>
      <c r="J84">
        <v>1</v>
      </c>
      <c r="L84">
        <v>1</v>
      </c>
    </row>
    <row r="85" spans="1:12">
      <c r="A85" t="s">
        <v>68</v>
      </c>
      <c r="B85" t="s">
        <v>85</v>
      </c>
      <c r="C85"/>
      <c r="D85">
        <v>1</v>
      </c>
      <c r="E85">
        <v>1</v>
      </c>
      <c r="G85" t="s">
        <v>68</v>
      </c>
      <c r="H85" t="s">
        <v>85</v>
      </c>
      <c r="I85" s="26" t="str">
        <f t="shared" si="2"/>
        <v>NE 东北大区RIC01</v>
      </c>
      <c r="K85">
        <v>1</v>
      </c>
      <c r="L85">
        <v>1</v>
      </c>
    </row>
    <row r="86" spans="1:12">
      <c r="A86" t="s">
        <v>68</v>
      </c>
      <c r="B86" t="s">
        <v>44</v>
      </c>
      <c r="C86">
        <v>4</v>
      </c>
      <c r="D86">
        <v>2</v>
      </c>
      <c r="E86">
        <v>6</v>
      </c>
      <c r="G86" t="s">
        <v>68</v>
      </c>
      <c r="H86" t="s">
        <v>44</v>
      </c>
      <c r="I86" s="26" t="str">
        <f t="shared" si="2"/>
        <v>NE 东北大区车辆管理部</v>
      </c>
      <c r="J86">
        <v>4</v>
      </c>
      <c r="K86">
        <v>2</v>
      </c>
      <c r="L86">
        <v>6</v>
      </c>
    </row>
    <row r="87" spans="1:12">
      <c r="A87" t="s">
        <v>68</v>
      </c>
      <c r="B87" t="s">
        <v>45</v>
      </c>
      <c r="C87">
        <v>8</v>
      </c>
      <c r="D87">
        <v>5</v>
      </c>
      <c r="E87">
        <v>13</v>
      </c>
      <c r="G87" t="s">
        <v>68</v>
      </c>
      <c r="H87" t="s">
        <v>45</v>
      </c>
      <c r="I87" s="26" t="str">
        <f t="shared" si="2"/>
        <v>NE 东北大区揽收部</v>
      </c>
      <c r="J87">
        <v>8</v>
      </c>
      <c r="K87">
        <v>5</v>
      </c>
      <c r="L87">
        <v>13</v>
      </c>
    </row>
    <row r="88" spans="1:12">
      <c r="A88" t="s">
        <v>68</v>
      </c>
      <c r="B88" t="s">
        <v>29</v>
      </c>
      <c r="C88">
        <v>4</v>
      </c>
      <c r="D88">
        <v>11</v>
      </c>
      <c r="E88">
        <v>15</v>
      </c>
      <c r="G88" t="s">
        <v>68</v>
      </c>
      <c r="H88" t="s">
        <v>29</v>
      </c>
      <c r="I88" s="26" t="str">
        <f t="shared" si="2"/>
        <v>NE 东北大区运营支持部</v>
      </c>
      <c r="J88">
        <v>4</v>
      </c>
      <c r="K88">
        <v>11</v>
      </c>
      <c r="L88">
        <v>15</v>
      </c>
    </row>
    <row r="89" spans="1:12">
      <c r="A89" t="s">
        <v>86</v>
      </c>
      <c r="B89"/>
      <c r="C89">
        <v>84</v>
      </c>
      <c r="D89">
        <v>82</v>
      </c>
      <c r="E89">
        <v>166</v>
      </c>
      <c r="G89" t="s">
        <v>86</v>
      </c>
      <c r="I89" s="26" t="str">
        <f t="shared" si="2"/>
        <v>NE 东北大区 汇总</v>
      </c>
      <c r="J89">
        <v>84</v>
      </c>
      <c r="K89">
        <v>82</v>
      </c>
      <c r="L89">
        <v>166</v>
      </c>
    </row>
    <row r="90" spans="1:12">
      <c r="A90" t="s">
        <v>87</v>
      </c>
      <c r="B90"/>
      <c r="C90"/>
      <c r="D90">
        <v>1</v>
      </c>
      <c r="E90">
        <v>1</v>
      </c>
      <c r="G90" t="s">
        <v>87</v>
      </c>
      <c r="I90" s="26" t="str">
        <f t="shared" si="2"/>
        <v>NP 网络规划部</v>
      </c>
      <c r="K90">
        <v>1</v>
      </c>
      <c r="L90">
        <v>1</v>
      </c>
    </row>
    <row r="91" spans="1:12">
      <c r="A91" t="s">
        <v>88</v>
      </c>
      <c r="B91"/>
      <c r="C91">
        <v>4</v>
      </c>
      <c r="D91">
        <v>12</v>
      </c>
      <c r="E91">
        <v>16</v>
      </c>
      <c r="G91" t="s">
        <v>88</v>
      </c>
      <c r="I91" s="26" t="str">
        <f t="shared" si="2"/>
        <v>OM 操作管理部</v>
      </c>
      <c r="J91">
        <v>4</v>
      </c>
      <c r="K91">
        <v>12</v>
      </c>
      <c r="L91">
        <v>16</v>
      </c>
    </row>
    <row r="92" spans="1:12">
      <c r="A92" t="s">
        <v>89</v>
      </c>
      <c r="B92"/>
      <c r="C92">
        <v>5</v>
      </c>
      <c r="D92">
        <v>1</v>
      </c>
      <c r="E92">
        <v>6</v>
      </c>
      <c r="G92" t="s">
        <v>89</v>
      </c>
      <c r="I92" s="26" t="str">
        <f t="shared" si="2"/>
        <v>QC 质量控制部</v>
      </c>
      <c r="J92">
        <v>5</v>
      </c>
      <c r="K92">
        <v>1</v>
      </c>
      <c r="L92">
        <v>6</v>
      </c>
    </row>
    <row r="93" spans="1:12">
      <c r="A93" t="s">
        <v>90</v>
      </c>
      <c r="B93"/>
      <c r="C93"/>
      <c r="D93">
        <v>1</v>
      </c>
      <c r="E93">
        <v>1</v>
      </c>
      <c r="G93" t="s">
        <v>90</v>
      </c>
      <c r="I93" s="26" t="str">
        <f t="shared" si="2"/>
        <v>SM 战略管理部</v>
      </c>
      <c r="K93">
        <v>1</v>
      </c>
      <c r="L93">
        <v>1</v>
      </c>
    </row>
    <row r="94" spans="1:12">
      <c r="A94" t="s">
        <v>91</v>
      </c>
      <c r="B94"/>
      <c r="C94">
        <v>2</v>
      </c>
      <c r="D94">
        <v>6</v>
      </c>
      <c r="E94">
        <v>8</v>
      </c>
      <c r="G94" t="s">
        <v>91</v>
      </c>
      <c r="I94" s="26" t="str">
        <f t="shared" si="2"/>
        <v>SM 站点管理部</v>
      </c>
      <c r="J94">
        <v>2</v>
      </c>
      <c r="K94">
        <v>6</v>
      </c>
      <c r="L94">
        <v>8</v>
      </c>
    </row>
    <row r="95" spans="1:12">
      <c r="A95" t="s">
        <v>92</v>
      </c>
      <c r="B95"/>
      <c r="C95"/>
      <c r="D95">
        <v>1</v>
      </c>
      <c r="E95">
        <v>1</v>
      </c>
      <c r="G95" t="s">
        <v>92</v>
      </c>
      <c r="I95" s="26" t="str">
        <f t="shared" si="2"/>
        <v>TX 德州大区</v>
      </c>
      <c r="K95">
        <v>1</v>
      </c>
      <c r="L95">
        <v>1</v>
      </c>
    </row>
    <row r="96" spans="1:12">
      <c r="A96" t="s">
        <v>92</v>
      </c>
      <c r="B96" t="s">
        <v>93</v>
      </c>
      <c r="C96">
        <v>2</v>
      </c>
      <c r="D96">
        <v>8</v>
      </c>
      <c r="E96">
        <v>10</v>
      </c>
      <c r="G96" t="s">
        <v>92</v>
      </c>
      <c r="H96" t="s">
        <v>93</v>
      </c>
      <c r="I96" s="26" t="str">
        <f t="shared" si="2"/>
        <v>TX 德州大区CT 中德州片区</v>
      </c>
      <c r="J96">
        <v>2</v>
      </c>
      <c r="K96">
        <v>8</v>
      </c>
      <c r="L96">
        <v>10</v>
      </c>
    </row>
    <row r="97" spans="1:12">
      <c r="A97" t="s">
        <v>92</v>
      </c>
      <c r="B97" t="s">
        <v>94</v>
      </c>
      <c r="C97">
        <v>14</v>
      </c>
      <c r="D97">
        <v>11</v>
      </c>
      <c r="E97">
        <v>25</v>
      </c>
      <c r="G97" t="s">
        <v>92</v>
      </c>
      <c r="H97" t="s">
        <v>94</v>
      </c>
      <c r="I97" s="26" t="str">
        <f t="shared" si="2"/>
        <v>TX 德州大区DFW.H</v>
      </c>
      <c r="J97">
        <v>14</v>
      </c>
      <c r="K97">
        <v>11</v>
      </c>
      <c r="L97">
        <v>25</v>
      </c>
    </row>
    <row r="98" spans="1:12">
      <c r="A98" t="s">
        <v>92</v>
      </c>
      <c r="B98" t="s">
        <v>95</v>
      </c>
      <c r="C98">
        <v>3</v>
      </c>
      <c r="D98">
        <v>12</v>
      </c>
      <c r="E98">
        <v>15</v>
      </c>
      <c r="G98" t="s">
        <v>92</v>
      </c>
      <c r="H98" t="s">
        <v>95</v>
      </c>
      <c r="I98" s="26" t="str">
        <f t="shared" si="2"/>
        <v>TX 德州大区GC 墨湾片区</v>
      </c>
      <c r="J98">
        <v>3</v>
      </c>
      <c r="K98">
        <v>12</v>
      </c>
      <c r="L98">
        <v>15</v>
      </c>
    </row>
    <row r="99" spans="1:12">
      <c r="A99" t="s">
        <v>92</v>
      </c>
      <c r="B99" t="s">
        <v>96</v>
      </c>
      <c r="C99">
        <v>11</v>
      </c>
      <c r="D99">
        <v>7</v>
      </c>
      <c r="E99">
        <v>18</v>
      </c>
      <c r="G99" t="s">
        <v>92</v>
      </c>
      <c r="H99" t="s">
        <v>96</v>
      </c>
      <c r="I99" s="26" t="str">
        <f t="shared" si="2"/>
        <v>TX 德州大区IAH.H</v>
      </c>
      <c r="J99">
        <v>11</v>
      </c>
      <c r="K99">
        <v>7</v>
      </c>
      <c r="L99">
        <v>18</v>
      </c>
    </row>
    <row r="100" spans="1:12">
      <c r="A100" t="s">
        <v>92</v>
      </c>
      <c r="B100" t="s">
        <v>97</v>
      </c>
      <c r="C100">
        <v>4</v>
      </c>
      <c r="D100">
        <v>11</v>
      </c>
      <c r="E100">
        <v>15</v>
      </c>
      <c r="G100" t="s">
        <v>92</v>
      </c>
      <c r="H100" t="s">
        <v>97</v>
      </c>
      <c r="I100" s="26" t="str">
        <f t="shared" si="2"/>
        <v>TX 德州大区NT 北德州片区</v>
      </c>
      <c r="J100">
        <v>4</v>
      </c>
      <c r="K100">
        <v>11</v>
      </c>
      <c r="L100">
        <v>15</v>
      </c>
    </row>
    <row r="101" spans="1:12">
      <c r="A101" t="s">
        <v>92</v>
      </c>
      <c r="B101" t="s">
        <v>45</v>
      </c>
      <c r="C101">
        <v>7</v>
      </c>
      <c r="D101">
        <v>2</v>
      </c>
      <c r="E101">
        <v>9</v>
      </c>
      <c r="G101" t="s">
        <v>92</v>
      </c>
      <c r="H101" t="s">
        <v>45</v>
      </c>
      <c r="I101" s="26" t="str">
        <f t="shared" si="2"/>
        <v>TX 德州大区揽收部</v>
      </c>
      <c r="J101">
        <v>7</v>
      </c>
      <c r="K101">
        <v>2</v>
      </c>
      <c r="L101">
        <v>9</v>
      </c>
    </row>
    <row r="102" spans="1:12">
      <c r="A102" t="s">
        <v>92</v>
      </c>
      <c r="B102" t="s">
        <v>29</v>
      </c>
      <c r="C102">
        <v>5</v>
      </c>
      <c r="D102">
        <v>2</v>
      </c>
      <c r="E102">
        <v>7</v>
      </c>
      <c r="G102" t="s">
        <v>92</v>
      </c>
      <c r="H102" t="s">
        <v>29</v>
      </c>
      <c r="I102" s="26" t="str">
        <f t="shared" si="2"/>
        <v>TX 德州大区运营支持部</v>
      </c>
      <c r="J102">
        <v>5</v>
      </c>
      <c r="K102">
        <v>2</v>
      </c>
      <c r="L102">
        <v>7</v>
      </c>
    </row>
    <row r="103" spans="1:12">
      <c r="A103" t="s">
        <v>98</v>
      </c>
      <c r="B103"/>
      <c r="C103">
        <v>46</v>
      </c>
      <c r="D103">
        <v>54</v>
      </c>
      <c r="E103">
        <v>100</v>
      </c>
      <c r="G103" t="s">
        <v>98</v>
      </c>
      <c r="I103" s="26" t="str">
        <f t="shared" si="2"/>
        <v>TX 德州大区 汇总</v>
      </c>
      <c r="J103">
        <v>46</v>
      </c>
      <c r="K103">
        <v>54</v>
      </c>
      <c r="L103">
        <v>100</v>
      </c>
    </row>
    <row r="104" spans="1:12">
      <c r="A104" t="s">
        <v>99</v>
      </c>
      <c r="B104"/>
      <c r="C104">
        <v>24</v>
      </c>
      <c r="D104">
        <v>25</v>
      </c>
      <c r="E104">
        <v>49</v>
      </c>
      <c r="G104" t="s">
        <v>99</v>
      </c>
      <c r="I104" s="26" t="str">
        <f t="shared" si="2"/>
        <v>US人力资源部</v>
      </c>
      <c r="J104">
        <v>24</v>
      </c>
      <c r="K104">
        <v>25</v>
      </c>
      <c r="L104">
        <v>49</v>
      </c>
    </row>
    <row r="105" spans="1:12">
      <c r="A105" t="s">
        <v>100</v>
      </c>
      <c r="B105" t="s">
        <v>101</v>
      </c>
      <c r="C105">
        <v>21</v>
      </c>
      <c r="D105">
        <v>27</v>
      </c>
      <c r="E105">
        <v>48</v>
      </c>
      <c r="G105" t="s">
        <v>100</v>
      </c>
      <c r="H105" t="s">
        <v>101</v>
      </c>
      <c r="I105" s="26" t="str">
        <f t="shared" si="2"/>
        <v>WE 美西大区CNO.H</v>
      </c>
      <c r="J105">
        <v>21</v>
      </c>
      <c r="K105">
        <v>27</v>
      </c>
      <c r="L105">
        <v>48</v>
      </c>
    </row>
    <row r="106" spans="1:12">
      <c r="A106" t="s">
        <v>100</v>
      </c>
      <c r="B106" t="s">
        <v>102</v>
      </c>
      <c r="C106">
        <v>6</v>
      </c>
      <c r="D106">
        <v>6</v>
      </c>
      <c r="E106">
        <v>12</v>
      </c>
      <c r="G106" t="s">
        <v>100</v>
      </c>
      <c r="H106" t="s">
        <v>102</v>
      </c>
      <c r="I106" s="26" t="str">
        <f t="shared" si="2"/>
        <v>WE 美西大区DS 丹佛·盐湖城片区</v>
      </c>
      <c r="J106">
        <v>6</v>
      </c>
      <c r="K106">
        <v>6</v>
      </c>
      <c r="L106">
        <v>12</v>
      </c>
    </row>
    <row r="107" spans="1:12">
      <c r="A107" t="s">
        <v>100</v>
      </c>
      <c r="B107" t="s">
        <v>103</v>
      </c>
      <c r="C107">
        <v>17</v>
      </c>
      <c r="D107">
        <v>24</v>
      </c>
      <c r="E107">
        <v>41</v>
      </c>
      <c r="G107" t="s">
        <v>100</v>
      </c>
      <c r="H107" t="s">
        <v>103</v>
      </c>
      <c r="I107" s="26" t="str">
        <f t="shared" si="2"/>
        <v>WE 美西大区LAV.H</v>
      </c>
      <c r="J107">
        <v>17</v>
      </c>
      <c r="K107">
        <v>24</v>
      </c>
      <c r="L107">
        <v>41</v>
      </c>
    </row>
    <row r="108" spans="1:12">
      <c r="A108" t="s">
        <v>100</v>
      </c>
      <c r="B108" t="s">
        <v>104</v>
      </c>
      <c r="C108">
        <v>3</v>
      </c>
      <c r="D108">
        <v>5</v>
      </c>
      <c r="E108">
        <v>8</v>
      </c>
      <c r="G108" t="s">
        <v>100</v>
      </c>
      <c r="H108" t="s">
        <v>104</v>
      </c>
      <c r="I108" s="26" t="str">
        <f t="shared" si="2"/>
        <v>WE 美西大区LA揽收部</v>
      </c>
      <c r="J108">
        <v>3</v>
      </c>
      <c r="K108">
        <v>5</v>
      </c>
      <c r="L108">
        <v>8</v>
      </c>
    </row>
    <row r="109" spans="1:12">
      <c r="A109" t="s">
        <v>100</v>
      </c>
      <c r="B109" t="s">
        <v>105</v>
      </c>
      <c r="C109">
        <v>10</v>
      </c>
      <c r="D109">
        <v>17</v>
      </c>
      <c r="E109">
        <v>27</v>
      </c>
      <c r="G109" t="s">
        <v>100</v>
      </c>
      <c r="H109" t="s">
        <v>105</v>
      </c>
      <c r="I109" s="26" t="str">
        <f t="shared" si="2"/>
        <v>WE 美西大区NC 北加片区</v>
      </c>
      <c r="J109">
        <v>10</v>
      </c>
      <c r="K109">
        <v>17</v>
      </c>
      <c r="L109">
        <v>27</v>
      </c>
    </row>
    <row r="110" spans="1:12">
      <c r="A110" t="s">
        <v>100</v>
      </c>
      <c r="B110" t="s">
        <v>106</v>
      </c>
      <c r="C110">
        <v>7</v>
      </c>
      <c r="D110">
        <v>17</v>
      </c>
      <c r="E110">
        <v>24</v>
      </c>
      <c r="G110" t="s">
        <v>100</v>
      </c>
      <c r="H110" t="s">
        <v>106</v>
      </c>
      <c r="I110" s="26" t="str">
        <f t="shared" si="2"/>
        <v>WE 美西大区SC 南加片区</v>
      </c>
      <c r="J110">
        <v>7</v>
      </c>
      <c r="K110">
        <v>17</v>
      </c>
      <c r="L110">
        <v>24</v>
      </c>
    </row>
    <row r="111" spans="1:12">
      <c r="A111" t="s">
        <v>100</v>
      </c>
      <c r="B111" t="s">
        <v>107</v>
      </c>
      <c r="C111">
        <v>3</v>
      </c>
      <c r="D111">
        <v>8</v>
      </c>
      <c r="E111">
        <v>11</v>
      </c>
      <c r="G111" t="s">
        <v>100</v>
      </c>
      <c r="H111" t="s">
        <v>107</v>
      </c>
      <c r="I111" s="26" t="str">
        <f t="shared" si="2"/>
        <v>WE 美西大区SP 西雅图·波特兰片区</v>
      </c>
      <c r="J111">
        <v>3</v>
      </c>
      <c r="K111">
        <v>8</v>
      </c>
      <c r="L111">
        <v>11</v>
      </c>
    </row>
    <row r="112" spans="1:12">
      <c r="A112" t="s">
        <v>100</v>
      </c>
      <c r="B112" t="s">
        <v>44</v>
      </c>
      <c r="C112">
        <v>5</v>
      </c>
      <c r="D112">
        <v>1</v>
      </c>
      <c r="E112">
        <v>6</v>
      </c>
      <c r="G112" t="s">
        <v>100</v>
      </c>
      <c r="H112" t="s">
        <v>44</v>
      </c>
      <c r="I112" s="26" t="str">
        <f t="shared" si="2"/>
        <v>WE 美西大区车辆管理部</v>
      </c>
      <c r="J112">
        <v>5</v>
      </c>
      <c r="K112">
        <v>1</v>
      </c>
      <c r="L112">
        <v>6</v>
      </c>
    </row>
    <row r="113" spans="1:12">
      <c r="A113" t="s">
        <v>100</v>
      </c>
      <c r="B113" t="s">
        <v>29</v>
      </c>
      <c r="C113">
        <v>7</v>
      </c>
      <c r="D113">
        <v>6</v>
      </c>
      <c r="E113">
        <v>13</v>
      </c>
      <c r="G113" t="s">
        <v>100</v>
      </c>
      <c r="H113" t="s">
        <v>29</v>
      </c>
      <c r="I113" s="26" t="str">
        <f t="shared" si="2"/>
        <v>WE 美西大区运营支持部</v>
      </c>
      <c r="J113">
        <v>7</v>
      </c>
      <c r="K113">
        <v>6</v>
      </c>
      <c r="L113">
        <v>13</v>
      </c>
    </row>
    <row r="114" spans="1:12">
      <c r="A114" t="s">
        <v>108</v>
      </c>
      <c r="B114"/>
      <c r="C114">
        <v>79</v>
      </c>
      <c r="D114">
        <v>111</v>
      </c>
      <c r="E114">
        <v>190</v>
      </c>
      <c r="G114" t="s">
        <v>108</v>
      </c>
      <c r="I114" s="26" t="str">
        <f t="shared" si="2"/>
        <v>WE 美西大区 汇总</v>
      </c>
      <c r="J114">
        <v>79</v>
      </c>
      <c r="K114">
        <v>111</v>
      </c>
      <c r="L114">
        <v>190</v>
      </c>
    </row>
    <row r="115" spans="1:12">
      <c r="A115" t="s">
        <v>6</v>
      </c>
      <c r="B115"/>
      <c r="C115">
        <v>433</v>
      </c>
      <c r="D115">
        <v>557</v>
      </c>
      <c r="E115">
        <v>990</v>
      </c>
      <c r="G115" t="s">
        <v>6</v>
      </c>
      <c r="I115" s="26" t="str">
        <f t="shared" si="2"/>
        <v>总计</v>
      </c>
      <c r="J115">
        <v>433</v>
      </c>
      <c r="K115">
        <v>557</v>
      </c>
      <c r="L115">
        <v>990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15"/>
  <sheetViews>
    <sheetView topLeftCell="E1" workbookViewId="0">
      <selection activeCell="B10" sqref="B10"/>
    </sheetView>
  </sheetViews>
  <sheetFormatPr defaultColWidth="8.88888888888889" defaultRowHeight="14.4"/>
  <cols>
    <col min="1" max="1" width="15.2222222222222"/>
    <col min="2" max="2" width="31"/>
    <col min="3" max="4" width="11.6666666666667"/>
    <col min="5" max="5" width="5.66666666666667"/>
    <col min="6" max="6" width="13.8888888888889"/>
    <col min="7" max="12" width="15.5555555555556" customWidth="1"/>
    <col min="13" max="13" width="12.8888888888889"/>
  </cols>
  <sheetData>
    <row r="3" spans="1:10">
      <c r="A3" t="s">
        <v>0</v>
      </c>
      <c r="B3"/>
      <c r="C3" t="s">
        <v>109</v>
      </c>
      <c r="D3"/>
      <c r="G3" t="s">
        <v>0</v>
      </c>
      <c r="J3" t="s">
        <v>109</v>
      </c>
    </row>
    <row r="4" spans="1:13">
      <c r="A4" t="s">
        <v>2</v>
      </c>
      <c r="B4" t="s">
        <v>3</v>
      </c>
      <c r="C4" t="s">
        <v>4</v>
      </c>
      <c r="D4" t="s">
        <v>5</v>
      </c>
      <c r="E4" t="s">
        <v>6</v>
      </c>
      <c r="G4" t="s">
        <v>2</v>
      </c>
      <c r="H4" t="s">
        <v>3</v>
      </c>
      <c r="I4" s="26" t="s">
        <v>7</v>
      </c>
      <c r="J4" t="s">
        <v>4</v>
      </c>
      <c r="K4" t="s">
        <v>5</v>
      </c>
      <c r="L4" t="s">
        <v>6</v>
      </c>
      <c r="M4" t="s">
        <v>110</v>
      </c>
    </row>
    <row r="5" spans="1:13">
      <c r="A5" t="s">
        <v>8</v>
      </c>
      <c r="C5">
        <v>18</v>
      </c>
      <c r="D5"/>
      <c r="E5">
        <v>18</v>
      </c>
      <c r="G5" t="s">
        <v>8</v>
      </c>
      <c r="I5" s="26" t="str">
        <f>G5&amp;""&amp;H5</f>
        <v>AD 行政部</v>
      </c>
      <c r="J5">
        <v>18</v>
      </c>
      <c r="L5">
        <v>18</v>
      </c>
      <c r="M5">
        <f>J5/L5</f>
        <v>1</v>
      </c>
    </row>
    <row r="6" spans="1:13">
      <c r="A6" t="s">
        <v>9</v>
      </c>
      <c r="C6">
        <v>2</v>
      </c>
      <c r="D6"/>
      <c r="E6">
        <v>2</v>
      </c>
      <c r="G6" t="s">
        <v>9</v>
      </c>
      <c r="I6" s="26" t="str">
        <f t="shared" ref="I6:I37" si="0">G6&amp;""&amp;H6</f>
        <v>AS 审计监察部</v>
      </c>
      <c r="J6">
        <v>2</v>
      </c>
      <c r="L6">
        <v>2</v>
      </c>
      <c r="M6">
        <f t="shared" ref="M6:M37" si="1">J6/L6</f>
        <v>1</v>
      </c>
    </row>
    <row r="7" spans="1:13">
      <c r="A7" t="s">
        <v>10</v>
      </c>
      <c r="C7">
        <v>17</v>
      </c>
      <c r="D7"/>
      <c r="E7">
        <v>17</v>
      </c>
      <c r="G7" t="s">
        <v>10</v>
      </c>
      <c r="I7" s="26" t="str">
        <f t="shared" si="0"/>
        <v>BD 本地客户部</v>
      </c>
      <c r="J7">
        <v>17</v>
      </c>
      <c r="L7">
        <v>17</v>
      </c>
      <c r="M7">
        <f t="shared" si="1"/>
        <v>1</v>
      </c>
    </row>
    <row r="8" spans="1:13">
      <c r="A8" t="s">
        <v>11</v>
      </c>
      <c r="C8">
        <v>6</v>
      </c>
      <c r="D8"/>
      <c r="E8">
        <v>6</v>
      </c>
      <c r="G8" t="s">
        <v>11</v>
      </c>
      <c r="I8" s="26" t="str">
        <f t="shared" si="0"/>
        <v>BM 品牌市场部</v>
      </c>
      <c r="J8">
        <v>6</v>
      </c>
      <c r="L8">
        <v>6</v>
      </c>
      <c r="M8">
        <f t="shared" si="1"/>
        <v>1</v>
      </c>
    </row>
    <row r="9" spans="1:13">
      <c r="A9" t="s">
        <v>12</v>
      </c>
      <c r="C9">
        <v>12</v>
      </c>
      <c r="D9"/>
      <c r="E9">
        <v>12</v>
      </c>
      <c r="G9" t="s">
        <v>12</v>
      </c>
      <c r="I9" s="26" t="str">
        <f t="shared" si="0"/>
        <v>CM 运力管理部</v>
      </c>
      <c r="J9">
        <v>12</v>
      </c>
      <c r="L9">
        <v>12</v>
      </c>
      <c r="M9">
        <f t="shared" si="1"/>
        <v>1</v>
      </c>
    </row>
    <row r="10" spans="1:13">
      <c r="A10" t="s">
        <v>13</v>
      </c>
      <c r="C10">
        <v>7</v>
      </c>
      <c r="D10"/>
      <c r="E10">
        <v>7</v>
      </c>
      <c r="G10" t="s">
        <v>13</v>
      </c>
      <c r="I10" s="26" t="str">
        <f t="shared" si="0"/>
        <v>CS 客户服务部</v>
      </c>
      <c r="J10">
        <v>7</v>
      </c>
      <c r="L10">
        <v>7</v>
      </c>
      <c r="M10">
        <f t="shared" si="1"/>
        <v>1</v>
      </c>
    </row>
    <row r="11" spans="1:13">
      <c r="A11" t="s">
        <v>14</v>
      </c>
      <c r="C11">
        <v>15</v>
      </c>
      <c r="D11"/>
      <c r="E11">
        <v>15</v>
      </c>
      <c r="G11" t="s">
        <v>14</v>
      </c>
      <c r="I11" s="26" t="str">
        <f t="shared" si="0"/>
        <v>DO 数字运营部</v>
      </c>
      <c r="J11">
        <v>15</v>
      </c>
      <c r="L11">
        <v>15</v>
      </c>
      <c r="M11">
        <f t="shared" si="1"/>
        <v>1</v>
      </c>
    </row>
    <row r="12" spans="1:13">
      <c r="A12" t="s">
        <v>15</v>
      </c>
      <c r="B12"/>
      <c r="C12">
        <v>1</v>
      </c>
      <c r="D12"/>
      <c r="E12">
        <v>1</v>
      </c>
      <c r="G12" t="s">
        <v>15</v>
      </c>
      <c r="I12" s="26" t="str">
        <f t="shared" si="0"/>
        <v>FL 佛州大区</v>
      </c>
      <c r="J12">
        <v>1</v>
      </c>
      <c r="L12">
        <v>1</v>
      </c>
      <c r="M12">
        <f t="shared" si="1"/>
        <v>1</v>
      </c>
    </row>
    <row r="13" spans="1:13">
      <c r="A13" t="s">
        <v>15</v>
      </c>
      <c r="B13" t="s">
        <v>16</v>
      </c>
      <c r="C13">
        <v>3</v>
      </c>
      <c r="D13"/>
      <c r="E13">
        <v>3</v>
      </c>
      <c r="G13" t="s">
        <v>15</v>
      </c>
      <c r="H13" t="s">
        <v>16</v>
      </c>
      <c r="I13" s="26" t="str">
        <f t="shared" si="0"/>
        <v>FL 佛州大区FTM01</v>
      </c>
      <c r="J13">
        <v>3</v>
      </c>
      <c r="L13">
        <v>3</v>
      </c>
      <c r="M13">
        <f t="shared" si="1"/>
        <v>1</v>
      </c>
    </row>
    <row r="14" spans="1:13">
      <c r="A14" t="s">
        <v>15</v>
      </c>
      <c r="B14" t="s">
        <v>17</v>
      </c>
      <c r="C14">
        <v>28</v>
      </c>
      <c r="D14"/>
      <c r="E14">
        <v>28</v>
      </c>
      <c r="G14" t="s">
        <v>15</v>
      </c>
      <c r="H14" t="s">
        <v>17</v>
      </c>
      <c r="I14" s="26" t="str">
        <f t="shared" si="0"/>
        <v>FL 佛州大区MCO.H</v>
      </c>
      <c r="J14">
        <v>28</v>
      </c>
      <c r="L14">
        <v>28</v>
      </c>
      <c r="M14">
        <f t="shared" si="1"/>
        <v>1</v>
      </c>
    </row>
    <row r="15" spans="1:13">
      <c r="A15" t="s">
        <v>15</v>
      </c>
      <c r="B15" t="s">
        <v>18</v>
      </c>
      <c r="C15">
        <v>2</v>
      </c>
      <c r="D15"/>
      <c r="E15">
        <v>2</v>
      </c>
      <c r="G15" t="s">
        <v>15</v>
      </c>
      <c r="H15" t="s">
        <v>18</v>
      </c>
      <c r="I15" s="26" t="str">
        <f t="shared" si="0"/>
        <v>FL 佛州大区MCO01</v>
      </c>
      <c r="J15">
        <v>2</v>
      </c>
      <c r="L15">
        <v>2</v>
      </c>
      <c r="M15">
        <f t="shared" si="1"/>
        <v>1</v>
      </c>
    </row>
    <row r="16" spans="1:13">
      <c r="A16" t="s">
        <v>15</v>
      </c>
      <c r="B16" t="s">
        <v>19</v>
      </c>
      <c r="C16">
        <v>7</v>
      </c>
      <c r="D16"/>
      <c r="E16">
        <v>7</v>
      </c>
      <c r="G16" t="s">
        <v>15</v>
      </c>
      <c r="H16" t="s">
        <v>19</v>
      </c>
      <c r="I16" s="26" t="str">
        <f t="shared" si="0"/>
        <v>FL 佛州大区MF 中佛片区</v>
      </c>
      <c r="J16">
        <v>7</v>
      </c>
      <c r="L16">
        <v>7</v>
      </c>
      <c r="M16">
        <f t="shared" si="1"/>
        <v>1</v>
      </c>
    </row>
    <row r="17" spans="1:13">
      <c r="A17" t="s">
        <v>15</v>
      </c>
      <c r="B17" t="s">
        <v>20</v>
      </c>
      <c r="C17">
        <v>33</v>
      </c>
      <c r="D17">
        <v>1</v>
      </c>
      <c r="E17">
        <v>34</v>
      </c>
      <c r="G17" t="s">
        <v>15</v>
      </c>
      <c r="H17" t="s">
        <v>20</v>
      </c>
      <c r="I17" s="26" t="str">
        <f t="shared" si="0"/>
        <v>FL 佛州大区MIA.H</v>
      </c>
      <c r="J17">
        <v>33</v>
      </c>
      <c r="K17">
        <v>1</v>
      </c>
      <c r="L17">
        <v>34</v>
      </c>
      <c r="M17">
        <f t="shared" si="1"/>
        <v>0.970588235294118</v>
      </c>
    </row>
    <row r="18" spans="1:13">
      <c r="A18" t="s">
        <v>15</v>
      </c>
      <c r="B18" t="s">
        <v>21</v>
      </c>
      <c r="C18">
        <v>3</v>
      </c>
      <c r="D18"/>
      <c r="E18">
        <v>3</v>
      </c>
      <c r="G18" t="s">
        <v>15</v>
      </c>
      <c r="H18" t="s">
        <v>21</v>
      </c>
      <c r="I18" s="26" t="str">
        <f t="shared" si="0"/>
        <v>FL 佛州大区MIA01</v>
      </c>
      <c r="J18">
        <v>3</v>
      </c>
      <c r="L18">
        <v>3</v>
      </c>
      <c r="M18">
        <f t="shared" si="1"/>
        <v>1</v>
      </c>
    </row>
    <row r="19" spans="1:13">
      <c r="A19" t="s">
        <v>15</v>
      </c>
      <c r="B19" t="s">
        <v>22</v>
      </c>
      <c r="C19">
        <v>7</v>
      </c>
      <c r="D19"/>
      <c r="E19">
        <v>7</v>
      </c>
      <c r="G19" t="s">
        <v>15</v>
      </c>
      <c r="H19" t="s">
        <v>22</v>
      </c>
      <c r="I19" s="26" t="str">
        <f t="shared" si="0"/>
        <v>FL 佛州大区NF 北佛片区</v>
      </c>
      <c r="J19">
        <v>7</v>
      </c>
      <c r="L19">
        <v>7</v>
      </c>
      <c r="M19">
        <f t="shared" si="1"/>
        <v>1</v>
      </c>
    </row>
    <row r="20" spans="1:13">
      <c r="A20" t="s">
        <v>15</v>
      </c>
      <c r="B20" t="s">
        <v>23</v>
      </c>
      <c r="C20">
        <v>1</v>
      </c>
      <c r="D20"/>
      <c r="E20">
        <v>1</v>
      </c>
      <c r="G20" t="s">
        <v>15</v>
      </c>
      <c r="H20" t="s">
        <v>23</v>
      </c>
      <c r="I20" s="26" t="str">
        <f t="shared" si="0"/>
        <v>FL 佛州大区OCF01</v>
      </c>
      <c r="J20">
        <v>1</v>
      </c>
      <c r="L20">
        <v>1</v>
      </c>
      <c r="M20">
        <f t="shared" si="1"/>
        <v>1</v>
      </c>
    </row>
    <row r="21" spans="1:13">
      <c r="A21" t="s">
        <v>15</v>
      </c>
      <c r="B21" t="s">
        <v>24</v>
      </c>
      <c r="C21">
        <v>9</v>
      </c>
      <c r="D21">
        <v>1</v>
      </c>
      <c r="E21">
        <v>10</v>
      </c>
      <c r="G21" t="s">
        <v>15</v>
      </c>
      <c r="H21" t="s">
        <v>24</v>
      </c>
      <c r="I21" s="26" t="str">
        <f t="shared" si="0"/>
        <v>FL 佛州大区SF 南佛片区</v>
      </c>
      <c r="J21">
        <v>9</v>
      </c>
      <c r="K21">
        <v>1</v>
      </c>
      <c r="L21">
        <v>10</v>
      </c>
      <c r="M21">
        <f t="shared" si="1"/>
        <v>0.9</v>
      </c>
    </row>
    <row r="22" spans="1:13">
      <c r="A22" t="s">
        <v>15</v>
      </c>
      <c r="B22" t="s">
        <v>25</v>
      </c>
      <c r="C22">
        <v>1</v>
      </c>
      <c r="D22"/>
      <c r="E22">
        <v>1</v>
      </c>
      <c r="G22" t="s">
        <v>15</v>
      </c>
      <c r="H22" t="s">
        <v>25</v>
      </c>
      <c r="I22" s="26" t="str">
        <f t="shared" si="0"/>
        <v>FL 佛州大区SRQ01</v>
      </c>
      <c r="J22">
        <v>1</v>
      </c>
      <c r="L22">
        <v>1</v>
      </c>
      <c r="M22">
        <f t="shared" si="1"/>
        <v>1</v>
      </c>
    </row>
    <row r="23" spans="1:13">
      <c r="A23" t="s">
        <v>15</v>
      </c>
      <c r="B23" t="s">
        <v>26</v>
      </c>
      <c r="C23">
        <v>2</v>
      </c>
      <c r="D23"/>
      <c r="E23">
        <v>2</v>
      </c>
      <c r="G23" t="s">
        <v>15</v>
      </c>
      <c r="H23" t="s">
        <v>26</v>
      </c>
      <c r="I23" s="26" t="str">
        <f t="shared" si="0"/>
        <v>FL 佛州大区TPA01</v>
      </c>
      <c r="J23">
        <v>2</v>
      </c>
      <c r="L23">
        <v>2</v>
      </c>
      <c r="M23">
        <f t="shared" si="1"/>
        <v>1</v>
      </c>
    </row>
    <row r="24" spans="1:13">
      <c r="A24" t="s">
        <v>15</v>
      </c>
      <c r="B24" t="s">
        <v>27</v>
      </c>
      <c r="C24">
        <v>6</v>
      </c>
      <c r="D24"/>
      <c r="E24">
        <v>6</v>
      </c>
      <c r="G24" t="s">
        <v>15</v>
      </c>
      <c r="H24" t="s">
        <v>27</v>
      </c>
      <c r="I24" s="26" t="str">
        <f t="shared" si="0"/>
        <v>FL 佛州大区WF 西佛片区</v>
      </c>
      <c r="J24">
        <v>6</v>
      </c>
      <c r="L24">
        <v>6</v>
      </c>
      <c r="M24">
        <f t="shared" si="1"/>
        <v>1</v>
      </c>
    </row>
    <row r="25" spans="1:13">
      <c r="A25" t="s">
        <v>15</v>
      </c>
      <c r="B25" t="s">
        <v>28</v>
      </c>
      <c r="C25">
        <v>1</v>
      </c>
      <c r="D25"/>
      <c r="E25">
        <v>1</v>
      </c>
      <c r="G25" t="s">
        <v>15</v>
      </c>
      <c r="H25" t="s">
        <v>28</v>
      </c>
      <c r="I25" s="26" t="str">
        <f t="shared" si="0"/>
        <v>FL 佛州大区WPB01</v>
      </c>
      <c r="J25">
        <v>1</v>
      </c>
      <c r="L25">
        <v>1</v>
      </c>
      <c r="M25">
        <f t="shared" si="1"/>
        <v>1</v>
      </c>
    </row>
    <row r="26" spans="1:13">
      <c r="A26" t="s">
        <v>15</v>
      </c>
      <c r="B26" t="s">
        <v>29</v>
      </c>
      <c r="C26">
        <v>4</v>
      </c>
      <c r="D26"/>
      <c r="E26">
        <v>4</v>
      </c>
      <c r="G26" t="s">
        <v>15</v>
      </c>
      <c r="H26" t="s">
        <v>29</v>
      </c>
      <c r="I26" s="26" t="str">
        <f t="shared" si="0"/>
        <v>FL 佛州大区运营支持部</v>
      </c>
      <c r="J26">
        <v>4</v>
      </c>
      <c r="L26">
        <v>4</v>
      </c>
      <c r="M26">
        <f t="shared" si="1"/>
        <v>1</v>
      </c>
    </row>
    <row r="27" spans="1:13">
      <c r="A27" t="s">
        <v>30</v>
      </c>
      <c r="B27"/>
      <c r="C27">
        <v>108</v>
      </c>
      <c r="D27">
        <v>2</v>
      </c>
      <c r="E27">
        <v>110</v>
      </c>
      <c r="G27" t="s">
        <v>30</v>
      </c>
      <c r="I27" s="26" t="str">
        <f t="shared" si="0"/>
        <v>FL 佛州大区 汇总</v>
      </c>
      <c r="J27">
        <v>108</v>
      </c>
      <c r="K27">
        <v>2</v>
      </c>
      <c r="L27">
        <v>110</v>
      </c>
      <c r="M27">
        <f t="shared" si="1"/>
        <v>0.981818181818182</v>
      </c>
    </row>
    <row r="28" spans="1:13">
      <c r="A28" t="s">
        <v>31</v>
      </c>
      <c r="B28"/>
      <c r="C28">
        <v>2</v>
      </c>
      <c r="D28"/>
      <c r="E28">
        <v>2</v>
      </c>
      <c r="G28" t="s">
        <v>31</v>
      </c>
      <c r="I28" s="26" t="str">
        <f t="shared" si="0"/>
        <v>GL 大湖大区</v>
      </c>
      <c r="J28">
        <v>2</v>
      </c>
      <c r="L28">
        <v>2</v>
      </c>
      <c r="M28">
        <f t="shared" si="1"/>
        <v>1</v>
      </c>
    </row>
    <row r="29" spans="1:13">
      <c r="A29" t="s">
        <v>31</v>
      </c>
      <c r="B29" t="s">
        <v>32</v>
      </c>
      <c r="C29">
        <v>1</v>
      </c>
      <c r="D29"/>
      <c r="E29">
        <v>1</v>
      </c>
      <c r="G29" t="s">
        <v>31</v>
      </c>
      <c r="H29" t="s">
        <v>32</v>
      </c>
      <c r="I29" s="26" t="str">
        <f t="shared" si="0"/>
        <v>GL 大湖大区CLE01</v>
      </c>
      <c r="J29">
        <v>1</v>
      </c>
      <c r="L29">
        <v>1</v>
      </c>
      <c r="M29">
        <f t="shared" si="1"/>
        <v>1</v>
      </c>
    </row>
    <row r="30" spans="1:13">
      <c r="A30" t="s">
        <v>31</v>
      </c>
      <c r="B30" t="s">
        <v>33</v>
      </c>
      <c r="C30">
        <v>6</v>
      </c>
      <c r="D30"/>
      <c r="E30">
        <v>6</v>
      </c>
      <c r="G30" t="s">
        <v>31</v>
      </c>
      <c r="H30" t="s">
        <v>33</v>
      </c>
      <c r="I30" s="26" t="str">
        <f t="shared" si="0"/>
        <v>GL 大湖大区CM 中西部中心片区</v>
      </c>
      <c r="J30">
        <v>6</v>
      </c>
      <c r="L30">
        <v>6</v>
      </c>
      <c r="M30">
        <f t="shared" si="1"/>
        <v>1</v>
      </c>
    </row>
    <row r="31" spans="1:13">
      <c r="A31" t="s">
        <v>31</v>
      </c>
      <c r="B31" t="s">
        <v>34</v>
      </c>
      <c r="C31">
        <v>1</v>
      </c>
      <c r="D31"/>
      <c r="E31">
        <v>1</v>
      </c>
      <c r="G31" t="s">
        <v>31</v>
      </c>
      <c r="H31" t="s">
        <v>34</v>
      </c>
      <c r="I31" s="26" t="str">
        <f t="shared" si="0"/>
        <v>GL 大湖大区CMH01</v>
      </c>
      <c r="J31">
        <v>1</v>
      </c>
      <c r="L31">
        <v>1</v>
      </c>
      <c r="M31">
        <f t="shared" si="1"/>
        <v>1</v>
      </c>
    </row>
    <row r="32" spans="1:13">
      <c r="A32" t="s">
        <v>31</v>
      </c>
      <c r="B32" t="s">
        <v>35</v>
      </c>
      <c r="C32">
        <v>2</v>
      </c>
      <c r="D32"/>
      <c r="E32">
        <v>2</v>
      </c>
      <c r="G32" t="s">
        <v>31</v>
      </c>
      <c r="H32" t="s">
        <v>35</v>
      </c>
      <c r="I32" s="26" t="str">
        <f t="shared" si="0"/>
        <v>GL 大湖大区CVG.H</v>
      </c>
      <c r="J32">
        <v>2</v>
      </c>
      <c r="L32">
        <v>2</v>
      </c>
      <c r="M32">
        <f t="shared" si="1"/>
        <v>1</v>
      </c>
    </row>
    <row r="33" spans="1:13">
      <c r="A33" t="s">
        <v>31</v>
      </c>
      <c r="B33" t="s">
        <v>36</v>
      </c>
      <c r="C33">
        <v>5</v>
      </c>
      <c r="D33"/>
      <c r="E33">
        <v>5</v>
      </c>
      <c r="G33" t="s">
        <v>31</v>
      </c>
      <c r="H33" t="s">
        <v>36</v>
      </c>
      <c r="I33" s="26" t="str">
        <f t="shared" si="0"/>
        <v>GL 大湖大区EG 东大湖片区</v>
      </c>
      <c r="J33">
        <v>5</v>
      </c>
      <c r="L33">
        <v>5</v>
      </c>
      <c r="M33">
        <f t="shared" si="1"/>
        <v>1</v>
      </c>
    </row>
    <row r="34" spans="1:13">
      <c r="A34" t="s">
        <v>31</v>
      </c>
      <c r="B34" t="s">
        <v>37</v>
      </c>
      <c r="C34">
        <v>3</v>
      </c>
      <c r="D34"/>
      <c r="E34">
        <v>3</v>
      </c>
      <c r="G34" t="s">
        <v>31</v>
      </c>
      <c r="H34" t="s">
        <v>37</v>
      </c>
      <c r="I34" s="26" t="str">
        <f t="shared" si="0"/>
        <v>GL 大湖大区IND01</v>
      </c>
      <c r="J34">
        <v>3</v>
      </c>
      <c r="L34">
        <v>3</v>
      </c>
      <c r="M34">
        <f t="shared" si="1"/>
        <v>1</v>
      </c>
    </row>
    <row r="35" spans="1:13">
      <c r="A35" t="s">
        <v>31</v>
      </c>
      <c r="B35" t="s">
        <v>38</v>
      </c>
      <c r="C35">
        <v>2</v>
      </c>
      <c r="D35"/>
      <c r="E35">
        <v>2</v>
      </c>
      <c r="G35" t="s">
        <v>31</v>
      </c>
      <c r="H35" t="s">
        <v>38</v>
      </c>
      <c r="I35" s="26" t="str">
        <f t="shared" si="0"/>
        <v>GL 大湖大区MCI01</v>
      </c>
      <c r="J35">
        <v>2</v>
      </c>
      <c r="L35">
        <v>2</v>
      </c>
      <c r="M35">
        <f t="shared" si="1"/>
        <v>1</v>
      </c>
    </row>
    <row r="36" spans="1:13">
      <c r="A36" t="s">
        <v>31</v>
      </c>
      <c r="B36" t="s">
        <v>39</v>
      </c>
      <c r="C36">
        <v>2</v>
      </c>
      <c r="D36"/>
      <c r="E36">
        <v>2</v>
      </c>
      <c r="G36" t="s">
        <v>31</v>
      </c>
      <c r="H36" t="s">
        <v>39</v>
      </c>
      <c r="I36" s="26" t="str">
        <f t="shared" si="0"/>
        <v>GL 大湖大区MKE01</v>
      </c>
      <c r="J36">
        <v>2</v>
      </c>
      <c r="L36">
        <v>2</v>
      </c>
      <c r="M36">
        <f t="shared" si="1"/>
        <v>1</v>
      </c>
    </row>
    <row r="37" spans="1:13">
      <c r="A37" t="s">
        <v>31</v>
      </c>
      <c r="B37" t="s">
        <v>40</v>
      </c>
      <c r="C37">
        <v>6</v>
      </c>
      <c r="D37"/>
      <c r="E37">
        <v>6</v>
      </c>
      <c r="G37" t="s">
        <v>31</v>
      </c>
      <c r="H37" t="s">
        <v>40</v>
      </c>
      <c r="I37" s="26" t="str">
        <f t="shared" si="0"/>
        <v>GL 大湖大区NM 中西部北片区</v>
      </c>
      <c r="J37">
        <v>6</v>
      </c>
      <c r="L37">
        <v>6</v>
      </c>
      <c r="M37">
        <f t="shared" si="1"/>
        <v>1</v>
      </c>
    </row>
    <row r="38" spans="1:13">
      <c r="A38" t="s">
        <v>31</v>
      </c>
      <c r="B38" t="s">
        <v>41</v>
      </c>
      <c r="C38">
        <v>28</v>
      </c>
      <c r="D38">
        <v>1</v>
      </c>
      <c r="E38">
        <v>29</v>
      </c>
      <c r="G38" t="s">
        <v>31</v>
      </c>
      <c r="H38" t="s">
        <v>41</v>
      </c>
      <c r="I38" s="26" t="str">
        <f t="shared" ref="I38:I69" si="2">G38&amp;""&amp;H38</f>
        <v>GL 大湖大区ORD.H</v>
      </c>
      <c r="J38">
        <v>28</v>
      </c>
      <c r="K38">
        <v>1</v>
      </c>
      <c r="L38">
        <v>29</v>
      </c>
      <c r="M38">
        <f t="shared" ref="M38:M69" si="3">J38/L38</f>
        <v>0.96551724137931</v>
      </c>
    </row>
    <row r="39" spans="1:13">
      <c r="A39" t="s">
        <v>31</v>
      </c>
      <c r="B39" t="s">
        <v>42</v>
      </c>
      <c r="C39">
        <v>2</v>
      </c>
      <c r="D39"/>
      <c r="E39">
        <v>2</v>
      </c>
      <c r="G39" t="s">
        <v>31</v>
      </c>
      <c r="H39" t="s">
        <v>42</v>
      </c>
      <c r="I39" s="26" t="str">
        <f t="shared" si="2"/>
        <v>GL 大湖大区ORD01</v>
      </c>
      <c r="J39">
        <v>2</v>
      </c>
      <c r="L39">
        <v>2</v>
      </c>
      <c r="M39">
        <f t="shared" si="3"/>
        <v>1</v>
      </c>
    </row>
    <row r="40" spans="1:13">
      <c r="A40" t="s">
        <v>31</v>
      </c>
      <c r="B40" t="s">
        <v>43</v>
      </c>
      <c r="C40">
        <v>10</v>
      </c>
      <c r="D40"/>
      <c r="E40">
        <v>10</v>
      </c>
      <c r="G40" t="s">
        <v>31</v>
      </c>
      <c r="H40" t="s">
        <v>43</v>
      </c>
      <c r="I40" s="26" t="str">
        <f t="shared" si="2"/>
        <v>GL 大湖大区WG 西大湖片区</v>
      </c>
      <c r="J40">
        <v>10</v>
      </c>
      <c r="L40">
        <v>10</v>
      </c>
      <c r="M40">
        <f t="shared" si="3"/>
        <v>1</v>
      </c>
    </row>
    <row r="41" spans="1:13">
      <c r="A41" t="s">
        <v>31</v>
      </c>
      <c r="B41" t="s">
        <v>44</v>
      </c>
      <c r="C41"/>
      <c r="D41">
        <v>1</v>
      </c>
      <c r="E41">
        <v>1</v>
      </c>
      <c r="G41" t="s">
        <v>31</v>
      </c>
      <c r="H41" t="s">
        <v>44</v>
      </c>
      <c r="I41" s="26" t="str">
        <f t="shared" si="2"/>
        <v>GL 大湖大区车辆管理部</v>
      </c>
      <c r="K41">
        <v>1</v>
      </c>
      <c r="L41">
        <v>1</v>
      </c>
      <c r="M41">
        <f t="shared" si="3"/>
        <v>0</v>
      </c>
    </row>
    <row r="42" spans="1:13">
      <c r="A42" t="s">
        <v>31</v>
      </c>
      <c r="B42" t="s">
        <v>45</v>
      </c>
      <c r="C42">
        <v>5</v>
      </c>
      <c r="D42"/>
      <c r="E42">
        <v>5</v>
      </c>
      <c r="G42" t="s">
        <v>31</v>
      </c>
      <c r="H42" t="s">
        <v>45</v>
      </c>
      <c r="I42" s="26" t="str">
        <f t="shared" si="2"/>
        <v>GL 大湖大区揽收部</v>
      </c>
      <c r="J42">
        <v>5</v>
      </c>
      <c r="L42">
        <v>5</v>
      </c>
      <c r="M42">
        <f t="shared" si="3"/>
        <v>1</v>
      </c>
    </row>
    <row r="43" spans="1:13">
      <c r="A43" t="s">
        <v>31</v>
      </c>
      <c r="B43" t="s">
        <v>29</v>
      </c>
      <c r="C43">
        <v>8</v>
      </c>
      <c r="D43"/>
      <c r="E43">
        <v>8</v>
      </c>
      <c r="G43" t="s">
        <v>31</v>
      </c>
      <c r="H43" t="s">
        <v>29</v>
      </c>
      <c r="I43" s="26" t="str">
        <f t="shared" si="2"/>
        <v>GL 大湖大区运营支持部</v>
      </c>
      <c r="J43">
        <v>8</v>
      </c>
      <c r="L43">
        <v>8</v>
      </c>
      <c r="M43">
        <f t="shared" si="3"/>
        <v>1</v>
      </c>
    </row>
    <row r="44" spans="1:13">
      <c r="A44" t="s">
        <v>46</v>
      </c>
      <c r="C44">
        <v>83</v>
      </c>
      <c r="D44">
        <v>2</v>
      </c>
      <c r="E44">
        <v>85</v>
      </c>
      <c r="G44" t="s">
        <v>46</v>
      </c>
      <c r="I44" s="26" t="str">
        <f t="shared" si="2"/>
        <v>GL 大湖大区 汇总</v>
      </c>
      <c r="J44">
        <v>83</v>
      </c>
      <c r="K44">
        <v>2</v>
      </c>
      <c r="L44">
        <v>85</v>
      </c>
      <c r="M44">
        <f t="shared" si="3"/>
        <v>0.976470588235294</v>
      </c>
    </row>
    <row r="45" spans="1:13">
      <c r="A45" t="s">
        <v>47</v>
      </c>
      <c r="B45"/>
      <c r="C45">
        <v>3</v>
      </c>
      <c r="D45"/>
      <c r="E45">
        <v>3</v>
      </c>
      <c r="G45" t="s">
        <v>47</v>
      </c>
      <c r="I45" s="26" t="str">
        <f t="shared" si="2"/>
        <v>Gofo财务部</v>
      </c>
      <c r="J45">
        <v>3</v>
      </c>
      <c r="L45">
        <v>3</v>
      </c>
      <c r="M45">
        <f t="shared" si="3"/>
        <v>1</v>
      </c>
    </row>
    <row r="46" spans="1:13">
      <c r="A46" t="s">
        <v>48</v>
      </c>
      <c r="B46" t="s">
        <v>49</v>
      </c>
      <c r="C46">
        <v>18</v>
      </c>
      <c r="D46"/>
      <c r="E46">
        <v>18</v>
      </c>
      <c r="G46" t="s">
        <v>48</v>
      </c>
      <c r="H46" t="s">
        <v>49</v>
      </c>
      <c r="I46" s="26" t="str">
        <f t="shared" si="2"/>
        <v>Ground项目部OG 美东区</v>
      </c>
      <c r="J46">
        <v>18</v>
      </c>
      <c r="L46">
        <v>18</v>
      </c>
      <c r="M46">
        <f t="shared" si="3"/>
        <v>1</v>
      </c>
    </row>
    <row r="47" spans="1:13">
      <c r="A47" t="s">
        <v>48</v>
      </c>
      <c r="B47" t="s">
        <v>50</v>
      </c>
      <c r="C47">
        <v>8</v>
      </c>
      <c r="D47">
        <v>2</v>
      </c>
      <c r="E47">
        <v>10</v>
      </c>
      <c r="G47" t="s">
        <v>48</v>
      </c>
      <c r="H47" t="s">
        <v>50</v>
      </c>
      <c r="I47" s="26" t="str">
        <f t="shared" si="2"/>
        <v>Ground项目部OG 美南区</v>
      </c>
      <c r="J47">
        <v>8</v>
      </c>
      <c r="K47">
        <v>2</v>
      </c>
      <c r="L47">
        <v>10</v>
      </c>
      <c r="M47">
        <f t="shared" si="3"/>
        <v>0.8</v>
      </c>
    </row>
    <row r="48" spans="1:13">
      <c r="A48" t="s">
        <v>48</v>
      </c>
      <c r="B48" t="s">
        <v>51</v>
      </c>
      <c r="C48">
        <v>42</v>
      </c>
      <c r="D48"/>
      <c r="E48">
        <v>42</v>
      </c>
      <c r="G48" t="s">
        <v>48</v>
      </c>
      <c r="H48" t="s">
        <v>51</v>
      </c>
      <c r="I48" s="26" t="str">
        <f t="shared" si="2"/>
        <v>Ground项目部OG 美西区</v>
      </c>
      <c r="J48">
        <v>42</v>
      </c>
      <c r="L48">
        <v>42</v>
      </c>
      <c r="M48">
        <f t="shared" si="3"/>
        <v>1</v>
      </c>
    </row>
    <row r="49" spans="1:13">
      <c r="A49" t="s">
        <v>48</v>
      </c>
      <c r="B49" t="s">
        <v>52</v>
      </c>
      <c r="C49">
        <v>7</v>
      </c>
      <c r="D49"/>
      <c r="E49">
        <v>7</v>
      </c>
      <c r="G49" t="s">
        <v>48</v>
      </c>
      <c r="H49" t="s">
        <v>52</v>
      </c>
      <c r="I49" s="26" t="str">
        <f t="shared" si="2"/>
        <v>Ground项目部OG 美中区</v>
      </c>
      <c r="J49">
        <v>7</v>
      </c>
      <c r="L49">
        <v>7</v>
      </c>
      <c r="M49">
        <f t="shared" si="3"/>
        <v>1</v>
      </c>
    </row>
    <row r="50" spans="1:13">
      <c r="A50" t="s">
        <v>48</v>
      </c>
      <c r="B50" t="s">
        <v>53</v>
      </c>
      <c r="C50">
        <v>8</v>
      </c>
      <c r="D50"/>
      <c r="E50">
        <v>8</v>
      </c>
      <c r="G50" t="s">
        <v>48</v>
      </c>
      <c r="H50" t="s">
        <v>53</v>
      </c>
      <c r="I50" s="26" t="str">
        <f t="shared" si="2"/>
        <v>Ground项目部派送管理部</v>
      </c>
      <c r="J50">
        <v>8</v>
      </c>
      <c r="L50">
        <v>8</v>
      </c>
      <c r="M50">
        <f t="shared" si="3"/>
        <v>1</v>
      </c>
    </row>
    <row r="51" spans="1:13">
      <c r="A51" t="s">
        <v>48</v>
      </c>
      <c r="B51" t="s">
        <v>54</v>
      </c>
      <c r="C51">
        <v>3</v>
      </c>
      <c r="D51"/>
      <c r="E51">
        <v>3</v>
      </c>
      <c r="G51" t="s">
        <v>48</v>
      </c>
      <c r="H51" t="s">
        <v>54</v>
      </c>
      <c r="I51" s="26" t="str">
        <f t="shared" si="2"/>
        <v>Ground项目部运营管理部</v>
      </c>
      <c r="J51">
        <v>3</v>
      </c>
      <c r="L51">
        <v>3</v>
      </c>
      <c r="M51">
        <f t="shared" si="3"/>
        <v>1</v>
      </c>
    </row>
    <row r="52" spans="1:13">
      <c r="A52" t="s">
        <v>55</v>
      </c>
      <c r="B52"/>
      <c r="C52">
        <v>86</v>
      </c>
      <c r="D52">
        <v>2</v>
      </c>
      <c r="E52">
        <v>88</v>
      </c>
      <c r="G52" t="s">
        <v>55</v>
      </c>
      <c r="I52" s="26" t="str">
        <f t="shared" si="2"/>
        <v>Ground项目部 汇总</v>
      </c>
      <c r="J52">
        <v>86</v>
      </c>
      <c r="K52">
        <v>2</v>
      </c>
      <c r="L52">
        <v>88</v>
      </c>
      <c r="M52">
        <f t="shared" si="3"/>
        <v>0.977272727272727</v>
      </c>
    </row>
    <row r="53" spans="1:13">
      <c r="A53" t="s">
        <v>56</v>
      </c>
      <c r="B53"/>
      <c r="C53">
        <v>6</v>
      </c>
      <c r="D53"/>
      <c r="E53">
        <v>6</v>
      </c>
      <c r="G53" t="s">
        <v>56</v>
      </c>
      <c r="I53" s="26" t="str">
        <f t="shared" si="2"/>
        <v>IC 跨境客户部</v>
      </c>
      <c r="J53">
        <v>6</v>
      </c>
      <c r="L53">
        <v>6</v>
      </c>
      <c r="M53">
        <f t="shared" si="3"/>
        <v>1</v>
      </c>
    </row>
    <row r="54" spans="1:13">
      <c r="A54" t="s">
        <v>57</v>
      </c>
      <c r="B54"/>
      <c r="C54">
        <v>2</v>
      </c>
      <c r="D54"/>
      <c r="E54">
        <v>2</v>
      </c>
      <c r="G54" t="s">
        <v>57</v>
      </c>
      <c r="I54" s="26" t="str">
        <f t="shared" si="2"/>
        <v>LD 法务部</v>
      </c>
      <c r="J54">
        <v>2</v>
      </c>
      <c r="L54">
        <v>2</v>
      </c>
      <c r="M54">
        <f t="shared" si="3"/>
        <v>1</v>
      </c>
    </row>
    <row r="55" spans="1:13">
      <c r="A55" t="s">
        <v>58</v>
      </c>
      <c r="B55"/>
      <c r="C55">
        <v>1</v>
      </c>
      <c r="D55"/>
      <c r="E55">
        <v>1</v>
      </c>
      <c r="G55" t="s">
        <v>58</v>
      </c>
      <c r="I55" s="26" t="str">
        <f t="shared" si="2"/>
        <v>MS 中南大区</v>
      </c>
      <c r="J55">
        <v>1</v>
      </c>
      <c r="L55">
        <v>1</v>
      </c>
      <c r="M55">
        <f t="shared" si="3"/>
        <v>1</v>
      </c>
    </row>
    <row r="56" spans="1:13">
      <c r="A56" t="s">
        <v>58</v>
      </c>
      <c r="B56" t="s">
        <v>59</v>
      </c>
      <c r="C56">
        <v>3</v>
      </c>
      <c r="D56"/>
      <c r="E56">
        <v>3</v>
      </c>
      <c r="G56" t="s">
        <v>58</v>
      </c>
      <c r="H56" t="s">
        <v>59</v>
      </c>
      <c r="I56" s="26" t="str">
        <f t="shared" si="2"/>
        <v>MS 中南大区AS 奥萨查沿海片区</v>
      </c>
      <c r="J56">
        <v>3</v>
      </c>
      <c r="L56">
        <v>3</v>
      </c>
      <c r="M56">
        <f t="shared" si="3"/>
        <v>1</v>
      </c>
    </row>
    <row r="57" spans="1:13">
      <c r="A57" t="s">
        <v>58</v>
      </c>
      <c r="B57" t="s">
        <v>60</v>
      </c>
      <c r="C57">
        <v>11</v>
      </c>
      <c r="D57">
        <v>1</v>
      </c>
      <c r="E57">
        <v>12</v>
      </c>
      <c r="G57" t="s">
        <v>58</v>
      </c>
      <c r="H57" t="s">
        <v>60</v>
      </c>
      <c r="I57" s="26" t="str">
        <f t="shared" si="2"/>
        <v>MS 中南大区AS 亚特兰大和南阿拉巴马片区</v>
      </c>
      <c r="J57">
        <v>11</v>
      </c>
      <c r="K57">
        <v>1</v>
      </c>
      <c r="L57">
        <v>12</v>
      </c>
      <c r="M57">
        <f t="shared" si="3"/>
        <v>0.916666666666667</v>
      </c>
    </row>
    <row r="58" spans="1:13">
      <c r="A58" t="s">
        <v>58</v>
      </c>
      <c r="B58" t="s">
        <v>61</v>
      </c>
      <c r="C58">
        <v>19</v>
      </c>
      <c r="D58"/>
      <c r="E58">
        <v>19</v>
      </c>
      <c r="G58" t="s">
        <v>58</v>
      </c>
      <c r="H58" t="s">
        <v>61</v>
      </c>
      <c r="I58" s="26" t="str">
        <f t="shared" si="2"/>
        <v>MS 中南大区ATL.H</v>
      </c>
      <c r="J58">
        <v>19</v>
      </c>
      <c r="L58">
        <v>19</v>
      </c>
      <c r="M58">
        <f t="shared" si="3"/>
        <v>1</v>
      </c>
    </row>
    <row r="59" spans="1:13">
      <c r="A59" t="s">
        <v>58</v>
      </c>
      <c r="B59" t="s">
        <v>62</v>
      </c>
      <c r="C59">
        <v>6</v>
      </c>
      <c r="D59"/>
      <c r="E59">
        <v>6</v>
      </c>
      <c r="G59" t="s">
        <v>58</v>
      </c>
      <c r="H59" t="s">
        <v>62</v>
      </c>
      <c r="I59" s="26" t="str">
        <f t="shared" si="2"/>
        <v>MS 中南大区BN 田纳西和北阿拉巴马片区</v>
      </c>
      <c r="J59">
        <v>6</v>
      </c>
      <c r="L59">
        <v>6</v>
      </c>
      <c r="M59">
        <f t="shared" si="3"/>
        <v>1</v>
      </c>
    </row>
    <row r="60" spans="1:13">
      <c r="A60" t="s">
        <v>58</v>
      </c>
      <c r="B60" t="s">
        <v>63</v>
      </c>
      <c r="C60">
        <v>11</v>
      </c>
      <c r="D60"/>
      <c r="E60">
        <v>11</v>
      </c>
      <c r="G60" t="s">
        <v>58</v>
      </c>
      <c r="H60" t="s">
        <v>63</v>
      </c>
      <c r="I60" s="26" t="str">
        <f t="shared" si="2"/>
        <v>MS 中南大区CLT.H</v>
      </c>
      <c r="J60">
        <v>11</v>
      </c>
      <c r="L60">
        <v>11</v>
      </c>
      <c r="M60">
        <f t="shared" si="3"/>
        <v>1</v>
      </c>
    </row>
    <row r="61" spans="1:13">
      <c r="A61" t="s">
        <v>58</v>
      </c>
      <c r="B61" t="s">
        <v>64</v>
      </c>
      <c r="C61">
        <v>9</v>
      </c>
      <c r="D61">
        <v>4</v>
      </c>
      <c r="E61">
        <v>13</v>
      </c>
      <c r="G61" t="s">
        <v>58</v>
      </c>
      <c r="H61" t="s">
        <v>64</v>
      </c>
      <c r="I61" s="26" t="str">
        <f t="shared" si="2"/>
        <v>MS 中南大区CS 夏洛特及周边片区</v>
      </c>
      <c r="J61">
        <v>9</v>
      </c>
      <c r="K61">
        <v>4</v>
      </c>
      <c r="L61">
        <v>13</v>
      </c>
      <c r="M61">
        <f t="shared" si="3"/>
        <v>0.692307692307692</v>
      </c>
    </row>
    <row r="62" spans="1:13">
      <c r="A62" t="s">
        <v>58</v>
      </c>
      <c r="B62" t="s">
        <v>65</v>
      </c>
      <c r="C62">
        <v>1</v>
      </c>
      <c r="D62"/>
      <c r="E62">
        <v>1</v>
      </c>
      <c r="G62" t="s">
        <v>58</v>
      </c>
      <c r="H62" t="s">
        <v>65</v>
      </c>
      <c r="I62" s="26" t="str">
        <f t="shared" si="2"/>
        <v>MS 中南大区PDK.H</v>
      </c>
      <c r="J62">
        <v>1</v>
      </c>
      <c r="L62">
        <v>1</v>
      </c>
      <c r="M62">
        <f t="shared" si="3"/>
        <v>1</v>
      </c>
    </row>
    <row r="63" spans="1:13">
      <c r="A63" t="s">
        <v>58</v>
      </c>
      <c r="B63" t="s">
        <v>66</v>
      </c>
      <c r="C63">
        <v>6</v>
      </c>
      <c r="D63">
        <v>2</v>
      </c>
      <c r="E63">
        <v>8</v>
      </c>
      <c r="G63" t="s">
        <v>58</v>
      </c>
      <c r="H63" t="s">
        <v>66</v>
      </c>
      <c r="I63" s="26" t="str">
        <f t="shared" si="2"/>
        <v>MS 中南大区RE 北卡和东南海岸片区</v>
      </c>
      <c r="J63">
        <v>6</v>
      </c>
      <c r="K63">
        <v>2</v>
      </c>
      <c r="L63">
        <v>8</v>
      </c>
      <c r="M63">
        <f t="shared" si="3"/>
        <v>0.75</v>
      </c>
    </row>
    <row r="64" spans="1:13">
      <c r="A64" t="s">
        <v>58</v>
      </c>
      <c r="B64" t="s">
        <v>44</v>
      </c>
      <c r="C64">
        <v>2</v>
      </c>
      <c r="D64"/>
      <c r="E64">
        <v>2</v>
      </c>
      <c r="G64" t="s">
        <v>58</v>
      </c>
      <c r="H64" t="s">
        <v>44</v>
      </c>
      <c r="I64" s="26" t="str">
        <f t="shared" si="2"/>
        <v>MS 中南大区车辆管理部</v>
      </c>
      <c r="J64">
        <v>2</v>
      </c>
      <c r="L64">
        <v>2</v>
      </c>
      <c r="M64">
        <f t="shared" si="3"/>
        <v>1</v>
      </c>
    </row>
    <row r="65" spans="1:13">
      <c r="A65" t="s">
        <v>58</v>
      </c>
      <c r="B65" t="s">
        <v>45</v>
      </c>
      <c r="C65">
        <v>3</v>
      </c>
      <c r="D65"/>
      <c r="E65">
        <v>3</v>
      </c>
      <c r="G65" t="s">
        <v>58</v>
      </c>
      <c r="H65" t="s">
        <v>45</v>
      </c>
      <c r="I65" s="26" t="str">
        <f t="shared" si="2"/>
        <v>MS 中南大区揽收部</v>
      </c>
      <c r="J65">
        <v>3</v>
      </c>
      <c r="L65">
        <v>3</v>
      </c>
      <c r="M65">
        <f t="shared" si="3"/>
        <v>1</v>
      </c>
    </row>
    <row r="66" spans="1:13">
      <c r="A66" t="s">
        <v>58</v>
      </c>
      <c r="B66" t="s">
        <v>29</v>
      </c>
      <c r="C66">
        <v>2</v>
      </c>
      <c r="D66">
        <v>1</v>
      </c>
      <c r="E66">
        <v>3</v>
      </c>
      <c r="G66" t="s">
        <v>58</v>
      </c>
      <c r="H66" t="s">
        <v>29</v>
      </c>
      <c r="I66" s="26" t="str">
        <f t="shared" si="2"/>
        <v>MS 中南大区运营支持部</v>
      </c>
      <c r="J66">
        <v>2</v>
      </c>
      <c r="K66">
        <v>1</v>
      </c>
      <c r="L66">
        <v>3</v>
      </c>
      <c r="M66">
        <f t="shared" si="3"/>
        <v>0.666666666666667</v>
      </c>
    </row>
    <row r="67" spans="1:13">
      <c r="A67" t="s">
        <v>67</v>
      </c>
      <c r="B67"/>
      <c r="C67">
        <v>74</v>
      </c>
      <c r="D67">
        <v>8</v>
      </c>
      <c r="E67">
        <v>82</v>
      </c>
      <c r="G67" t="s">
        <v>67</v>
      </c>
      <c r="I67" s="26" t="str">
        <f t="shared" si="2"/>
        <v>MS 中南大区 汇总</v>
      </c>
      <c r="J67">
        <v>74</v>
      </c>
      <c r="K67">
        <v>8</v>
      </c>
      <c r="L67">
        <v>82</v>
      </c>
      <c r="M67">
        <f t="shared" si="3"/>
        <v>0.902439024390244</v>
      </c>
    </row>
    <row r="68" spans="1:13">
      <c r="A68" t="s">
        <v>68</v>
      </c>
      <c r="B68"/>
      <c r="C68">
        <v>1</v>
      </c>
      <c r="D68"/>
      <c r="E68">
        <v>1</v>
      </c>
      <c r="G68" t="s">
        <v>68</v>
      </c>
      <c r="I68" s="26" t="str">
        <f t="shared" si="2"/>
        <v>NE 东北大区</v>
      </c>
      <c r="J68">
        <v>1</v>
      </c>
      <c r="L68">
        <v>1</v>
      </c>
      <c r="M68">
        <f t="shared" si="3"/>
        <v>1</v>
      </c>
    </row>
    <row r="69" spans="1:13">
      <c r="A69" t="s">
        <v>68</v>
      </c>
      <c r="B69" t="s">
        <v>69</v>
      </c>
      <c r="C69">
        <v>3</v>
      </c>
      <c r="D69"/>
      <c r="E69">
        <v>3</v>
      </c>
      <c r="G69" t="s">
        <v>68</v>
      </c>
      <c r="H69" t="s">
        <v>69</v>
      </c>
      <c r="I69" s="26" t="str">
        <f t="shared" si="2"/>
        <v>NE 东北大区BDL01</v>
      </c>
      <c r="J69">
        <v>3</v>
      </c>
      <c r="L69">
        <v>3</v>
      </c>
      <c r="M69">
        <f t="shared" si="3"/>
        <v>1</v>
      </c>
    </row>
    <row r="70" spans="1:13">
      <c r="A70" t="s">
        <v>68</v>
      </c>
      <c r="B70" t="s">
        <v>70</v>
      </c>
      <c r="C70">
        <v>6</v>
      </c>
      <c r="D70"/>
      <c r="E70">
        <v>6</v>
      </c>
      <c r="G70" t="s">
        <v>68</v>
      </c>
      <c r="H70" t="s">
        <v>70</v>
      </c>
      <c r="I70" s="26" t="str">
        <f t="shared" ref="I70:I115" si="4">G70&amp;""&amp;H70</f>
        <v>NE 东北大区BN 布法罗片区</v>
      </c>
      <c r="J70">
        <v>6</v>
      </c>
      <c r="L70">
        <v>6</v>
      </c>
      <c r="M70">
        <f t="shared" ref="M70:M115" si="5">J70/L70</f>
        <v>1</v>
      </c>
    </row>
    <row r="71" spans="1:13">
      <c r="A71" t="s">
        <v>68</v>
      </c>
      <c r="B71" t="s">
        <v>71</v>
      </c>
      <c r="C71">
        <v>2</v>
      </c>
      <c r="D71"/>
      <c r="E71">
        <v>2</v>
      </c>
      <c r="G71" t="s">
        <v>68</v>
      </c>
      <c r="H71" t="s">
        <v>71</v>
      </c>
      <c r="I71" s="26" t="str">
        <f t="shared" si="4"/>
        <v>NE 东北大区BOS01</v>
      </c>
      <c r="J71">
        <v>2</v>
      </c>
      <c r="L71">
        <v>2</v>
      </c>
      <c r="M71">
        <f t="shared" si="5"/>
        <v>1</v>
      </c>
    </row>
    <row r="72" spans="1:13">
      <c r="A72" t="s">
        <v>68</v>
      </c>
      <c r="B72" t="s">
        <v>72</v>
      </c>
      <c r="C72">
        <v>2</v>
      </c>
      <c r="D72"/>
      <c r="E72">
        <v>2</v>
      </c>
      <c r="G72" t="s">
        <v>68</v>
      </c>
      <c r="H72" t="s">
        <v>72</v>
      </c>
      <c r="I72" s="26" t="str">
        <f t="shared" si="4"/>
        <v>NE 东北大区BUF01</v>
      </c>
      <c r="J72">
        <v>2</v>
      </c>
      <c r="L72">
        <v>2</v>
      </c>
      <c r="M72">
        <f t="shared" si="5"/>
        <v>1</v>
      </c>
    </row>
    <row r="73" spans="1:13">
      <c r="A73" t="s">
        <v>68</v>
      </c>
      <c r="B73" t="s">
        <v>73</v>
      </c>
      <c r="C73">
        <v>6</v>
      </c>
      <c r="D73"/>
      <c r="E73">
        <v>6</v>
      </c>
      <c r="G73" t="s">
        <v>68</v>
      </c>
      <c r="H73" t="s">
        <v>73</v>
      </c>
      <c r="I73" s="26" t="str">
        <f t="shared" si="4"/>
        <v>NE 东北大区BWI.H</v>
      </c>
      <c r="J73">
        <v>6</v>
      </c>
      <c r="L73">
        <v>6</v>
      </c>
      <c r="M73">
        <f t="shared" si="5"/>
        <v>1</v>
      </c>
    </row>
    <row r="74" spans="1:13">
      <c r="A74" t="s">
        <v>68</v>
      </c>
      <c r="B74" t="s">
        <v>74</v>
      </c>
      <c r="C74">
        <v>2</v>
      </c>
      <c r="D74"/>
      <c r="E74">
        <v>2</v>
      </c>
      <c r="G74" t="s">
        <v>68</v>
      </c>
      <c r="H74" t="s">
        <v>74</v>
      </c>
      <c r="I74" s="26" t="str">
        <f t="shared" si="4"/>
        <v>NE 东北大区BWI01</v>
      </c>
      <c r="J74">
        <v>2</v>
      </c>
      <c r="L74">
        <v>2</v>
      </c>
      <c r="M74">
        <f t="shared" si="5"/>
        <v>1</v>
      </c>
    </row>
    <row r="75" spans="1:13">
      <c r="A75" t="s">
        <v>68</v>
      </c>
      <c r="B75" t="s">
        <v>75</v>
      </c>
      <c r="C75">
        <v>20</v>
      </c>
      <c r="D75"/>
      <c r="E75">
        <v>20</v>
      </c>
      <c r="G75" t="s">
        <v>68</v>
      </c>
      <c r="H75" t="s">
        <v>75</v>
      </c>
      <c r="I75" s="26" t="str">
        <f t="shared" si="4"/>
        <v>NE 东北大区DC 华盛顿片区</v>
      </c>
      <c r="J75">
        <v>20</v>
      </c>
      <c r="L75">
        <v>20</v>
      </c>
      <c r="M75">
        <f t="shared" si="5"/>
        <v>1</v>
      </c>
    </row>
    <row r="76" spans="1:13">
      <c r="A76" t="s">
        <v>68</v>
      </c>
      <c r="B76" t="s">
        <v>76</v>
      </c>
      <c r="C76">
        <v>38</v>
      </c>
      <c r="D76"/>
      <c r="E76">
        <v>38</v>
      </c>
      <c r="G76" t="s">
        <v>68</v>
      </c>
      <c r="H76" t="s">
        <v>76</v>
      </c>
      <c r="I76" s="26" t="str">
        <f t="shared" si="4"/>
        <v>NE 东北大区EWR.H</v>
      </c>
      <c r="J76">
        <v>38</v>
      </c>
      <c r="L76">
        <v>38</v>
      </c>
      <c r="M76">
        <f t="shared" si="5"/>
        <v>1</v>
      </c>
    </row>
    <row r="77" spans="1:13">
      <c r="A77" t="s">
        <v>68</v>
      </c>
      <c r="B77" t="s">
        <v>77</v>
      </c>
      <c r="C77">
        <v>1</v>
      </c>
      <c r="D77"/>
      <c r="E77">
        <v>1</v>
      </c>
      <c r="G77" t="s">
        <v>68</v>
      </c>
      <c r="H77" t="s">
        <v>77</v>
      </c>
      <c r="I77" s="26" t="str">
        <f t="shared" si="4"/>
        <v>NE 东北大区EWR01</v>
      </c>
      <c r="J77">
        <v>1</v>
      </c>
      <c r="L77">
        <v>1</v>
      </c>
      <c r="M77">
        <f t="shared" si="5"/>
        <v>1</v>
      </c>
    </row>
    <row r="78" spans="1:13">
      <c r="A78" t="s">
        <v>68</v>
      </c>
      <c r="B78" t="s">
        <v>78</v>
      </c>
      <c r="C78">
        <v>15</v>
      </c>
      <c r="D78"/>
      <c r="E78">
        <v>15</v>
      </c>
      <c r="G78" t="s">
        <v>68</v>
      </c>
      <c r="H78" t="s">
        <v>78</v>
      </c>
      <c r="I78" s="26" t="str">
        <f t="shared" si="4"/>
        <v>NE 东北大区JFK.H</v>
      </c>
      <c r="J78">
        <v>15</v>
      </c>
      <c r="L78">
        <v>15</v>
      </c>
      <c r="M78">
        <f t="shared" si="5"/>
        <v>1</v>
      </c>
    </row>
    <row r="79" spans="1:13">
      <c r="A79" t="s">
        <v>68</v>
      </c>
      <c r="B79" t="s">
        <v>79</v>
      </c>
      <c r="C79">
        <v>1</v>
      </c>
      <c r="D79"/>
      <c r="E79">
        <v>1</v>
      </c>
      <c r="G79" t="s">
        <v>68</v>
      </c>
      <c r="H79" t="s">
        <v>79</v>
      </c>
      <c r="I79" s="26" t="str">
        <f t="shared" si="4"/>
        <v>NE 东北大区JFK01</v>
      </c>
      <c r="J79">
        <v>1</v>
      </c>
      <c r="L79">
        <v>1</v>
      </c>
      <c r="M79">
        <f t="shared" si="5"/>
        <v>1</v>
      </c>
    </row>
    <row r="80" spans="1:13">
      <c r="A80" t="s">
        <v>68</v>
      </c>
      <c r="B80" t="s">
        <v>80</v>
      </c>
      <c r="C80">
        <v>8</v>
      </c>
      <c r="D80"/>
      <c r="E80">
        <v>8</v>
      </c>
      <c r="G80" t="s">
        <v>68</v>
      </c>
      <c r="H80" t="s">
        <v>80</v>
      </c>
      <c r="I80" s="26" t="str">
        <f t="shared" si="4"/>
        <v>NE 东北大区MA 新英格兰片区</v>
      </c>
      <c r="J80">
        <v>8</v>
      </c>
      <c r="L80">
        <v>8</v>
      </c>
      <c r="M80">
        <f t="shared" si="5"/>
        <v>1</v>
      </c>
    </row>
    <row r="81" spans="1:13">
      <c r="A81" t="s">
        <v>68</v>
      </c>
      <c r="B81" t="s">
        <v>81</v>
      </c>
      <c r="C81">
        <v>15</v>
      </c>
      <c r="D81">
        <v>1</v>
      </c>
      <c r="E81">
        <v>16</v>
      </c>
      <c r="G81" t="s">
        <v>68</v>
      </c>
      <c r="H81" t="s">
        <v>81</v>
      </c>
      <c r="I81" s="26" t="str">
        <f t="shared" si="4"/>
        <v>NE 东北大区NY 纽约片区</v>
      </c>
      <c r="J81">
        <v>15</v>
      </c>
      <c r="K81">
        <v>1</v>
      </c>
      <c r="L81">
        <v>16</v>
      </c>
      <c r="M81">
        <f t="shared" si="5"/>
        <v>0.9375</v>
      </c>
    </row>
    <row r="82" spans="1:13">
      <c r="A82" t="s">
        <v>68</v>
      </c>
      <c r="B82" t="s">
        <v>82</v>
      </c>
      <c r="C82">
        <v>8</v>
      </c>
      <c r="D82"/>
      <c r="E82">
        <v>8</v>
      </c>
      <c r="G82" t="s">
        <v>68</v>
      </c>
      <c r="H82" t="s">
        <v>82</v>
      </c>
      <c r="I82" s="26" t="str">
        <f t="shared" si="4"/>
        <v>NE 东北大区PA 宾州片区</v>
      </c>
      <c r="J82">
        <v>8</v>
      </c>
      <c r="L82">
        <v>8</v>
      </c>
      <c r="M82">
        <f t="shared" si="5"/>
        <v>1</v>
      </c>
    </row>
    <row r="83" spans="1:13">
      <c r="A83" t="s">
        <v>68</v>
      </c>
      <c r="B83" t="s">
        <v>83</v>
      </c>
      <c r="C83">
        <v>1</v>
      </c>
      <c r="D83"/>
      <c r="E83">
        <v>1</v>
      </c>
      <c r="G83" t="s">
        <v>68</v>
      </c>
      <c r="H83" t="s">
        <v>83</v>
      </c>
      <c r="I83" s="26" t="str">
        <f t="shared" si="4"/>
        <v>NE 东北大区PHL01</v>
      </c>
      <c r="J83">
        <v>1</v>
      </c>
      <c r="L83">
        <v>1</v>
      </c>
      <c r="M83">
        <f t="shared" si="5"/>
        <v>1</v>
      </c>
    </row>
    <row r="84" spans="1:13">
      <c r="A84" t="s">
        <v>68</v>
      </c>
      <c r="B84" t="s">
        <v>84</v>
      </c>
      <c r="C84">
        <v>1</v>
      </c>
      <c r="D84"/>
      <c r="E84">
        <v>1</v>
      </c>
      <c r="G84" t="s">
        <v>68</v>
      </c>
      <c r="H84" t="s">
        <v>84</v>
      </c>
      <c r="I84" s="26" t="str">
        <f t="shared" si="4"/>
        <v>NE 东北大区PIT01</v>
      </c>
      <c r="J84">
        <v>1</v>
      </c>
      <c r="L84">
        <v>1</v>
      </c>
      <c r="M84">
        <f t="shared" si="5"/>
        <v>1</v>
      </c>
    </row>
    <row r="85" spans="1:13">
      <c r="A85" t="s">
        <v>68</v>
      </c>
      <c r="B85" t="s">
        <v>85</v>
      </c>
      <c r="C85">
        <v>1</v>
      </c>
      <c r="D85"/>
      <c r="E85">
        <v>1</v>
      </c>
      <c r="G85" t="s">
        <v>68</v>
      </c>
      <c r="H85" t="s">
        <v>85</v>
      </c>
      <c r="I85" s="26" t="str">
        <f t="shared" si="4"/>
        <v>NE 东北大区RIC01</v>
      </c>
      <c r="J85">
        <v>1</v>
      </c>
      <c r="L85">
        <v>1</v>
      </c>
      <c r="M85">
        <f t="shared" si="5"/>
        <v>1</v>
      </c>
    </row>
    <row r="86" spans="1:13">
      <c r="A86" t="s">
        <v>68</v>
      </c>
      <c r="B86" t="s">
        <v>44</v>
      </c>
      <c r="C86">
        <v>6</v>
      </c>
      <c r="D86"/>
      <c r="E86">
        <v>6</v>
      </c>
      <c r="G86" t="s">
        <v>68</v>
      </c>
      <c r="H86" t="s">
        <v>44</v>
      </c>
      <c r="I86" s="26" t="str">
        <f t="shared" si="4"/>
        <v>NE 东北大区车辆管理部</v>
      </c>
      <c r="J86">
        <v>6</v>
      </c>
      <c r="L86">
        <v>6</v>
      </c>
      <c r="M86">
        <f t="shared" si="5"/>
        <v>1</v>
      </c>
    </row>
    <row r="87" spans="1:13">
      <c r="A87" t="s">
        <v>68</v>
      </c>
      <c r="B87" t="s">
        <v>45</v>
      </c>
      <c r="C87">
        <v>13</v>
      </c>
      <c r="D87"/>
      <c r="E87">
        <v>13</v>
      </c>
      <c r="G87" t="s">
        <v>68</v>
      </c>
      <c r="H87" t="s">
        <v>45</v>
      </c>
      <c r="I87" s="26" t="str">
        <f t="shared" si="4"/>
        <v>NE 东北大区揽收部</v>
      </c>
      <c r="J87">
        <v>13</v>
      </c>
      <c r="L87">
        <v>13</v>
      </c>
      <c r="M87">
        <f t="shared" si="5"/>
        <v>1</v>
      </c>
    </row>
    <row r="88" spans="1:13">
      <c r="A88" t="s">
        <v>68</v>
      </c>
      <c r="B88" t="s">
        <v>29</v>
      </c>
      <c r="C88">
        <v>15</v>
      </c>
      <c r="D88"/>
      <c r="E88">
        <v>15</v>
      </c>
      <c r="G88" t="s">
        <v>68</v>
      </c>
      <c r="H88" t="s">
        <v>29</v>
      </c>
      <c r="I88" s="26" t="str">
        <f t="shared" si="4"/>
        <v>NE 东北大区运营支持部</v>
      </c>
      <c r="J88">
        <v>15</v>
      </c>
      <c r="L88">
        <v>15</v>
      </c>
      <c r="M88">
        <f t="shared" si="5"/>
        <v>1</v>
      </c>
    </row>
    <row r="89" spans="1:13">
      <c r="A89" t="s">
        <v>86</v>
      </c>
      <c r="B89"/>
      <c r="C89">
        <v>165</v>
      </c>
      <c r="D89">
        <v>1</v>
      </c>
      <c r="E89">
        <v>166</v>
      </c>
      <c r="G89" t="s">
        <v>86</v>
      </c>
      <c r="I89" s="26" t="str">
        <f t="shared" si="4"/>
        <v>NE 东北大区 汇总</v>
      </c>
      <c r="J89">
        <v>165</v>
      </c>
      <c r="K89">
        <v>1</v>
      </c>
      <c r="L89">
        <v>166</v>
      </c>
      <c r="M89">
        <f t="shared" si="5"/>
        <v>0.993975903614458</v>
      </c>
    </row>
    <row r="90" spans="1:13">
      <c r="A90" t="s">
        <v>87</v>
      </c>
      <c r="B90"/>
      <c r="C90">
        <v>1</v>
      </c>
      <c r="D90"/>
      <c r="E90">
        <v>1</v>
      </c>
      <c r="G90" t="s">
        <v>87</v>
      </c>
      <c r="I90" s="26" t="str">
        <f t="shared" si="4"/>
        <v>NP 网络规划部</v>
      </c>
      <c r="J90">
        <v>1</v>
      </c>
      <c r="L90">
        <v>1</v>
      </c>
      <c r="M90">
        <f t="shared" si="5"/>
        <v>1</v>
      </c>
    </row>
    <row r="91" spans="1:13">
      <c r="A91" t="s">
        <v>88</v>
      </c>
      <c r="B91"/>
      <c r="C91">
        <v>16</v>
      </c>
      <c r="D91"/>
      <c r="E91">
        <v>16</v>
      </c>
      <c r="G91" t="s">
        <v>88</v>
      </c>
      <c r="I91" s="26" t="str">
        <f t="shared" si="4"/>
        <v>OM 操作管理部</v>
      </c>
      <c r="J91">
        <v>16</v>
      </c>
      <c r="L91">
        <v>16</v>
      </c>
      <c r="M91">
        <f t="shared" si="5"/>
        <v>1</v>
      </c>
    </row>
    <row r="92" spans="1:13">
      <c r="A92" t="s">
        <v>89</v>
      </c>
      <c r="C92">
        <v>6</v>
      </c>
      <c r="D92"/>
      <c r="E92">
        <v>6</v>
      </c>
      <c r="G92" t="s">
        <v>89</v>
      </c>
      <c r="I92" s="26" t="str">
        <f t="shared" si="4"/>
        <v>QC 质量控制部</v>
      </c>
      <c r="J92">
        <v>6</v>
      </c>
      <c r="L92">
        <v>6</v>
      </c>
      <c r="M92">
        <f t="shared" si="5"/>
        <v>1</v>
      </c>
    </row>
    <row r="93" spans="1:13">
      <c r="A93" t="s">
        <v>90</v>
      </c>
      <c r="C93">
        <v>1</v>
      </c>
      <c r="D93"/>
      <c r="E93">
        <v>1</v>
      </c>
      <c r="G93" t="s">
        <v>90</v>
      </c>
      <c r="I93" s="26" t="str">
        <f t="shared" si="4"/>
        <v>SM 战略管理部</v>
      </c>
      <c r="J93">
        <v>1</v>
      </c>
      <c r="L93">
        <v>1</v>
      </c>
      <c r="M93">
        <f t="shared" si="5"/>
        <v>1</v>
      </c>
    </row>
    <row r="94" spans="1:13">
      <c r="A94" t="s">
        <v>91</v>
      </c>
      <c r="C94">
        <v>8</v>
      </c>
      <c r="D94"/>
      <c r="E94">
        <v>8</v>
      </c>
      <c r="G94" t="s">
        <v>91</v>
      </c>
      <c r="I94" s="26" t="str">
        <f t="shared" si="4"/>
        <v>SM 站点管理部</v>
      </c>
      <c r="J94">
        <v>8</v>
      </c>
      <c r="L94">
        <v>8</v>
      </c>
      <c r="M94">
        <f t="shared" si="5"/>
        <v>1</v>
      </c>
    </row>
    <row r="95" spans="1:13">
      <c r="A95" t="s">
        <v>92</v>
      </c>
      <c r="B95"/>
      <c r="C95">
        <v>1</v>
      </c>
      <c r="D95"/>
      <c r="E95">
        <v>1</v>
      </c>
      <c r="G95" t="s">
        <v>92</v>
      </c>
      <c r="I95" s="26" t="str">
        <f t="shared" si="4"/>
        <v>TX 德州大区</v>
      </c>
      <c r="J95">
        <v>1</v>
      </c>
      <c r="L95">
        <v>1</v>
      </c>
      <c r="M95">
        <f t="shared" si="5"/>
        <v>1</v>
      </c>
    </row>
    <row r="96" spans="1:13">
      <c r="A96" t="s">
        <v>92</v>
      </c>
      <c r="B96" t="s">
        <v>93</v>
      </c>
      <c r="C96">
        <v>10</v>
      </c>
      <c r="D96"/>
      <c r="E96">
        <v>10</v>
      </c>
      <c r="G96" t="s">
        <v>92</v>
      </c>
      <c r="H96" t="s">
        <v>93</v>
      </c>
      <c r="I96" s="26" t="str">
        <f t="shared" si="4"/>
        <v>TX 德州大区CT 中德州片区</v>
      </c>
      <c r="J96">
        <v>10</v>
      </c>
      <c r="L96">
        <v>10</v>
      </c>
      <c r="M96">
        <f t="shared" si="5"/>
        <v>1</v>
      </c>
    </row>
    <row r="97" spans="1:13">
      <c r="A97" t="s">
        <v>92</v>
      </c>
      <c r="B97" t="s">
        <v>94</v>
      </c>
      <c r="C97">
        <v>25</v>
      </c>
      <c r="D97"/>
      <c r="E97">
        <v>25</v>
      </c>
      <c r="G97" t="s">
        <v>92</v>
      </c>
      <c r="H97" t="s">
        <v>94</v>
      </c>
      <c r="I97" s="26" t="str">
        <f t="shared" si="4"/>
        <v>TX 德州大区DFW.H</v>
      </c>
      <c r="J97">
        <v>25</v>
      </c>
      <c r="L97">
        <v>25</v>
      </c>
      <c r="M97">
        <f t="shared" si="5"/>
        <v>1</v>
      </c>
    </row>
    <row r="98" spans="1:13">
      <c r="A98" t="s">
        <v>92</v>
      </c>
      <c r="B98" t="s">
        <v>95</v>
      </c>
      <c r="C98">
        <v>15</v>
      </c>
      <c r="D98"/>
      <c r="E98">
        <v>15</v>
      </c>
      <c r="G98" t="s">
        <v>92</v>
      </c>
      <c r="H98" t="s">
        <v>95</v>
      </c>
      <c r="I98" s="26" t="str">
        <f t="shared" si="4"/>
        <v>TX 德州大区GC 墨湾片区</v>
      </c>
      <c r="J98">
        <v>15</v>
      </c>
      <c r="L98">
        <v>15</v>
      </c>
      <c r="M98">
        <f t="shared" si="5"/>
        <v>1</v>
      </c>
    </row>
    <row r="99" spans="1:13">
      <c r="A99" t="s">
        <v>92</v>
      </c>
      <c r="B99" t="s">
        <v>96</v>
      </c>
      <c r="C99">
        <v>18</v>
      </c>
      <c r="D99"/>
      <c r="E99">
        <v>18</v>
      </c>
      <c r="G99" t="s">
        <v>92</v>
      </c>
      <c r="H99" t="s">
        <v>96</v>
      </c>
      <c r="I99" s="26" t="str">
        <f t="shared" si="4"/>
        <v>TX 德州大区IAH.H</v>
      </c>
      <c r="J99">
        <v>18</v>
      </c>
      <c r="L99">
        <v>18</v>
      </c>
      <c r="M99">
        <f t="shared" si="5"/>
        <v>1</v>
      </c>
    </row>
    <row r="100" spans="1:13">
      <c r="A100" t="s">
        <v>92</v>
      </c>
      <c r="B100" t="s">
        <v>97</v>
      </c>
      <c r="C100">
        <v>14</v>
      </c>
      <c r="D100">
        <v>1</v>
      </c>
      <c r="E100">
        <v>15</v>
      </c>
      <c r="G100" t="s">
        <v>92</v>
      </c>
      <c r="H100" t="s">
        <v>97</v>
      </c>
      <c r="I100" s="26" t="str">
        <f t="shared" si="4"/>
        <v>TX 德州大区NT 北德州片区</v>
      </c>
      <c r="J100">
        <v>14</v>
      </c>
      <c r="K100">
        <v>1</v>
      </c>
      <c r="L100">
        <v>15</v>
      </c>
      <c r="M100">
        <f t="shared" si="5"/>
        <v>0.933333333333333</v>
      </c>
    </row>
    <row r="101" spans="1:13">
      <c r="A101" t="s">
        <v>92</v>
      </c>
      <c r="B101" t="s">
        <v>45</v>
      </c>
      <c r="C101">
        <v>9</v>
      </c>
      <c r="D101"/>
      <c r="E101">
        <v>9</v>
      </c>
      <c r="G101" t="s">
        <v>92</v>
      </c>
      <c r="H101" t="s">
        <v>45</v>
      </c>
      <c r="I101" s="26" t="str">
        <f t="shared" si="4"/>
        <v>TX 德州大区揽收部</v>
      </c>
      <c r="J101">
        <v>9</v>
      </c>
      <c r="L101">
        <v>9</v>
      </c>
      <c r="M101">
        <f t="shared" si="5"/>
        <v>1</v>
      </c>
    </row>
    <row r="102" spans="1:13">
      <c r="A102" t="s">
        <v>92</v>
      </c>
      <c r="B102" t="s">
        <v>29</v>
      </c>
      <c r="C102">
        <v>7</v>
      </c>
      <c r="D102"/>
      <c r="E102">
        <v>7</v>
      </c>
      <c r="G102" t="s">
        <v>92</v>
      </c>
      <c r="H102" t="s">
        <v>29</v>
      </c>
      <c r="I102" s="26" t="str">
        <f t="shared" si="4"/>
        <v>TX 德州大区运营支持部</v>
      </c>
      <c r="J102">
        <v>7</v>
      </c>
      <c r="L102">
        <v>7</v>
      </c>
      <c r="M102">
        <f t="shared" si="5"/>
        <v>1</v>
      </c>
    </row>
    <row r="103" spans="1:13">
      <c r="A103" t="s">
        <v>98</v>
      </c>
      <c r="B103"/>
      <c r="C103">
        <v>99</v>
      </c>
      <c r="D103">
        <v>1</v>
      </c>
      <c r="E103">
        <v>100</v>
      </c>
      <c r="G103" t="s">
        <v>98</v>
      </c>
      <c r="I103" s="26" t="str">
        <f t="shared" si="4"/>
        <v>TX 德州大区 汇总</v>
      </c>
      <c r="J103">
        <v>99</v>
      </c>
      <c r="K103">
        <v>1</v>
      </c>
      <c r="L103">
        <v>100</v>
      </c>
      <c r="M103">
        <f t="shared" si="5"/>
        <v>0.99</v>
      </c>
    </row>
    <row r="104" spans="1:13">
      <c r="A104" t="s">
        <v>99</v>
      </c>
      <c r="B104"/>
      <c r="C104">
        <v>49</v>
      </c>
      <c r="D104"/>
      <c r="E104">
        <v>49</v>
      </c>
      <c r="G104" t="s">
        <v>99</v>
      </c>
      <c r="I104" s="26" t="str">
        <f t="shared" si="4"/>
        <v>US人力资源部</v>
      </c>
      <c r="J104">
        <v>49</v>
      </c>
      <c r="L104">
        <v>49</v>
      </c>
      <c r="M104">
        <f t="shared" si="5"/>
        <v>1</v>
      </c>
    </row>
    <row r="105" spans="1:13">
      <c r="A105" t="s">
        <v>100</v>
      </c>
      <c r="B105" t="s">
        <v>101</v>
      </c>
      <c r="C105">
        <v>48</v>
      </c>
      <c r="D105"/>
      <c r="E105">
        <v>48</v>
      </c>
      <c r="G105" t="s">
        <v>100</v>
      </c>
      <c r="H105" t="s">
        <v>101</v>
      </c>
      <c r="I105" s="26" t="str">
        <f t="shared" si="4"/>
        <v>WE 美西大区CNO.H</v>
      </c>
      <c r="J105">
        <v>48</v>
      </c>
      <c r="L105">
        <v>48</v>
      </c>
      <c r="M105">
        <f t="shared" si="5"/>
        <v>1</v>
      </c>
    </row>
    <row r="106" spans="1:13">
      <c r="A106" t="s">
        <v>100</v>
      </c>
      <c r="B106" t="s">
        <v>102</v>
      </c>
      <c r="C106">
        <v>12</v>
      </c>
      <c r="D106"/>
      <c r="E106">
        <v>12</v>
      </c>
      <c r="G106" t="s">
        <v>100</v>
      </c>
      <c r="H106" t="s">
        <v>102</v>
      </c>
      <c r="I106" s="26" t="str">
        <f t="shared" si="4"/>
        <v>WE 美西大区DS 丹佛·盐湖城片区</v>
      </c>
      <c r="J106">
        <v>12</v>
      </c>
      <c r="L106">
        <v>12</v>
      </c>
      <c r="M106">
        <f t="shared" si="5"/>
        <v>1</v>
      </c>
    </row>
    <row r="107" spans="1:13">
      <c r="A107" t="s">
        <v>100</v>
      </c>
      <c r="B107" t="s">
        <v>103</v>
      </c>
      <c r="C107">
        <v>41</v>
      </c>
      <c r="D107"/>
      <c r="E107">
        <v>41</v>
      </c>
      <c r="G107" t="s">
        <v>100</v>
      </c>
      <c r="H107" t="s">
        <v>103</v>
      </c>
      <c r="I107" s="26" t="str">
        <f t="shared" si="4"/>
        <v>WE 美西大区LAV.H</v>
      </c>
      <c r="J107">
        <v>41</v>
      </c>
      <c r="L107">
        <v>41</v>
      </c>
      <c r="M107">
        <f t="shared" si="5"/>
        <v>1</v>
      </c>
    </row>
    <row r="108" spans="1:13">
      <c r="A108" t="s">
        <v>100</v>
      </c>
      <c r="B108" t="s">
        <v>104</v>
      </c>
      <c r="C108">
        <v>8</v>
      </c>
      <c r="D108"/>
      <c r="E108">
        <v>8</v>
      </c>
      <c r="G108" t="s">
        <v>100</v>
      </c>
      <c r="H108" t="s">
        <v>104</v>
      </c>
      <c r="I108" s="26" t="str">
        <f t="shared" si="4"/>
        <v>WE 美西大区LA揽收部</v>
      </c>
      <c r="J108">
        <v>8</v>
      </c>
      <c r="L108">
        <v>8</v>
      </c>
      <c r="M108">
        <f t="shared" si="5"/>
        <v>1</v>
      </c>
    </row>
    <row r="109" spans="1:13">
      <c r="A109" t="s">
        <v>100</v>
      </c>
      <c r="B109" t="s">
        <v>105</v>
      </c>
      <c r="C109">
        <v>27</v>
      </c>
      <c r="D109"/>
      <c r="E109">
        <v>27</v>
      </c>
      <c r="G109" t="s">
        <v>100</v>
      </c>
      <c r="H109" t="s">
        <v>105</v>
      </c>
      <c r="I109" s="26" t="str">
        <f t="shared" si="4"/>
        <v>WE 美西大区NC 北加片区</v>
      </c>
      <c r="J109">
        <v>27</v>
      </c>
      <c r="L109">
        <v>27</v>
      </c>
      <c r="M109">
        <f t="shared" si="5"/>
        <v>1</v>
      </c>
    </row>
    <row r="110" spans="1:13">
      <c r="A110" t="s">
        <v>100</v>
      </c>
      <c r="B110" t="s">
        <v>106</v>
      </c>
      <c r="C110">
        <v>24</v>
      </c>
      <c r="D110"/>
      <c r="E110">
        <v>24</v>
      </c>
      <c r="G110" t="s">
        <v>100</v>
      </c>
      <c r="H110" t="s">
        <v>106</v>
      </c>
      <c r="I110" s="26" t="str">
        <f t="shared" si="4"/>
        <v>WE 美西大区SC 南加片区</v>
      </c>
      <c r="J110">
        <v>24</v>
      </c>
      <c r="L110">
        <v>24</v>
      </c>
      <c r="M110">
        <f t="shared" si="5"/>
        <v>1</v>
      </c>
    </row>
    <row r="111" spans="1:13">
      <c r="A111" t="s">
        <v>100</v>
      </c>
      <c r="B111" t="s">
        <v>107</v>
      </c>
      <c r="C111">
        <v>11</v>
      </c>
      <c r="D111"/>
      <c r="E111">
        <v>11</v>
      </c>
      <c r="G111" t="s">
        <v>100</v>
      </c>
      <c r="H111" t="s">
        <v>107</v>
      </c>
      <c r="I111" s="26" t="str">
        <f t="shared" si="4"/>
        <v>WE 美西大区SP 西雅图·波特兰片区</v>
      </c>
      <c r="J111">
        <v>11</v>
      </c>
      <c r="L111">
        <v>11</v>
      </c>
      <c r="M111">
        <f t="shared" si="5"/>
        <v>1</v>
      </c>
    </row>
    <row r="112" spans="1:13">
      <c r="A112" t="s">
        <v>100</v>
      </c>
      <c r="B112" t="s">
        <v>44</v>
      </c>
      <c r="C112">
        <v>6</v>
      </c>
      <c r="D112"/>
      <c r="E112">
        <v>6</v>
      </c>
      <c r="G112" t="s">
        <v>100</v>
      </c>
      <c r="H112" t="s">
        <v>44</v>
      </c>
      <c r="I112" s="26" t="str">
        <f t="shared" si="4"/>
        <v>WE 美西大区车辆管理部</v>
      </c>
      <c r="J112">
        <v>6</v>
      </c>
      <c r="L112">
        <v>6</v>
      </c>
      <c r="M112">
        <f t="shared" si="5"/>
        <v>1</v>
      </c>
    </row>
    <row r="113" spans="1:13">
      <c r="A113" t="s">
        <v>100</v>
      </c>
      <c r="B113" t="s">
        <v>29</v>
      </c>
      <c r="C113">
        <v>13</v>
      </c>
      <c r="D113"/>
      <c r="E113">
        <v>13</v>
      </c>
      <c r="G113" t="s">
        <v>100</v>
      </c>
      <c r="H113" t="s">
        <v>29</v>
      </c>
      <c r="I113" s="26" t="str">
        <f t="shared" si="4"/>
        <v>WE 美西大区运营支持部</v>
      </c>
      <c r="J113">
        <v>13</v>
      </c>
      <c r="L113">
        <v>13</v>
      </c>
      <c r="M113">
        <f t="shared" si="5"/>
        <v>1</v>
      </c>
    </row>
    <row r="114" spans="1:13">
      <c r="A114" t="s">
        <v>108</v>
      </c>
      <c r="B114"/>
      <c r="C114">
        <v>190</v>
      </c>
      <c r="D114"/>
      <c r="E114">
        <v>190</v>
      </c>
      <c r="G114" t="s">
        <v>108</v>
      </c>
      <c r="I114" s="26" t="str">
        <f t="shared" si="4"/>
        <v>WE 美西大区 汇总</v>
      </c>
      <c r="J114">
        <v>190</v>
      </c>
      <c r="L114">
        <v>190</v>
      </c>
      <c r="M114">
        <f t="shared" si="5"/>
        <v>1</v>
      </c>
    </row>
    <row r="115" spans="1:13">
      <c r="A115" t="s">
        <v>6</v>
      </c>
      <c r="B115"/>
      <c r="C115">
        <v>974</v>
      </c>
      <c r="D115">
        <v>16</v>
      </c>
      <c r="E115">
        <v>990</v>
      </c>
      <c r="G115" t="s">
        <v>6</v>
      </c>
      <c r="I115" s="26" t="str">
        <f t="shared" si="4"/>
        <v>总计</v>
      </c>
      <c r="J115">
        <v>974</v>
      </c>
      <c r="K115">
        <v>16</v>
      </c>
      <c r="L115">
        <v>990</v>
      </c>
      <c r="M115">
        <f t="shared" si="5"/>
        <v>0.983838383838384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opLeftCell="A10" workbookViewId="0">
      <selection activeCell="K23" sqref="K23"/>
    </sheetView>
  </sheetViews>
  <sheetFormatPr defaultColWidth="8.88888888888889" defaultRowHeight="14.4"/>
  <cols>
    <col min="1" max="1" width="15.2222222222222"/>
    <col min="2" max="2" width="12.1111111111111"/>
    <col min="3" max="5" width="16.1111111111111"/>
    <col min="6" max="7" width="5.66666666666667"/>
    <col min="8" max="8" width="14.7777777777778" customWidth="1"/>
    <col min="11" max="11" width="14.4444444444444" customWidth="1"/>
    <col min="15" max="15" width="12.8888888888889"/>
  </cols>
  <sheetData>
    <row r="1" spans="1:9">
      <c r="A1" t="s">
        <v>111</v>
      </c>
      <c r="B1" t="s">
        <v>112</v>
      </c>
      <c r="H1" t="s">
        <v>111</v>
      </c>
      <c r="I1" t="s">
        <v>112</v>
      </c>
    </row>
    <row r="3" spans="1:11">
      <c r="A3" t="s">
        <v>0</v>
      </c>
      <c r="B3"/>
      <c r="C3" t="s">
        <v>113</v>
      </c>
      <c r="D3"/>
      <c r="H3" t="s">
        <v>0</v>
      </c>
      <c r="K3" t="s">
        <v>113</v>
      </c>
    </row>
    <row r="4" spans="1:15">
      <c r="A4" t="s">
        <v>2</v>
      </c>
      <c r="B4" t="s">
        <v>3</v>
      </c>
      <c r="C4" t="s">
        <v>114</v>
      </c>
      <c r="D4" t="s">
        <v>115</v>
      </c>
      <c r="E4" t="s">
        <v>116</v>
      </c>
      <c r="F4" t="s">
        <v>6</v>
      </c>
      <c r="G4"/>
      <c r="H4" t="s">
        <v>2</v>
      </c>
      <c r="I4" t="s">
        <v>3</v>
      </c>
      <c r="J4" s="26" t="s">
        <v>7</v>
      </c>
      <c r="K4" t="s">
        <v>114</v>
      </c>
      <c r="L4" t="s">
        <v>115</v>
      </c>
      <c r="M4" t="s">
        <v>116</v>
      </c>
      <c r="N4" t="s">
        <v>6</v>
      </c>
      <c r="O4" s="27" t="s">
        <v>117</v>
      </c>
    </row>
    <row r="5" spans="1:15">
      <c r="A5" t="s">
        <v>15</v>
      </c>
      <c r="B5" t="s">
        <v>17</v>
      </c>
      <c r="C5"/>
      <c r="D5">
        <v>3</v>
      </c>
      <c r="E5">
        <v>25</v>
      </c>
      <c r="F5">
        <v>28</v>
      </c>
      <c r="G5"/>
      <c r="H5" t="s">
        <v>15</v>
      </c>
      <c r="I5" t="s">
        <v>17</v>
      </c>
      <c r="J5" s="26" t="str">
        <f>H5&amp;""&amp;I5</f>
        <v>FL 佛州大区MCO.H</v>
      </c>
      <c r="L5">
        <v>3</v>
      </c>
      <c r="M5">
        <v>25</v>
      </c>
      <c r="N5">
        <v>28</v>
      </c>
      <c r="O5" s="27">
        <f>M5/N5</f>
        <v>0.892857142857143</v>
      </c>
    </row>
    <row r="6" spans="1:15">
      <c r="A6" t="s">
        <v>15</v>
      </c>
      <c r="B6" t="s">
        <v>20</v>
      </c>
      <c r="C6">
        <v>1</v>
      </c>
      <c r="D6">
        <v>7</v>
      </c>
      <c r="E6">
        <v>26</v>
      </c>
      <c r="F6">
        <v>34</v>
      </c>
      <c r="G6"/>
      <c r="H6" t="s">
        <v>15</v>
      </c>
      <c r="I6" t="s">
        <v>20</v>
      </c>
      <c r="J6" s="26" t="str">
        <f t="shared" ref="J6:J28" si="0">H6&amp;""&amp;I6</f>
        <v>FL 佛州大区MIA.H</v>
      </c>
      <c r="K6">
        <v>1</v>
      </c>
      <c r="L6">
        <v>7</v>
      </c>
      <c r="M6">
        <v>26</v>
      </c>
      <c r="N6">
        <v>34</v>
      </c>
      <c r="O6" s="27">
        <f t="shared" ref="O6:O28" si="1">M6/N6</f>
        <v>0.764705882352941</v>
      </c>
    </row>
    <row r="7" spans="1:15">
      <c r="A7" t="s">
        <v>30</v>
      </c>
      <c r="C7">
        <v>1</v>
      </c>
      <c r="D7">
        <v>10</v>
      </c>
      <c r="E7">
        <v>51</v>
      </c>
      <c r="F7">
        <v>62</v>
      </c>
      <c r="G7"/>
      <c r="H7" t="s">
        <v>30</v>
      </c>
      <c r="J7" s="26" t="str">
        <f t="shared" si="0"/>
        <v>FL 佛州大区 汇总</v>
      </c>
      <c r="K7">
        <v>1</v>
      </c>
      <c r="L7">
        <v>10</v>
      </c>
      <c r="M7">
        <v>51</v>
      </c>
      <c r="N7">
        <v>62</v>
      </c>
      <c r="O7" s="27">
        <f t="shared" si="1"/>
        <v>0.82258064516129</v>
      </c>
    </row>
    <row r="8" spans="1:15">
      <c r="A8" t="s">
        <v>31</v>
      </c>
      <c r="B8" t="s">
        <v>35</v>
      </c>
      <c r="C8"/>
      <c r="D8">
        <v>1</v>
      </c>
      <c r="E8">
        <v>1</v>
      </c>
      <c r="F8">
        <v>2</v>
      </c>
      <c r="G8"/>
      <c r="H8" t="s">
        <v>31</v>
      </c>
      <c r="I8" t="s">
        <v>35</v>
      </c>
      <c r="J8" s="26" t="str">
        <f t="shared" si="0"/>
        <v>GL 大湖大区CVG.H</v>
      </c>
      <c r="L8">
        <v>1</v>
      </c>
      <c r="M8">
        <v>1</v>
      </c>
      <c r="N8">
        <v>2</v>
      </c>
      <c r="O8" s="27">
        <f t="shared" si="1"/>
        <v>0.5</v>
      </c>
    </row>
    <row r="9" spans="1:15">
      <c r="A9" t="s">
        <v>31</v>
      </c>
      <c r="B9" t="s">
        <v>41</v>
      </c>
      <c r="C9">
        <v>1</v>
      </c>
      <c r="D9">
        <v>6</v>
      </c>
      <c r="E9">
        <v>22</v>
      </c>
      <c r="F9">
        <v>29</v>
      </c>
      <c r="G9"/>
      <c r="H9" t="s">
        <v>31</v>
      </c>
      <c r="I9" t="s">
        <v>41</v>
      </c>
      <c r="J9" s="26" t="str">
        <f t="shared" si="0"/>
        <v>GL 大湖大区ORD.H</v>
      </c>
      <c r="K9">
        <v>1</v>
      </c>
      <c r="L9">
        <v>6</v>
      </c>
      <c r="M9">
        <v>22</v>
      </c>
      <c r="N9">
        <v>29</v>
      </c>
      <c r="O9" s="27">
        <f t="shared" si="1"/>
        <v>0.758620689655172</v>
      </c>
    </row>
    <row r="10" spans="1:15">
      <c r="A10" t="s">
        <v>46</v>
      </c>
      <c r="C10">
        <v>1</v>
      </c>
      <c r="D10">
        <v>7</v>
      </c>
      <c r="E10">
        <v>23</v>
      </c>
      <c r="F10">
        <v>31</v>
      </c>
      <c r="G10"/>
      <c r="H10" t="s">
        <v>46</v>
      </c>
      <c r="J10" s="26" t="str">
        <f t="shared" si="0"/>
        <v>GL 大湖大区 汇总</v>
      </c>
      <c r="K10">
        <v>1</v>
      </c>
      <c r="L10">
        <v>7</v>
      </c>
      <c r="M10">
        <v>23</v>
      </c>
      <c r="N10">
        <v>31</v>
      </c>
      <c r="O10" s="27">
        <f t="shared" si="1"/>
        <v>0.741935483870968</v>
      </c>
    </row>
    <row r="11" spans="1:15">
      <c r="A11" t="s">
        <v>48</v>
      </c>
      <c r="B11" t="s">
        <v>49</v>
      </c>
      <c r="C11"/>
      <c r="D11">
        <v>1</v>
      </c>
      <c r="E11">
        <v>5</v>
      </c>
      <c r="F11">
        <v>6</v>
      </c>
      <c r="G11"/>
      <c r="H11" t="s">
        <v>48</v>
      </c>
      <c r="I11" t="s">
        <v>49</v>
      </c>
      <c r="J11" s="26" t="str">
        <f t="shared" si="0"/>
        <v>Ground项目部OG 美东区</v>
      </c>
      <c r="L11">
        <v>1</v>
      </c>
      <c r="M11">
        <v>5</v>
      </c>
      <c r="N11">
        <v>6</v>
      </c>
      <c r="O11" s="27">
        <f t="shared" si="1"/>
        <v>0.833333333333333</v>
      </c>
    </row>
    <row r="12" spans="1:15">
      <c r="A12" t="s">
        <v>48</v>
      </c>
      <c r="B12" t="s">
        <v>51</v>
      </c>
      <c r="C12"/>
      <c r="D12">
        <v>7</v>
      </c>
      <c r="E12">
        <v>9</v>
      </c>
      <c r="F12">
        <v>16</v>
      </c>
      <c r="G12"/>
      <c r="H12" t="s">
        <v>48</v>
      </c>
      <c r="I12" t="s">
        <v>51</v>
      </c>
      <c r="J12" s="26" t="str">
        <f t="shared" si="0"/>
        <v>Ground项目部OG 美西区</v>
      </c>
      <c r="L12">
        <v>7</v>
      </c>
      <c r="M12">
        <v>9</v>
      </c>
      <c r="N12">
        <v>16</v>
      </c>
      <c r="O12" s="27">
        <f t="shared" si="1"/>
        <v>0.5625</v>
      </c>
    </row>
    <row r="13" spans="1:15">
      <c r="A13" t="s">
        <v>55</v>
      </c>
      <c r="B13"/>
      <c r="C13"/>
      <c r="D13">
        <v>8</v>
      </c>
      <c r="E13">
        <v>14</v>
      </c>
      <c r="F13">
        <v>22</v>
      </c>
      <c r="G13"/>
      <c r="H13" t="s">
        <v>55</v>
      </c>
      <c r="J13" s="26" t="str">
        <f t="shared" si="0"/>
        <v>Ground项目部 汇总</v>
      </c>
      <c r="L13">
        <v>8</v>
      </c>
      <c r="M13">
        <v>14</v>
      </c>
      <c r="N13">
        <v>22</v>
      </c>
      <c r="O13" s="27">
        <f t="shared" si="1"/>
        <v>0.636363636363636</v>
      </c>
    </row>
    <row r="14" spans="1:15">
      <c r="A14" t="s">
        <v>58</v>
      </c>
      <c r="B14" t="s">
        <v>61</v>
      </c>
      <c r="C14"/>
      <c r="D14">
        <v>3</v>
      </c>
      <c r="E14">
        <v>16</v>
      </c>
      <c r="F14">
        <v>19</v>
      </c>
      <c r="G14"/>
      <c r="H14" t="s">
        <v>58</v>
      </c>
      <c r="I14" t="s">
        <v>61</v>
      </c>
      <c r="J14" s="26" t="str">
        <f t="shared" si="0"/>
        <v>MS 中南大区ATL.H</v>
      </c>
      <c r="L14">
        <v>3</v>
      </c>
      <c r="M14">
        <v>16</v>
      </c>
      <c r="N14">
        <v>19</v>
      </c>
      <c r="O14" s="27">
        <f t="shared" si="1"/>
        <v>0.842105263157895</v>
      </c>
    </row>
    <row r="15" spans="1:15">
      <c r="A15" t="s">
        <v>58</v>
      </c>
      <c r="B15" t="s">
        <v>63</v>
      </c>
      <c r="C15"/>
      <c r="D15">
        <v>3</v>
      </c>
      <c r="E15">
        <v>8</v>
      </c>
      <c r="F15">
        <v>11</v>
      </c>
      <c r="G15"/>
      <c r="H15" t="s">
        <v>58</v>
      </c>
      <c r="I15" t="s">
        <v>63</v>
      </c>
      <c r="J15" s="26" t="str">
        <f t="shared" si="0"/>
        <v>MS 中南大区CLT.H</v>
      </c>
      <c r="L15">
        <v>3</v>
      </c>
      <c r="M15">
        <v>8</v>
      </c>
      <c r="N15">
        <v>11</v>
      </c>
      <c r="O15" s="27">
        <f t="shared" si="1"/>
        <v>0.727272727272727</v>
      </c>
    </row>
    <row r="16" spans="1:15">
      <c r="A16" t="s">
        <v>58</v>
      </c>
      <c r="B16" t="s">
        <v>65</v>
      </c>
      <c r="C16"/>
      <c r="D16"/>
      <c r="E16">
        <v>1</v>
      </c>
      <c r="F16">
        <v>1</v>
      </c>
      <c r="G16"/>
      <c r="H16" t="s">
        <v>58</v>
      </c>
      <c r="I16" t="s">
        <v>65</v>
      </c>
      <c r="J16" s="26" t="str">
        <f t="shared" si="0"/>
        <v>MS 中南大区PDK.H</v>
      </c>
      <c r="M16">
        <v>1</v>
      </c>
      <c r="N16">
        <v>1</v>
      </c>
      <c r="O16" s="27">
        <f t="shared" si="1"/>
        <v>1</v>
      </c>
    </row>
    <row r="17" spans="1:15">
      <c r="A17" t="s">
        <v>67</v>
      </c>
      <c r="B17"/>
      <c r="C17"/>
      <c r="D17">
        <v>6</v>
      </c>
      <c r="E17">
        <v>25</v>
      </c>
      <c r="F17">
        <v>31</v>
      </c>
      <c r="G17"/>
      <c r="H17" t="s">
        <v>67</v>
      </c>
      <c r="J17" s="26" t="str">
        <f t="shared" si="0"/>
        <v>MS 中南大区 汇总</v>
      </c>
      <c r="L17">
        <v>6</v>
      </c>
      <c r="M17">
        <v>25</v>
      </c>
      <c r="N17">
        <v>31</v>
      </c>
      <c r="O17" s="27">
        <f t="shared" si="1"/>
        <v>0.806451612903226</v>
      </c>
    </row>
    <row r="18" spans="1:15">
      <c r="A18" t="s">
        <v>68</v>
      </c>
      <c r="B18" t="s">
        <v>73</v>
      </c>
      <c r="C18"/>
      <c r="D18">
        <v>4</v>
      </c>
      <c r="E18">
        <v>2</v>
      </c>
      <c r="F18">
        <v>6</v>
      </c>
      <c r="G18"/>
      <c r="H18" t="s">
        <v>68</v>
      </c>
      <c r="I18" t="s">
        <v>73</v>
      </c>
      <c r="J18" s="26" t="str">
        <f t="shared" si="0"/>
        <v>NE 东北大区BWI.H</v>
      </c>
      <c r="L18">
        <v>4</v>
      </c>
      <c r="M18">
        <v>2</v>
      </c>
      <c r="N18">
        <v>6</v>
      </c>
      <c r="O18" s="27">
        <f t="shared" si="1"/>
        <v>0.333333333333333</v>
      </c>
    </row>
    <row r="19" spans="1:15">
      <c r="A19" t="s">
        <v>68</v>
      </c>
      <c r="B19" t="s">
        <v>76</v>
      </c>
      <c r="C19"/>
      <c r="D19">
        <v>14</v>
      </c>
      <c r="E19">
        <v>24</v>
      </c>
      <c r="F19">
        <v>38</v>
      </c>
      <c r="G19"/>
      <c r="H19" t="s">
        <v>68</v>
      </c>
      <c r="I19" t="s">
        <v>76</v>
      </c>
      <c r="J19" s="26" t="str">
        <f t="shared" si="0"/>
        <v>NE 东北大区EWR.H</v>
      </c>
      <c r="L19">
        <v>14</v>
      </c>
      <c r="M19">
        <v>24</v>
      </c>
      <c r="N19">
        <v>38</v>
      </c>
      <c r="O19" s="27">
        <f t="shared" si="1"/>
        <v>0.631578947368421</v>
      </c>
    </row>
    <row r="20" spans="1:15">
      <c r="A20" t="s">
        <v>68</v>
      </c>
      <c r="B20" t="s">
        <v>78</v>
      </c>
      <c r="C20"/>
      <c r="D20"/>
      <c r="E20">
        <v>15</v>
      </c>
      <c r="F20">
        <v>15</v>
      </c>
      <c r="G20"/>
      <c r="H20" t="s">
        <v>68</v>
      </c>
      <c r="I20" t="s">
        <v>78</v>
      </c>
      <c r="J20" s="26" t="str">
        <f t="shared" si="0"/>
        <v>NE 东北大区JFK.H</v>
      </c>
      <c r="M20">
        <v>15</v>
      </c>
      <c r="N20">
        <v>15</v>
      </c>
      <c r="O20" s="27">
        <f t="shared" si="1"/>
        <v>1</v>
      </c>
    </row>
    <row r="21" spans="1:15">
      <c r="A21" t="s">
        <v>86</v>
      </c>
      <c r="B21"/>
      <c r="C21"/>
      <c r="D21">
        <v>18</v>
      </c>
      <c r="E21">
        <v>41</v>
      </c>
      <c r="F21">
        <v>59</v>
      </c>
      <c r="G21"/>
      <c r="H21" t="s">
        <v>86</v>
      </c>
      <c r="J21" s="26" t="str">
        <f t="shared" si="0"/>
        <v>NE 东北大区 汇总</v>
      </c>
      <c r="L21">
        <v>18</v>
      </c>
      <c r="M21">
        <v>41</v>
      </c>
      <c r="N21">
        <v>59</v>
      </c>
      <c r="O21" s="27">
        <f t="shared" si="1"/>
        <v>0.694915254237288</v>
      </c>
    </row>
    <row r="22" spans="1:15">
      <c r="A22" t="s">
        <v>92</v>
      </c>
      <c r="B22" t="s">
        <v>94</v>
      </c>
      <c r="C22"/>
      <c r="D22">
        <v>2</v>
      </c>
      <c r="E22">
        <v>23</v>
      </c>
      <c r="F22">
        <v>25</v>
      </c>
      <c r="G22"/>
      <c r="H22" t="s">
        <v>92</v>
      </c>
      <c r="I22" t="s">
        <v>94</v>
      </c>
      <c r="J22" s="26" t="str">
        <f t="shared" si="0"/>
        <v>TX 德州大区DFW.H</v>
      </c>
      <c r="L22">
        <v>2</v>
      </c>
      <c r="M22">
        <v>23</v>
      </c>
      <c r="N22">
        <v>25</v>
      </c>
      <c r="O22" s="27">
        <f t="shared" si="1"/>
        <v>0.92</v>
      </c>
    </row>
    <row r="23" spans="1:15">
      <c r="A23" t="s">
        <v>92</v>
      </c>
      <c r="B23" t="s">
        <v>96</v>
      </c>
      <c r="C23"/>
      <c r="D23">
        <v>1</v>
      </c>
      <c r="E23">
        <v>17</v>
      </c>
      <c r="F23">
        <v>18</v>
      </c>
      <c r="G23"/>
      <c r="H23" t="s">
        <v>92</v>
      </c>
      <c r="I23" t="s">
        <v>96</v>
      </c>
      <c r="J23" s="26" t="str">
        <f t="shared" si="0"/>
        <v>TX 德州大区IAH.H</v>
      </c>
      <c r="L23">
        <v>1</v>
      </c>
      <c r="M23">
        <v>17</v>
      </c>
      <c r="N23">
        <v>18</v>
      </c>
      <c r="O23" s="27">
        <f t="shared" si="1"/>
        <v>0.944444444444444</v>
      </c>
    </row>
    <row r="24" spans="1:15">
      <c r="A24" t="s">
        <v>98</v>
      </c>
      <c r="B24"/>
      <c r="C24"/>
      <c r="D24">
        <v>3</v>
      </c>
      <c r="E24">
        <v>40</v>
      </c>
      <c r="F24">
        <v>43</v>
      </c>
      <c r="G24"/>
      <c r="H24" t="s">
        <v>98</v>
      </c>
      <c r="J24" s="26" t="str">
        <f t="shared" si="0"/>
        <v>TX 德州大区 汇总</v>
      </c>
      <c r="L24">
        <v>3</v>
      </c>
      <c r="M24">
        <v>40</v>
      </c>
      <c r="N24">
        <v>43</v>
      </c>
      <c r="O24" s="27">
        <f t="shared" si="1"/>
        <v>0.930232558139535</v>
      </c>
    </row>
    <row r="25" spans="1:15">
      <c r="A25" t="s">
        <v>100</v>
      </c>
      <c r="B25" t="s">
        <v>101</v>
      </c>
      <c r="C25"/>
      <c r="D25">
        <v>14</v>
      </c>
      <c r="E25">
        <v>34</v>
      </c>
      <c r="F25">
        <v>48</v>
      </c>
      <c r="G25"/>
      <c r="H25" t="s">
        <v>100</v>
      </c>
      <c r="I25" t="s">
        <v>101</v>
      </c>
      <c r="J25" s="26" t="str">
        <f t="shared" si="0"/>
        <v>WE 美西大区CNO.H</v>
      </c>
      <c r="L25">
        <v>14</v>
      </c>
      <c r="M25">
        <v>34</v>
      </c>
      <c r="N25">
        <v>48</v>
      </c>
      <c r="O25" s="27">
        <f t="shared" si="1"/>
        <v>0.708333333333333</v>
      </c>
    </row>
    <row r="26" spans="1:15">
      <c r="A26" t="s">
        <v>100</v>
      </c>
      <c r="B26" t="s">
        <v>103</v>
      </c>
      <c r="C26"/>
      <c r="D26">
        <v>9</v>
      </c>
      <c r="E26">
        <v>32</v>
      </c>
      <c r="F26">
        <v>41</v>
      </c>
      <c r="G26"/>
      <c r="H26" t="s">
        <v>100</v>
      </c>
      <c r="I26" t="s">
        <v>103</v>
      </c>
      <c r="J26" s="26" t="str">
        <f t="shared" si="0"/>
        <v>WE 美西大区LAV.H</v>
      </c>
      <c r="L26">
        <v>9</v>
      </c>
      <c r="M26">
        <v>32</v>
      </c>
      <c r="N26">
        <v>41</v>
      </c>
      <c r="O26" s="27">
        <f t="shared" si="1"/>
        <v>0.780487804878049</v>
      </c>
    </row>
    <row r="27" spans="1:15">
      <c r="A27" t="s">
        <v>108</v>
      </c>
      <c r="B27"/>
      <c r="C27"/>
      <c r="D27">
        <v>23</v>
      </c>
      <c r="E27">
        <v>66</v>
      </c>
      <c r="F27">
        <v>89</v>
      </c>
      <c r="G27"/>
      <c r="H27" t="s">
        <v>108</v>
      </c>
      <c r="J27" s="26" t="str">
        <f t="shared" si="0"/>
        <v>WE 美西大区 汇总</v>
      </c>
      <c r="L27">
        <v>23</v>
      </c>
      <c r="M27">
        <v>66</v>
      </c>
      <c r="N27">
        <v>89</v>
      </c>
      <c r="O27" s="27">
        <f t="shared" si="1"/>
        <v>0.741573033707865</v>
      </c>
    </row>
    <row r="28" spans="1:15">
      <c r="A28" t="s">
        <v>6</v>
      </c>
      <c r="B28"/>
      <c r="C28">
        <v>2</v>
      </c>
      <c r="D28">
        <v>75</v>
      </c>
      <c r="E28">
        <v>260</v>
      </c>
      <c r="F28">
        <v>337</v>
      </c>
      <c r="G28"/>
      <c r="H28" t="s">
        <v>6</v>
      </c>
      <c r="J28" s="26" t="str">
        <f t="shared" si="0"/>
        <v>总计</v>
      </c>
      <c r="K28">
        <v>2</v>
      </c>
      <c r="L28">
        <v>75</v>
      </c>
      <c r="M28">
        <v>260</v>
      </c>
      <c r="N28">
        <v>337</v>
      </c>
      <c r="O28" s="27">
        <f t="shared" si="1"/>
        <v>0.771513353115727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14"/>
  <sheetViews>
    <sheetView topLeftCell="A94" workbookViewId="0">
      <selection activeCell="K97" sqref="K97"/>
    </sheetView>
  </sheetViews>
  <sheetFormatPr defaultColWidth="8.88888888888889" defaultRowHeight="14.4"/>
  <cols>
    <col min="1" max="1" width="15.2222222222222"/>
    <col min="2" max="2" width="31"/>
    <col min="3" max="4" width="19.7777777777778"/>
    <col min="5" max="5" width="16.1111111111111"/>
    <col min="6" max="10" width="14.6666666666667" customWidth="1"/>
    <col min="11" max="11" width="12.8888888888889"/>
  </cols>
  <sheetData>
    <row r="3" spans="1:11">
      <c r="A3" t="s">
        <v>2</v>
      </c>
      <c r="B3" t="s">
        <v>3</v>
      </c>
      <c r="C3" t="s">
        <v>118</v>
      </c>
      <c r="D3" t="s">
        <v>119</v>
      </c>
      <c r="F3" t="s">
        <v>2</v>
      </c>
      <c r="G3" t="s">
        <v>3</v>
      </c>
      <c r="H3" s="26" t="s">
        <v>7</v>
      </c>
      <c r="I3" t="s">
        <v>118</v>
      </c>
      <c r="J3" t="s">
        <v>119</v>
      </c>
      <c r="K3" t="s">
        <v>120</v>
      </c>
    </row>
    <row r="4" spans="1:11">
      <c r="A4" t="s">
        <v>8</v>
      </c>
      <c r="B4"/>
      <c r="C4">
        <v>20</v>
      </c>
      <c r="D4">
        <v>60</v>
      </c>
      <c r="E4"/>
      <c r="F4" t="s">
        <v>8</v>
      </c>
      <c r="H4" s="26" t="str">
        <f>F4&amp;""&amp;G4</f>
        <v>AD 行政部</v>
      </c>
      <c r="I4">
        <v>20</v>
      </c>
      <c r="J4">
        <v>60</v>
      </c>
      <c r="K4">
        <f>I4/J4</f>
        <v>0.333333333333333</v>
      </c>
    </row>
    <row r="5" spans="1:11">
      <c r="A5" t="s">
        <v>9</v>
      </c>
      <c r="C5">
        <v>2</v>
      </c>
      <c r="D5">
        <v>4</v>
      </c>
      <c r="E5"/>
      <c r="F5" t="s">
        <v>9</v>
      </c>
      <c r="H5" s="26" t="str">
        <f t="shared" ref="H5:H36" si="0">F5&amp;""&amp;G5</f>
        <v>AS 审计监察部</v>
      </c>
      <c r="I5">
        <v>2</v>
      </c>
      <c r="J5">
        <v>4</v>
      </c>
      <c r="K5">
        <f t="shared" ref="K5:K36" si="1">I5/J5</f>
        <v>0.5</v>
      </c>
    </row>
    <row r="6" spans="1:11">
      <c r="A6" t="s">
        <v>10</v>
      </c>
      <c r="C6">
        <v>60</v>
      </c>
      <c r="D6">
        <v>60</v>
      </c>
      <c r="E6"/>
      <c r="F6" t="s">
        <v>10</v>
      </c>
      <c r="H6" s="26" t="str">
        <f t="shared" si="0"/>
        <v>BD 本地客户部</v>
      </c>
      <c r="I6">
        <v>60</v>
      </c>
      <c r="J6">
        <v>60</v>
      </c>
      <c r="K6">
        <f t="shared" si="1"/>
        <v>1</v>
      </c>
    </row>
    <row r="7" spans="1:11">
      <c r="A7" t="s">
        <v>11</v>
      </c>
      <c r="C7">
        <v>6</v>
      </c>
      <c r="D7">
        <v>12</v>
      </c>
      <c r="F7" t="s">
        <v>11</v>
      </c>
      <c r="H7" s="26" t="str">
        <f t="shared" si="0"/>
        <v>BM 品牌市场部</v>
      </c>
      <c r="I7">
        <v>6</v>
      </c>
      <c r="J7">
        <v>12</v>
      </c>
      <c r="K7">
        <f t="shared" si="1"/>
        <v>0.5</v>
      </c>
    </row>
    <row r="8" spans="1:11">
      <c r="A8" t="s">
        <v>12</v>
      </c>
      <c r="C8">
        <v>29</v>
      </c>
      <c r="D8">
        <v>44</v>
      </c>
      <c r="E8"/>
      <c r="F8" t="s">
        <v>12</v>
      </c>
      <c r="H8" s="26" t="str">
        <f t="shared" si="0"/>
        <v>CM 运力管理部</v>
      </c>
      <c r="I8">
        <v>29</v>
      </c>
      <c r="J8">
        <v>44</v>
      </c>
      <c r="K8">
        <f t="shared" si="1"/>
        <v>0.659090909090909</v>
      </c>
    </row>
    <row r="9" spans="1:11">
      <c r="A9" t="s">
        <v>13</v>
      </c>
      <c r="C9">
        <v>3</v>
      </c>
      <c r="D9">
        <v>28</v>
      </c>
      <c r="E9"/>
      <c r="F9" t="s">
        <v>13</v>
      </c>
      <c r="H9" s="26" t="str">
        <f t="shared" si="0"/>
        <v>CS 客户服务部</v>
      </c>
      <c r="I9">
        <v>3</v>
      </c>
      <c r="J9">
        <v>28</v>
      </c>
      <c r="K9">
        <f t="shared" si="1"/>
        <v>0.107142857142857</v>
      </c>
    </row>
    <row r="10" spans="1:11">
      <c r="A10" t="s">
        <v>14</v>
      </c>
      <c r="C10">
        <v>23</v>
      </c>
      <c r="D10">
        <v>40</v>
      </c>
      <c r="E10"/>
      <c r="F10" t="s">
        <v>14</v>
      </c>
      <c r="H10" s="26" t="str">
        <f t="shared" si="0"/>
        <v>DO 数字运营部</v>
      </c>
      <c r="I10">
        <v>23</v>
      </c>
      <c r="J10">
        <v>40</v>
      </c>
      <c r="K10">
        <f t="shared" si="1"/>
        <v>0.575</v>
      </c>
    </row>
    <row r="11" spans="1:11">
      <c r="A11" t="s">
        <v>15</v>
      </c>
      <c r="C11">
        <v>2</v>
      </c>
      <c r="D11">
        <v>4</v>
      </c>
      <c r="E11"/>
      <c r="F11" t="s">
        <v>15</v>
      </c>
      <c r="H11" s="26" t="str">
        <f t="shared" si="0"/>
        <v>FL 佛州大区</v>
      </c>
      <c r="I11">
        <v>2</v>
      </c>
      <c r="J11">
        <v>4</v>
      </c>
      <c r="K11">
        <f t="shared" si="1"/>
        <v>0.5</v>
      </c>
    </row>
    <row r="12" spans="1:11">
      <c r="A12" t="s">
        <v>15</v>
      </c>
      <c r="B12" t="s">
        <v>16</v>
      </c>
      <c r="C12">
        <v>6</v>
      </c>
      <c r="D12">
        <v>12</v>
      </c>
      <c r="E12"/>
      <c r="F12" t="s">
        <v>15</v>
      </c>
      <c r="G12" t="s">
        <v>16</v>
      </c>
      <c r="H12" s="26" t="str">
        <f t="shared" si="0"/>
        <v>FL 佛州大区FTM01</v>
      </c>
      <c r="I12">
        <v>6</v>
      </c>
      <c r="J12">
        <v>12</v>
      </c>
      <c r="K12">
        <f t="shared" si="1"/>
        <v>0.5</v>
      </c>
    </row>
    <row r="13" spans="1:11">
      <c r="A13" t="s">
        <v>15</v>
      </c>
      <c r="B13" t="s">
        <v>17</v>
      </c>
      <c r="C13">
        <v>5</v>
      </c>
      <c r="D13">
        <v>68</v>
      </c>
      <c r="E13"/>
      <c r="F13" t="s">
        <v>15</v>
      </c>
      <c r="G13" t="s">
        <v>17</v>
      </c>
      <c r="H13" s="26" t="str">
        <f t="shared" si="0"/>
        <v>FL 佛州大区MCO.H</v>
      </c>
      <c r="I13">
        <v>5</v>
      </c>
      <c r="J13">
        <v>68</v>
      </c>
      <c r="K13">
        <f t="shared" si="1"/>
        <v>0.0735294117647059</v>
      </c>
    </row>
    <row r="14" spans="1:11">
      <c r="A14" t="s">
        <v>15</v>
      </c>
      <c r="B14" t="s">
        <v>18</v>
      </c>
      <c r="C14">
        <v>0</v>
      </c>
      <c r="D14">
        <v>8</v>
      </c>
      <c r="E14"/>
      <c r="F14" t="s">
        <v>15</v>
      </c>
      <c r="G14" t="s">
        <v>18</v>
      </c>
      <c r="H14" s="26" t="str">
        <f t="shared" si="0"/>
        <v>FL 佛州大区MCO01</v>
      </c>
      <c r="I14">
        <v>0</v>
      </c>
      <c r="J14">
        <v>8</v>
      </c>
      <c r="K14">
        <f t="shared" si="1"/>
        <v>0</v>
      </c>
    </row>
    <row r="15" spans="1:11">
      <c r="A15" t="s">
        <v>15</v>
      </c>
      <c r="B15" t="s">
        <v>19</v>
      </c>
      <c r="C15">
        <v>10</v>
      </c>
      <c r="D15">
        <v>16</v>
      </c>
      <c r="E15"/>
      <c r="F15" t="s">
        <v>15</v>
      </c>
      <c r="G15" t="s">
        <v>19</v>
      </c>
      <c r="H15" s="26" t="str">
        <f t="shared" si="0"/>
        <v>FL 佛州大区MF 中佛片区</v>
      </c>
      <c r="I15">
        <v>10</v>
      </c>
      <c r="J15">
        <v>16</v>
      </c>
      <c r="K15">
        <f t="shared" si="1"/>
        <v>0.625</v>
      </c>
    </row>
    <row r="16" spans="1:11">
      <c r="A16" t="s">
        <v>15</v>
      </c>
      <c r="B16" t="s">
        <v>20</v>
      </c>
      <c r="C16">
        <v>38</v>
      </c>
      <c r="D16">
        <v>112</v>
      </c>
      <c r="E16"/>
      <c r="F16" t="s">
        <v>15</v>
      </c>
      <c r="G16" t="s">
        <v>20</v>
      </c>
      <c r="H16" s="26" t="str">
        <f t="shared" si="0"/>
        <v>FL 佛州大区MIA.H</v>
      </c>
      <c r="I16">
        <v>38</v>
      </c>
      <c r="J16">
        <v>112</v>
      </c>
      <c r="K16">
        <f t="shared" si="1"/>
        <v>0.339285714285714</v>
      </c>
    </row>
    <row r="17" spans="1:11">
      <c r="A17" t="s">
        <v>15</v>
      </c>
      <c r="B17" t="s">
        <v>21</v>
      </c>
      <c r="C17">
        <v>1</v>
      </c>
      <c r="D17">
        <v>12</v>
      </c>
      <c r="E17"/>
      <c r="F17" t="s">
        <v>15</v>
      </c>
      <c r="G17" t="s">
        <v>21</v>
      </c>
      <c r="H17" s="26" t="str">
        <f t="shared" si="0"/>
        <v>FL 佛州大区MIA01</v>
      </c>
      <c r="I17">
        <v>1</v>
      </c>
      <c r="J17">
        <v>12</v>
      </c>
      <c r="K17">
        <f t="shared" si="1"/>
        <v>0.0833333333333333</v>
      </c>
    </row>
    <row r="18" spans="1:11">
      <c r="A18" t="s">
        <v>15</v>
      </c>
      <c r="B18" t="s">
        <v>22</v>
      </c>
      <c r="C18">
        <v>6</v>
      </c>
      <c r="D18">
        <v>24</v>
      </c>
      <c r="F18" t="s">
        <v>15</v>
      </c>
      <c r="G18" t="s">
        <v>22</v>
      </c>
      <c r="H18" s="26" t="str">
        <f t="shared" si="0"/>
        <v>FL 佛州大区NF 北佛片区</v>
      </c>
      <c r="I18">
        <v>6</v>
      </c>
      <c r="J18">
        <v>24</v>
      </c>
      <c r="K18">
        <f t="shared" si="1"/>
        <v>0.25</v>
      </c>
    </row>
    <row r="19" spans="1:11">
      <c r="A19" t="s">
        <v>15</v>
      </c>
      <c r="B19" t="s">
        <v>23</v>
      </c>
      <c r="C19">
        <v>2</v>
      </c>
      <c r="D19">
        <v>4</v>
      </c>
      <c r="F19" t="s">
        <v>15</v>
      </c>
      <c r="G19" t="s">
        <v>23</v>
      </c>
      <c r="H19" s="26" t="str">
        <f t="shared" si="0"/>
        <v>FL 佛州大区OCF01</v>
      </c>
      <c r="I19">
        <v>2</v>
      </c>
      <c r="J19">
        <v>4</v>
      </c>
      <c r="K19">
        <f t="shared" si="1"/>
        <v>0.5</v>
      </c>
    </row>
    <row r="20" spans="1:11">
      <c r="A20" t="s">
        <v>15</v>
      </c>
      <c r="B20" t="s">
        <v>24</v>
      </c>
      <c r="C20">
        <v>6</v>
      </c>
      <c r="D20">
        <v>24</v>
      </c>
      <c r="E20"/>
      <c r="F20" t="s">
        <v>15</v>
      </c>
      <c r="G20" t="s">
        <v>24</v>
      </c>
      <c r="H20" s="26" t="str">
        <f t="shared" si="0"/>
        <v>FL 佛州大区SF 南佛片区</v>
      </c>
      <c r="I20">
        <v>6</v>
      </c>
      <c r="J20">
        <v>24</v>
      </c>
      <c r="K20">
        <f t="shared" si="1"/>
        <v>0.25</v>
      </c>
    </row>
    <row r="21" spans="1:11">
      <c r="A21" t="s">
        <v>15</v>
      </c>
      <c r="B21" t="s">
        <v>25</v>
      </c>
      <c r="C21">
        <v>0</v>
      </c>
      <c r="D21">
        <v>4</v>
      </c>
      <c r="E21"/>
      <c r="F21" t="s">
        <v>15</v>
      </c>
      <c r="G21" t="s">
        <v>25</v>
      </c>
      <c r="H21" s="26" t="str">
        <f t="shared" si="0"/>
        <v>FL 佛州大区SRQ01</v>
      </c>
      <c r="I21">
        <v>0</v>
      </c>
      <c r="J21">
        <v>4</v>
      </c>
      <c r="K21">
        <f t="shared" si="1"/>
        <v>0</v>
      </c>
    </row>
    <row r="22" spans="1:11">
      <c r="A22" t="s">
        <v>15</v>
      </c>
      <c r="B22" t="s">
        <v>26</v>
      </c>
      <c r="C22">
        <v>5</v>
      </c>
      <c r="D22">
        <v>8</v>
      </c>
      <c r="F22" t="s">
        <v>15</v>
      </c>
      <c r="G22" t="s">
        <v>26</v>
      </c>
      <c r="H22" s="26" t="str">
        <f t="shared" si="0"/>
        <v>FL 佛州大区TPA01</v>
      </c>
      <c r="I22">
        <v>5</v>
      </c>
      <c r="J22">
        <v>8</v>
      </c>
      <c r="K22">
        <f t="shared" si="1"/>
        <v>0.625</v>
      </c>
    </row>
    <row r="23" spans="1:11">
      <c r="A23" t="s">
        <v>15</v>
      </c>
      <c r="B23" t="s">
        <v>27</v>
      </c>
      <c r="C23">
        <v>7</v>
      </c>
      <c r="D23">
        <v>16</v>
      </c>
      <c r="E23"/>
      <c r="F23" t="s">
        <v>15</v>
      </c>
      <c r="G23" t="s">
        <v>27</v>
      </c>
      <c r="H23" s="26" t="str">
        <f t="shared" si="0"/>
        <v>FL 佛州大区WF 西佛片区</v>
      </c>
      <c r="I23">
        <v>7</v>
      </c>
      <c r="J23">
        <v>16</v>
      </c>
      <c r="K23">
        <f t="shared" si="1"/>
        <v>0.4375</v>
      </c>
    </row>
    <row r="24" spans="1:11">
      <c r="A24" t="s">
        <v>15</v>
      </c>
      <c r="B24" t="s">
        <v>28</v>
      </c>
      <c r="C24">
        <v>0</v>
      </c>
      <c r="D24">
        <v>0</v>
      </c>
      <c r="E24"/>
      <c r="F24" t="s">
        <v>15</v>
      </c>
      <c r="G24" t="s">
        <v>28</v>
      </c>
      <c r="H24" s="26" t="str">
        <f t="shared" si="0"/>
        <v>FL 佛州大区WPB01</v>
      </c>
      <c r="I24">
        <v>0</v>
      </c>
      <c r="J24">
        <v>0</v>
      </c>
      <c r="K24" t="s">
        <v>114</v>
      </c>
    </row>
    <row r="25" spans="1:11">
      <c r="A25" t="s">
        <v>15</v>
      </c>
      <c r="B25" t="s">
        <v>29</v>
      </c>
      <c r="C25">
        <v>3</v>
      </c>
      <c r="D25">
        <v>16</v>
      </c>
      <c r="E25"/>
      <c r="F25" t="s">
        <v>15</v>
      </c>
      <c r="G25" t="s">
        <v>29</v>
      </c>
      <c r="H25" s="26" t="str">
        <f t="shared" si="0"/>
        <v>FL 佛州大区运营支持部</v>
      </c>
      <c r="I25">
        <v>3</v>
      </c>
      <c r="J25">
        <v>16</v>
      </c>
      <c r="K25">
        <f t="shared" si="1"/>
        <v>0.1875</v>
      </c>
    </row>
    <row r="26" spans="1:11">
      <c r="A26" t="s">
        <v>30</v>
      </c>
      <c r="B26"/>
      <c r="C26">
        <v>91</v>
      </c>
      <c r="D26">
        <v>328</v>
      </c>
      <c r="F26" t="s">
        <v>30</v>
      </c>
      <c r="H26" s="26" t="str">
        <f t="shared" si="0"/>
        <v>FL 佛州大区 汇总</v>
      </c>
      <c r="I26">
        <v>91</v>
      </c>
      <c r="J26">
        <v>328</v>
      </c>
      <c r="K26">
        <f t="shared" si="1"/>
        <v>0.277439024390244</v>
      </c>
    </row>
    <row r="27" spans="1:11">
      <c r="A27" t="s">
        <v>31</v>
      </c>
      <c r="C27">
        <v>2</v>
      </c>
      <c r="D27">
        <v>4</v>
      </c>
      <c r="E27"/>
      <c r="F27" t="s">
        <v>31</v>
      </c>
      <c r="H27" s="26" t="str">
        <f t="shared" si="0"/>
        <v>GL 大湖大区</v>
      </c>
      <c r="I27">
        <v>2</v>
      </c>
      <c r="J27">
        <v>4</v>
      </c>
      <c r="K27">
        <f t="shared" si="1"/>
        <v>0.5</v>
      </c>
    </row>
    <row r="28" spans="1:11">
      <c r="A28" t="s">
        <v>31</v>
      </c>
      <c r="B28" t="s">
        <v>32</v>
      </c>
      <c r="C28">
        <v>0</v>
      </c>
      <c r="D28">
        <v>4</v>
      </c>
      <c r="E28"/>
      <c r="F28" t="s">
        <v>31</v>
      </c>
      <c r="G28" t="s">
        <v>32</v>
      </c>
      <c r="H28" s="26" t="str">
        <f t="shared" si="0"/>
        <v>GL 大湖大区CLE01</v>
      </c>
      <c r="I28">
        <v>0</v>
      </c>
      <c r="J28">
        <v>4</v>
      </c>
      <c r="K28">
        <f t="shared" si="1"/>
        <v>0</v>
      </c>
    </row>
    <row r="29" spans="1:11">
      <c r="A29" t="s">
        <v>31</v>
      </c>
      <c r="B29" t="s">
        <v>33</v>
      </c>
      <c r="C29">
        <v>4</v>
      </c>
      <c r="D29">
        <v>12</v>
      </c>
      <c r="F29" t="s">
        <v>31</v>
      </c>
      <c r="G29" t="s">
        <v>33</v>
      </c>
      <c r="H29" s="26" t="str">
        <f t="shared" si="0"/>
        <v>GL 大湖大区CM 中西部中心片区</v>
      </c>
      <c r="I29">
        <v>4</v>
      </c>
      <c r="J29">
        <v>12</v>
      </c>
      <c r="K29">
        <f t="shared" si="1"/>
        <v>0.333333333333333</v>
      </c>
    </row>
    <row r="30" spans="1:11">
      <c r="A30" t="s">
        <v>31</v>
      </c>
      <c r="B30" t="s">
        <v>34</v>
      </c>
      <c r="C30">
        <v>4</v>
      </c>
      <c r="D30">
        <v>4</v>
      </c>
      <c r="E30"/>
      <c r="F30" t="s">
        <v>31</v>
      </c>
      <c r="G30" t="s">
        <v>34</v>
      </c>
      <c r="H30" s="26" t="str">
        <f t="shared" si="0"/>
        <v>GL 大湖大区CMH01</v>
      </c>
      <c r="I30">
        <v>4</v>
      </c>
      <c r="J30">
        <v>4</v>
      </c>
      <c r="K30">
        <f t="shared" si="1"/>
        <v>1</v>
      </c>
    </row>
    <row r="31" spans="1:11">
      <c r="A31" t="s">
        <v>31</v>
      </c>
      <c r="B31" t="s">
        <v>35</v>
      </c>
      <c r="C31">
        <v>2</v>
      </c>
      <c r="D31">
        <v>4</v>
      </c>
      <c r="F31" t="s">
        <v>31</v>
      </c>
      <c r="G31" t="s">
        <v>35</v>
      </c>
      <c r="H31" s="26" t="str">
        <f t="shared" si="0"/>
        <v>GL 大湖大区CVG.H</v>
      </c>
      <c r="I31">
        <v>2</v>
      </c>
      <c r="J31">
        <v>4</v>
      </c>
      <c r="K31">
        <f t="shared" si="1"/>
        <v>0.5</v>
      </c>
    </row>
    <row r="32" spans="1:11">
      <c r="A32" t="s">
        <v>31</v>
      </c>
      <c r="B32" t="s">
        <v>36</v>
      </c>
      <c r="C32">
        <v>3</v>
      </c>
      <c r="D32">
        <v>12</v>
      </c>
      <c r="E32"/>
      <c r="F32" t="s">
        <v>31</v>
      </c>
      <c r="G32" t="s">
        <v>36</v>
      </c>
      <c r="H32" s="26" t="str">
        <f t="shared" si="0"/>
        <v>GL 大湖大区EG 东大湖片区</v>
      </c>
      <c r="I32">
        <v>3</v>
      </c>
      <c r="J32">
        <v>12</v>
      </c>
      <c r="K32">
        <f t="shared" si="1"/>
        <v>0.25</v>
      </c>
    </row>
    <row r="33" spans="1:11">
      <c r="A33" t="s">
        <v>31</v>
      </c>
      <c r="B33" t="s">
        <v>37</v>
      </c>
      <c r="C33">
        <v>0</v>
      </c>
      <c r="D33">
        <v>4</v>
      </c>
      <c r="E33"/>
      <c r="F33" t="s">
        <v>31</v>
      </c>
      <c r="G33" t="s">
        <v>37</v>
      </c>
      <c r="H33" s="26" t="str">
        <f t="shared" si="0"/>
        <v>GL 大湖大区IND01</v>
      </c>
      <c r="I33">
        <v>0</v>
      </c>
      <c r="J33">
        <v>4</v>
      </c>
      <c r="K33">
        <f t="shared" si="1"/>
        <v>0</v>
      </c>
    </row>
    <row r="34" spans="1:11">
      <c r="A34" t="s">
        <v>31</v>
      </c>
      <c r="B34" t="s">
        <v>38</v>
      </c>
      <c r="C34">
        <v>0</v>
      </c>
      <c r="D34">
        <v>4</v>
      </c>
      <c r="E34"/>
      <c r="F34" t="s">
        <v>31</v>
      </c>
      <c r="G34" t="s">
        <v>38</v>
      </c>
      <c r="H34" s="26" t="str">
        <f t="shared" si="0"/>
        <v>GL 大湖大区MCI01</v>
      </c>
      <c r="I34">
        <v>0</v>
      </c>
      <c r="J34">
        <v>4</v>
      </c>
      <c r="K34">
        <f t="shared" si="1"/>
        <v>0</v>
      </c>
    </row>
    <row r="35" spans="1:11">
      <c r="A35" t="s">
        <v>31</v>
      </c>
      <c r="B35" t="s">
        <v>39</v>
      </c>
      <c r="C35">
        <v>6</v>
      </c>
      <c r="D35">
        <v>8</v>
      </c>
      <c r="E35"/>
      <c r="F35" t="s">
        <v>31</v>
      </c>
      <c r="G35" t="s">
        <v>39</v>
      </c>
      <c r="H35" s="26" t="str">
        <f t="shared" si="0"/>
        <v>GL 大湖大区MKE01</v>
      </c>
      <c r="I35">
        <v>6</v>
      </c>
      <c r="J35">
        <v>8</v>
      </c>
      <c r="K35">
        <f t="shared" si="1"/>
        <v>0.75</v>
      </c>
    </row>
    <row r="36" spans="1:11">
      <c r="A36" t="s">
        <v>31</v>
      </c>
      <c r="B36" t="s">
        <v>40</v>
      </c>
      <c r="C36">
        <v>9</v>
      </c>
      <c r="D36">
        <v>20</v>
      </c>
      <c r="F36" t="s">
        <v>31</v>
      </c>
      <c r="G36" t="s">
        <v>40</v>
      </c>
      <c r="H36" s="26" t="str">
        <f t="shared" si="0"/>
        <v>GL 大湖大区NM 中西部北片区</v>
      </c>
      <c r="I36">
        <v>9</v>
      </c>
      <c r="J36">
        <v>20</v>
      </c>
      <c r="K36">
        <f t="shared" si="1"/>
        <v>0.45</v>
      </c>
    </row>
    <row r="37" spans="1:11">
      <c r="A37" t="s">
        <v>31</v>
      </c>
      <c r="B37" t="s">
        <v>41</v>
      </c>
      <c r="C37">
        <v>29</v>
      </c>
      <c r="D37">
        <v>88</v>
      </c>
      <c r="E37"/>
      <c r="F37" t="s">
        <v>31</v>
      </c>
      <c r="G37" t="s">
        <v>41</v>
      </c>
      <c r="H37" s="26" t="str">
        <f t="shared" ref="H37:H68" si="2">F37&amp;""&amp;G37</f>
        <v>GL 大湖大区ORD.H</v>
      </c>
      <c r="I37">
        <v>29</v>
      </c>
      <c r="J37">
        <v>88</v>
      </c>
      <c r="K37">
        <f t="shared" ref="K37:K68" si="3">I37/J37</f>
        <v>0.329545454545455</v>
      </c>
    </row>
    <row r="38" spans="1:11">
      <c r="A38" t="s">
        <v>31</v>
      </c>
      <c r="B38" t="s">
        <v>42</v>
      </c>
      <c r="C38">
        <v>4</v>
      </c>
      <c r="D38">
        <v>4</v>
      </c>
      <c r="E38"/>
      <c r="F38" t="s">
        <v>31</v>
      </c>
      <c r="G38" t="s">
        <v>42</v>
      </c>
      <c r="H38" s="26" t="str">
        <f t="shared" si="2"/>
        <v>GL 大湖大区ORD01</v>
      </c>
      <c r="I38">
        <v>4</v>
      </c>
      <c r="J38">
        <v>4</v>
      </c>
      <c r="K38">
        <f t="shared" si="3"/>
        <v>1</v>
      </c>
    </row>
    <row r="39" spans="1:11">
      <c r="A39" t="s">
        <v>31</v>
      </c>
      <c r="B39" t="s">
        <v>43</v>
      </c>
      <c r="C39">
        <v>19</v>
      </c>
      <c r="D39">
        <v>32</v>
      </c>
      <c r="F39" t="s">
        <v>31</v>
      </c>
      <c r="G39" t="s">
        <v>43</v>
      </c>
      <c r="H39" s="26" t="str">
        <f t="shared" si="2"/>
        <v>GL 大湖大区WG 西大湖片区</v>
      </c>
      <c r="I39">
        <v>19</v>
      </c>
      <c r="J39">
        <v>32</v>
      </c>
      <c r="K39">
        <f t="shared" si="3"/>
        <v>0.59375</v>
      </c>
    </row>
    <row r="40" spans="1:11">
      <c r="A40" t="s">
        <v>31</v>
      </c>
      <c r="B40" t="s">
        <v>44</v>
      </c>
      <c r="C40">
        <v>0</v>
      </c>
      <c r="D40">
        <v>0</v>
      </c>
      <c r="E40"/>
      <c r="F40" t="s">
        <v>31</v>
      </c>
      <c r="G40" t="s">
        <v>44</v>
      </c>
      <c r="H40" s="26" t="str">
        <f t="shared" si="2"/>
        <v>GL 大湖大区车辆管理部</v>
      </c>
      <c r="I40">
        <v>0</v>
      </c>
      <c r="J40">
        <v>0</v>
      </c>
      <c r="K40" t="s">
        <v>114</v>
      </c>
    </row>
    <row r="41" spans="1:11">
      <c r="A41" t="s">
        <v>31</v>
      </c>
      <c r="B41" t="s">
        <v>45</v>
      </c>
      <c r="C41">
        <v>6</v>
      </c>
      <c r="D41">
        <v>20</v>
      </c>
      <c r="F41" t="s">
        <v>31</v>
      </c>
      <c r="G41" t="s">
        <v>45</v>
      </c>
      <c r="H41" s="26" t="str">
        <f t="shared" si="2"/>
        <v>GL 大湖大区揽收部</v>
      </c>
      <c r="I41">
        <v>6</v>
      </c>
      <c r="J41">
        <v>20</v>
      </c>
      <c r="K41">
        <f t="shared" si="3"/>
        <v>0.3</v>
      </c>
    </row>
    <row r="42" spans="1:11">
      <c r="A42" t="s">
        <v>31</v>
      </c>
      <c r="B42" t="s">
        <v>29</v>
      </c>
      <c r="C42">
        <v>12</v>
      </c>
      <c r="D42">
        <v>28</v>
      </c>
      <c r="E42"/>
      <c r="F42" t="s">
        <v>31</v>
      </c>
      <c r="G42" t="s">
        <v>29</v>
      </c>
      <c r="H42" s="26" t="str">
        <f t="shared" si="2"/>
        <v>GL 大湖大区运营支持部</v>
      </c>
      <c r="I42">
        <v>12</v>
      </c>
      <c r="J42">
        <v>28</v>
      </c>
      <c r="K42">
        <f t="shared" si="3"/>
        <v>0.428571428571429</v>
      </c>
    </row>
    <row r="43" spans="1:11">
      <c r="A43" t="s">
        <v>46</v>
      </c>
      <c r="B43"/>
      <c r="C43">
        <v>100</v>
      </c>
      <c r="D43">
        <v>248</v>
      </c>
      <c r="E43"/>
      <c r="F43" t="s">
        <v>46</v>
      </c>
      <c r="H43" s="26" t="str">
        <f t="shared" si="2"/>
        <v>GL 大湖大区 汇总</v>
      </c>
      <c r="I43">
        <v>100</v>
      </c>
      <c r="J43">
        <v>248</v>
      </c>
      <c r="K43">
        <f t="shared" si="3"/>
        <v>0.403225806451613</v>
      </c>
    </row>
    <row r="44" spans="1:11">
      <c r="A44" t="s">
        <v>47</v>
      </c>
      <c r="C44">
        <v>8</v>
      </c>
      <c r="D44">
        <v>12</v>
      </c>
      <c r="E44"/>
      <c r="F44" t="s">
        <v>47</v>
      </c>
      <c r="H44" s="26" t="str">
        <f t="shared" si="2"/>
        <v>Gofo财务部</v>
      </c>
      <c r="I44">
        <v>8</v>
      </c>
      <c r="J44">
        <v>12</v>
      </c>
      <c r="K44">
        <f t="shared" si="3"/>
        <v>0.666666666666667</v>
      </c>
    </row>
    <row r="45" spans="1:11">
      <c r="A45" t="s">
        <v>48</v>
      </c>
      <c r="B45" t="s">
        <v>49</v>
      </c>
      <c r="C45">
        <v>13</v>
      </c>
      <c r="D45">
        <v>68</v>
      </c>
      <c r="F45" t="s">
        <v>48</v>
      </c>
      <c r="G45" t="s">
        <v>49</v>
      </c>
      <c r="H45" s="26" t="str">
        <f t="shared" si="2"/>
        <v>Ground项目部OG 美东区</v>
      </c>
      <c r="I45">
        <v>13</v>
      </c>
      <c r="J45">
        <v>68</v>
      </c>
      <c r="K45">
        <f t="shared" si="3"/>
        <v>0.191176470588235</v>
      </c>
    </row>
    <row r="46" spans="1:11">
      <c r="A46" t="s">
        <v>48</v>
      </c>
      <c r="B46" t="s">
        <v>50</v>
      </c>
      <c r="C46">
        <v>8</v>
      </c>
      <c r="D46">
        <v>24</v>
      </c>
      <c r="E46"/>
      <c r="F46" t="s">
        <v>48</v>
      </c>
      <c r="G46" t="s">
        <v>50</v>
      </c>
      <c r="H46" s="26" t="str">
        <f t="shared" si="2"/>
        <v>Ground项目部OG 美南区</v>
      </c>
      <c r="I46">
        <v>8</v>
      </c>
      <c r="J46">
        <v>24</v>
      </c>
      <c r="K46">
        <f t="shared" si="3"/>
        <v>0.333333333333333</v>
      </c>
    </row>
    <row r="47" spans="1:11">
      <c r="A47" t="s">
        <v>48</v>
      </c>
      <c r="B47" t="s">
        <v>51</v>
      </c>
      <c r="C47">
        <v>41</v>
      </c>
      <c r="D47">
        <v>136</v>
      </c>
      <c r="E47"/>
      <c r="F47" t="s">
        <v>48</v>
      </c>
      <c r="G47" t="s">
        <v>51</v>
      </c>
      <c r="H47" s="26" t="str">
        <f t="shared" si="2"/>
        <v>Ground项目部OG 美西区</v>
      </c>
      <c r="I47">
        <v>41</v>
      </c>
      <c r="J47">
        <v>136</v>
      </c>
      <c r="K47">
        <f t="shared" si="3"/>
        <v>0.301470588235294</v>
      </c>
    </row>
    <row r="48" spans="1:11">
      <c r="A48" t="s">
        <v>48</v>
      </c>
      <c r="B48" t="s">
        <v>52</v>
      </c>
      <c r="C48">
        <v>17</v>
      </c>
      <c r="D48">
        <v>28</v>
      </c>
      <c r="E48"/>
      <c r="F48" t="s">
        <v>48</v>
      </c>
      <c r="G48" t="s">
        <v>52</v>
      </c>
      <c r="H48" s="26" t="str">
        <f t="shared" si="2"/>
        <v>Ground项目部OG 美中区</v>
      </c>
      <c r="I48">
        <v>17</v>
      </c>
      <c r="J48">
        <v>28</v>
      </c>
      <c r="K48">
        <f t="shared" si="3"/>
        <v>0.607142857142857</v>
      </c>
    </row>
    <row r="49" spans="1:11">
      <c r="A49" t="s">
        <v>48</v>
      </c>
      <c r="B49" t="s">
        <v>53</v>
      </c>
      <c r="C49">
        <v>6</v>
      </c>
      <c r="D49">
        <v>16</v>
      </c>
      <c r="E49"/>
      <c r="F49" t="s">
        <v>48</v>
      </c>
      <c r="G49" t="s">
        <v>53</v>
      </c>
      <c r="H49" s="26" t="str">
        <f t="shared" si="2"/>
        <v>Ground项目部派送管理部</v>
      </c>
      <c r="I49">
        <v>6</v>
      </c>
      <c r="J49">
        <v>16</v>
      </c>
      <c r="K49">
        <f t="shared" si="3"/>
        <v>0.375</v>
      </c>
    </row>
    <row r="50" spans="1:11">
      <c r="A50" t="s">
        <v>48</v>
      </c>
      <c r="B50" t="s">
        <v>54</v>
      </c>
      <c r="C50">
        <v>2</v>
      </c>
      <c r="D50">
        <v>4</v>
      </c>
      <c r="F50" t="s">
        <v>48</v>
      </c>
      <c r="G50" t="s">
        <v>54</v>
      </c>
      <c r="H50" s="26" t="str">
        <f t="shared" si="2"/>
        <v>Ground项目部运营管理部</v>
      </c>
      <c r="I50">
        <v>2</v>
      </c>
      <c r="J50">
        <v>4</v>
      </c>
      <c r="K50">
        <f t="shared" si="3"/>
        <v>0.5</v>
      </c>
    </row>
    <row r="51" spans="1:11">
      <c r="A51" t="s">
        <v>55</v>
      </c>
      <c r="B51"/>
      <c r="C51">
        <v>87</v>
      </c>
      <c r="D51">
        <v>276</v>
      </c>
      <c r="E51"/>
      <c r="F51" t="s">
        <v>55</v>
      </c>
      <c r="H51" s="26" t="str">
        <f t="shared" si="2"/>
        <v>Ground项目部 汇总</v>
      </c>
      <c r="I51">
        <v>87</v>
      </c>
      <c r="J51">
        <v>276</v>
      </c>
      <c r="K51">
        <f t="shared" si="3"/>
        <v>0.315217391304348</v>
      </c>
    </row>
    <row r="52" spans="1:11">
      <c r="A52" t="s">
        <v>56</v>
      </c>
      <c r="C52">
        <v>12</v>
      </c>
      <c r="D52">
        <v>20</v>
      </c>
      <c r="E52"/>
      <c r="F52" t="s">
        <v>56</v>
      </c>
      <c r="H52" s="26" t="str">
        <f t="shared" si="2"/>
        <v>IC 跨境客户部</v>
      </c>
      <c r="I52">
        <v>12</v>
      </c>
      <c r="J52">
        <v>20</v>
      </c>
      <c r="K52">
        <f t="shared" si="3"/>
        <v>0.6</v>
      </c>
    </row>
    <row r="53" spans="1:11">
      <c r="A53" t="s">
        <v>57</v>
      </c>
      <c r="C53">
        <v>1</v>
      </c>
      <c r="D53">
        <v>8</v>
      </c>
      <c r="F53" t="s">
        <v>57</v>
      </c>
      <c r="H53" s="26" t="str">
        <f t="shared" si="2"/>
        <v>LD 法务部</v>
      </c>
      <c r="I53">
        <v>1</v>
      </c>
      <c r="J53">
        <v>8</v>
      </c>
      <c r="K53">
        <f t="shared" si="3"/>
        <v>0.125</v>
      </c>
    </row>
    <row r="54" spans="1:11">
      <c r="A54" t="s">
        <v>58</v>
      </c>
      <c r="C54">
        <v>2</v>
      </c>
      <c r="D54">
        <v>4</v>
      </c>
      <c r="F54" t="s">
        <v>58</v>
      </c>
      <c r="H54" s="26" t="str">
        <f t="shared" si="2"/>
        <v>MS 中南大区</v>
      </c>
      <c r="I54">
        <v>2</v>
      </c>
      <c r="J54">
        <v>4</v>
      </c>
      <c r="K54">
        <f t="shared" si="3"/>
        <v>0.5</v>
      </c>
    </row>
    <row r="55" spans="1:11">
      <c r="A55" t="s">
        <v>58</v>
      </c>
      <c r="B55" t="s">
        <v>59</v>
      </c>
      <c r="C55">
        <v>0</v>
      </c>
      <c r="D55">
        <v>12</v>
      </c>
      <c r="E55"/>
      <c r="F55" t="s">
        <v>58</v>
      </c>
      <c r="G55" t="s">
        <v>59</v>
      </c>
      <c r="H55" s="26" t="str">
        <f t="shared" si="2"/>
        <v>MS 中南大区AS 奥萨查沿海片区</v>
      </c>
      <c r="I55">
        <v>0</v>
      </c>
      <c r="J55">
        <v>12</v>
      </c>
      <c r="K55">
        <f t="shared" si="3"/>
        <v>0</v>
      </c>
    </row>
    <row r="56" spans="1:11">
      <c r="A56" t="s">
        <v>58</v>
      </c>
      <c r="B56" t="s">
        <v>60</v>
      </c>
      <c r="C56">
        <v>9</v>
      </c>
      <c r="D56">
        <v>36</v>
      </c>
      <c r="E56"/>
      <c r="F56" t="s">
        <v>58</v>
      </c>
      <c r="G56" t="s">
        <v>60</v>
      </c>
      <c r="H56" s="26" t="str">
        <f t="shared" si="2"/>
        <v>MS 中南大区AS 亚特兰大和南阿拉巴马片区</v>
      </c>
      <c r="I56">
        <v>9</v>
      </c>
      <c r="J56">
        <v>36</v>
      </c>
      <c r="K56">
        <f t="shared" si="3"/>
        <v>0.25</v>
      </c>
    </row>
    <row r="57" spans="1:11">
      <c r="A57" t="s">
        <v>58</v>
      </c>
      <c r="B57" t="s">
        <v>61</v>
      </c>
      <c r="C57">
        <v>15</v>
      </c>
      <c r="D57">
        <v>68</v>
      </c>
      <c r="E57"/>
      <c r="F57" t="s">
        <v>58</v>
      </c>
      <c r="G57" t="s">
        <v>61</v>
      </c>
      <c r="H57" s="26" t="str">
        <f t="shared" si="2"/>
        <v>MS 中南大区ATL.H</v>
      </c>
      <c r="I57">
        <v>15</v>
      </c>
      <c r="J57">
        <v>68</v>
      </c>
      <c r="K57">
        <f t="shared" si="3"/>
        <v>0.220588235294118</v>
      </c>
    </row>
    <row r="58" spans="1:11">
      <c r="A58" t="s">
        <v>58</v>
      </c>
      <c r="B58" t="s">
        <v>62</v>
      </c>
      <c r="C58">
        <v>0</v>
      </c>
      <c r="D58">
        <v>20</v>
      </c>
      <c r="E58"/>
      <c r="F58" t="s">
        <v>58</v>
      </c>
      <c r="G58" t="s">
        <v>62</v>
      </c>
      <c r="H58" s="26" t="str">
        <f t="shared" si="2"/>
        <v>MS 中南大区BN 田纳西和北阿拉巴马片区</v>
      </c>
      <c r="I58">
        <v>0</v>
      </c>
      <c r="J58">
        <v>20</v>
      </c>
      <c r="K58">
        <f t="shared" si="3"/>
        <v>0</v>
      </c>
    </row>
    <row r="59" spans="1:11">
      <c r="A59" t="s">
        <v>58</v>
      </c>
      <c r="B59" t="s">
        <v>63</v>
      </c>
      <c r="C59">
        <v>4</v>
      </c>
      <c r="D59">
        <v>32</v>
      </c>
      <c r="E59"/>
      <c r="F59" t="s">
        <v>58</v>
      </c>
      <c r="G59" t="s">
        <v>63</v>
      </c>
      <c r="H59" s="26" t="str">
        <f t="shared" si="2"/>
        <v>MS 中南大区CLT.H</v>
      </c>
      <c r="I59">
        <v>4</v>
      </c>
      <c r="J59">
        <v>32</v>
      </c>
      <c r="K59">
        <f t="shared" si="3"/>
        <v>0.125</v>
      </c>
    </row>
    <row r="60" spans="1:11">
      <c r="A60" t="s">
        <v>58</v>
      </c>
      <c r="B60" t="s">
        <v>64</v>
      </c>
      <c r="C60">
        <v>14</v>
      </c>
      <c r="D60">
        <v>28</v>
      </c>
      <c r="E60"/>
      <c r="F60" t="s">
        <v>58</v>
      </c>
      <c r="G60" t="s">
        <v>64</v>
      </c>
      <c r="H60" s="26" t="str">
        <f t="shared" si="2"/>
        <v>MS 中南大区CS 夏洛特及周边片区</v>
      </c>
      <c r="I60">
        <v>14</v>
      </c>
      <c r="J60">
        <v>28</v>
      </c>
      <c r="K60">
        <f t="shared" si="3"/>
        <v>0.5</v>
      </c>
    </row>
    <row r="61" spans="1:11">
      <c r="A61" t="s">
        <v>58</v>
      </c>
      <c r="B61" t="s">
        <v>65</v>
      </c>
      <c r="C61">
        <v>3</v>
      </c>
      <c r="D61">
        <v>4</v>
      </c>
      <c r="E61"/>
      <c r="F61" t="s">
        <v>58</v>
      </c>
      <c r="G61" t="s">
        <v>65</v>
      </c>
      <c r="H61" s="26" t="str">
        <f t="shared" si="2"/>
        <v>MS 中南大区PDK.H</v>
      </c>
      <c r="I61">
        <v>3</v>
      </c>
      <c r="J61">
        <v>4</v>
      </c>
      <c r="K61">
        <f t="shared" si="3"/>
        <v>0.75</v>
      </c>
    </row>
    <row r="62" spans="1:11">
      <c r="A62" t="s">
        <v>58</v>
      </c>
      <c r="B62" t="s">
        <v>66</v>
      </c>
      <c r="C62">
        <v>8</v>
      </c>
      <c r="D62">
        <v>16</v>
      </c>
      <c r="F62" t="s">
        <v>58</v>
      </c>
      <c r="G62" t="s">
        <v>66</v>
      </c>
      <c r="H62" s="26" t="str">
        <f t="shared" si="2"/>
        <v>MS 中南大区RE 北卡和东南海岸片区</v>
      </c>
      <c r="I62">
        <v>8</v>
      </c>
      <c r="J62">
        <v>16</v>
      </c>
      <c r="K62">
        <f t="shared" si="3"/>
        <v>0.5</v>
      </c>
    </row>
    <row r="63" spans="1:11">
      <c r="A63" t="s">
        <v>58</v>
      </c>
      <c r="B63" t="s">
        <v>44</v>
      </c>
      <c r="C63">
        <v>3</v>
      </c>
      <c r="D63">
        <v>8</v>
      </c>
      <c r="E63"/>
      <c r="F63" t="s">
        <v>58</v>
      </c>
      <c r="G63" t="s">
        <v>44</v>
      </c>
      <c r="H63" s="26" t="str">
        <f t="shared" si="2"/>
        <v>MS 中南大区车辆管理部</v>
      </c>
      <c r="I63">
        <v>3</v>
      </c>
      <c r="J63">
        <v>8</v>
      </c>
      <c r="K63">
        <f t="shared" si="3"/>
        <v>0.375</v>
      </c>
    </row>
    <row r="64" spans="1:11">
      <c r="A64" t="s">
        <v>58</v>
      </c>
      <c r="B64" t="s">
        <v>45</v>
      </c>
      <c r="C64">
        <v>0</v>
      </c>
      <c r="D64">
        <v>8</v>
      </c>
      <c r="E64"/>
      <c r="F64" t="s">
        <v>58</v>
      </c>
      <c r="G64" t="s">
        <v>45</v>
      </c>
      <c r="H64" s="26" t="str">
        <f t="shared" si="2"/>
        <v>MS 中南大区揽收部</v>
      </c>
      <c r="I64">
        <v>0</v>
      </c>
      <c r="J64">
        <v>8</v>
      </c>
      <c r="K64">
        <f t="shared" si="3"/>
        <v>0</v>
      </c>
    </row>
    <row r="65" spans="1:11">
      <c r="A65" t="s">
        <v>58</v>
      </c>
      <c r="B65" t="s">
        <v>29</v>
      </c>
      <c r="C65">
        <v>0</v>
      </c>
      <c r="D65">
        <v>0</v>
      </c>
      <c r="E65"/>
      <c r="F65" t="s">
        <v>58</v>
      </c>
      <c r="G65" t="s">
        <v>29</v>
      </c>
      <c r="H65" s="26" t="str">
        <f t="shared" si="2"/>
        <v>MS 中南大区运营支持部</v>
      </c>
      <c r="I65">
        <v>0</v>
      </c>
      <c r="J65">
        <v>0</v>
      </c>
      <c r="K65" t="s">
        <v>114</v>
      </c>
    </row>
    <row r="66" spans="1:11">
      <c r="A66" t="s">
        <v>67</v>
      </c>
      <c r="B66"/>
      <c r="C66">
        <v>58</v>
      </c>
      <c r="D66">
        <v>236</v>
      </c>
      <c r="F66" t="s">
        <v>67</v>
      </c>
      <c r="H66" s="26" t="str">
        <f t="shared" si="2"/>
        <v>MS 中南大区 汇总</v>
      </c>
      <c r="I66">
        <v>58</v>
      </c>
      <c r="J66">
        <v>236</v>
      </c>
      <c r="K66">
        <f t="shared" si="3"/>
        <v>0.245762711864407</v>
      </c>
    </row>
    <row r="67" spans="1:11">
      <c r="A67" t="s">
        <v>68</v>
      </c>
      <c r="C67">
        <v>2</v>
      </c>
      <c r="D67">
        <v>4</v>
      </c>
      <c r="E67"/>
      <c r="F67" t="s">
        <v>68</v>
      </c>
      <c r="H67" s="26" t="str">
        <f t="shared" si="2"/>
        <v>NE 东北大区</v>
      </c>
      <c r="I67">
        <v>2</v>
      </c>
      <c r="J67">
        <v>4</v>
      </c>
      <c r="K67">
        <f t="shared" si="3"/>
        <v>0.5</v>
      </c>
    </row>
    <row r="68" spans="1:11">
      <c r="A68" t="s">
        <v>68</v>
      </c>
      <c r="B68" t="s">
        <v>69</v>
      </c>
      <c r="C68">
        <v>0</v>
      </c>
      <c r="D68">
        <v>12</v>
      </c>
      <c r="E68"/>
      <c r="F68" t="s">
        <v>68</v>
      </c>
      <c r="G68" t="s">
        <v>69</v>
      </c>
      <c r="H68" s="26" t="str">
        <f t="shared" si="2"/>
        <v>NE 东北大区BDL01</v>
      </c>
      <c r="I68">
        <v>0</v>
      </c>
      <c r="J68">
        <v>12</v>
      </c>
      <c r="K68">
        <f t="shared" si="3"/>
        <v>0</v>
      </c>
    </row>
    <row r="69" spans="1:11">
      <c r="A69" t="s">
        <v>68</v>
      </c>
      <c r="B69" t="s">
        <v>70</v>
      </c>
      <c r="C69">
        <v>5</v>
      </c>
      <c r="D69">
        <v>16</v>
      </c>
      <c r="E69"/>
      <c r="F69" t="s">
        <v>68</v>
      </c>
      <c r="G69" t="s">
        <v>70</v>
      </c>
      <c r="H69" s="26" t="str">
        <f t="shared" ref="H69:H114" si="4">F69&amp;""&amp;G69</f>
        <v>NE 东北大区BN 布法罗片区</v>
      </c>
      <c r="I69">
        <v>5</v>
      </c>
      <c r="J69">
        <v>16</v>
      </c>
      <c r="K69">
        <f t="shared" ref="K69:K114" si="5">I69/J69</f>
        <v>0.3125</v>
      </c>
    </row>
    <row r="70" spans="1:11">
      <c r="A70" t="s">
        <v>68</v>
      </c>
      <c r="B70" t="s">
        <v>71</v>
      </c>
      <c r="C70">
        <v>2</v>
      </c>
      <c r="D70">
        <v>4</v>
      </c>
      <c r="E70"/>
      <c r="F70" t="s">
        <v>68</v>
      </c>
      <c r="G70" t="s">
        <v>71</v>
      </c>
      <c r="H70" s="26" t="str">
        <f t="shared" si="4"/>
        <v>NE 东北大区BOS01</v>
      </c>
      <c r="I70">
        <v>2</v>
      </c>
      <c r="J70">
        <v>4</v>
      </c>
      <c r="K70">
        <f t="shared" si="5"/>
        <v>0.5</v>
      </c>
    </row>
    <row r="71" spans="1:11">
      <c r="A71" t="s">
        <v>68</v>
      </c>
      <c r="B71" t="s">
        <v>72</v>
      </c>
      <c r="C71">
        <v>0</v>
      </c>
      <c r="D71">
        <v>0</v>
      </c>
      <c r="E71"/>
      <c r="F71" t="s">
        <v>68</v>
      </c>
      <c r="G71" t="s">
        <v>72</v>
      </c>
      <c r="H71" s="26" t="str">
        <f t="shared" si="4"/>
        <v>NE 东北大区BUF01</v>
      </c>
      <c r="I71">
        <v>0</v>
      </c>
      <c r="J71">
        <v>0</v>
      </c>
      <c r="K71" t="s">
        <v>114</v>
      </c>
    </row>
    <row r="72" spans="1:11">
      <c r="A72" t="s">
        <v>68</v>
      </c>
      <c r="B72" t="s">
        <v>73</v>
      </c>
      <c r="C72">
        <v>6</v>
      </c>
      <c r="D72">
        <v>16</v>
      </c>
      <c r="E72"/>
      <c r="F72" t="s">
        <v>68</v>
      </c>
      <c r="G72" t="s">
        <v>73</v>
      </c>
      <c r="H72" s="26" t="str">
        <f t="shared" si="4"/>
        <v>NE 东北大区BWI.H</v>
      </c>
      <c r="I72">
        <v>6</v>
      </c>
      <c r="J72">
        <v>16</v>
      </c>
      <c r="K72">
        <f t="shared" si="5"/>
        <v>0.375</v>
      </c>
    </row>
    <row r="73" spans="1:11">
      <c r="A73" t="s">
        <v>68</v>
      </c>
      <c r="B73" t="s">
        <v>74</v>
      </c>
      <c r="C73">
        <v>0</v>
      </c>
      <c r="D73">
        <v>8</v>
      </c>
      <c r="E73"/>
      <c r="F73" t="s">
        <v>68</v>
      </c>
      <c r="G73" t="s">
        <v>74</v>
      </c>
      <c r="H73" s="26" t="str">
        <f t="shared" si="4"/>
        <v>NE 东北大区BWI01</v>
      </c>
      <c r="I73">
        <v>0</v>
      </c>
      <c r="J73">
        <v>8</v>
      </c>
      <c r="K73">
        <f t="shared" si="5"/>
        <v>0</v>
      </c>
    </row>
    <row r="74" spans="1:11">
      <c r="A74" t="s">
        <v>68</v>
      </c>
      <c r="B74" t="s">
        <v>75</v>
      </c>
      <c r="C74">
        <v>15</v>
      </c>
      <c r="D74">
        <v>56</v>
      </c>
      <c r="F74" t="s">
        <v>68</v>
      </c>
      <c r="G74" t="s">
        <v>75</v>
      </c>
      <c r="H74" s="26" t="str">
        <f t="shared" si="4"/>
        <v>NE 东北大区DC 华盛顿片区</v>
      </c>
      <c r="I74">
        <v>15</v>
      </c>
      <c r="J74">
        <v>56</v>
      </c>
      <c r="K74">
        <f t="shared" si="5"/>
        <v>0.267857142857143</v>
      </c>
    </row>
    <row r="75" spans="1:11">
      <c r="A75" t="s">
        <v>68</v>
      </c>
      <c r="B75" t="s">
        <v>76</v>
      </c>
      <c r="C75">
        <v>59</v>
      </c>
      <c r="D75">
        <v>144</v>
      </c>
      <c r="E75"/>
      <c r="F75" t="s">
        <v>68</v>
      </c>
      <c r="G75" t="s">
        <v>76</v>
      </c>
      <c r="H75" s="26" t="str">
        <f t="shared" si="4"/>
        <v>NE 东北大区EWR.H</v>
      </c>
      <c r="I75">
        <v>59</v>
      </c>
      <c r="J75">
        <v>144</v>
      </c>
      <c r="K75">
        <f t="shared" si="5"/>
        <v>0.409722222222222</v>
      </c>
    </row>
    <row r="76" spans="1:11">
      <c r="A76" t="s">
        <v>68</v>
      </c>
      <c r="B76" t="s">
        <v>77</v>
      </c>
      <c r="C76">
        <v>2</v>
      </c>
      <c r="D76">
        <v>4</v>
      </c>
      <c r="E76"/>
      <c r="F76" t="s">
        <v>68</v>
      </c>
      <c r="G76" t="s">
        <v>77</v>
      </c>
      <c r="H76" s="26" t="str">
        <f t="shared" si="4"/>
        <v>NE 东北大区EWR01</v>
      </c>
      <c r="I76">
        <v>2</v>
      </c>
      <c r="J76">
        <v>4</v>
      </c>
      <c r="K76">
        <f t="shared" si="5"/>
        <v>0.5</v>
      </c>
    </row>
    <row r="77" spans="1:11">
      <c r="A77" t="s">
        <v>68</v>
      </c>
      <c r="B77" t="s">
        <v>78</v>
      </c>
      <c r="C77">
        <v>2</v>
      </c>
      <c r="D77">
        <v>36</v>
      </c>
      <c r="F77" t="s">
        <v>68</v>
      </c>
      <c r="G77" t="s">
        <v>78</v>
      </c>
      <c r="H77" s="26" t="str">
        <f t="shared" si="4"/>
        <v>NE 东北大区JFK.H</v>
      </c>
      <c r="I77">
        <v>2</v>
      </c>
      <c r="J77">
        <v>36</v>
      </c>
      <c r="K77">
        <f t="shared" si="5"/>
        <v>0.0555555555555556</v>
      </c>
    </row>
    <row r="78" spans="1:11">
      <c r="A78" t="s">
        <v>68</v>
      </c>
      <c r="B78" t="s">
        <v>79</v>
      </c>
      <c r="C78">
        <v>0</v>
      </c>
      <c r="D78">
        <v>0</v>
      </c>
      <c r="E78"/>
      <c r="F78" t="s">
        <v>68</v>
      </c>
      <c r="G78" t="s">
        <v>79</v>
      </c>
      <c r="H78" s="26" t="str">
        <f t="shared" si="4"/>
        <v>NE 东北大区JFK01</v>
      </c>
      <c r="I78">
        <v>0</v>
      </c>
      <c r="J78">
        <v>0</v>
      </c>
      <c r="K78" t="s">
        <v>114</v>
      </c>
    </row>
    <row r="79" spans="1:11">
      <c r="A79" t="s">
        <v>68</v>
      </c>
      <c r="B79" t="s">
        <v>80</v>
      </c>
      <c r="C79">
        <v>3</v>
      </c>
      <c r="D79">
        <v>28</v>
      </c>
      <c r="E79"/>
      <c r="F79" t="s">
        <v>68</v>
      </c>
      <c r="G79" t="s">
        <v>80</v>
      </c>
      <c r="H79" s="26" t="str">
        <f t="shared" si="4"/>
        <v>NE 东北大区MA 新英格兰片区</v>
      </c>
      <c r="I79">
        <v>3</v>
      </c>
      <c r="J79">
        <v>28</v>
      </c>
      <c r="K79">
        <f t="shared" si="5"/>
        <v>0.107142857142857</v>
      </c>
    </row>
    <row r="80" spans="1:11">
      <c r="A80" t="s">
        <v>68</v>
      </c>
      <c r="B80" t="s">
        <v>81</v>
      </c>
      <c r="C80">
        <v>2</v>
      </c>
      <c r="D80">
        <v>28</v>
      </c>
      <c r="E80"/>
      <c r="F80" t="s">
        <v>68</v>
      </c>
      <c r="G80" t="s">
        <v>81</v>
      </c>
      <c r="H80" s="26" t="str">
        <f t="shared" si="4"/>
        <v>NE 东北大区NY 纽约片区</v>
      </c>
      <c r="I80">
        <v>2</v>
      </c>
      <c r="J80">
        <v>28</v>
      </c>
      <c r="K80">
        <f t="shared" si="5"/>
        <v>0.0714285714285714</v>
      </c>
    </row>
    <row r="81" spans="1:11">
      <c r="A81" t="s">
        <v>68</v>
      </c>
      <c r="B81" t="s">
        <v>82</v>
      </c>
      <c r="C81">
        <v>11</v>
      </c>
      <c r="D81">
        <v>20</v>
      </c>
      <c r="E81"/>
      <c r="F81" t="s">
        <v>68</v>
      </c>
      <c r="G81" t="s">
        <v>82</v>
      </c>
      <c r="H81" s="26" t="str">
        <f t="shared" si="4"/>
        <v>NE 东北大区PA 宾州片区</v>
      </c>
      <c r="I81">
        <v>11</v>
      </c>
      <c r="J81">
        <v>20</v>
      </c>
      <c r="K81">
        <f t="shared" si="5"/>
        <v>0.55</v>
      </c>
    </row>
    <row r="82" spans="1:11">
      <c r="A82" t="s">
        <v>68</v>
      </c>
      <c r="B82" t="s">
        <v>83</v>
      </c>
      <c r="C82">
        <v>0</v>
      </c>
      <c r="D82">
        <v>0</v>
      </c>
      <c r="E82"/>
      <c r="F82" t="s">
        <v>68</v>
      </c>
      <c r="G82" t="s">
        <v>83</v>
      </c>
      <c r="H82" s="26" t="str">
        <f t="shared" si="4"/>
        <v>NE 东北大区PHL01</v>
      </c>
      <c r="I82">
        <v>0</v>
      </c>
      <c r="J82">
        <v>0</v>
      </c>
      <c r="K82" t="s">
        <v>114</v>
      </c>
    </row>
    <row r="83" spans="1:11">
      <c r="A83" t="s">
        <v>68</v>
      </c>
      <c r="B83" t="s">
        <v>84</v>
      </c>
      <c r="C83">
        <v>2</v>
      </c>
      <c r="D83">
        <v>4</v>
      </c>
      <c r="E83"/>
      <c r="F83" t="s">
        <v>68</v>
      </c>
      <c r="G83" t="s">
        <v>84</v>
      </c>
      <c r="H83" s="26" t="str">
        <f t="shared" si="4"/>
        <v>NE 东北大区PIT01</v>
      </c>
      <c r="I83">
        <v>2</v>
      </c>
      <c r="J83">
        <v>4</v>
      </c>
      <c r="K83">
        <f t="shared" si="5"/>
        <v>0.5</v>
      </c>
    </row>
    <row r="84" spans="1:11">
      <c r="A84" t="s">
        <v>68</v>
      </c>
      <c r="B84" t="s">
        <v>85</v>
      </c>
      <c r="C84">
        <v>0</v>
      </c>
      <c r="D84">
        <v>4</v>
      </c>
      <c r="F84" t="s">
        <v>68</v>
      </c>
      <c r="G84" t="s">
        <v>85</v>
      </c>
      <c r="H84" s="26" t="str">
        <f t="shared" si="4"/>
        <v>NE 东北大区RIC01</v>
      </c>
      <c r="I84">
        <v>0</v>
      </c>
      <c r="J84">
        <v>4</v>
      </c>
      <c r="K84">
        <f t="shared" si="5"/>
        <v>0</v>
      </c>
    </row>
    <row r="85" spans="1:11">
      <c r="A85" t="s">
        <v>68</v>
      </c>
      <c r="B85" t="s">
        <v>44</v>
      </c>
      <c r="C85">
        <v>8</v>
      </c>
      <c r="D85">
        <v>16</v>
      </c>
      <c r="E85"/>
      <c r="F85" t="s">
        <v>68</v>
      </c>
      <c r="G85" t="s">
        <v>44</v>
      </c>
      <c r="H85" s="26" t="str">
        <f t="shared" si="4"/>
        <v>NE 东北大区车辆管理部</v>
      </c>
      <c r="I85">
        <v>8</v>
      </c>
      <c r="J85">
        <v>16</v>
      </c>
      <c r="K85">
        <f t="shared" si="5"/>
        <v>0.5</v>
      </c>
    </row>
    <row r="86" spans="1:11">
      <c r="A86" t="s">
        <v>68</v>
      </c>
      <c r="B86" t="s">
        <v>45</v>
      </c>
      <c r="C86">
        <v>25</v>
      </c>
      <c r="D86">
        <v>44</v>
      </c>
      <c r="E86"/>
      <c r="F86" t="s">
        <v>68</v>
      </c>
      <c r="G86" t="s">
        <v>45</v>
      </c>
      <c r="H86" s="26" t="str">
        <f t="shared" si="4"/>
        <v>NE 东北大区揽收部</v>
      </c>
      <c r="I86">
        <v>25</v>
      </c>
      <c r="J86">
        <v>44</v>
      </c>
      <c r="K86">
        <f t="shared" si="5"/>
        <v>0.568181818181818</v>
      </c>
    </row>
    <row r="87" spans="1:11">
      <c r="A87" t="s">
        <v>68</v>
      </c>
      <c r="B87" t="s">
        <v>29</v>
      </c>
      <c r="C87">
        <v>27</v>
      </c>
      <c r="D87">
        <v>40</v>
      </c>
      <c r="E87"/>
      <c r="F87" t="s">
        <v>68</v>
      </c>
      <c r="G87" t="s">
        <v>29</v>
      </c>
      <c r="H87" s="26" t="str">
        <f t="shared" si="4"/>
        <v>NE 东北大区运营支持部</v>
      </c>
      <c r="I87">
        <v>27</v>
      </c>
      <c r="J87">
        <v>40</v>
      </c>
      <c r="K87">
        <f t="shared" si="5"/>
        <v>0.675</v>
      </c>
    </row>
    <row r="88" spans="1:11">
      <c r="A88" t="s">
        <v>86</v>
      </c>
      <c r="B88"/>
      <c r="C88">
        <v>171</v>
      </c>
      <c r="D88">
        <v>484</v>
      </c>
      <c r="E88"/>
      <c r="F88" t="s">
        <v>86</v>
      </c>
      <c r="H88" s="26" t="str">
        <f t="shared" si="4"/>
        <v>NE 东北大区 汇总</v>
      </c>
      <c r="I88">
        <v>171</v>
      </c>
      <c r="J88">
        <v>484</v>
      </c>
      <c r="K88">
        <f t="shared" si="5"/>
        <v>0.353305785123967</v>
      </c>
    </row>
    <row r="89" spans="1:11">
      <c r="A89" t="s">
        <v>87</v>
      </c>
      <c r="C89">
        <v>0</v>
      </c>
      <c r="D89">
        <v>0</v>
      </c>
      <c r="E89"/>
      <c r="F89" t="s">
        <v>87</v>
      </c>
      <c r="H89" s="26" t="str">
        <f t="shared" si="4"/>
        <v>NP 网络规划部</v>
      </c>
      <c r="I89">
        <v>0</v>
      </c>
      <c r="J89">
        <v>0</v>
      </c>
      <c r="K89" t="s">
        <v>114</v>
      </c>
    </row>
    <row r="90" spans="1:11">
      <c r="A90" t="s">
        <v>88</v>
      </c>
      <c r="C90">
        <v>15</v>
      </c>
      <c r="D90">
        <v>40</v>
      </c>
      <c r="F90" t="s">
        <v>88</v>
      </c>
      <c r="H90" s="26" t="str">
        <f t="shared" si="4"/>
        <v>OM 操作管理部</v>
      </c>
      <c r="I90">
        <v>15</v>
      </c>
      <c r="J90">
        <v>40</v>
      </c>
      <c r="K90">
        <f t="shared" si="5"/>
        <v>0.375</v>
      </c>
    </row>
    <row r="91" spans="1:11">
      <c r="A91" t="s">
        <v>89</v>
      </c>
      <c r="C91">
        <v>6</v>
      </c>
      <c r="D91">
        <v>24</v>
      </c>
      <c r="E91"/>
      <c r="F91" t="s">
        <v>89</v>
      </c>
      <c r="H91" s="26" t="str">
        <f t="shared" si="4"/>
        <v>QC 质量控制部</v>
      </c>
      <c r="I91">
        <v>6</v>
      </c>
      <c r="J91">
        <v>24</v>
      </c>
      <c r="K91">
        <f t="shared" si="5"/>
        <v>0.25</v>
      </c>
    </row>
    <row r="92" spans="1:11">
      <c r="A92" t="s">
        <v>90</v>
      </c>
      <c r="C92">
        <v>4</v>
      </c>
      <c r="D92">
        <v>4</v>
      </c>
      <c r="E92"/>
      <c r="F92" t="s">
        <v>90</v>
      </c>
      <c r="H92" s="26" t="str">
        <f t="shared" si="4"/>
        <v>SM 战略管理部</v>
      </c>
      <c r="I92">
        <v>4</v>
      </c>
      <c r="J92">
        <v>4</v>
      </c>
      <c r="K92">
        <f t="shared" si="5"/>
        <v>1</v>
      </c>
    </row>
    <row r="93" spans="1:11">
      <c r="A93" t="s">
        <v>91</v>
      </c>
      <c r="C93">
        <v>4</v>
      </c>
      <c r="D93">
        <v>8</v>
      </c>
      <c r="F93" t="s">
        <v>91</v>
      </c>
      <c r="H93" s="26" t="str">
        <f t="shared" si="4"/>
        <v>SM 站点管理部</v>
      </c>
      <c r="I93">
        <v>4</v>
      </c>
      <c r="J93">
        <v>8</v>
      </c>
      <c r="K93">
        <f t="shared" si="5"/>
        <v>0.5</v>
      </c>
    </row>
    <row r="94" spans="1:11">
      <c r="A94" t="s">
        <v>92</v>
      </c>
      <c r="C94">
        <v>4</v>
      </c>
      <c r="D94">
        <v>4</v>
      </c>
      <c r="E94"/>
      <c r="F94" t="s">
        <v>92</v>
      </c>
      <c r="H94" s="26" t="str">
        <f t="shared" si="4"/>
        <v>TX 德州大区</v>
      </c>
      <c r="I94">
        <v>4</v>
      </c>
      <c r="J94">
        <v>4</v>
      </c>
      <c r="K94">
        <f t="shared" si="5"/>
        <v>1</v>
      </c>
    </row>
    <row r="95" spans="1:11">
      <c r="A95" t="s">
        <v>92</v>
      </c>
      <c r="B95" t="s">
        <v>93</v>
      </c>
      <c r="C95">
        <v>15</v>
      </c>
      <c r="D95">
        <v>36</v>
      </c>
      <c r="F95" t="s">
        <v>92</v>
      </c>
      <c r="G95" t="s">
        <v>93</v>
      </c>
      <c r="H95" s="26" t="str">
        <f t="shared" si="4"/>
        <v>TX 德州大区CT 中德州片区</v>
      </c>
      <c r="I95">
        <v>15</v>
      </c>
      <c r="J95">
        <v>36</v>
      </c>
      <c r="K95">
        <f t="shared" si="5"/>
        <v>0.416666666666667</v>
      </c>
    </row>
    <row r="96" spans="1:11">
      <c r="A96" t="s">
        <v>92</v>
      </c>
      <c r="B96" t="s">
        <v>94</v>
      </c>
      <c r="C96">
        <v>15</v>
      </c>
      <c r="D96">
        <v>68</v>
      </c>
      <c r="E96"/>
      <c r="F96" t="s">
        <v>92</v>
      </c>
      <c r="G96" t="s">
        <v>94</v>
      </c>
      <c r="H96" s="26" t="str">
        <f t="shared" si="4"/>
        <v>TX 德州大区DFW.H</v>
      </c>
      <c r="I96">
        <v>15</v>
      </c>
      <c r="J96">
        <v>68</v>
      </c>
      <c r="K96">
        <f t="shared" si="5"/>
        <v>0.220588235294118</v>
      </c>
    </row>
    <row r="97" spans="1:11">
      <c r="A97" t="s">
        <v>92</v>
      </c>
      <c r="B97" t="s">
        <v>95</v>
      </c>
      <c r="C97">
        <v>18</v>
      </c>
      <c r="D97">
        <v>36</v>
      </c>
      <c r="E97"/>
      <c r="F97" t="s">
        <v>92</v>
      </c>
      <c r="G97" t="s">
        <v>95</v>
      </c>
      <c r="H97" s="26" t="str">
        <f t="shared" si="4"/>
        <v>TX 德州大区GC 墨湾片区</v>
      </c>
      <c r="I97">
        <v>18</v>
      </c>
      <c r="J97">
        <v>36</v>
      </c>
      <c r="K97">
        <f t="shared" si="5"/>
        <v>0.5</v>
      </c>
    </row>
    <row r="98" spans="1:11">
      <c r="A98" t="s">
        <v>92</v>
      </c>
      <c r="B98" t="s">
        <v>96</v>
      </c>
      <c r="C98">
        <v>9</v>
      </c>
      <c r="D98">
        <v>60</v>
      </c>
      <c r="E98"/>
      <c r="F98" t="s">
        <v>92</v>
      </c>
      <c r="G98" t="s">
        <v>96</v>
      </c>
      <c r="H98" s="26" t="str">
        <f t="shared" si="4"/>
        <v>TX 德州大区IAH.H</v>
      </c>
      <c r="I98">
        <v>9</v>
      </c>
      <c r="J98">
        <v>60</v>
      </c>
      <c r="K98">
        <f t="shared" si="5"/>
        <v>0.15</v>
      </c>
    </row>
    <row r="99" spans="1:11">
      <c r="A99" t="s">
        <v>92</v>
      </c>
      <c r="B99" t="s">
        <v>97</v>
      </c>
      <c r="C99">
        <v>17</v>
      </c>
      <c r="D99">
        <v>44</v>
      </c>
      <c r="E99"/>
      <c r="F99" t="s">
        <v>92</v>
      </c>
      <c r="G99" t="s">
        <v>97</v>
      </c>
      <c r="H99" s="26" t="str">
        <f t="shared" si="4"/>
        <v>TX 德州大区NT 北德州片区</v>
      </c>
      <c r="I99">
        <v>17</v>
      </c>
      <c r="J99">
        <v>44</v>
      </c>
      <c r="K99">
        <f t="shared" si="5"/>
        <v>0.386363636363636</v>
      </c>
    </row>
    <row r="100" spans="1:11">
      <c r="A100" t="s">
        <v>92</v>
      </c>
      <c r="B100" t="s">
        <v>45</v>
      </c>
      <c r="C100">
        <v>2</v>
      </c>
      <c r="D100">
        <v>36</v>
      </c>
      <c r="E100"/>
      <c r="F100" t="s">
        <v>92</v>
      </c>
      <c r="G100" t="s">
        <v>45</v>
      </c>
      <c r="H100" s="26" t="str">
        <f t="shared" si="4"/>
        <v>TX 德州大区揽收部</v>
      </c>
      <c r="I100">
        <v>2</v>
      </c>
      <c r="J100">
        <v>36</v>
      </c>
      <c r="K100">
        <f t="shared" si="5"/>
        <v>0.0555555555555556</v>
      </c>
    </row>
    <row r="101" spans="1:11">
      <c r="A101" t="s">
        <v>92</v>
      </c>
      <c r="B101" t="s">
        <v>29</v>
      </c>
      <c r="C101">
        <v>1</v>
      </c>
      <c r="D101">
        <v>28</v>
      </c>
      <c r="E101"/>
      <c r="F101" t="s">
        <v>92</v>
      </c>
      <c r="G101" t="s">
        <v>29</v>
      </c>
      <c r="H101" s="26" t="str">
        <f t="shared" si="4"/>
        <v>TX 德州大区运营支持部</v>
      </c>
      <c r="I101">
        <v>1</v>
      </c>
      <c r="J101">
        <v>28</v>
      </c>
      <c r="K101">
        <f t="shared" si="5"/>
        <v>0.0357142857142857</v>
      </c>
    </row>
    <row r="102" spans="1:11">
      <c r="A102" t="s">
        <v>98</v>
      </c>
      <c r="B102"/>
      <c r="C102">
        <v>81</v>
      </c>
      <c r="D102">
        <v>312</v>
      </c>
      <c r="E102"/>
      <c r="F102" t="s">
        <v>98</v>
      </c>
      <c r="H102" s="26" t="str">
        <f t="shared" si="4"/>
        <v>TX 德州大区 汇总</v>
      </c>
      <c r="I102">
        <v>81</v>
      </c>
      <c r="J102">
        <v>312</v>
      </c>
      <c r="K102">
        <f t="shared" si="5"/>
        <v>0.259615384615385</v>
      </c>
    </row>
    <row r="103" spans="1:11">
      <c r="A103" t="s">
        <v>99</v>
      </c>
      <c r="C103">
        <v>87</v>
      </c>
      <c r="D103">
        <v>168</v>
      </c>
      <c r="E103"/>
      <c r="F103" t="s">
        <v>99</v>
      </c>
      <c r="H103" s="26" t="str">
        <f t="shared" si="4"/>
        <v>US人力资源部</v>
      </c>
      <c r="I103">
        <v>87</v>
      </c>
      <c r="J103">
        <v>168</v>
      </c>
      <c r="K103">
        <f t="shared" si="5"/>
        <v>0.517857142857143</v>
      </c>
    </row>
    <row r="104" spans="1:11">
      <c r="A104" t="s">
        <v>100</v>
      </c>
      <c r="B104" t="s">
        <v>101</v>
      </c>
      <c r="C104">
        <v>37</v>
      </c>
      <c r="D104">
        <v>184</v>
      </c>
      <c r="E104"/>
      <c r="F104" t="s">
        <v>100</v>
      </c>
      <c r="G104" t="s">
        <v>101</v>
      </c>
      <c r="H104" s="26" t="str">
        <f t="shared" si="4"/>
        <v>WE 美西大区CNO.H</v>
      </c>
      <c r="I104">
        <v>37</v>
      </c>
      <c r="J104">
        <v>184</v>
      </c>
      <c r="K104">
        <f t="shared" si="5"/>
        <v>0.201086956521739</v>
      </c>
    </row>
    <row r="105" spans="1:11">
      <c r="A105" t="s">
        <v>100</v>
      </c>
      <c r="B105" t="s">
        <v>102</v>
      </c>
      <c r="C105">
        <v>16</v>
      </c>
      <c r="D105">
        <v>40</v>
      </c>
      <c r="E105"/>
      <c r="F105" t="s">
        <v>100</v>
      </c>
      <c r="G105" t="s">
        <v>102</v>
      </c>
      <c r="H105" s="26" t="str">
        <f t="shared" si="4"/>
        <v>WE 美西大区DS 丹佛·盐湖城片区</v>
      </c>
      <c r="I105">
        <v>16</v>
      </c>
      <c r="J105">
        <v>40</v>
      </c>
      <c r="K105">
        <f t="shared" si="5"/>
        <v>0.4</v>
      </c>
    </row>
    <row r="106" spans="1:11">
      <c r="A106" t="s">
        <v>100</v>
      </c>
      <c r="B106" t="s">
        <v>103</v>
      </c>
      <c r="C106">
        <v>22</v>
      </c>
      <c r="D106">
        <v>124</v>
      </c>
      <c r="E106"/>
      <c r="F106" t="s">
        <v>100</v>
      </c>
      <c r="G106" t="s">
        <v>103</v>
      </c>
      <c r="H106" s="26" t="str">
        <f t="shared" si="4"/>
        <v>WE 美西大区LAV.H</v>
      </c>
      <c r="I106">
        <v>22</v>
      </c>
      <c r="J106">
        <v>124</v>
      </c>
      <c r="K106">
        <f t="shared" si="5"/>
        <v>0.17741935483871</v>
      </c>
    </row>
    <row r="107" spans="1:11">
      <c r="A107" t="s">
        <v>100</v>
      </c>
      <c r="B107" t="s">
        <v>104</v>
      </c>
      <c r="C107">
        <v>13</v>
      </c>
      <c r="D107">
        <v>28</v>
      </c>
      <c r="E107"/>
      <c r="F107" t="s">
        <v>100</v>
      </c>
      <c r="G107" t="s">
        <v>104</v>
      </c>
      <c r="H107" s="26" t="str">
        <f t="shared" si="4"/>
        <v>WE 美西大区LA揽收部</v>
      </c>
      <c r="I107">
        <v>13</v>
      </c>
      <c r="J107">
        <v>28</v>
      </c>
      <c r="K107">
        <f t="shared" si="5"/>
        <v>0.464285714285714</v>
      </c>
    </row>
    <row r="108" spans="1:11">
      <c r="A108" t="s">
        <v>100</v>
      </c>
      <c r="B108" t="s">
        <v>105</v>
      </c>
      <c r="C108">
        <v>32</v>
      </c>
      <c r="D108">
        <v>88</v>
      </c>
      <c r="E108"/>
      <c r="F108" t="s">
        <v>100</v>
      </c>
      <c r="G108" t="s">
        <v>105</v>
      </c>
      <c r="H108" s="26" t="str">
        <f t="shared" si="4"/>
        <v>WE 美西大区NC 北加片区</v>
      </c>
      <c r="I108">
        <v>32</v>
      </c>
      <c r="J108">
        <v>88</v>
      </c>
      <c r="K108">
        <f t="shared" si="5"/>
        <v>0.363636363636364</v>
      </c>
    </row>
    <row r="109" spans="1:11">
      <c r="A109" t="s">
        <v>100</v>
      </c>
      <c r="B109" t="s">
        <v>106</v>
      </c>
      <c r="C109">
        <v>29</v>
      </c>
      <c r="D109">
        <v>76</v>
      </c>
      <c r="E109"/>
      <c r="F109" t="s">
        <v>100</v>
      </c>
      <c r="G109" t="s">
        <v>106</v>
      </c>
      <c r="H109" s="26" t="str">
        <f t="shared" si="4"/>
        <v>WE 美西大区SC 南加片区</v>
      </c>
      <c r="I109">
        <v>29</v>
      </c>
      <c r="J109">
        <v>76</v>
      </c>
      <c r="K109">
        <f t="shared" si="5"/>
        <v>0.381578947368421</v>
      </c>
    </row>
    <row r="110" spans="1:11">
      <c r="A110" t="s">
        <v>100</v>
      </c>
      <c r="B110" t="s">
        <v>107</v>
      </c>
      <c r="C110">
        <v>11</v>
      </c>
      <c r="D110">
        <v>32</v>
      </c>
      <c r="E110"/>
      <c r="F110" t="s">
        <v>100</v>
      </c>
      <c r="G110" t="s">
        <v>107</v>
      </c>
      <c r="H110" s="26" t="str">
        <f t="shared" si="4"/>
        <v>WE 美西大区SP 西雅图·波特兰片区</v>
      </c>
      <c r="I110">
        <v>11</v>
      </c>
      <c r="J110">
        <v>32</v>
      </c>
      <c r="K110">
        <f t="shared" si="5"/>
        <v>0.34375</v>
      </c>
    </row>
    <row r="111" spans="1:11">
      <c r="A111" t="s">
        <v>100</v>
      </c>
      <c r="B111" t="s">
        <v>44</v>
      </c>
      <c r="C111">
        <v>4</v>
      </c>
      <c r="D111">
        <v>24</v>
      </c>
      <c r="E111"/>
      <c r="F111" t="s">
        <v>100</v>
      </c>
      <c r="G111" t="s">
        <v>44</v>
      </c>
      <c r="H111" s="26" t="str">
        <f t="shared" si="4"/>
        <v>WE 美西大区车辆管理部</v>
      </c>
      <c r="I111">
        <v>4</v>
      </c>
      <c r="J111">
        <v>24</v>
      </c>
      <c r="K111">
        <f t="shared" si="5"/>
        <v>0.166666666666667</v>
      </c>
    </row>
    <row r="112" spans="1:11">
      <c r="A112" t="s">
        <v>100</v>
      </c>
      <c r="B112" t="s">
        <v>29</v>
      </c>
      <c r="C112">
        <v>0</v>
      </c>
      <c r="D112">
        <v>28</v>
      </c>
      <c r="E112"/>
      <c r="F112" t="s">
        <v>100</v>
      </c>
      <c r="G112" t="s">
        <v>29</v>
      </c>
      <c r="H112" s="26" t="str">
        <f t="shared" si="4"/>
        <v>WE 美西大区运营支持部</v>
      </c>
      <c r="I112">
        <v>0</v>
      </c>
      <c r="J112">
        <v>28</v>
      </c>
      <c r="K112">
        <f t="shared" si="5"/>
        <v>0</v>
      </c>
    </row>
    <row r="113" spans="1:11">
      <c r="A113" t="s">
        <v>108</v>
      </c>
      <c r="B113"/>
      <c r="C113">
        <v>164</v>
      </c>
      <c r="D113">
        <v>624</v>
      </c>
      <c r="E113"/>
      <c r="F113" t="s">
        <v>108</v>
      </c>
      <c r="H113" s="26" t="str">
        <f t="shared" si="4"/>
        <v>WE 美西大区 汇总</v>
      </c>
      <c r="I113">
        <v>164</v>
      </c>
      <c r="J113">
        <v>624</v>
      </c>
      <c r="K113">
        <f t="shared" si="5"/>
        <v>0.262820512820513</v>
      </c>
    </row>
    <row r="114" spans="1:11">
      <c r="A114" t="s">
        <v>6</v>
      </c>
      <c r="C114">
        <v>1032</v>
      </c>
      <c r="D114">
        <v>3040</v>
      </c>
      <c r="E114"/>
      <c r="F114" t="s">
        <v>6</v>
      </c>
      <c r="H114" s="26" t="str">
        <f t="shared" si="4"/>
        <v>总计</v>
      </c>
      <c r="I114">
        <v>1032</v>
      </c>
      <c r="J114">
        <v>3040</v>
      </c>
      <c r="K114">
        <f t="shared" si="5"/>
        <v>0.339473684210526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92"/>
  <sheetViews>
    <sheetView tabSelected="1" topLeftCell="N1" workbookViewId="0">
      <selection activeCell="O31" sqref="O31"/>
    </sheetView>
  </sheetViews>
  <sheetFormatPr defaultColWidth="16.4444444444444" defaultRowHeight="31" customHeight="1"/>
  <cols>
    <col min="1" max="10" width="16.4444444444444" customWidth="1"/>
    <col min="11" max="13" width="16.4444444444444" style="15" customWidth="1"/>
    <col min="14" max="20" width="16.4444444444444" customWidth="1"/>
    <col min="21" max="21" width="13.6666666666667" customWidth="1"/>
    <col min="22" max="16384" width="16.4444444444444" customWidth="1"/>
  </cols>
  <sheetData>
    <row r="1" s="14" customFormat="1" customHeight="1" spans="1:28">
      <c r="A1" s="16" t="s">
        <v>121</v>
      </c>
      <c r="B1" s="16" t="s">
        <v>122</v>
      </c>
      <c r="C1" s="16" t="s">
        <v>123</v>
      </c>
      <c r="D1" s="16" t="s">
        <v>2</v>
      </c>
      <c r="E1" s="16" t="s">
        <v>3</v>
      </c>
      <c r="F1" s="16" t="s">
        <v>124</v>
      </c>
      <c r="G1" s="17" t="s">
        <v>111</v>
      </c>
      <c r="H1" s="17" t="s">
        <v>7</v>
      </c>
      <c r="I1" s="16" t="s">
        <v>125</v>
      </c>
      <c r="J1" s="16" t="s">
        <v>126</v>
      </c>
      <c r="K1" s="18" t="s">
        <v>127</v>
      </c>
      <c r="L1" s="18" t="s">
        <v>128</v>
      </c>
      <c r="M1" s="18" t="s">
        <v>129</v>
      </c>
      <c r="N1" s="16" t="s">
        <v>130</v>
      </c>
      <c r="O1" s="19" t="s">
        <v>113</v>
      </c>
      <c r="P1" s="16" t="s">
        <v>131</v>
      </c>
      <c r="Q1" s="16" t="s">
        <v>132</v>
      </c>
      <c r="R1" s="16" t="s">
        <v>133</v>
      </c>
      <c r="S1" s="19" t="s">
        <v>132</v>
      </c>
      <c r="T1" s="16" t="s">
        <v>134</v>
      </c>
      <c r="U1" s="19" t="s">
        <v>1</v>
      </c>
      <c r="V1" s="16" t="s">
        <v>135</v>
      </c>
      <c r="W1" s="16" t="s">
        <v>136</v>
      </c>
      <c r="X1" s="16" t="s">
        <v>137</v>
      </c>
      <c r="Y1" s="19" t="s">
        <v>138</v>
      </c>
      <c r="Z1" s="19" t="s">
        <v>139</v>
      </c>
      <c r="AA1" s="19" t="s">
        <v>109</v>
      </c>
      <c r="AB1" s="16" t="s">
        <v>140</v>
      </c>
    </row>
    <row r="2" s="14" customFormat="1" customHeight="1" spans="1:35">
      <c r="A2" s="16" t="s">
        <v>121</v>
      </c>
      <c r="B2" s="16" t="s">
        <v>122</v>
      </c>
      <c r="C2" s="16" t="s">
        <v>123</v>
      </c>
      <c r="D2" s="16" t="s">
        <v>2</v>
      </c>
      <c r="E2" s="16" t="s">
        <v>3</v>
      </c>
      <c r="F2" s="16" t="s">
        <v>124</v>
      </c>
      <c r="G2" s="17" t="s">
        <v>111</v>
      </c>
      <c r="H2" s="17" t="s">
        <v>7</v>
      </c>
      <c r="I2" s="16" t="s">
        <v>125</v>
      </c>
      <c r="J2" s="16" t="s">
        <v>126</v>
      </c>
      <c r="K2" s="18" t="s">
        <v>127</v>
      </c>
      <c r="L2" s="18" t="s">
        <v>128</v>
      </c>
      <c r="M2" s="18" t="s">
        <v>129</v>
      </c>
      <c r="N2" s="16" t="s">
        <v>130</v>
      </c>
      <c r="O2" s="19" t="s">
        <v>113</v>
      </c>
      <c r="P2" s="16" t="s">
        <v>131</v>
      </c>
      <c r="Q2" s="16" t="s">
        <v>132</v>
      </c>
      <c r="R2" s="16" t="s">
        <v>133</v>
      </c>
      <c r="S2" s="19" t="s">
        <v>132</v>
      </c>
      <c r="T2" s="16" t="s">
        <v>134</v>
      </c>
      <c r="U2" s="19" t="s">
        <v>1</v>
      </c>
      <c r="V2" s="16" t="s">
        <v>135</v>
      </c>
      <c r="W2" s="16" t="s">
        <v>136</v>
      </c>
      <c r="X2" s="16" t="s">
        <v>137</v>
      </c>
      <c r="Y2" s="19" t="s">
        <v>138</v>
      </c>
      <c r="Z2" s="19" t="s">
        <v>139</v>
      </c>
      <c r="AA2" s="19" t="s">
        <v>109</v>
      </c>
      <c r="AB2" s="16" t="s">
        <v>140</v>
      </c>
      <c r="AC2" s="14" t="s">
        <v>141</v>
      </c>
      <c r="AD2" s="24" t="s">
        <v>142</v>
      </c>
      <c r="AE2" s="24" t="s">
        <v>143</v>
      </c>
      <c r="AF2" s="24" t="s">
        <v>144</v>
      </c>
      <c r="AG2" s="24" t="s">
        <v>145</v>
      </c>
      <c r="AH2" s="24" t="s">
        <v>146</v>
      </c>
      <c r="AI2" s="24" t="s">
        <v>147</v>
      </c>
    </row>
    <row r="3" customHeight="1" spans="1:33">
      <c r="A3" t="s">
        <v>148</v>
      </c>
      <c r="B3" t="s">
        <v>149</v>
      </c>
      <c r="C3" t="s">
        <v>150</v>
      </c>
      <c r="D3" t="s">
        <v>58</v>
      </c>
      <c r="E3" t="s">
        <v>66</v>
      </c>
      <c r="F3" t="s">
        <v>151</v>
      </c>
      <c r="H3" t="str">
        <f>D3&amp;E3&amp;F3</f>
        <v>MS 中南大区RE 北卡和东南海岸片区ILM01</v>
      </c>
      <c r="I3" t="s">
        <v>152</v>
      </c>
      <c r="J3" t="s">
        <v>148</v>
      </c>
      <c r="K3" s="15"/>
      <c r="L3" s="15" t="s">
        <v>148</v>
      </c>
      <c r="M3" s="15"/>
      <c r="N3" t="s">
        <v>148</v>
      </c>
      <c r="O3" s="20" t="s">
        <v>114</v>
      </c>
      <c r="P3" s="21">
        <v>0</v>
      </c>
      <c r="Q3" s="21">
        <v>0</v>
      </c>
      <c r="R3" s="21">
        <v>0</v>
      </c>
      <c r="S3" s="21">
        <f>Q3+R3</f>
        <v>0</v>
      </c>
      <c r="T3" s="21">
        <f>IF(S3-8&gt;0,S3-8,0)</f>
        <v>0</v>
      </c>
      <c r="U3" s="21" t="str">
        <f>IF(T3=0,"否","是")</f>
        <v>否</v>
      </c>
      <c r="V3" s="21">
        <f>VLOOKUP($C3,[4]Sheet1!$B:$AN,39,FALSE)</f>
        <v>0</v>
      </c>
      <c r="W3" s="21">
        <v>0</v>
      </c>
      <c r="X3" s="23">
        <v>0</v>
      </c>
      <c r="Y3" s="23">
        <v>0</v>
      </c>
      <c r="Z3" s="25">
        <f>IF(Y3-X3&gt;=0,Y3-X3,0)</f>
        <v>0</v>
      </c>
      <c r="AA3" s="25" t="str">
        <f>IF(J3="","否","是")</f>
        <v>否</v>
      </c>
      <c r="AB3" t="s">
        <v>148</v>
      </c>
      <c r="AC3" t="e">
        <f>VLOOKUP(C3,[1]Sheet1!$C:$O,13,FALSE)</f>
        <v>#N/A</v>
      </c>
      <c r="AD3" t="str">
        <f>VLOOKUP($H3,'[3]0509人员排班情况 副本'!$G:$U,12,FALSE)</f>
        <v>欧阳迎春Flower（Yingchun Ouyang）</v>
      </c>
      <c r="AE3" t="str">
        <f>VLOOKUP($H3,'[3]0509人员排班情况 副本'!$G:$U,13,FALSE)</f>
        <v>杨云飞</v>
      </c>
      <c r="AF3">
        <f>VLOOKUP($H3,'[3]0509人员排班情况 副本'!$G:$U,14,FALSE)</f>
        <v>0</v>
      </c>
      <c r="AG3">
        <f>VLOOKUP($H3,'[3]0509人员排班情况 副本'!$G:$U,15,FALSE)</f>
        <v>0</v>
      </c>
    </row>
    <row r="4" customHeight="1" spans="1:33">
      <c r="A4" t="s">
        <v>148</v>
      </c>
      <c r="B4" t="s">
        <v>153</v>
      </c>
      <c r="C4" t="s">
        <v>154</v>
      </c>
      <c r="D4" t="s">
        <v>58</v>
      </c>
      <c r="E4" t="s">
        <v>60</v>
      </c>
      <c r="F4" t="s">
        <v>155</v>
      </c>
      <c r="H4" t="str">
        <f t="shared" ref="H4:H67" si="0">D4&amp;E4&amp;F4</f>
        <v>MS 中南大区AS 亚特兰大和南阿拉巴马片区MOB01</v>
      </c>
      <c r="I4" t="s">
        <v>156</v>
      </c>
      <c r="J4" t="s">
        <v>148</v>
      </c>
      <c r="K4" s="15"/>
      <c r="L4" s="15" t="s">
        <v>148</v>
      </c>
      <c r="M4" s="15"/>
      <c r="N4" t="s">
        <v>148</v>
      </c>
      <c r="O4" s="20" t="s">
        <v>114</v>
      </c>
      <c r="P4" s="21">
        <v>0</v>
      </c>
      <c r="Q4" s="21">
        <v>0</v>
      </c>
      <c r="R4" s="21">
        <v>0</v>
      </c>
      <c r="S4" s="21">
        <f t="shared" ref="S4:S67" si="1">Q4+R4</f>
        <v>0</v>
      </c>
      <c r="T4" s="21">
        <f t="shared" ref="T4:T67" si="2">IF(S4-8&gt;0,S4-8,0)</f>
        <v>0</v>
      </c>
      <c r="U4" s="21" t="str">
        <f t="shared" ref="U4:U67" si="3">IF(T4=0,"否","是")</f>
        <v>否</v>
      </c>
      <c r="V4" s="21">
        <f>VLOOKUP($C4,[4]Sheet1!$B:$AN,39,FALSE)</f>
        <v>0</v>
      </c>
      <c r="W4" s="21">
        <v>0</v>
      </c>
      <c r="X4" s="23">
        <v>0</v>
      </c>
      <c r="Y4" s="23">
        <v>0</v>
      </c>
      <c r="Z4" s="25">
        <f t="shared" ref="Z4:Z67" si="4">IF(Y4-X4&gt;=0,Y4-X4,0)</f>
        <v>0</v>
      </c>
      <c r="AA4" s="25" t="str">
        <f t="shared" ref="AA4:AA67" si="5">IF(J4="","否","是")</f>
        <v>否</v>
      </c>
      <c r="AB4" t="s">
        <v>148</v>
      </c>
      <c r="AC4" t="e">
        <f>VLOOKUP(C4,[1]Sheet1!$C:$O,13,FALSE)</f>
        <v>#N/A</v>
      </c>
      <c r="AD4" t="str">
        <f>VLOOKUP($H4,'[3]0509人员排班情况 副本'!$G:$U,12,FALSE)</f>
        <v>欧阳迎春Flower（Yingchun Ouyang）</v>
      </c>
      <c r="AE4" t="str">
        <f>VLOOKUP($H4,'[3]0509人员排班情况 副本'!$G:$U,13,FALSE)</f>
        <v>杨云飞</v>
      </c>
      <c r="AF4" t="str">
        <f>VLOOKUP($H4,'[3]0509人员排班情况 副本'!$G:$U,14,FALSE)</f>
        <v>曾令桓（Linghuan Zeng）</v>
      </c>
      <c r="AG4">
        <f>VLOOKUP($H4,'[3]0509人员排班情况 副本'!$G:$U,15,FALSE)</f>
        <v>0</v>
      </c>
    </row>
    <row r="5" customHeight="1" spans="1:33">
      <c r="A5" t="s">
        <v>148</v>
      </c>
      <c r="B5" t="s">
        <v>157</v>
      </c>
      <c r="C5" t="s">
        <v>158</v>
      </c>
      <c r="D5" t="s">
        <v>48</v>
      </c>
      <c r="E5" t="s">
        <v>50</v>
      </c>
      <c r="F5" t="s">
        <v>159</v>
      </c>
      <c r="H5" t="str">
        <f t="shared" si="0"/>
        <v>Ground项目部OG 美南区ATL.G</v>
      </c>
      <c r="I5" t="s">
        <v>160</v>
      </c>
      <c r="J5" t="s">
        <v>148</v>
      </c>
      <c r="K5" s="15"/>
      <c r="L5" s="15" t="s">
        <v>148</v>
      </c>
      <c r="M5" s="15"/>
      <c r="N5" t="s">
        <v>148</v>
      </c>
      <c r="O5" s="20" t="s">
        <v>114</v>
      </c>
      <c r="P5" s="21">
        <v>0</v>
      </c>
      <c r="Q5" s="21">
        <v>0</v>
      </c>
      <c r="R5" s="21">
        <v>0</v>
      </c>
      <c r="S5" s="21">
        <f t="shared" si="1"/>
        <v>0</v>
      </c>
      <c r="T5" s="21">
        <f t="shared" si="2"/>
        <v>0</v>
      </c>
      <c r="U5" s="21" t="str">
        <f t="shared" si="3"/>
        <v>否</v>
      </c>
      <c r="V5" s="21">
        <f>VLOOKUP($C5,[4]Sheet1!$B:$AN,39,FALSE)</f>
        <v>0</v>
      </c>
      <c r="W5" s="21">
        <v>0</v>
      </c>
      <c r="X5" s="23">
        <v>0</v>
      </c>
      <c r="Y5" s="23">
        <v>0</v>
      </c>
      <c r="Z5" s="25">
        <f t="shared" si="4"/>
        <v>0</v>
      </c>
      <c r="AA5" s="25" t="str">
        <f t="shared" si="5"/>
        <v>否</v>
      </c>
      <c r="AB5" t="s">
        <v>148</v>
      </c>
      <c r="AC5" t="e">
        <f>VLOOKUP(C5,[1]Sheet1!$C:$O,13,FALSE)</f>
        <v>#N/A</v>
      </c>
      <c r="AD5" t="str">
        <f>VLOOKUP($H5,'[3]0509人员排班情况 副本'!$G:$U,12,FALSE)</f>
        <v>王安琪 (Anqi Wang),张朱同 Thomson（Zhutong Zhang）</v>
      </c>
      <c r="AE5" t="str">
        <f>VLOOKUP($H5,'[3]0509人员排班情况 副本'!$G:$U,13,FALSE)</f>
        <v>陈锦昭</v>
      </c>
      <c r="AF5" t="str">
        <f>VLOOKUP($H5,'[3]0509人员排班情况 副本'!$G:$U,14,FALSE)</f>
        <v>金筱燕Sharon（Xiaoyan Jin）</v>
      </c>
      <c r="AG5">
        <f>VLOOKUP($H5,'[3]0509人员排班情况 副本'!$G:$U,15,FALSE)</f>
        <v>0</v>
      </c>
    </row>
    <row r="6" customHeight="1" spans="1:33">
      <c r="A6" t="s">
        <v>148</v>
      </c>
      <c r="B6" t="s">
        <v>161</v>
      </c>
      <c r="C6" t="s">
        <v>162</v>
      </c>
      <c r="D6" t="s">
        <v>58</v>
      </c>
      <c r="E6" t="s">
        <v>66</v>
      </c>
      <c r="F6" t="s">
        <v>163</v>
      </c>
      <c r="H6" t="str">
        <f t="shared" si="0"/>
        <v>MS 中南大区RE 北卡和东南海岸片区MYR01</v>
      </c>
      <c r="I6" t="s">
        <v>152</v>
      </c>
      <c r="J6" t="s">
        <v>148</v>
      </c>
      <c r="K6" s="15"/>
      <c r="L6" s="15" t="s">
        <v>148</v>
      </c>
      <c r="M6" s="15"/>
      <c r="N6" t="s">
        <v>148</v>
      </c>
      <c r="O6" s="20" t="s">
        <v>114</v>
      </c>
      <c r="P6" s="21">
        <v>0</v>
      </c>
      <c r="Q6" s="21">
        <v>0</v>
      </c>
      <c r="R6" s="21">
        <v>0</v>
      </c>
      <c r="S6" s="21">
        <f t="shared" si="1"/>
        <v>0</v>
      </c>
      <c r="T6" s="21">
        <f t="shared" si="2"/>
        <v>0</v>
      </c>
      <c r="U6" s="21" t="str">
        <f t="shared" si="3"/>
        <v>否</v>
      </c>
      <c r="V6" s="21">
        <f>VLOOKUP($C6,[4]Sheet1!$B:$AN,39,FALSE)</f>
        <v>0</v>
      </c>
      <c r="W6" s="21">
        <v>0</v>
      </c>
      <c r="X6" s="23">
        <v>0</v>
      </c>
      <c r="Y6" s="23">
        <v>0</v>
      </c>
      <c r="Z6" s="25">
        <f t="shared" si="4"/>
        <v>0</v>
      </c>
      <c r="AA6" s="25" t="str">
        <f t="shared" si="5"/>
        <v>否</v>
      </c>
      <c r="AB6" t="s">
        <v>148</v>
      </c>
      <c r="AC6" t="e">
        <f>VLOOKUP(C6,[1]Sheet1!$C:$O,13,FALSE)</f>
        <v>#N/A</v>
      </c>
      <c r="AD6" t="str">
        <f>VLOOKUP($H6,'[3]0509人员排班情况 副本'!$G:$U,12,FALSE)</f>
        <v>欧阳迎春Flower（Yingchun Ouyang）</v>
      </c>
      <c r="AE6" t="str">
        <f>VLOOKUP($H6,'[3]0509人员排班情况 副本'!$G:$U,13,FALSE)</f>
        <v>杨云飞</v>
      </c>
      <c r="AF6">
        <f>VLOOKUP($H6,'[3]0509人员排班情况 副本'!$G:$U,14,FALSE)</f>
        <v>0</v>
      </c>
      <c r="AG6">
        <f>VLOOKUP($H6,'[3]0509人员排班情况 副本'!$G:$U,15,FALSE)</f>
        <v>0</v>
      </c>
    </row>
    <row r="7" customHeight="1" spans="1:33">
      <c r="A7" t="s">
        <v>148</v>
      </c>
      <c r="B7" t="s">
        <v>164</v>
      </c>
      <c r="C7" t="s">
        <v>165</v>
      </c>
      <c r="D7" t="s">
        <v>15</v>
      </c>
      <c r="E7" t="s">
        <v>20</v>
      </c>
      <c r="F7" t="s">
        <v>166</v>
      </c>
      <c r="G7" t="s">
        <v>112</v>
      </c>
      <c r="H7" t="str">
        <f t="shared" si="0"/>
        <v>FL 佛州大区MIA.H综办组</v>
      </c>
      <c r="I7" t="s">
        <v>167</v>
      </c>
      <c r="J7" t="s">
        <v>148</v>
      </c>
      <c r="K7" s="15"/>
      <c r="L7" s="15" t="s">
        <v>148</v>
      </c>
      <c r="M7" s="15"/>
      <c r="N7" t="s">
        <v>148</v>
      </c>
      <c r="O7" s="20" t="s">
        <v>114</v>
      </c>
      <c r="P7" s="21">
        <v>0</v>
      </c>
      <c r="Q7" s="21">
        <v>0</v>
      </c>
      <c r="R7" s="21">
        <v>0</v>
      </c>
      <c r="S7" s="21">
        <f t="shared" si="1"/>
        <v>0</v>
      </c>
      <c r="T7" s="21">
        <f t="shared" si="2"/>
        <v>0</v>
      </c>
      <c r="U7" s="21" t="str">
        <f t="shared" si="3"/>
        <v>否</v>
      </c>
      <c r="V7" s="21">
        <f>VLOOKUP($C7,[4]Sheet1!$B:$AN,39,FALSE)</f>
        <v>0</v>
      </c>
      <c r="W7" s="21">
        <v>0</v>
      </c>
      <c r="X7" s="23">
        <v>0</v>
      </c>
      <c r="Y7" s="23">
        <v>0</v>
      </c>
      <c r="Z7" s="25">
        <f t="shared" si="4"/>
        <v>0</v>
      </c>
      <c r="AA7" s="25" t="str">
        <f t="shared" si="5"/>
        <v>否</v>
      </c>
      <c r="AB7" t="s">
        <v>148</v>
      </c>
      <c r="AC7" t="e">
        <f>VLOOKUP(C7,[1]Sheet1!$C:$O,13,FALSE)</f>
        <v>#N/A</v>
      </c>
      <c r="AD7" t="str">
        <f>VLOOKUP($H7,'[3]0509人员排班情况 副本'!$G:$U,12,FALSE)</f>
        <v>Natalia (Natalia Padilla),孙婕 Jasmine（Sunjie）</v>
      </c>
      <c r="AE7" t="str">
        <f>VLOOKUP($H7,'[3]0509人员排班情况 副本'!$G:$U,13,FALSE)</f>
        <v>贺子强Jeff (Ziqiang He)</v>
      </c>
      <c r="AF7" t="str">
        <f>VLOOKUP($H7,'[3]0509人员排班情况 副本'!$G:$U,14,FALSE)</f>
        <v>Minqing (Minqing Xu),罗煜雄 Mike (Yuxiong Luo)</v>
      </c>
      <c r="AG7">
        <f>VLOOKUP($H7,'[3]0509人员排班情况 副本'!$G:$U,15,FALSE)</f>
        <v>0</v>
      </c>
    </row>
    <row r="8" customHeight="1" spans="1:33">
      <c r="A8" t="s">
        <v>148</v>
      </c>
      <c r="B8" t="s">
        <v>168</v>
      </c>
      <c r="C8" t="s">
        <v>169</v>
      </c>
      <c r="D8" t="s">
        <v>31</v>
      </c>
      <c r="E8" t="s">
        <v>41</v>
      </c>
      <c r="F8" t="s">
        <v>148</v>
      </c>
      <c r="G8" t="s">
        <v>112</v>
      </c>
      <c r="H8" t="str">
        <f t="shared" si="0"/>
        <v>GL 大湖大区ORD.H</v>
      </c>
      <c r="I8" t="s">
        <v>170</v>
      </c>
      <c r="J8" t="s">
        <v>148</v>
      </c>
      <c r="K8" s="15"/>
      <c r="L8" s="15" t="s">
        <v>148</v>
      </c>
      <c r="M8" s="15"/>
      <c r="N8" t="s">
        <v>148</v>
      </c>
      <c r="O8" s="20" t="s">
        <v>114</v>
      </c>
      <c r="P8" s="21">
        <v>0</v>
      </c>
      <c r="Q8" s="21">
        <v>0</v>
      </c>
      <c r="R8" s="21">
        <v>0</v>
      </c>
      <c r="S8" s="21">
        <f t="shared" si="1"/>
        <v>0</v>
      </c>
      <c r="T8" s="21">
        <f t="shared" si="2"/>
        <v>0</v>
      </c>
      <c r="U8" s="21" t="str">
        <f t="shared" si="3"/>
        <v>否</v>
      </c>
      <c r="V8" s="21">
        <f>VLOOKUP($C8,[4]Sheet1!$B:$AN,39,FALSE)</f>
        <v>0</v>
      </c>
      <c r="W8" s="21">
        <v>0</v>
      </c>
      <c r="X8" s="23">
        <v>0</v>
      </c>
      <c r="Y8" s="23">
        <v>0</v>
      </c>
      <c r="Z8" s="25">
        <f t="shared" si="4"/>
        <v>0</v>
      </c>
      <c r="AA8" s="25" t="str">
        <f t="shared" si="5"/>
        <v>否</v>
      </c>
      <c r="AB8" t="s">
        <v>148</v>
      </c>
      <c r="AC8" t="e">
        <f>VLOOKUP(C8,[1]Sheet1!$C:$O,13,FALSE)</f>
        <v>#N/A</v>
      </c>
      <c r="AD8" t="str">
        <f>VLOOKUP($H8,'[3]0509人员排班情况 副本'!$G:$U,12,FALSE)</f>
        <v>王晓丹 Jasmine（Xiaodan Wang）,周延舒Isabel（Yanshu Zhou）</v>
      </c>
      <c r="AE8" t="str">
        <f>VLOOKUP($H8,'[3]0509人员排班情况 副本'!$G:$U,13,FALSE)</f>
        <v>张骥Ji Zhang (Ji Zhang)</v>
      </c>
      <c r="AF8" t="str">
        <f>VLOOKUP($H8,'[3]0509人员排班情况 副本'!$G:$U,14,FALSE)</f>
        <v>Minqing (Minqing Xu),罗煜雄 Mike (Yuxiong Luo)</v>
      </c>
      <c r="AG8">
        <f>VLOOKUP($H8,'[3]0509人员排班情况 副本'!$G:$U,15,FALSE)</f>
        <v>0</v>
      </c>
    </row>
    <row r="9" customHeight="1" spans="1:33">
      <c r="A9" t="s">
        <v>148</v>
      </c>
      <c r="B9" t="s">
        <v>171</v>
      </c>
      <c r="C9" t="s">
        <v>172</v>
      </c>
      <c r="D9" t="s">
        <v>15</v>
      </c>
      <c r="E9" t="s">
        <v>24</v>
      </c>
      <c r="F9" t="s">
        <v>148</v>
      </c>
      <c r="H9" t="str">
        <f t="shared" si="0"/>
        <v>FL 佛州大区SF 南佛片区</v>
      </c>
      <c r="I9" t="s">
        <v>173</v>
      </c>
      <c r="J9" t="s">
        <v>148</v>
      </c>
      <c r="K9" s="15"/>
      <c r="L9" s="15" t="s">
        <v>148</v>
      </c>
      <c r="M9" s="15"/>
      <c r="N9" t="s">
        <v>148</v>
      </c>
      <c r="O9" s="20" t="s">
        <v>114</v>
      </c>
      <c r="P9" s="21">
        <v>0</v>
      </c>
      <c r="Q9" s="21">
        <v>0</v>
      </c>
      <c r="R9" s="21">
        <v>0</v>
      </c>
      <c r="S9" s="21">
        <f t="shared" si="1"/>
        <v>0</v>
      </c>
      <c r="T9" s="21">
        <f t="shared" si="2"/>
        <v>0</v>
      </c>
      <c r="U9" s="21" t="str">
        <f t="shared" si="3"/>
        <v>否</v>
      </c>
      <c r="V9" s="21">
        <f>VLOOKUP($C9,[4]Sheet1!$B:$AN,39,FALSE)</f>
        <v>0</v>
      </c>
      <c r="W9" s="21">
        <v>0</v>
      </c>
      <c r="X9" s="23">
        <v>0</v>
      </c>
      <c r="Y9" s="23">
        <v>0</v>
      </c>
      <c r="Z9" s="25">
        <f t="shared" si="4"/>
        <v>0</v>
      </c>
      <c r="AA9" s="25" t="str">
        <f t="shared" si="5"/>
        <v>否</v>
      </c>
      <c r="AB9" t="s">
        <v>148</v>
      </c>
      <c r="AC9" t="e">
        <f>VLOOKUP(C9,[1]Sheet1!$C:$O,13,FALSE)</f>
        <v>#N/A</v>
      </c>
      <c r="AD9" t="str">
        <f>VLOOKUP($H9,'[3]0509人员排班情况 副本'!$G:$U,12,FALSE)</f>
        <v>Natalia (Natalia Padilla),孙婕 Jasmine（Sunjie）</v>
      </c>
      <c r="AE9" t="str">
        <f>VLOOKUP($H9,'[3]0509人员排班情况 副本'!$G:$U,13,FALSE)</f>
        <v>贺子强Jeff (Ziqiang He)</v>
      </c>
      <c r="AF9">
        <f>VLOOKUP($H9,'[3]0509人员排班情况 副本'!$G:$U,14,FALSE)</f>
        <v>0</v>
      </c>
      <c r="AG9">
        <f>VLOOKUP($H9,'[3]0509人员排班情况 副本'!$G:$U,15,FALSE)</f>
        <v>0</v>
      </c>
    </row>
    <row r="10" customHeight="1" spans="1:33">
      <c r="A10" t="s">
        <v>148</v>
      </c>
      <c r="B10" t="s">
        <v>174</v>
      </c>
      <c r="C10" t="s">
        <v>175</v>
      </c>
      <c r="D10" t="s">
        <v>58</v>
      </c>
      <c r="E10" t="s">
        <v>64</v>
      </c>
      <c r="F10" t="s">
        <v>176</v>
      </c>
      <c r="H10" t="str">
        <f t="shared" si="0"/>
        <v>MS 中南大区CS 夏洛特及周边片区CLT01</v>
      </c>
      <c r="I10" t="s">
        <v>177</v>
      </c>
      <c r="J10" t="s">
        <v>148</v>
      </c>
      <c r="K10" s="15"/>
      <c r="L10" s="15" t="s">
        <v>148</v>
      </c>
      <c r="M10" s="15"/>
      <c r="N10" t="s">
        <v>148</v>
      </c>
      <c r="O10" s="20" t="s">
        <v>114</v>
      </c>
      <c r="P10" s="21">
        <v>0</v>
      </c>
      <c r="Q10" s="21">
        <v>0</v>
      </c>
      <c r="R10" s="21">
        <v>0</v>
      </c>
      <c r="S10" s="21">
        <f t="shared" si="1"/>
        <v>0</v>
      </c>
      <c r="T10" s="21">
        <f t="shared" si="2"/>
        <v>0</v>
      </c>
      <c r="U10" s="21" t="str">
        <f t="shared" si="3"/>
        <v>否</v>
      </c>
      <c r="V10" s="21">
        <f>VLOOKUP($C10,[4]Sheet1!$B:$AN,39,FALSE)</f>
        <v>0</v>
      </c>
      <c r="W10" s="21">
        <v>0</v>
      </c>
      <c r="X10" s="23">
        <v>0</v>
      </c>
      <c r="Y10" s="23">
        <v>0</v>
      </c>
      <c r="Z10" s="25">
        <f t="shared" si="4"/>
        <v>0</v>
      </c>
      <c r="AA10" s="25" t="str">
        <f t="shared" si="5"/>
        <v>否</v>
      </c>
      <c r="AB10" t="s">
        <v>148</v>
      </c>
      <c r="AC10" t="e">
        <f>VLOOKUP(C10,[1]Sheet1!$C:$O,13,FALSE)</f>
        <v>#N/A</v>
      </c>
      <c r="AD10" t="str">
        <f>VLOOKUP($H10,'[3]0509人员排班情况 副本'!$G:$U,12,FALSE)</f>
        <v>欧阳迎春Flower（Yingchun Ouyang）</v>
      </c>
      <c r="AE10" t="str">
        <f>VLOOKUP($H10,'[3]0509人员排班情况 副本'!$G:$U,13,FALSE)</f>
        <v>杨云飞</v>
      </c>
      <c r="AF10" t="str">
        <f>VLOOKUP($H10,'[3]0509人员排班情况 副本'!$G:$U,14,FALSE)</f>
        <v>郭丞芸Lexie(Chengyun Kuo)</v>
      </c>
      <c r="AG10">
        <f>VLOOKUP($H10,'[3]0509人员排班情况 副本'!$G:$U,15,FALSE)</f>
        <v>0</v>
      </c>
    </row>
    <row r="11" customHeight="1" spans="1:33">
      <c r="A11" t="s">
        <v>148</v>
      </c>
      <c r="B11" t="s">
        <v>178</v>
      </c>
      <c r="C11" t="s">
        <v>179</v>
      </c>
      <c r="D11" t="s">
        <v>58</v>
      </c>
      <c r="E11" t="s">
        <v>64</v>
      </c>
      <c r="F11" t="s">
        <v>180</v>
      </c>
      <c r="H11" t="str">
        <f t="shared" si="0"/>
        <v>MS 中南大区CS 夏洛特及周边片区CLT02</v>
      </c>
      <c r="I11" t="s">
        <v>177</v>
      </c>
      <c r="J11" t="s">
        <v>148</v>
      </c>
      <c r="K11" s="15"/>
      <c r="L11" s="15" t="s">
        <v>148</v>
      </c>
      <c r="M11" s="15"/>
      <c r="N11" t="s">
        <v>148</v>
      </c>
      <c r="O11" s="20" t="s">
        <v>114</v>
      </c>
      <c r="P11" s="21">
        <v>0</v>
      </c>
      <c r="Q11" s="21">
        <v>0</v>
      </c>
      <c r="R11" s="21">
        <v>0</v>
      </c>
      <c r="S11" s="21">
        <f t="shared" si="1"/>
        <v>0</v>
      </c>
      <c r="T11" s="21">
        <f t="shared" si="2"/>
        <v>0</v>
      </c>
      <c r="U11" s="21" t="str">
        <f t="shared" si="3"/>
        <v>否</v>
      </c>
      <c r="V11" s="21">
        <f>VLOOKUP($C11,[4]Sheet1!$B:$AN,39,FALSE)</f>
        <v>0</v>
      </c>
      <c r="W11" s="21">
        <v>0</v>
      </c>
      <c r="X11" s="23">
        <v>0</v>
      </c>
      <c r="Y11" s="23">
        <v>0</v>
      </c>
      <c r="Z11" s="25">
        <f t="shared" si="4"/>
        <v>0</v>
      </c>
      <c r="AA11" s="25" t="str">
        <f t="shared" si="5"/>
        <v>否</v>
      </c>
      <c r="AB11" t="s">
        <v>148</v>
      </c>
      <c r="AC11" t="e">
        <f>VLOOKUP(C11,[1]Sheet1!$C:$O,13,FALSE)</f>
        <v>#N/A</v>
      </c>
      <c r="AD11" t="str">
        <f>VLOOKUP($H11,'[3]0509人员排班情况 副本'!$G:$U,12,FALSE)</f>
        <v>欧阳迎春Flower（Yingchun Ouyang）</v>
      </c>
      <c r="AE11" t="str">
        <f>VLOOKUP($H11,'[3]0509人员排班情况 副本'!$G:$U,13,FALSE)</f>
        <v>杨云飞</v>
      </c>
      <c r="AF11" t="str">
        <f>VLOOKUP($H11,'[3]0509人员排班情况 副本'!$G:$U,14,FALSE)</f>
        <v>郭丞芸Lexie(Chengyun Kuo)</v>
      </c>
      <c r="AG11">
        <f>VLOOKUP($H11,'[3]0509人员排班情况 副本'!$G:$U,15,FALSE)</f>
        <v>0</v>
      </c>
    </row>
    <row r="12" customHeight="1" spans="1:33">
      <c r="A12" t="s">
        <v>148</v>
      </c>
      <c r="B12" t="s">
        <v>181</v>
      </c>
      <c r="C12" t="s">
        <v>182</v>
      </c>
      <c r="D12" t="s">
        <v>92</v>
      </c>
      <c r="E12" t="s">
        <v>97</v>
      </c>
      <c r="F12" t="s">
        <v>183</v>
      </c>
      <c r="H12" t="str">
        <f t="shared" si="0"/>
        <v>TX 德州大区NT 北德州片区SPR01</v>
      </c>
      <c r="I12" t="s">
        <v>177</v>
      </c>
      <c r="J12" t="s">
        <v>148</v>
      </c>
      <c r="K12" s="15"/>
      <c r="L12" s="15" t="s">
        <v>148</v>
      </c>
      <c r="M12" s="15"/>
      <c r="N12" t="s">
        <v>148</v>
      </c>
      <c r="O12" s="20" t="s">
        <v>114</v>
      </c>
      <c r="P12" s="21">
        <v>0</v>
      </c>
      <c r="Q12" s="21">
        <v>0</v>
      </c>
      <c r="R12" s="21">
        <v>0</v>
      </c>
      <c r="S12" s="21">
        <f t="shared" si="1"/>
        <v>0</v>
      </c>
      <c r="T12" s="21">
        <f t="shared" si="2"/>
        <v>0</v>
      </c>
      <c r="U12" s="21" t="str">
        <f t="shared" si="3"/>
        <v>否</v>
      </c>
      <c r="V12" s="21">
        <f>VLOOKUP($C12,[4]Sheet1!$B:$AN,39,FALSE)</f>
        <v>0</v>
      </c>
      <c r="W12" s="21">
        <v>0</v>
      </c>
      <c r="X12" s="23">
        <v>0</v>
      </c>
      <c r="Y12" s="23">
        <v>0</v>
      </c>
      <c r="Z12" s="25">
        <f t="shared" si="4"/>
        <v>0</v>
      </c>
      <c r="AA12" s="25" t="str">
        <f t="shared" si="5"/>
        <v>否</v>
      </c>
      <c r="AB12" t="s">
        <v>148</v>
      </c>
      <c r="AC12" t="e">
        <f>VLOOKUP(C12,[1]Sheet1!$C:$O,13,FALSE)</f>
        <v>#N/A</v>
      </c>
      <c r="AD12" t="str">
        <f>VLOOKUP($H12,'[3]0509人员排班情况 副本'!$G:$U,12,FALSE)</f>
        <v>肖芦莉Lily (Luli Xiao)</v>
      </c>
      <c r="AE12" t="str">
        <f>VLOOKUP($H12,'[3]0509人员排班情况 副本'!$G:$U,13,FALSE)</f>
        <v>张骥Ji Zhang (Ji Zhang)</v>
      </c>
      <c r="AF12" t="str">
        <f>VLOOKUP($H12,'[3]0509人员排班情况 副本'!$G:$U,14,FALSE)</f>
        <v>何琼joan(Qiong He)</v>
      </c>
      <c r="AG12">
        <f>VLOOKUP($H12,'[3]0509人员排班情况 副本'!$G:$U,15,FALSE)</f>
        <v>0</v>
      </c>
    </row>
    <row r="13" customHeight="1" spans="1:33">
      <c r="A13" t="s">
        <v>148</v>
      </c>
      <c r="B13" t="s">
        <v>184</v>
      </c>
      <c r="C13" t="s">
        <v>185</v>
      </c>
      <c r="D13" t="s">
        <v>68</v>
      </c>
      <c r="E13" t="s">
        <v>81</v>
      </c>
      <c r="F13" t="s">
        <v>186</v>
      </c>
      <c r="H13" t="str">
        <f t="shared" si="0"/>
        <v>NE 东北大区NY 纽约片区LGA01</v>
      </c>
      <c r="I13" t="s">
        <v>177</v>
      </c>
      <c r="J13" t="s">
        <v>148</v>
      </c>
      <c r="K13" s="15"/>
      <c r="L13" s="15" t="s">
        <v>148</v>
      </c>
      <c r="M13" s="15"/>
      <c r="N13" t="s">
        <v>148</v>
      </c>
      <c r="O13" s="20" t="s">
        <v>114</v>
      </c>
      <c r="P13" s="21">
        <v>0</v>
      </c>
      <c r="Q13" s="21">
        <v>0</v>
      </c>
      <c r="R13" s="21">
        <v>0</v>
      </c>
      <c r="S13" s="21">
        <f t="shared" si="1"/>
        <v>0</v>
      </c>
      <c r="T13" s="21">
        <f t="shared" si="2"/>
        <v>0</v>
      </c>
      <c r="U13" s="21" t="str">
        <f t="shared" si="3"/>
        <v>否</v>
      </c>
      <c r="V13" s="21">
        <f>VLOOKUP($C13,[4]Sheet1!$B:$AN,39,FALSE)</f>
        <v>0</v>
      </c>
      <c r="W13" s="21">
        <v>0</v>
      </c>
      <c r="X13" s="23">
        <v>0</v>
      </c>
      <c r="Y13" s="23">
        <v>0</v>
      </c>
      <c r="Z13" s="25">
        <f t="shared" si="4"/>
        <v>0</v>
      </c>
      <c r="AA13" s="25" t="str">
        <f t="shared" si="5"/>
        <v>否</v>
      </c>
      <c r="AB13" t="s">
        <v>148</v>
      </c>
      <c r="AC13" t="e">
        <f>VLOOKUP(C13,[1]Sheet1!$C:$O,13,FALSE)</f>
        <v>#N/A</v>
      </c>
      <c r="AD13" t="str">
        <f>VLOOKUP($H13,'[3]0509人员排班情况 副本'!$G:$U,12,FALSE)</f>
        <v>孙可君Monica（Kejun Sun）</v>
      </c>
      <c r="AE13" t="str">
        <f>VLOOKUP($H13,'[3]0509人员排班情况 副本'!$G:$U,13,FALSE)</f>
        <v>马聪Cong (Cong Ma)</v>
      </c>
      <c r="AF13" t="str">
        <f>VLOOKUP($H13,'[3]0509人员排班情况 副本'!$G:$U,14,FALSE)</f>
        <v>朱晗宇 Peter (Hanyu Zhu)</v>
      </c>
      <c r="AG13">
        <f>VLOOKUP($H13,'[3]0509人员排班情况 副本'!$G:$U,15,FALSE)</f>
        <v>0</v>
      </c>
    </row>
    <row r="14" customHeight="1" spans="1:33">
      <c r="A14" t="s">
        <v>148</v>
      </c>
      <c r="B14" t="s">
        <v>187</v>
      </c>
      <c r="C14" t="s">
        <v>188</v>
      </c>
      <c r="D14" t="s">
        <v>31</v>
      </c>
      <c r="E14" t="s">
        <v>44</v>
      </c>
      <c r="F14" t="s">
        <v>148</v>
      </c>
      <c r="H14" t="str">
        <f t="shared" si="0"/>
        <v>GL 大湖大区车辆管理部</v>
      </c>
      <c r="I14" t="s">
        <v>189</v>
      </c>
      <c r="J14" t="s">
        <v>148</v>
      </c>
      <c r="K14" s="15"/>
      <c r="L14" s="15" t="s">
        <v>148</v>
      </c>
      <c r="M14" s="15"/>
      <c r="N14" t="s">
        <v>148</v>
      </c>
      <c r="O14" s="20" t="s">
        <v>114</v>
      </c>
      <c r="P14" s="21">
        <v>0</v>
      </c>
      <c r="Q14" s="21">
        <v>0</v>
      </c>
      <c r="R14" s="21">
        <v>0</v>
      </c>
      <c r="S14" s="21">
        <f t="shared" si="1"/>
        <v>0</v>
      </c>
      <c r="T14" s="21">
        <f t="shared" si="2"/>
        <v>0</v>
      </c>
      <c r="U14" s="21" t="str">
        <f t="shared" si="3"/>
        <v>否</v>
      </c>
      <c r="V14" s="21">
        <f>VLOOKUP($C14,[4]Sheet1!$B:$AN,39,FALSE)</f>
        <v>0</v>
      </c>
      <c r="W14" s="21">
        <v>0</v>
      </c>
      <c r="X14" s="23">
        <v>0</v>
      </c>
      <c r="Y14" s="23">
        <v>0</v>
      </c>
      <c r="Z14" s="25">
        <f t="shared" si="4"/>
        <v>0</v>
      </c>
      <c r="AA14" s="25" t="str">
        <f t="shared" si="5"/>
        <v>否</v>
      </c>
      <c r="AB14" t="s">
        <v>148</v>
      </c>
      <c r="AC14" t="e">
        <f>VLOOKUP(C14,[1]Sheet1!$C:$O,13,FALSE)</f>
        <v>#N/A</v>
      </c>
      <c r="AD14" t="str">
        <f>VLOOKUP($H14,'[3]0509人员排班情况 副本'!$G:$U,12,FALSE)</f>
        <v>王晓丹 Jasmine（Xiaodan Wang）,周延舒Isabel（Yanshu Zhou）</v>
      </c>
      <c r="AE14" t="str">
        <f>VLOOKUP($H14,'[3]0509人员排班情况 副本'!$G:$U,13,FALSE)</f>
        <v>张骥Ji Zhang (Ji Zhang)</v>
      </c>
      <c r="AF14">
        <f>VLOOKUP($H14,'[3]0509人员排班情况 副本'!$G:$U,14,FALSE)</f>
        <v>0</v>
      </c>
      <c r="AG14">
        <f>VLOOKUP($H14,'[3]0509人员排班情况 副本'!$G:$U,15,FALSE)</f>
        <v>0</v>
      </c>
    </row>
    <row r="15" customHeight="1" spans="1:33">
      <c r="A15" t="s">
        <v>148</v>
      </c>
      <c r="B15" t="s">
        <v>190</v>
      </c>
      <c r="C15" t="s">
        <v>191</v>
      </c>
      <c r="D15" t="s">
        <v>58</v>
      </c>
      <c r="E15" t="s">
        <v>64</v>
      </c>
      <c r="F15" t="s">
        <v>176</v>
      </c>
      <c r="H15" t="str">
        <f t="shared" si="0"/>
        <v>MS 中南大区CS 夏洛特及周边片区CLT01</v>
      </c>
      <c r="I15" t="s">
        <v>177</v>
      </c>
      <c r="J15" t="s">
        <v>148</v>
      </c>
      <c r="K15" s="15"/>
      <c r="L15" s="15" t="s">
        <v>148</v>
      </c>
      <c r="M15" s="15"/>
      <c r="N15" t="s">
        <v>148</v>
      </c>
      <c r="O15" s="20" t="s">
        <v>114</v>
      </c>
      <c r="P15" s="21">
        <v>0</v>
      </c>
      <c r="Q15" s="21">
        <v>0</v>
      </c>
      <c r="R15" s="21">
        <v>0</v>
      </c>
      <c r="S15" s="21">
        <f t="shared" si="1"/>
        <v>0</v>
      </c>
      <c r="T15" s="21">
        <f t="shared" si="2"/>
        <v>0</v>
      </c>
      <c r="U15" s="21" t="str">
        <f t="shared" si="3"/>
        <v>否</v>
      </c>
      <c r="V15" s="21">
        <f>VLOOKUP($C15,[4]Sheet1!$B:$AN,39,FALSE)</f>
        <v>0</v>
      </c>
      <c r="W15" s="21">
        <v>0</v>
      </c>
      <c r="X15" s="23">
        <v>0</v>
      </c>
      <c r="Y15" s="23">
        <v>0</v>
      </c>
      <c r="Z15" s="25">
        <f t="shared" si="4"/>
        <v>0</v>
      </c>
      <c r="AA15" s="25" t="str">
        <f t="shared" si="5"/>
        <v>否</v>
      </c>
      <c r="AB15" t="s">
        <v>148</v>
      </c>
      <c r="AC15" t="e">
        <f>VLOOKUP(C15,[1]Sheet1!$C:$O,13,FALSE)</f>
        <v>#N/A</v>
      </c>
      <c r="AD15" t="str">
        <f>VLOOKUP($H15,'[3]0509人员排班情况 副本'!$G:$U,12,FALSE)</f>
        <v>欧阳迎春Flower（Yingchun Ouyang）</v>
      </c>
      <c r="AE15" t="str">
        <f>VLOOKUP($H15,'[3]0509人员排班情况 副本'!$G:$U,13,FALSE)</f>
        <v>杨云飞</v>
      </c>
      <c r="AF15" t="str">
        <f>VLOOKUP($H15,'[3]0509人员排班情况 副本'!$G:$U,14,FALSE)</f>
        <v>郭丞芸Lexie(Chengyun Kuo)</v>
      </c>
      <c r="AG15">
        <f>VLOOKUP($H15,'[3]0509人员排班情况 副本'!$G:$U,15,FALSE)</f>
        <v>0</v>
      </c>
    </row>
    <row r="16" customHeight="1" spans="1:33">
      <c r="A16" t="s">
        <v>148</v>
      </c>
      <c r="B16" t="s">
        <v>192</v>
      </c>
      <c r="C16" t="s">
        <v>193</v>
      </c>
      <c r="D16" t="s">
        <v>48</v>
      </c>
      <c r="E16" t="s">
        <v>50</v>
      </c>
      <c r="F16" t="s">
        <v>194</v>
      </c>
      <c r="H16" t="str">
        <f t="shared" si="0"/>
        <v>Ground项目部OG 美南区AT303</v>
      </c>
      <c r="I16" t="s">
        <v>195</v>
      </c>
      <c r="J16" t="s">
        <v>148</v>
      </c>
      <c r="K16" s="15"/>
      <c r="L16" s="15" t="s">
        <v>148</v>
      </c>
      <c r="M16" s="15"/>
      <c r="N16" t="s">
        <v>148</v>
      </c>
      <c r="O16" s="20" t="s">
        <v>114</v>
      </c>
      <c r="P16" s="21">
        <v>0</v>
      </c>
      <c r="Q16" s="21">
        <v>0</v>
      </c>
      <c r="R16" s="21">
        <v>0</v>
      </c>
      <c r="S16" s="21">
        <f t="shared" si="1"/>
        <v>0</v>
      </c>
      <c r="T16" s="21">
        <f t="shared" si="2"/>
        <v>0</v>
      </c>
      <c r="U16" s="21" t="str">
        <f t="shared" si="3"/>
        <v>否</v>
      </c>
      <c r="V16" s="21">
        <f>VLOOKUP($C16,[4]Sheet1!$B:$AN,39,FALSE)</f>
        <v>0</v>
      </c>
      <c r="W16" s="21">
        <v>0</v>
      </c>
      <c r="X16" s="23">
        <v>0</v>
      </c>
      <c r="Y16" s="23">
        <v>0</v>
      </c>
      <c r="Z16" s="25">
        <f t="shared" si="4"/>
        <v>0</v>
      </c>
      <c r="AA16" s="25" t="str">
        <f t="shared" si="5"/>
        <v>否</v>
      </c>
      <c r="AB16" t="s">
        <v>148</v>
      </c>
      <c r="AC16" t="e">
        <f>VLOOKUP(C16,[1]Sheet1!$C:$O,13,FALSE)</f>
        <v>#N/A</v>
      </c>
      <c r="AD16" t="str">
        <f>VLOOKUP($H16,'[3]0509人员排班情况 副本'!$G:$U,12,FALSE)</f>
        <v>王安琪 (Anqi Wang),张朱同 Thomson（Zhutong Zhang）</v>
      </c>
      <c r="AE16" t="str">
        <f>VLOOKUP($H16,'[3]0509人员排班情况 副本'!$G:$U,13,FALSE)</f>
        <v>陈锦昭</v>
      </c>
      <c r="AF16" t="str">
        <f>VLOOKUP($H16,'[3]0509人员排班情况 副本'!$G:$U,14,FALSE)</f>
        <v>金筱燕Sharon（Xiaoyan Jin）</v>
      </c>
      <c r="AG16">
        <f>VLOOKUP($H16,'[3]0509人员排班情况 副本'!$G:$U,15,FALSE)</f>
        <v>0</v>
      </c>
    </row>
    <row r="17" customHeight="1" spans="1:33">
      <c r="A17" t="s">
        <v>148</v>
      </c>
      <c r="B17" t="s">
        <v>196</v>
      </c>
      <c r="C17" t="s">
        <v>197</v>
      </c>
      <c r="D17" t="s">
        <v>58</v>
      </c>
      <c r="E17" t="s">
        <v>64</v>
      </c>
      <c r="F17" t="s">
        <v>180</v>
      </c>
      <c r="H17" t="str">
        <f t="shared" si="0"/>
        <v>MS 中南大区CS 夏洛特及周边片区CLT02</v>
      </c>
      <c r="I17" t="s">
        <v>177</v>
      </c>
      <c r="J17" t="s">
        <v>148</v>
      </c>
      <c r="K17" s="15"/>
      <c r="L17" s="15" t="s">
        <v>148</v>
      </c>
      <c r="M17" s="15"/>
      <c r="N17" s="22"/>
      <c r="O17" s="20" t="s">
        <v>114</v>
      </c>
      <c r="P17" s="21">
        <v>0</v>
      </c>
      <c r="Q17" s="21">
        <v>0</v>
      </c>
      <c r="R17" s="21">
        <v>0</v>
      </c>
      <c r="S17" s="21">
        <f t="shared" si="1"/>
        <v>0</v>
      </c>
      <c r="T17" s="21">
        <f t="shared" si="2"/>
        <v>0</v>
      </c>
      <c r="U17" s="21" t="str">
        <f t="shared" si="3"/>
        <v>否</v>
      </c>
      <c r="V17" s="21">
        <f>VLOOKUP($C17,[4]Sheet1!$B:$AN,39,FALSE)</f>
        <v>0</v>
      </c>
      <c r="W17" s="21">
        <v>0</v>
      </c>
      <c r="X17" s="23">
        <v>0</v>
      </c>
      <c r="Y17" s="23">
        <v>0</v>
      </c>
      <c r="Z17" s="25">
        <f t="shared" si="4"/>
        <v>0</v>
      </c>
      <c r="AA17" s="25" t="str">
        <f t="shared" si="5"/>
        <v>否</v>
      </c>
      <c r="AB17" t="s">
        <v>148</v>
      </c>
      <c r="AC17" t="e">
        <f>VLOOKUP(C17,[1]Sheet1!$C:$O,13,FALSE)</f>
        <v>#N/A</v>
      </c>
      <c r="AD17" t="str">
        <f>VLOOKUP($H17,'[3]0509人员排班情况 副本'!$G:$U,12,FALSE)</f>
        <v>欧阳迎春Flower（Yingchun Ouyang）</v>
      </c>
      <c r="AE17" t="str">
        <f>VLOOKUP($H17,'[3]0509人员排班情况 副本'!$G:$U,13,FALSE)</f>
        <v>杨云飞</v>
      </c>
      <c r="AF17" t="str">
        <f>VLOOKUP($H17,'[3]0509人员排班情况 副本'!$G:$U,14,FALSE)</f>
        <v>郭丞芸Lexie(Chengyun Kuo)</v>
      </c>
      <c r="AG17">
        <f>VLOOKUP($H17,'[3]0509人员排班情况 副本'!$G:$U,15,FALSE)</f>
        <v>0</v>
      </c>
    </row>
    <row r="18" customHeight="1" spans="1:33">
      <c r="A18" t="s">
        <v>148</v>
      </c>
      <c r="B18" t="s">
        <v>198</v>
      </c>
      <c r="C18" t="s">
        <v>199</v>
      </c>
      <c r="D18" t="s">
        <v>58</v>
      </c>
      <c r="E18" t="s">
        <v>29</v>
      </c>
      <c r="F18" t="s">
        <v>200</v>
      </c>
      <c r="H18" t="str">
        <f t="shared" si="0"/>
        <v>MS 中南大区运营支持部区域支持组</v>
      </c>
      <c r="I18" t="s">
        <v>201</v>
      </c>
      <c r="J18" t="s">
        <v>148</v>
      </c>
      <c r="K18" s="15"/>
      <c r="L18" s="15" t="s">
        <v>148</v>
      </c>
      <c r="M18" s="15"/>
      <c r="N18" t="s">
        <v>148</v>
      </c>
      <c r="O18" s="20" t="s">
        <v>114</v>
      </c>
      <c r="P18" s="21">
        <v>0</v>
      </c>
      <c r="Q18" s="21">
        <v>0</v>
      </c>
      <c r="R18" s="21">
        <v>0</v>
      </c>
      <c r="S18" s="21">
        <f t="shared" si="1"/>
        <v>0</v>
      </c>
      <c r="T18" s="21">
        <f t="shared" si="2"/>
        <v>0</v>
      </c>
      <c r="U18" s="21" t="str">
        <f t="shared" si="3"/>
        <v>否</v>
      </c>
      <c r="V18" s="21">
        <f>VLOOKUP($C18,[4]Sheet1!$B:$AN,39,FALSE)</f>
        <v>0</v>
      </c>
      <c r="W18" s="21">
        <v>0</v>
      </c>
      <c r="X18" s="23">
        <v>0</v>
      </c>
      <c r="Y18" s="23">
        <v>0</v>
      </c>
      <c r="Z18" s="25">
        <f t="shared" si="4"/>
        <v>0</v>
      </c>
      <c r="AA18" s="25" t="str">
        <f t="shared" si="5"/>
        <v>否</v>
      </c>
      <c r="AB18" t="s">
        <v>148</v>
      </c>
      <c r="AC18" t="e">
        <f>VLOOKUP(C18,[1]Sheet1!$C:$O,13,FALSE)</f>
        <v>#N/A</v>
      </c>
      <c r="AD18" t="str">
        <f>VLOOKUP($H18,'[3]0509人员排班情况 副本'!$G:$U,12,FALSE)</f>
        <v>欧阳迎春Flower（Yingchun Ouyang）</v>
      </c>
      <c r="AE18" t="str">
        <f>VLOOKUP($H18,'[3]0509人员排班情况 副本'!$G:$U,13,FALSE)</f>
        <v>杨云飞</v>
      </c>
      <c r="AF18">
        <f>VLOOKUP($H18,'[3]0509人员排班情况 副本'!$G:$U,14,FALSE)</f>
        <v>0</v>
      </c>
      <c r="AG18">
        <f>VLOOKUP($H18,'[3]0509人员排班情况 副本'!$G:$U,15,FALSE)</f>
        <v>0</v>
      </c>
    </row>
    <row r="19" customHeight="1" spans="1:33">
      <c r="A19" t="s">
        <v>202</v>
      </c>
      <c r="B19" t="s">
        <v>203</v>
      </c>
      <c r="C19" t="s">
        <v>204</v>
      </c>
      <c r="D19" t="s">
        <v>15</v>
      </c>
      <c r="E19" t="s">
        <v>26</v>
      </c>
      <c r="F19" t="s">
        <v>148</v>
      </c>
      <c r="H19" t="str">
        <f t="shared" si="0"/>
        <v>FL 佛州大区TPA01</v>
      </c>
      <c r="I19" t="s">
        <v>177</v>
      </c>
      <c r="J19" t="s">
        <v>205</v>
      </c>
      <c r="K19" s="15">
        <v>0.166666666666667</v>
      </c>
      <c r="L19" s="15" t="s">
        <v>206</v>
      </c>
      <c r="M19" s="15">
        <v>0.211805555555556</v>
      </c>
      <c r="N19" t="s">
        <v>207</v>
      </c>
      <c r="O19" s="20" t="s">
        <v>116</v>
      </c>
      <c r="P19" s="21">
        <v>0</v>
      </c>
      <c r="Q19" s="21">
        <v>6.52</v>
      </c>
      <c r="R19" s="21">
        <v>0</v>
      </c>
      <c r="S19" s="21">
        <f t="shared" si="1"/>
        <v>6.52</v>
      </c>
      <c r="T19" s="21">
        <f t="shared" si="2"/>
        <v>0</v>
      </c>
      <c r="U19" s="21" t="str">
        <f t="shared" si="3"/>
        <v>否</v>
      </c>
      <c r="V19" s="21">
        <f>VLOOKUP($C19,[4]Sheet1!$B:$AN,39,FALSE)</f>
        <v>6.52</v>
      </c>
      <c r="W19" s="21">
        <v>0</v>
      </c>
      <c r="X19" s="23">
        <v>2</v>
      </c>
      <c r="Y19" s="23">
        <v>4</v>
      </c>
      <c r="Z19" s="25">
        <f t="shared" si="4"/>
        <v>2</v>
      </c>
      <c r="AA19" s="25" t="str">
        <f t="shared" si="5"/>
        <v>是</v>
      </c>
      <c r="AB19" t="s">
        <v>148</v>
      </c>
      <c r="AC19" t="e">
        <f>VLOOKUP(C19,[1]Sheet1!$C:$O,13,FALSE)</f>
        <v>#N/A</v>
      </c>
      <c r="AD19" t="str">
        <f>VLOOKUP($H19,'[3]0509人员排班情况 副本'!$G:$U,12,FALSE)</f>
        <v>Natalia (Natalia Padilla),孙婕 Jasmine（Sunjie）</v>
      </c>
      <c r="AE19" t="str">
        <f>VLOOKUP($H19,'[3]0509人员排班情况 副本'!$G:$U,13,FALSE)</f>
        <v>贺子强Jeff (Ziqiang He)</v>
      </c>
      <c r="AF19">
        <f>VLOOKUP($H19,'[3]0509人员排班情况 副本'!$G:$U,14,FALSE)</f>
        <v>0</v>
      </c>
      <c r="AG19">
        <f>VLOOKUP($H19,'[3]0509人员排班情况 副本'!$G:$U,15,FALSE)</f>
        <v>0</v>
      </c>
    </row>
    <row r="20" customHeight="1" spans="1:33">
      <c r="A20" t="s">
        <v>202</v>
      </c>
      <c r="B20" t="s">
        <v>208</v>
      </c>
      <c r="C20" t="s">
        <v>209</v>
      </c>
      <c r="D20" t="s">
        <v>15</v>
      </c>
      <c r="E20" t="s">
        <v>20</v>
      </c>
      <c r="F20" t="s">
        <v>210</v>
      </c>
      <c r="G20" t="s">
        <v>112</v>
      </c>
      <c r="H20" t="str">
        <f t="shared" si="0"/>
        <v>FL 佛州大区MIA.H操作组</v>
      </c>
      <c r="I20" t="s">
        <v>156</v>
      </c>
      <c r="J20" t="s">
        <v>211</v>
      </c>
      <c r="K20" s="15">
        <v>0.333333333333333</v>
      </c>
      <c r="L20" s="15" t="s">
        <v>212</v>
      </c>
      <c r="M20" s="15">
        <v>0.339583333333333</v>
      </c>
      <c r="N20" t="s">
        <v>213</v>
      </c>
      <c r="O20" s="20" t="str">
        <f t="shared" ref="O4:O67" si="6">IFERROR(IF(ABS(M20-K20)&lt;=1/24,"正确","不正确"),"/")</f>
        <v>正确</v>
      </c>
      <c r="P20" s="21">
        <v>0</v>
      </c>
      <c r="Q20" s="21">
        <v>8.88</v>
      </c>
      <c r="R20" s="21">
        <v>0</v>
      </c>
      <c r="S20" s="21">
        <f t="shared" si="1"/>
        <v>8.88</v>
      </c>
      <c r="T20" s="21">
        <f t="shared" si="2"/>
        <v>0.880000000000001</v>
      </c>
      <c r="U20" s="21" t="str">
        <f t="shared" si="3"/>
        <v>是</v>
      </c>
      <c r="V20" s="21">
        <f>VLOOKUP($C20,[4]Sheet1!$B:$AN,39,FALSE)</f>
        <v>16.05</v>
      </c>
      <c r="W20" s="21">
        <v>0</v>
      </c>
      <c r="X20" s="23">
        <v>4</v>
      </c>
      <c r="Y20" s="23">
        <v>4</v>
      </c>
      <c r="Z20" s="25">
        <f t="shared" si="4"/>
        <v>0</v>
      </c>
      <c r="AA20" s="25" t="str">
        <f t="shared" si="5"/>
        <v>是</v>
      </c>
      <c r="AB20" t="s">
        <v>148</v>
      </c>
      <c r="AC20" t="e">
        <f>VLOOKUP(C20,[1]Sheet1!$C:$O,13,FALSE)</f>
        <v>#N/A</v>
      </c>
      <c r="AD20" t="str">
        <f>VLOOKUP($H20,'[3]0509人员排班情况 副本'!$G:$U,12,FALSE)</f>
        <v>Natalia (Natalia Padilla),孙婕 Jasmine（Sunjie）</v>
      </c>
      <c r="AE20" t="str">
        <f>VLOOKUP($H20,'[3]0509人员排班情况 副本'!$G:$U,13,FALSE)</f>
        <v>贺子强Jeff (Ziqiang He)</v>
      </c>
      <c r="AF20" t="str">
        <f>VLOOKUP($H20,'[3]0509人员排班情况 副本'!$G:$U,14,FALSE)</f>
        <v>Minqing (Minqing Xu),罗煜雄 Mike (Yuxiong Luo)</v>
      </c>
      <c r="AG20">
        <f>VLOOKUP($H20,'[3]0509人员排班情况 副本'!$G:$U,15,FALSE)</f>
        <v>0</v>
      </c>
    </row>
    <row r="21" customHeight="1" spans="1:33">
      <c r="A21" t="s">
        <v>202</v>
      </c>
      <c r="B21" t="s">
        <v>214</v>
      </c>
      <c r="C21" t="s">
        <v>215</v>
      </c>
      <c r="D21" t="s">
        <v>92</v>
      </c>
      <c r="E21" t="s">
        <v>95</v>
      </c>
      <c r="F21" t="s">
        <v>216</v>
      </c>
      <c r="H21" t="str">
        <f t="shared" si="0"/>
        <v>TX 德州大区GC 墨湾片区MFE01</v>
      </c>
      <c r="I21" t="s">
        <v>177</v>
      </c>
      <c r="J21" t="s">
        <v>217</v>
      </c>
      <c r="K21" s="15">
        <v>0.395833333333333</v>
      </c>
      <c r="L21" s="15" t="s">
        <v>218</v>
      </c>
      <c r="M21" s="15"/>
      <c r="N21" t="s">
        <v>148</v>
      </c>
      <c r="O21" s="20" t="s">
        <v>116</v>
      </c>
      <c r="P21" s="21">
        <v>0</v>
      </c>
      <c r="Q21" s="21">
        <v>0</v>
      </c>
      <c r="R21" s="21">
        <v>0</v>
      </c>
      <c r="S21" s="21">
        <f t="shared" si="1"/>
        <v>0</v>
      </c>
      <c r="T21" s="21">
        <f t="shared" si="2"/>
        <v>0</v>
      </c>
      <c r="U21" s="21" t="str">
        <f t="shared" si="3"/>
        <v>否</v>
      </c>
      <c r="V21" s="21">
        <f>VLOOKUP($C21,[4]Sheet1!$B:$AN,39,FALSE)</f>
        <v>0</v>
      </c>
      <c r="W21" s="21">
        <v>0</v>
      </c>
      <c r="X21" s="23">
        <v>0</v>
      </c>
      <c r="Y21" s="23">
        <v>0</v>
      </c>
      <c r="Z21" s="25">
        <f t="shared" si="4"/>
        <v>0</v>
      </c>
      <c r="AA21" s="25" t="str">
        <f t="shared" si="5"/>
        <v>是</v>
      </c>
      <c r="AB21" t="s">
        <v>148</v>
      </c>
      <c r="AC21" t="e">
        <f>VLOOKUP(C21,[1]Sheet1!$C:$O,13,FALSE)</f>
        <v>#N/A</v>
      </c>
      <c r="AD21" t="str">
        <f>VLOOKUP($H21,'[3]0509人员排班情况 副本'!$G:$U,12,FALSE)</f>
        <v>肖芦莉Lily (Luli Xiao)</v>
      </c>
      <c r="AE21" t="str">
        <f>VLOOKUP($H21,'[3]0509人员排班情况 副本'!$G:$U,13,FALSE)</f>
        <v>张骥Ji Zhang (Ji Zhang)</v>
      </c>
      <c r="AF21" t="str">
        <f>VLOOKUP($H21,'[3]0509人员排班情况 副本'!$G:$U,14,FALSE)</f>
        <v>金磊Brian（LEI JIN）</v>
      </c>
      <c r="AG21">
        <f>VLOOKUP($H21,'[3]0509人员排班情况 副本'!$G:$U,15,FALSE)</f>
        <v>0</v>
      </c>
    </row>
    <row r="22" customHeight="1" spans="1:33">
      <c r="A22" t="s">
        <v>202</v>
      </c>
      <c r="B22" t="s">
        <v>219</v>
      </c>
      <c r="C22" t="s">
        <v>220</v>
      </c>
      <c r="D22" t="s">
        <v>100</v>
      </c>
      <c r="E22" t="s">
        <v>103</v>
      </c>
      <c r="F22" t="s">
        <v>210</v>
      </c>
      <c r="G22" t="s">
        <v>112</v>
      </c>
      <c r="H22" t="str">
        <f t="shared" si="0"/>
        <v>WE 美西大区LAV.H操作组</v>
      </c>
      <c r="I22" t="s">
        <v>156</v>
      </c>
      <c r="J22" t="s">
        <v>221</v>
      </c>
      <c r="K22" s="15">
        <v>0.208333333333333</v>
      </c>
      <c r="L22" s="15" t="s">
        <v>222</v>
      </c>
      <c r="M22" s="15"/>
      <c r="N22" t="s">
        <v>148</v>
      </c>
      <c r="O22" s="20" t="str">
        <f t="shared" si="6"/>
        <v>不正确</v>
      </c>
      <c r="P22" s="21">
        <v>0</v>
      </c>
      <c r="Q22" s="21">
        <v>0</v>
      </c>
      <c r="R22" s="21">
        <v>0</v>
      </c>
      <c r="S22" s="21">
        <f t="shared" si="1"/>
        <v>0</v>
      </c>
      <c r="T22" s="21">
        <f t="shared" si="2"/>
        <v>0</v>
      </c>
      <c r="U22" s="21" t="str">
        <f t="shared" si="3"/>
        <v>否</v>
      </c>
      <c r="V22" s="21">
        <f>VLOOKUP($C22,[4]Sheet1!$B:$AN,39,FALSE)</f>
        <v>0</v>
      </c>
      <c r="W22" s="21">
        <v>0</v>
      </c>
      <c r="X22" s="23">
        <v>0</v>
      </c>
      <c r="Y22" s="23">
        <v>0</v>
      </c>
      <c r="Z22" s="25">
        <f t="shared" si="4"/>
        <v>0</v>
      </c>
      <c r="AA22" s="25" t="str">
        <f t="shared" si="5"/>
        <v>是</v>
      </c>
      <c r="AB22" t="s">
        <v>223</v>
      </c>
      <c r="AC22" t="e">
        <f>VLOOKUP(C22,[1]Sheet1!$C:$O,13,FALSE)</f>
        <v>#N/A</v>
      </c>
      <c r="AD22" t="str">
        <f>VLOOKUP($H22,'[3]0509人员排班情况 副本'!$G:$U,12,FALSE)</f>
        <v>王骞Ariel（Qian Wang）,叶秀芳Freya (Xiufang Ye)</v>
      </c>
      <c r="AE22" t="str">
        <f>VLOOKUP($H22,'[3]0509人员排班情况 副本'!$G:$U,13,FALSE)</f>
        <v>常哲</v>
      </c>
      <c r="AF22" t="str">
        <f>VLOOKUP($H22,'[3]0509人员排班情况 副本'!$G:$U,14,FALSE)</f>
        <v>Minqing (Minqing Xu),罗煜雄 Mike (Yuxiong Luo)</v>
      </c>
      <c r="AG22">
        <f>VLOOKUP($H22,'[3]0509人员排班情况 副本'!$G:$U,15,FALSE)</f>
        <v>0</v>
      </c>
    </row>
    <row r="23" customHeight="1" spans="1:33">
      <c r="A23" t="s">
        <v>202</v>
      </c>
      <c r="B23" t="s">
        <v>224</v>
      </c>
      <c r="C23" t="s">
        <v>225</v>
      </c>
      <c r="D23" t="s">
        <v>15</v>
      </c>
      <c r="E23" t="s">
        <v>20</v>
      </c>
      <c r="F23" t="s">
        <v>210</v>
      </c>
      <c r="G23" t="s">
        <v>112</v>
      </c>
      <c r="H23" t="str">
        <f t="shared" si="0"/>
        <v>FL 佛州大区MIA.H操作组</v>
      </c>
      <c r="I23" t="s">
        <v>156</v>
      </c>
      <c r="J23" t="s">
        <v>217</v>
      </c>
      <c r="K23" s="15">
        <v>0.395833333333333</v>
      </c>
      <c r="L23" s="15" t="s">
        <v>218</v>
      </c>
      <c r="M23" s="15"/>
      <c r="N23" t="s">
        <v>148</v>
      </c>
      <c r="O23" s="20" t="s">
        <v>116</v>
      </c>
      <c r="P23" s="21">
        <v>0</v>
      </c>
      <c r="Q23" s="21">
        <v>0</v>
      </c>
      <c r="R23" s="21">
        <v>0</v>
      </c>
      <c r="S23" s="21">
        <f t="shared" si="1"/>
        <v>0</v>
      </c>
      <c r="T23" s="21">
        <f t="shared" si="2"/>
        <v>0</v>
      </c>
      <c r="U23" s="21" t="str">
        <f t="shared" si="3"/>
        <v>否</v>
      </c>
      <c r="V23" s="21">
        <f>VLOOKUP($C23,[4]Sheet1!$B:$AN,39,FALSE)</f>
        <v>0</v>
      </c>
      <c r="W23" s="21">
        <v>0</v>
      </c>
      <c r="X23" s="23">
        <v>0</v>
      </c>
      <c r="Y23" s="23">
        <v>0</v>
      </c>
      <c r="Z23" s="25">
        <f t="shared" si="4"/>
        <v>0</v>
      </c>
      <c r="AA23" s="25" t="str">
        <f t="shared" si="5"/>
        <v>是</v>
      </c>
      <c r="AB23" t="s">
        <v>148</v>
      </c>
      <c r="AC23" t="e">
        <f>VLOOKUP(C23,[1]Sheet1!$C:$O,13,FALSE)</f>
        <v>#N/A</v>
      </c>
      <c r="AD23" t="str">
        <f>VLOOKUP($H23,'[3]0509人员排班情况 副本'!$G:$U,12,FALSE)</f>
        <v>Natalia (Natalia Padilla),孙婕 Jasmine（Sunjie）</v>
      </c>
      <c r="AE23" t="str">
        <f>VLOOKUP($H23,'[3]0509人员排班情况 副本'!$G:$U,13,FALSE)</f>
        <v>贺子强Jeff (Ziqiang He)</v>
      </c>
      <c r="AF23" t="str">
        <f>VLOOKUP($H23,'[3]0509人员排班情况 副本'!$G:$U,14,FALSE)</f>
        <v>Minqing (Minqing Xu),罗煜雄 Mike (Yuxiong Luo)</v>
      </c>
      <c r="AG23">
        <f>VLOOKUP($H23,'[3]0509人员排班情况 副本'!$G:$U,15,FALSE)</f>
        <v>0</v>
      </c>
    </row>
    <row r="24" customHeight="1" spans="1:33">
      <c r="A24" t="s">
        <v>202</v>
      </c>
      <c r="B24" t="s">
        <v>226</v>
      </c>
      <c r="C24" t="s">
        <v>227</v>
      </c>
      <c r="D24" t="s">
        <v>58</v>
      </c>
      <c r="E24" t="s">
        <v>60</v>
      </c>
      <c r="F24" t="s">
        <v>228</v>
      </c>
      <c r="H24" t="str">
        <f t="shared" si="0"/>
        <v>MS 中南大区AS 亚特兰大和南阿拉巴马片区ATL01</v>
      </c>
      <c r="I24" t="s">
        <v>156</v>
      </c>
      <c r="J24" t="s">
        <v>229</v>
      </c>
      <c r="K24" s="15">
        <v>0.270833333333333</v>
      </c>
      <c r="L24" s="15" t="s">
        <v>230</v>
      </c>
      <c r="M24" s="15">
        <v>0.274305555555556</v>
      </c>
      <c r="N24" t="s">
        <v>231</v>
      </c>
      <c r="O24" s="20" t="str">
        <f t="shared" si="6"/>
        <v>正确</v>
      </c>
      <c r="P24" s="21">
        <v>0</v>
      </c>
      <c r="Q24" s="21">
        <v>7.75</v>
      </c>
      <c r="R24" s="21">
        <v>0</v>
      </c>
      <c r="S24" s="21">
        <f t="shared" si="1"/>
        <v>7.75</v>
      </c>
      <c r="T24" s="21">
        <f t="shared" si="2"/>
        <v>0</v>
      </c>
      <c r="U24" s="21" t="str">
        <f t="shared" si="3"/>
        <v>否</v>
      </c>
      <c r="V24" s="21">
        <f>VLOOKUP($C24,[4]Sheet1!$B:$AN,39,FALSE)</f>
        <v>15.97</v>
      </c>
      <c r="W24" s="21">
        <v>0</v>
      </c>
      <c r="X24" s="23">
        <v>4</v>
      </c>
      <c r="Y24" s="23">
        <v>4</v>
      </c>
      <c r="Z24" s="25">
        <f t="shared" si="4"/>
        <v>0</v>
      </c>
      <c r="AA24" s="25" t="str">
        <f t="shared" si="5"/>
        <v>是</v>
      </c>
      <c r="AB24" t="s">
        <v>148</v>
      </c>
      <c r="AC24" t="e">
        <f>VLOOKUP(C24,[1]Sheet1!$C:$O,13,FALSE)</f>
        <v>#N/A</v>
      </c>
      <c r="AD24" t="str">
        <f>VLOOKUP($H24,'[3]0509人员排班情况 副本'!$G:$U,12,FALSE)</f>
        <v>欧阳迎春Flower（Yingchun Ouyang）</v>
      </c>
      <c r="AE24" t="str">
        <f>VLOOKUP($H24,'[3]0509人员排班情况 副本'!$G:$U,13,FALSE)</f>
        <v>杨云飞</v>
      </c>
      <c r="AF24" t="str">
        <f>VLOOKUP($H24,'[3]0509人员排班情况 副本'!$G:$U,14,FALSE)</f>
        <v>李明峰Lucas(Mingfeng Li)</v>
      </c>
      <c r="AG24">
        <f>VLOOKUP($H24,'[3]0509人员排班情况 副本'!$G:$U,15,FALSE)</f>
        <v>0</v>
      </c>
    </row>
    <row r="25" customHeight="1" spans="1:33">
      <c r="A25" t="s">
        <v>202</v>
      </c>
      <c r="B25" t="s">
        <v>232</v>
      </c>
      <c r="C25" t="s">
        <v>233</v>
      </c>
      <c r="D25" t="s">
        <v>10</v>
      </c>
      <c r="E25" t="s">
        <v>234</v>
      </c>
      <c r="F25" t="s">
        <v>148</v>
      </c>
      <c r="H25" t="str">
        <f t="shared" si="0"/>
        <v>BD 本地客户部客服组</v>
      </c>
      <c r="I25" t="s">
        <v>235</v>
      </c>
      <c r="J25" t="s">
        <v>236</v>
      </c>
      <c r="K25" s="15">
        <v>0.395833333333333</v>
      </c>
      <c r="L25" s="15" t="s">
        <v>218</v>
      </c>
      <c r="M25" s="15"/>
      <c r="N25" t="s">
        <v>148</v>
      </c>
      <c r="O25" s="20" t="str">
        <f t="shared" si="6"/>
        <v>不正确</v>
      </c>
      <c r="P25" s="21">
        <v>0</v>
      </c>
      <c r="Q25" s="21">
        <v>0</v>
      </c>
      <c r="R25" s="21">
        <v>0</v>
      </c>
      <c r="S25" s="21">
        <f t="shared" si="1"/>
        <v>0</v>
      </c>
      <c r="T25" s="21">
        <f t="shared" si="2"/>
        <v>0</v>
      </c>
      <c r="U25" s="21" t="str">
        <f t="shared" si="3"/>
        <v>否</v>
      </c>
      <c r="V25" s="21">
        <f>VLOOKUP($C25,[4]Sheet1!$B:$AN,39,FALSE)</f>
        <v>0</v>
      </c>
      <c r="W25" s="21">
        <v>0</v>
      </c>
      <c r="X25" s="23">
        <v>0</v>
      </c>
      <c r="Y25" s="23">
        <v>4</v>
      </c>
      <c r="Z25" s="25">
        <f t="shared" si="4"/>
        <v>4</v>
      </c>
      <c r="AA25" s="25" t="str">
        <f t="shared" si="5"/>
        <v>是</v>
      </c>
      <c r="AB25" t="s">
        <v>148</v>
      </c>
      <c r="AC25" t="e">
        <f>VLOOKUP(C25,[1]Sheet1!$C:$O,13,FALSE)</f>
        <v>#N/A</v>
      </c>
      <c r="AD25" t="str">
        <f>VLOOKUP($H25,'[3]0509人员排班情况 副本'!$G:$U,12,FALSE)</f>
        <v>袁博闻(Bowen Yuan)</v>
      </c>
      <c r="AE25">
        <f>VLOOKUP($H25,'[3]0509人员排班情况 副本'!$G:$U,13,FALSE)</f>
        <v>0</v>
      </c>
      <c r="AF25">
        <f>VLOOKUP($H25,'[3]0509人员排班情况 副本'!$G:$U,14,FALSE)</f>
        <v>0</v>
      </c>
      <c r="AG25">
        <f>VLOOKUP($H25,'[3]0509人员排班情况 副本'!$G:$U,15,FALSE)</f>
        <v>0</v>
      </c>
    </row>
    <row r="26" customHeight="1" spans="1:33">
      <c r="A26" t="s">
        <v>202</v>
      </c>
      <c r="B26" t="s">
        <v>237</v>
      </c>
      <c r="C26" t="s">
        <v>238</v>
      </c>
      <c r="D26" t="s">
        <v>9</v>
      </c>
      <c r="E26" t="s">
        <v>148</v>
      </c>
      <c r="F26" t="s">
        <v>148</v>
      </c>
      <c r="H26" t="str">
        <f t="shared" si="0"/>
        <v>AS 审计监察部</v>
      </c>
      <c r="I26" t="s">
        <v>239</v>
      </c>
      <c r="J26" t="s">
        <v>236</v>
      </c>
      <c r="K26" s="15">
        <v>0.395833333333333</v>
      </c>
      <c r="L26" s="15" t="s">
        <v>218</v>
      </c>
      <c r="M26" s="15">
        <v>0.395833333333333</v>
      </c>
      <c r="N26" t="s">
        <v>218</v>
      </c>
      <c r="O26" s="20" t="str">
        <f t="shared" si="6"/>
        <v>正确</v>
      </c>
      <c r="P26" s="21">
        <v>0</v>
      </c>
      <c r="Q26" s="21">
        <v>8</v>
      </c>
      <c r="R26" s="21">
        <v>0</v>
      </c>
      <c r="S26" s="21">
        <f t="shared" si="1"/>
        <v>8</v>
      </c>
      <c r="T26" s="21">
        <f t="shared" si="2"/>
        <v>0</v>
      </c>
      <c r="U26" s="21" t="str">
        <f t="shared" si="3"/>
        <v>否</v>
      </c>
      <c r="V26" s="21">
        <f>VLOOKUP($C26,[4]Sheet1!$B:$AN,39,FALSE)</f>
        <v>16</v>
      </c>
      <c r="W26" s="21">
        <v>0</v>
      </c>
      <c r="X26" s="23">
        <v>2</v>
      </c>
      <c r="Y26" s="23">
        <v>0</v>
      </c>
      <c r="Z26" s="25">
        <f t="shared" si="4"/>
        <v>0</v>
      </c>
      <c r="AA26" s="25" t="str">
        <f t="shared" si="5"/>
        <v>是</v>
      </c>
      <c r="AB26" t="s">
        <v>240</v>
      </c>
      <c r="AC26" t="e">
        <f>VLOOKUP(C26,[1]Sheet1!$C:$O,13,FALSE)</f>
        <v>#N/A</v>
      </c>
      <c r="AD26" t="str">
        <f>VLOOKUP($H26,'[3]0509人员排班情况 副本'!$G:$U,12,FALSE)</f>
        <v>袁博闻(Bowen Yuan)</v>
      </c>
      <c r="AE26">
        <f>VLOOKUP($H26,'[3]0509人员排班情况 副本'!$G:$U,13,FALSE)</f>
        <v>0</v>
      </c>
      <c r="AF26">
        <f>VLOOKUP($H26,'[3]0509人员排班情况 副本'!$G:$U,14,FALSE)</f>
        <v>0</v>
      </c>
      <c r="AG26">
        <f>VLOOKUP($H26,'[3]0509人员排班情况 副本'!$G:$U,15,FALSE)</f>
        <v>0</v>
      </c>
    </row>
    <row r="27" customHeight="1" spans="1:33">
      <c r="A27" t="s">
        <v>202</v>
      </c>
      <c r="B27" t="s">
        <v>241</v>
      </c>
      <c r="C27" t="s">
        <v>242</v>
      </c>
      <c r="D27" t="s">
        <v>15</v>
      </c>
      <c r="E27" t="s">
        <v>20</v>
      </c>
      <c r="F27" t="s">
        <v>243</v>
      </c>
      <c r="G27" t="s">
        <v>112</v>
      </c>
      <c r="H27" t="str">
        <f t="shared" si="0"/>
        <v>FL 佛州大区MIA.H调度组</v>
      </c>
      <c r="I27" t="s">
        <v>244</v>
      </c>
      <c r="J27" t="s">
        <v>245</v>
      </c>
      <c r="K27" s="15">
        <v>0.75</v>
      </c>
      <c r="L27" s="15" t="s">
        <v>246</v>
      </c>
      <c r="M27" s="15">
        <v>0.745833333333333</v>
      </c>
      <c r="N27" t="s">
        <v>148</v>
      </c>
      <c r="O27" s="20" t="str">
        <f t="shared" si="6"/>
        <v>正确</v>
      </c>
      <c r="P27" s="21">
        <v>0</v>
      </c>
      <c r="Q27" s="21">
        <v>0</v>
      </c>
      <c r="R27" s="21">
        <v>0</v>
      </c>
      <c r="S27" s="21">
        <f t="shared" si="1"/>
        <v>0</v>
      </c>
      <c r="T27" s="21">
        <f t="shared" si="2"/>
        <v>0</v>
      </c>
      <c r="U27" s="21" t="str">
        <f t="shared" si="3"/>
        <v>否</v>
      </c>
      <c r="V27" s="21">
        <f>VLOOKUP($C27,[4]Sheet1!$B:$AN,39,FALSE)</f>
        <v>9.78</v>
      </c>
      <c r="W27" s="21">
        <v>0</v>
      </c>
      <c r="X27" s="23">
        <v>1</v>
      </c>
      <c r="Y27" s="23">
        <v>4</v>
      </c>
      <c r="Z27" s="25">
        <f t="shared" si="4"/>
        <v>3</v>
      </c>
      <c r="AA27" s="25" t="str">
        <f t="shared" si="5"/>
        <v>是</v>
      </c>
      <c r="AB27" t="s">
        <v>148</v>
      </c>
      <c r="AC27" t="e">
        <f>VLOOKUP(C27,[1]Sheet1!$C:$O,13,FALSE)</f>
        <v>#N/A</v>
      </c>
      <c r="AD27" t="str">
        <f>VLOOKUP($H27,'[3]0509人员排班情况 副本'!$G:$U,12,FALSE)</f>
        <v>Natalia (Natalia Padilla),孙婕 Jasmine（Sunjie）</v>
      </c>
      <c r="AE27" t="str">
        <f>VLOOKUP($H27,'[3]0509人员排班情况 副本'!$G:$U,13,FALSE)</f>
        <v>贺子强Jeff (Ziqiang He)</v>
      </c>
      <c r="AF27" t="str">
        <f>VLOOKUP($H27,'[3]0509人员排班情况 副本'!$G:$U,14,FALSE)</f>
        <v>Minqing (Minqing Xu),罗煜雄 Mike (Yuxiong Luo)</v>
      </c>
      <c r="AG27">
        <f>VLOOKUP($H27,'[3]0509人员排班情况 副本'!$G:$U,15,FALSE)</f>
        <v>0</v>
      </c>
    </row>
    <row r="28" customHeight="1" spans="1:33">
      <c r="A28" t="s">
        <v>202</v>
      </c>
      <c r="B28" t="s">
        <v>247</v>
      </c>
      <c r="C28" t="s">
        <v>248</v>
      </c>
      <c r="D28" t="s">
        <v>15</v>
      </c>
      <c r="E28" t="s">
        <v>20</v>
      </c>
      <c r="F28" t="s">
        <v>243</v>
      </c>
      <c r="G28" t="s">
        <v>112</v>
      </c>
      <c r="H28" t="str">
        <f t="shared" si="0"/>
        <v>FL 佛州大区MIA.H调度组</v>
      </c>
      <c r="I28" t="s">
        <v>244</v>
      </c>
      <c r="J28" t="s">
        <v>249</v>
      </c>
      <c r="K28" s="15">
        <v>0.458333333333333</v>
      </c>
      <c r="L28" s="15" t="s">
        <v>250</v>
      </c>
      <c r="M28" s="15">
        <v>0.446527777777778</v>
      </c>
      <c r="N28" t="s">
        <v>251</v>
      </c>
      <c r="O28" s="20" t="str">
        <f t="shared" si="6"/>
        <v>正确</v>
      </c>
      <c r="P28" s="21">
        <v>0</v>
      </c>
      <c r="Q28" s="21">
        <v>10.33</v>
      </c>
      <c r="R28" s="21">
        <v>0</v>
      </c>
      <c r="S28" s="21">
        <f t="shared" si="1"/>
        <v>10.33</v>
      </c>
      <c r="T28" s="21">
        <f t="shared" si="2"/>
        <v>2.33</v>
      </c>
      <c r="U28" s="21" t="str">
        <f t="shared" si="3"/>
        <v>是</v>
      </c>
      <c r="V28" s="21">
        <f>VLOOKUP($C28,[4]Sheet1!$B:$AN,39,FALSE)</f>
        <v>20.25</v>
      </c>
      <c r="W28" s="21">
        <v>0</v>
      </c>
      <c r="X28" s="23">
        <v>3</v>
      </c>
      <c r="Y28" s="23">
        <v>4</v>
      </c>
      <c r="Z28" s="25">
        <f t="shared" si="4"/>
        <v>1</v>
      </c>
      <c r="AA28" s="25" t="str">
        <f t="shared" si="5"/>
        <v>是</v>
      </c>
      <c r="AB28" t="s">
        <v>148</v>
      </c>
      <c r="AC28" t="e">
        <f>VLOOKUP(C28,[1]Sheet1!$C:$O,13,FALSE)</f>
        <v>#N/A</v>
      </c>
      <c r="AD28" t="str">
        <f>VLOOKUP($H28,'[3]0509人员排班情况 副本'!$G:$U,12,FALSE)</f>
        <v>Natalia (Natalia Padilla),孙婕 Jasmine（Sunjie）</v>
      </c>
      <c r="AE28" t="str">
        <f>VLOOKUP($H28,'[3]0509人员排班情况 副本'!$G:$U,13,FALSE)</f>
        <v>贺子强Jeff (Ziqiang He)</v>
      </c>
      <c r="AF28" t="str">
        <f>VLOOKUP($H28,'[3]0509人员排班情况 副本'!$G:$U,14,FALSE)</f>
        <v>Minqing (Minqing Xu),罗煜雄 Mike (Yuxiong Luo)</v>
      </c>
      <c r="AG28">
        <f>VLOOKUP($H28,'[3]0509人员排班情况 副本'!$G:$U,15,FALSE)</f>
        <v>0</v>
      </c>
    </row>
    <row r="29" customHeight="1" spans="1:33">
      <c r="A29" t="s">
        <v>202</v>
      </c>
      <c r="B29" t="s">
        <v>252</v>
      </c>
      <c r="C29" t="s">
        <v>253</v>
      </c>
      <c r="D29" t="s">
        <v>58</v>
      </c>
      <c r="E29" t="s">
        <v>63</v>
      </c>
      <c r="F29" t="s">
        <v>210</v>
      </c>
      <c r="G29" t="s">
        <v>112</v>
      </c>
      <c r="H29" t="str">
        <f t="shared" si="0"/>
        <v>MS 中南大区CLT.H操作组</v>
      </c>
      <c r="I29" t="s">
        <v>156</v>
      </c>
      <c r="J29" t="s">
        <v>211</v>
      </c>
      <c r="K29" s="15">
        <v>0.333333333333333</v>
      </c>
      <c r="L29" s="15" t="s">
        <v>212</v>
      </c>
      <c r="M29" s="15">
        <v>0.339583333333333</v>
      </c>
      <c r="N29" t="s">
        <v>254</v>
      </c>
      <c r="O29" s="20" t="str">
        <f t="shared" si="6"/>
        <v>正确</v>
      </c>
      <c r="P29" s="21">
        <v>0</v>
      </c>
      <c r="Q29" s="21">
        <v>8.35</v>
      </c>
      <c r="R29" s="21">
        <v>0</v>
      </c>
      <c r="S29" s="21">
        <f t="shared" si="1"/>
        <v>8.35</v>
      </c>
      <c r="T29" s="21">
        <f t="shared" si="2"/>
        <v>0.35</v>
      </c>
      <c r="U29" s="21" t="str">
        <f t="shared" si="3"/>
        <v>是</v>
      </c>
      <c r="V29" s="21">
        <f>VLOOKUP($C29,[4]Sheet1!$B:$AN,39,FALSE)</f>
        <v>17.42</v>
      </c>
      <c r="W29" s="21">
        <v>0</v>
      </c>
      <c r="X29" s="23">
        <v>2</v>
      </c>
      <c r="Y29" s="23">
        <v>4</v>
      </c>
      <c r="Z29" s="25">
        <f t="shared" si="4"/>
        <v>2</v>
      </c>
      <c r="AA29" s="25" t="str">
        <f t="shared" si="5"/>
        <v>是</v>
      </c>
      <c r="AB29" t="s">
        <v>148</v>
      </c>
      <c r="AC29" t="e">
        <f>VLOOKUP(C29,[1]Sheet1!$C:$O,13,FALSE)</f>
        <v>#N/A</v>
      </c>
      <c r="AD29" t="str">
        <f>VLOOKUP($H29,'[3]0509人员排班情况 副本'!$G:$U,12,FALSE)</f>
        <v>欧阳迎春Flower（Yingchun Ouyang）</v>
      </c>
      <c r="AE29" t="str">
        <f>VLOOKUP($H29,'[3]0509人员排班情况 副本'!$G:$U,13,FALSE)</f>
        <v>杨云飞</v>
      </c>
      <c r="AF29" t="str">
        <f>VLOOKUP($H29,'[3]0509人员排班情况 副本'!$G:$U,14,FALSE)</f>
        <v>Minqing (Minqing Xu),罗煜雄 Mike (Yuxiong Luo)</v>
      </c>
      <c r="AG29">
        <f>VLOOKUP($H29,'[3]0509人员排班情况 副本'!$G:$U,15,FALSE)</f>
        <v>0</v>
      </c>
    </row>
    <row r="30" customHeight="1" spans="1:33">
      <c r="A30" t="s">
        <v>202</v>
      </c>
      <c r="B30" t="s">
        <v>255</v>
      </c>
      <c r="C30" t="s">
        <v>256</v>
      </c>
      <c r="D30" t="s">
        <v>100</v>
      </c>
      <c r="E30" t="s">
        <v>106</v>
      </c>
      <c r="F30" t="s">
        <v>257</v>
      </c>
      <c r="H30" t="str">
        <f t="shared" si="0"/>
        <v>WE 美西大区SC 南加片区FAT01</v>
      </c>
      <c r="I30" t="s">
        <v>177</v>
      </c>
      <c r="J30" t="s">
        <v>258</v>
      </c>
      <c r="K30" s="15">
        <v>0.1875</v>
      </c>
      <c r="L30" s="15" t="s">
        <v>259</v>
      </c>
      <c r="M30" s="15">
        <v>0.186805555555556</v>
      </c>
      <c r="N30" t="s">
        <v>259</v>
      </c>
      <c r="O30" s="20" t="str">
        <f>IFERROR(IF(ABS(M30-K30)&lt;=1/24,"正确","不正确"),"/")</f>
        <v>正确</v>
      </c>
      <c r="P30" s="21">
        <v>0</v>
      </c>
      <c r="Q30" s="21">
        <v>8.02</v>
      </c>
      <c r="R30" s="21">
        <v>0</v>
      </c>
      <c r="S30" s="21">
        <f t="shared" si="1"/>
        <v>8.02</v>
      </c>
      <c r="T30" s="21">
        <f t="shared" si="2"/>
        <v>0.0199999999999996</v>
      </c>
      <c r="U30" s="21" t="str">
        <f t="shared" si="3"/>
        <v>是</v>
      </c>
      <c r="V30" s="21">
        <f>VLOOKUP($C30,[4]Sheet1!$B:$AN,39,FALSE)</f>
        <v>16.07</v>
      </c>
      <c r="W30" s="21">
        <v>0</v>
      </c>
      <c r="X30" s="23">
        <v>4</v>
      </c>
      <c r="Y30" s="23">
        <v>4</v>
      </c>
      <c r="Z30" s="25">
        <f t="shared" si="4"/>
        <v>0</v>
      </c>
      <c r="AA30" s="25" t="str">
        <f t="shared" si="5"/>
        <v>是</v>
      </c>
      <c r="AB30" t="s">
        <v>148</v>
      </c>
      <c r="AC30" t="e">
        <f>VLOOKUP(C30,[1]Sheet1!$C:$O,13,FALSE)</f>
        <v>#N/A</v>
      </c>
      <c r="AD30" t="str">
        <f>VLOOKUP($H30,'[3]0509人员排班情况 副本'!$G:$U,12,FALSE)</f>
        <v>王骞Ariel（Qian Wang）,叶秀芳Freya (Xiufang Ye)</v>
      </c>
      <c r="AE30" t="str">
        <f>VLOOKUP($H30,'[3]0509人员排班情况 副本'!$G:$U,13,FALSE)</f>
        <v>常哲</v>
      </c>
      <c r="AF30" t="str">
        <f>VLOOKUP($H30,'[3]0509人员排班情况 副本'!$G:$U,14,FALSE)</f>
        <v>尤梦楠Yuko（Mengnan You）</v>
      </c>
      <c r="AG30">
        <f>VLOOKUP($H30,'[3]0509人员排班情况 副本'!$G:$U,15,FALSE)</f>
        <v>0</v>
      </c>
    </row>
    <row r="31" customHeight="1" spans="1:33">
      <c r="A31" t="s">
        <v>202</v>
      </c>
      <c r="B31" t="s">
        <v>260</v>
      </c>
      <c r="C31" t="s">
        <v>261</v>
      </c>
      <c r="D31" t="s">
        <v>92</v>
      </c>
      <c r="E31" t="s">
        <v>97</v>
      </c>
      <c r="F31" t="s">
        <v>262</v>
      </c>
      <c r="H31" t="str">
        <f t="shared" si="0"/>
        <v>TX 德州大区NT 北德州片区DFW01</v>
      </c>
      <c r="I31" t="s">
        <v>177</v>
      </c>
      <c r="J31" t="s">
        <v>217</v>
      </c>
      <c r="K31" s="15">
        <v>0.395833333333333</v>
      </c>
      <c r="L31" s="15" t="s">
        <v>218</v>
      </c>
      <c r="M31" s="15"/>
      <c r="N31" t="s">
        <v>148</v>
      </c>
      <c r="O31" s="20" t="s">
        <v>116</v>
      </c>
      <c r="P31" s="21">
        <v>0</v>
      </c>
      <c r="Q31" s="21">
        <v>0</v>
      </c>
      <c r="R31" s="21">
        <v>0</v>
      </c>
      <c r="S31" s="21">
        <f t="shared" si="1"/>
        <v>0</v>
      </c>
      <c r="T31" s="21">
        <f t="shared" si="2"/>
        <v>0</v>
      </c>
      <c r="U31" s="21" t="str">
        <f t="shared" si="3"/>
        <v>否</v>
      </c>
      <c r="V31" s="21">
        <f>VLOOKUP($C31,[4]Sheet1!$B:$AN,39,FALSE)</f>
        <v>0</v>
      </c>
      <c r="W31" s="21">
        <v>0</v>
      </c>
      <c r="X31" s="23">
        <v>0</v>
      </c>
      <c r="Y31" s="23">
        <v>0</v>
      </c>
      <c r="Z31" s="25">
        <f t="shared" si="4"/>
        <v>0</v>
      </c>
      <c r="AA31" s="25" t="str">
        <f t="shared" si="5"/>
        <v>是</v>
      </c>
      <c r="AB31" t="s">
        <v>148</v>
      </c>
      <c r="AC31" t="e">
        <f>VLOOKUP(C31,[1]Sheet1!$C:$O,13,FALSE)</f>
        <v>#N/A</v>
      </c>
      <c r="AD31" t="str">
        <f>VLOOKUP($H31,'[3]0509人员排班情况 副本'!$G:$U,12,FALSE)</f>
        <v>肖芦莉Lily (Luli Xiao)</v>
      </c>
      <c r="AE31" t="str">
        <f>VLOOKUP($H31,'[3]0509人员排班情况 副本'!$G:$U,13,FALSE)</f>
        <v>张骥Ji Zhang (Ji Zhang)</v>
      </c>
      <c r="AF31" t="str">
        <f>VLOOKUP($H31,'[3]0509人员排班情况 副本'!$G:$U,14,FALSE)</f>
        <v>何琼joan(Qiong He)</v>
      </c>
      <c r="AG31">
        <f>VLOOKUP($H31,'[3]0509人员排班情况 副本'!$G:$U,15,FALSE)</f>
        <v>0</v>
      </c>
    </row>
    <row r="32" customHeight="1" spans="1:33">
      <c r="A32" t="s">
        <v>202</v>
      </c>
      <c r="B32" t="s">
        <v>263</v>
      </c>
      <c r="C32" t="s">
        <v>264</v>
      </c>
      <c r="D32" t="s">
        <v>10</v>
      </c>
      <c r="E32" t="s">
        <v>265</v>
      </c>
      <c r="F32" t="s">
        <v>148</v>
      </c>
      <c r="H32" t="str">
        <f t="shared" si="0"/>
        <v>BD 本地客户部北美销售组</v>
      </c>
      <c r="I32" t="s">
        <v>266</v>
      </c>
      <c r="J32" t="s">
        <v>236</v>
      </c>
      <c r="K32" s="15">
        <v>0.395833333333333</v>
      </c>
      <c r="L32" s="15" t="s">
        <v>218</v>
      </c>
      <c r="M32" s="15"/>
      <c r="N32" t="s">
        <v>148</v>
      </c>
      <c r="O32" s="20" t="str">
        <f t="shared" si="6"/>
        <v>不正确</v>
      </c>
      <c r="P32" s="21">
        <v>0</v>
      </c>
      <c r="Q32" s="21">
        <v>0</v>
      </c>
      <c r="R32" s="21">
        <v>0</v>
      </c>
      <c r="S32" s="21">
        <f t="shared" si="1"/>
        <v>0</v>
      </c>
      <c r="T32" s="21">
        <f t="shared" si="2"/>
        <v>0</v>
      </c>
      <c r="U32" s="21" t="str">
        <f t="shared" si="3"/>
        <v>否</v>
      </c>
      <c r="V32" s="21">
        <f>VLOOKUP($C32,[4]Sheet1!$B:$AN,39,FALSE)</f>
        <v>0</v>
      </c>
      <c r="W32" s="21">
        <v>0</v>
      </c>
      <c r="X32" s="23">
        <v>0</v>
      </c>
      <c r="Y32" s="23">
        <v>4</v>
      </c>
      <c r="Z32" s="25">
        <f t="shared" si="4"/>
        <v>4</v>
      </c>
      <c r="AA32" s="25" t="str">
        <f t="shared" si="5"/>
        <v>是</v>
      </c>
      <c r="AB32" t="s">
        <v>148</v>
      </c>
      <c r="AC32" t="e">
        <f>VLOOKUP(C32,[1]Sheet1!$C:$O,13,FALSE)</f>
        <v>#N/A</v>
      </c>
      <c r="AD32" t="str">
        <f>VLOOKUP($H32,'[3]0509人员排班情况 副本'!$G:$U,12,FALSE)</f>
        <v>袁博闻(Bowen Yuan)</v>
      </c>
      <c r="AE32">
        <f>VLOOKUP($H32,'[3]0509人员排班情况 副本'!$G:$U,13,FALSE)</f>
        <v>0</v>
      </c>
      <c r="AF32">
        <f>VLOOKUP($H32,'[3]0509人员排班情况 副本'!$G:$U,14,FALSE)</f>
        <v>0</v>
      </c>
      <c r="AG32">
        <f>VLOOKUP($H32,'[3]0509人员排班情况 副本'!$G:$U,15,FALSE)</f>
        <v>0</v>
      </c>
    </row>
    <row r="33" customHeight="1" spans="1:33">
      <c r="A33" t="s">
        <v>202</v>
      </c>
      <c r="B33" t="s">
        <v>267</v>
      </c>
      <c r="C33" t="s">
        <v>268</v>
      </c>
      <c r="D33" t="s">
        <v>10</v>
      </c>
      <c r="E33" t="s">
        <v>265</v>
      </c>
      <c r="F33" t="s">
        <v>148</v>
      </c>
      <c r="H33" t="str">
        <f t="shared" si="0"/>
        <v>BD 本地客户部北美销售组</v>
      </c>
      <c r="I33" t="s">
        <v>266</v>
      </c>
      <c r="J33" t="s">
        <v>236</v>
      </c>
      <c r="K33" s="15">
        <v>0.395833333333333</v>
      </c>
      <c r="L33" s="15" t="s">
        <v>218</v>
      </c>
      <c r="M33" s="15"/>
      <c r="N33" t="s">
        <v>148</v>
      </c>
      <c r="O33" s="20" t="str">
        <f t="shared" si="6"/>
        <v>不正确</v>
      </c>
      <c r="P33" s="21">
        <v>0</v>
      </c>
      <c r="Q33" s="21">
        <v>0</v>
      </c>
      <c r="R33" s="21">
        <v>0</v>
      </c>
      <c r="S33" s="21">
        <f t="shared" si="1"/>
        <v>0</v>
      </c>
      <c r="T33" s="21">
        <f t="shared" si="2"/>
        <v>0</v>
      </c>
      <c r="U33" s="21" t="str">
        <f t="shared" si="3"/>
        <v>否</v>
      </c>
      <c r="V33" s="21">
        <f>VLOOKUP($C33,[4]Sheet1!$B:$AN,39,FALSE)</f>
        <v>0</v>
      </c>
      <c r="W33" s="21">
        <v>0</v>
      </c>
      <c r="X33" s="23">
        <v>0</v>
      </c>
      <c r="Y33" s="23">
        <v>4</v>
      </c>
      <c r="Z33" s="25">
        <f t="shared" si="4"/>
        <v>4</v>
      </c>
      <c r="AA33" s="25" t="str">
        <f t="shared" si="5"/>
        <v>是</v>
      </c>
      <c r="AB33" t="s">
        <v>148</v>
      </c>
      <c r="AC33" t="e">
        <f>VLOOKUP(C33,[1]Sheet1!$C:$O,13,FALSE)</f>
        <v>#N/A</v>
      </c>
      <c r="AD33" t="str">
        <f>VLOOKUP($H33,'[3]0509人员排班情况 副本'!$G:$U,12,FALSE)</f>
        <v>袁博闻(Bowen Yuan)</v>
      </c>
      <c r="AE33">
        <f>VLOOKUP($H33,'[3]0509人员排班情况 副本'!$G:$U,13,FALSE)</f>
        <v>0</v>
      </c>
      <c r="AF33">
        <f>VLOOKUP($H33,'[3]0509人员排班情况 副本'!$G:$U,14,FALSE)</f>
        <v>0</v>
      </c>
      <c r="AG33">
        <f>VLOOKUP($H33,'[3]0509人员排班情况 副本'!$G:$U,15,FALSE)</f>
        <v>0</v>
      </c>
    </row>
    <row r="34" customHeight="1" spans="1:33">
      <c r="A34" t="s">
        <v>202</v>
      </c>
      <c r="B34" t="s">
        <v>269</v>
      </c>
      <c r="C34" t="s">
        <v>270</v>
      </c>
      <c r="D34" t="s">
        <v>10</v>
      </c>
      <c r="E34" t="s">
        <v>271</v>
      </c>
      <c r="F34" t="s">
        <v>148</v>
      </c>
      <c r="H34" t="str">
        <f t="shared" si="0"/>
        <v>BD 本地客户部加拿大运营组</v>
      </c>
      <c r="I34" t="s">
        <v>272</v>
      </c>
      <c r="J34" t="s">
        <v>236</v>
      </c>
      <c r="K34" s="15">
        <v>0.395833333333333</v>
      </c>
      <c r="L34" s="15" t="s">
        <v>218</v>
      </c>
      <c r="M34" s="15"/>
      <c r="N34" t="s">
        <v>148</v>
      </c>
      <c r="O34" s="20" t="str">
        <f t="shared" si="6"/>
        <v>不正确</v>
      </c>
      <c r="P34" s="21">
        <v>0</v>
      </c>
      <c r="Q34" s="21">
        <v>0</v>
      </c>
      <c r="R34" s="21">
        <v>0</v>
      </c>
      <c r="S34" s="21">
        <f t="shared" si="1"/>
        <v>0</v>
      </c>
      <c r="T34" s="21">
        <f t="shared" si="2"/>
        <v>0</v>
      </c>
      <c r="U34" s="21" t="str">
        <f t="shared" si="3"/>
        <v>否</v>
      </c>
      <c r="V34" s="21">
        <f>VLOOKUP($C34,[4]Sheet1!$B:$AN,39,FALSE)</f>
        <v>0</v>
      </c>
      <c r="W34" s="21">
        <v>0</v>
      </c>
      <c r="X34" s="23">
        <v>0</v>
      </c>
      <c r="Y34" s="23">
        <v>4</v>
      </c>
      <c r="Z34" s="25">
        <f t="shared" si="4"/>
        <v>4</v>
      </c>
      <c r="AA34" s="25" t="str">
        <f t="shared" si="5"/>
        <v>是</v>
      </c>
      <c r="AB34" t="s">
        <v>148</v>
      </c>
      <c r="AC34" t="e">
        <f>VLOOKUP(C34,[1]Sheet1!$C:$O,13,FALSE)</f>
        <v>#N/A</v>
      </c>
      <c r="AD34" t="str">
        <f>VLOOKUP($H34,'[3]0509人员排班情况 副本'!$G:$U,12,FALSE)</f>
        <v>袁博闻(Bowen Yuan)</v>
      </c>
      <c r="AE34">
        <f>VLOOKUP($H34,'[3]0509人员排班情况 副本'!$G:$U,13,FALSE)</f>
        <v>0</v>
      </c>
      <c r="AF34">
        <f>VLOOKUP($H34,'[3]0509人员排班情况 副本'!$G:$U,14,FALSE)</f>
        <v>0</v>
      </c>
      <c r="AG34">
        <f>VLOOKUP($H34,'[3]0509人员排班情况 副本'!$G:$U,15,FALSE)</f>
        <v>0</v>
      </c>
    </row>
    <row r="35" customHeight="1" spans="1:33">
      <c r="A35" t="s">
        <v>202</v>
      </c>
      <c r="B35" t="s">
        <v>273</v>
      </c>
      <c r="C35" t="s">
        <v>274</v>
      </c>
      <c r="D35" t="s">
        <v>15</v>
      </c>
      <c r="E35" t="s">
        <v>17</v>
      </c>
      <c r="F35" t="s">
        <v>275</v>
      </c>
      <c r="G35" t="s">
        <v>112</v>
      </c>
      <c r="H35" t="str">
        <f t="shared" si="0"/>
        <v>FL 佛州大区MCO.H分拣组</v>
      </c>
      <c r="I35" t="s">
        <v>276</v>
      </c>
      <c r="J35" t="s">
        <v>217</v>
      </c>
      <c r="K35" s="15">
        <v>0.395833333333333</v>
      </c>
      <c r="L35" s="15" t="s">
        <v>218</v>
      </c>
      <c r="M35" s="15"/>
      <c r="N35" t="s">
        <v>148</v>
      </c>
      <c r="O35" s="20" t="s">
        <v>116</v>
      </c>
      <c r="P35" s="21">
        <v>0</v>
      </c>
      <c r="Q35" s="21">
        <v>0</v>
      </c>
      <c r="R35" s="21">
        <v>0</v>
      </c>
      <c r="S35" s="21">
        <f t="shared" si="1"/>
        <v>0</v>
      </c>
      <c r="T35" s="21">
        <f t="shared" si="2"/>
        <v>0</v>
      </c>
      <c r="U35" s="21" t="str">
        <f t="shared" si="3"/>
        <v>否</v>
      </c>
      <c r="V35" s="21">
        <f>VLOOKUP($C35,[4]Sheet1!$B:$AN,39,FALSE)</f>
        <v>15.75</v>
      </c>
      <c r="W35" s="21">
        <v>34.97</v>
      </c>
      <c r="X35" s="23">
        <v>0</v>
      </c>
      <c r="Y35" s="23">
        <v>0</v>
      </c>
      <c r="Z35" s="25">
        <f t="shared" si="4"/>
        <v>0</v>
      </c>
      <c r="AA35" s="25" t="str">
        <f t="shared" si="5"/>
        <v>是</v>
      </c>
      <c r="AB35" t="s">
        <v>148</v>
      </c>
      <c r="AC35" t="e">
        <f>VLOOKUP(C35,[1]Sheet1!$C:$O,13,FALSE)</f>
        <v>#N/A</v>
      </c>
      <c r="AD35" t="str">
        <f>VLOOKUP($H35,'[3]0509人员排班情况 副本'!$G:$U,12,FALSE)</f>
        <v>Natalia (Natalia Padilla),孙婕 Jasmine（Sunjie）</v>
      </c>
      <c r="AE35" t="str">
        <f>VLOOKUP($H35,'[3]0509人员排班情况 副本'!$G:$U,13,FALSE)</f>
        <v>贺子强Jeff (Ziqiang He)</v>
      </c>
      <c r="AF35" t="str">
        <f>VLOOKUP($H35,'[3]0509人员排班情况 副本'!$G:$U,14,FALSE)</f>
        <v>张双甫(Shuangfu Zhang)</v>
      </c>
      <c r="AG35">
        <f>VLOOKUP($H35,'[3]0509人员排班情况 副本'!$G:$U,15,FALSE)</f>
        <v>0</v>
      </c>
    </row>
    <row r="36" customHeight="1" spans="1:33">
      <c r="A36" t="s">
        <v>202</v>
      </c>
      <c r="B36" t="s">
        <v>277</v>
      </c>
      <c r="C36" t="s">
        <v>278</v>
      </c>
      <c r="D36" t="s">
        <v>10</v>
      </c>
      <c r="E36" t="s">
        <v>265</v>
      </c>
      <c r="F36" t="s">
        <v>148</v>
      </c>
      <c r="H36" t="str">
        <f t="shared" si="0"/>
        <v>BD 本地客户部北美销售组</v>
      </c>
      <c r="I36" t="s">
        <v>266</v>
      </c>
      <c r="J36" t="s">
        <v>236</v>
      </c>
      <c r="K36" s="15">
        <v>0.395833333333333</v>
      </c>
      <c r="L36" s="15" t="s">
        <v>218</v>
      </c>
      <c r="M36" s="15"/>
      <c r="N36" t="s">
        <v>148</v>
      </c>
      <c r="O36" s="20" t="str">
        <f t="shared" si="6"/>
        <v>不正确</v>
      </c>
      <c r="P36" s="21">
        <v>0</v>
      </c>
      <c r="Q36" s="21">
        <v>0</v>
      </c>
      <c r="R36" s="21">
        <v>0</v>
      </c>
      <c r="S36" s="21">
        <f t="shared" si="1"/>
        <v>0</v>
      </c>
      <c r="T36" s="21">
        <f t="shared" si="2"/>
        <v>0</v>
      </c>
      <c r="U36" s="21" t="str">
        <f t="shared" si="3"/>
        <v>否</v>
      </c>
      <c r="V36" s="21">
        <f>VLOOKUP($C36,[4]Sheet1!$B:$AN,39,FALSE)</f>
        <v>0</v>
      </c>
      <c r="W36" s="21">
        <v>0</v>
      </c>
      <c r="X36" s="23">
        <v>0</v>
      </c>
      <c r="Y36" s="23">
        <v>4</v>
      </c>
      <c r="Z36" s="25">
        <f t="shared" si="4"/>
        <v>4</v>
      </c>
      <c r="AA36" s="25" t="str">
        <f t="shared" si="5"/>
        <v>是</v>
      </c>
      <c r="AB36" t="s">
        <v>148</v>
      </c>
      <c r="AC36" t="e">
        <f>VLOOKUP(C36,[1]Sheet1!$C:$O,13,FALSE)</f>
        <v>#N/A</v>
      </c>
      <c r="AD36" t="str">
        <f>VLOOKUP($H36,'[3]0509人员排班情况 副本'!$G:$U,12,FALSE)</f>
        <v>袁博闻(Bowen Yuan)</v>
      </c>
      <c r="AE36">
        <f>VLOOKUP($H36,'[3]0509人员排班情况 副本'!$G:$U,13,FALSE)</f>
        <v>0</v>
      </c>
      <c r="AF36">
        <f>VLOOKUP($H36,'[3]0509人员排班情况 副本'!$G:$U,14,FALSE)</f>
        <v>0</v>
      </c>
      <c r="AG36">
        <f>VLOOKUP($H36,'[3]0509人员排班情况 副本'!$G:$U,15,FALSE)</f>
        <v>0</v>
      </c>
    </row>
    <row r="37" customHeight="1" spans="1:33">
      <c r="A37" t="s">
        <v>202</v>
      </c>
      <c r="B37" t="s">
        <v>279</v>
      </c>
      <c r="C37" t="s">
        <v>280</v>
      </c>
      <c r="D37" t="s">
        <v>100</v>
      </c>
      <c r="E37" t="s">
        <v>103</v>
      </c>
      <c r="F37" t="s">
        <v>210</v>
      </c>
      <c r="G37" t="s">
        <v>112</v>
      </c>
      <c r="H37" t="str">
        <f t="shared" si="0"/>
        <v>WE 美西大区LAV.H操作组</v>
      </c>
      <c r="I37" t="s">
        <v>281</v>
      </c>
      <c r="J37" t="s">
        <v>282</v>
      </c>
      <c r="K37" s="15">
        <v>0.416666666666667</v>
      </c>
      <c r="L37" s="15" t="s">
        <v>283</v>
      </c>
      <c r="M37" s="15"/>
      <c r="N37" t="s">
        <v>284</v>
      </c>
      <c r="O37" s="20" t="str">
        <f t="shared" si="6"/>
        <v>不正确</v>
      </c>
      <c r="P37" s="21">
        <v>0</v>
      </c>
      <c r="Q37" s="21">
        <v>0</v>
      </c>
      <c r="R37" s="21">
        <v>0</v>
      </c>
      <c r="S37" s="21">
        <f t="shared" si="1"/>
        <v>0</v>
      </c>
      <c r="T37" s="21">
        <f t="shared" si="2"/>
        <v>0</v>
      </c>
      <c r="U37" s="21" t="str">
        <f t="shared" si="3"/>
        <v>否</v>
      </c>
      <c r="V37" s="21">
        <f>VLOOKUP($C37,[4]Sheet1!$B:$AN,39,FALSE)</f>
        <v>0</v>
      </c>
      <c r="W37" s="21">
        <v>0</v>
      </c>
      <c r="X37" s="23">
        <v>3</v>
      </c>
      <c r="Y37" s="23">
        <v>4</v>
      </c>
      <c r="Z37" s="25">
        <f t="shared" si="4"/>
        <v>1</v>
      </c>
      <c r="AA37" s="25" t="str">
        <f t="shared" si="5"/>
        <v>是</v>
      </c>
      <c r="AB37" t="s">
        <v>148</v>
      </c>
      <c r="AC37" t="e">
        <f>VLOOKUP(C37,[1]Sheet1!$C:$O,13,FALSE)</f>
        <v>#N/A</v>
      </c>
      <c r="AD37" t="str">
        <f>VLOOKUP($H37,'[3]0509人员排班情况 副本'!$G:$U,12,FALSE)</f>
        <v>王骞Ariel（Qian Wang）,叶秀芳Freya (Xiufang Ye)</v>
      </c>
      <c r="AE37" t="str">
        <f>VLOOKUP($H37,'[3]0509人员排班情况 副本'!$G:$U,13,FALSE)</f>
        <v>常哲</v>
      </c>
      <c r="AF37" t="str">
        <f>VLOOKUP($H37,'[3]0509人员排班情况 副本'!$G:$U,14,FALSE)</f>
        <v>Minqing (Minqing Xu),罗煜雄 Mike (Yuxiong Luo)</v>
      </c>
      <c r="AG37">
        <f>VLOOKUP($H37,'[3]0509人员排班情况 副本'!$G:$U,15,FALSE)</f>
        <v>0</v>
      </c>
    </row>
    <row r="38" customHeight="1" spans="1:33">
      <c r="A38" t="s">
        <v>202</v>
      </c>
      <c r="B38" t="s">
        <v>285</v>
      </c>
      <c r="C38" t="s">
        <v>286</v>
      </c>
      <c r="D38" t="s">
        <v>100</v>
      </c>
      <c r="E38" t="s">
        <v>102</v>
      </c>
      <c r="F38" t="s">
        <v>287</v>
      </c>
      <c r="H38" t="str">
        <f t="shared" si="0"/>
        <v>WE 美西大区DS 丹佛·盐湖城片区ABQ01</v>
      </c>
      <c r="I38" t="s">
        <v>177</v>
      </c>
      <c r="J38" t="s">
        <v>221</v>
      </c>
      <c r="K38" s="15">
        <v>0.208333333333333</v>
      </c>
      <c r="L38" s="15" t="s">
        <v>222</v>
      </c>
      <c r="M38" s="15">
        <v>0.328472222222222</v>
      </c>
      <c r="N38" t="s">
        <v>288</v>
      </c>
      <c r="O38" s="20" t="str">
        <f t="shared" si="6"/>
        <v>不正确</v>
      </c>
      <c r="P38" s="21">
        <v>0</v>
      </c>
      <c r="Q38" s="21">
        <v>10.1</v>
      </c>
      <c r="R38" s="21">
        <v>0</v>
      </c>
      <c r="S38" s="21">
        <f t="shared" si="1"/>
        <v>10.1</v>
      </c>
      <c r="T38" s="21">
        <f t="shared" si="2"/>
        <v>2.1</v>
      </c>
      <c r="U38" s="21" t="str">
        <f t="shared" si="3"/>
        <v>是</v>
      </c>
      <c r="V38" s="21">
        <f>VLOOKUP($C38,[4]Sheet1!$B:$AN,39,FALSE)</f>
        <v>22.75</v>
      </c>
      <c r="W38" s="21">
        <v>0</v>
      </c>
      <c r="X38" s="23">
        <v>2</v>
      </c>
      <c r="Y38" s="23">
        <v>4</v>
      </c>
      <c r="Z38" s="25">
        <f t="shared" si="4"/>
        <v>2</v>
      </c>
      <c r="AA38" s="25" t="str">
        <f t="shared" si="5"/>
        <v>是</v>
      </c>
      <c r="AB38" t="s">
        <v>148</v>
      </c>
      <c r="AC38" t="e">
        <f>VLOOKUP(C38,[1]Sheet1!$C:$O,13,FALSE)</f>
        <v>#N/A</v>
      </c>
      <c r="AD38" t="str">
        <f>VLOOKUP($H38,'[3]0509人员排班情况 副本'!$G:$U,12,FALSE)</f>
        <v>王骞Ariel（Qian Wang）,叶秀芳Freya (Xiufang Ye)</v>
      </c>
      <c r="AE38" t="str">
        <f>VLOOKUP($H38,'[3]0509人员排班情况 副本'!$G:$U,13,FALSE)</f>
        <v>常哲</v>
      </c>
      <c r="AF38" t="str">
        <f>VLOOKUP($H38,'[3]0509人员排班情况 副本'!$G:$U,14,FALSE)</f>
        <v>兰鹏Peng（Peng Lan）</v>
      </c>
      <c r="AG38">
        <f>VLOOKUP($H38,'[3]0509人员排班情况 副本'!$G:$U,15,FALSE)</f>
        <v>0</v>
      </c>
    </row>
    <row r="39" customHeight="1" spans="1:33">
      <c r="A39" t="s">
        <v>202</v>
      </c>
      <c r="B39" t="s">
        <v>289</v>
      </c>
      <c r="C39" t="s">
        <v>290</v>
      </c>
      <c r="D39" t="s">
        <v>100</v>
      </c>
      <c r="E39" t="s">
        <v>106</v>
      </c>
      <c r="F39" t="s">
        <v>291</v>
      </c>
      <c r="H39" t="str">
        <f t="shared" si="0"/>
        <v>WE 美西大区SC 南加片区SFV01</v>
      </c>
      <c r="I39" t="s">
        <v>156</v>
      </c>
      <c r="J39" t="s">
        <v>205</v>
      </c>
      <c r="K39" s="15">
        <v>0.166666666666667</v>
      </c>
      <c r="L39" s="15" t="s">
        <v>206</v>
      </c>
      <c r="M39" s="15"/>
      <c r="N39" t="s">
        <v>292</v>
      </c>
      <c r="O39" s="20" t="str">
        <f t="shared" si="6"/>
        <v>不正确</v>
      </c>
      <c r="P39" s="21">
        <v>0</v>
      </c>
      <c r="Q39" s="21">
        <v>0</v>
      </c>
      <c r="R39" s="21">
        <v>0</v>
      </c>
      <c r="S39" s="21">
        <f t="shared" si="1"/>
        <v>0</v>
      </c>
      <c r="T39" s="21">
        <f t="shared" si="2"/>
        <v>0</v>
      </c>
      <c r="U39" s="21" t="str">
        <f t="shared" si="3"/>
        <v>否</v>
      </c>
      <c r="V39" s="21">
        <f>VLOOKUP($C39,[4]Sheet1!$B:$AN,39,FALSE)</f>
        <v>0</v>
      </c>
      <c r="W39" s="21">
        <v>0</v>
      </c>
      <c r="X39" s="23">
        <v>1</v>
      </c>
      <c r="Y39" s="23">
        <v>4</v>
      </c>
      <c r="Z39" s="25">
        <f t="shared" si="4"/>
        <v>3</v>
      </c>
      <c r="AA39" s="25" t="str">
        <f t="shared" si="5"/>
        <v>是</v>
      </c>
      <c r="AB39" t="s">
        <v>148</v>
      </c>
      <c r="AC39" t="e">
        <f>VLOOKUP(C39,[1]Sheet1!$C:$O,13,FALSE)</f>
        <v>#N/A</v>
      </c>
      <c r="AD39" t="str">
        <f>VLOOKUP($H39,'[3]0509人员排班情况 副本'!$G:$U,12,FALSE)</f>
        <v>王骞Ariel（Qian Wang）,叶秀芳Freya (Xiufang Ye)</v>
      </c>
      <c r="AE39" t="str">
        <f>VLOOKUP($H39,'[3]0509人员排班情况 副本'!$G:$U,13,FALSE)</f>
        <v>常哲</v>
      </c>
      <c r="AF39" t="str">
        <f>VLOOKUP($H39,'[3]0509人员排班情况 副本'!$G:$U,14,FALSE)</f>
        <v>尤梦楠Yuko（Mengnan You）</v>
      </c>
      <c r="AG39">
        <f>VLOOKUP($H39,'[3]0509人员排班情况 副本'!$G:$U,15,FALSE)</f>
        <v>0</v>
      </c>
    </row>
    <row r="40" customHeight="1" spans="1:33">
      <c r="A40" t="s">
        <v>202</v>
      </c>
      <c r="B40" t="s">
        <v>293</v>
      </c>
      <c r="C40" t="s">
        <v>294</v>
      </c>
      <c r="D40" t="s">
        <v>15</v>
      </c>
      <c r="E40" t="s">
        <v>17</v>
      </c>
      <c r="F40" t="s">
        <v>210</v>
      </c>
      <c r="G40" t="s">
        <v>112</v>
      </c>
      <c r="H40" t="str">
        <f t="shared" si="0"/>
        <v>FL 佛州大区MCO.H操作组</v>
      </c>
      <c r="I40" t="s">
        <v>156</v>
      </c>
      <c r="J40" t="s">
        <v>295</v>
      </c>
      <c r="K40" s="15">
        <v>0.375</v>
      </c>
      <c r="L40" s="15" t="s">
        <v>296</v>
      </c>
      <c r="M40" s="15"/>
      <c r="N40" t="s">
        <v>148</v>
      </c>
      <c r="O40" s="20" t="str">
        <f t="shared" si="6"/>
        <v>不正确</v>
      </c>
      <c r="P40" s="21">
        <v>0</v>
      </c>
      <c r="Q40" s="21">
        <v>0</v>
      </c>
      <c r="R40" s="21">
        <v>0</v>
      </c>
      <c r="S40" s="21">
        <f t="shared" si="1"/>
        <v>0</v>
      </c>
      <c r="T40" s="21">
        <f t="shared" si="2"/>
        <v>0</v>
      </c>
      <c r="U40" s="21" t="str">
        <f t="shared" si="3"/>
        <v>否</v>
      </c>
      <c r="V40" s="21">
        <f>VLOOKUP($C40,[4]Sheet1!$B:$AN,39,FALSE)</f>
        <v>0</v>
      </c>
      <c r="W40" s="21">
        <v>0</v>
      </c>
      <c r="X40" s="23">
        <v>0</v>
      </c>
      <c r="Y40" s="23">
        <v>0</v>
      </c>
      <c r="Z40" s="25">
        <f t="shared" si="4"/>
        <v>0</v>
      </c>
      <c r="AA40" s="25" t="str">
        <f t="shared" si="5"/>
        <v>是</v>
      </c>
      <c r="AB40" t="s">
        <v>297</v>
      </c>
      <c r="AC40" t="e">
        <f>VLOOKUP(C40,[1]Sheet1!$C:$O,13,FALSE)</f>
        <v>#N/A</v>
      </c>
      <c r="AD40" t="str">
        <f>VLOOKUP($H40,'[3]0509人员排班情况 副本'!$G:$U,12,FALSE)</f>
        <v>Natalia (Natalia Padilla),孙婕 Jasmine（Sunjie）</v>
      </c>
      <c r="AE40" t="str">
        <f>VLOOKUP($H40,'[3]0509人员排班情况 副本'!$G:$U,13,FALSE)</f>
        <v>贺子强Jeff (Ziqiang He)</v>
      </c>
      <c r="AF40" t="str">
        <f>VLOOKUP($H40,'[3]0509人员排班情况 副本'!$G:$U,14,FALSE)</f>
        <v>Minqing (Minqing Xu),罗煜雄 Mike (Yuxiong Luo)</v>
      </c>
      <c r="AG40">
        <f>VLOOKUP($H40,'[3]0509人员排班情况 副本'!$G:$U,15,FALSE)</f>
        <v>0</v>
      </c>
    </row>
    <row r="41" customHeight="1" spans="1:33">
      <c r="A41" t="s">
        <v>202</v>
      </c>
      <c r="B41" t="s">
        <v>298</v>
      </c>
      <c r="C41" t="s">
        <v>299</v>
      </c>
      <c r="D41" t="s">
        <v>58</v>
      </c>
      <c r="E41" t="s">
        <v>63</v>
      </c>
      <c r="F41" t="s">
        <v>210</v>
      </c>
      <c r="G41" t="s">
        <v>112</v>
      </c>
      <c r="H41" t="str">
        <f t="shared" si="0"/>
        <v>MS 中南大区CLT.H操作组</v>
      </c>
      <c r="I41" t="s">
        <v>281</v>
      </c>
      <c r="J41" t="s">
        <v>211</v>
      </c>
      <c r="K41" s="15">
        <v>0.333333333333333</v>
      </c>
      <c r="L41" s="15" t="s">
        <v>212</v>
      </c>
      <c r="M41" s="15">
        <v>0.313194444444444</v>
      </c>
      <c r="N41" t="s">
        <v>300</v>
      </c>
      <c r="O41" s="20" t="str">
        <f t="shared" si="6"/>
        <v>正确</v>
      </c>
      <c r="P41" s="21">
        <v>0</v>
      </c>
      <c r="Q41" s="21">
        <v>8.97</v>
      </c>
      <c r="R41" s="21">
        <v>0</v>
      </c>
      <c r="S41" s="21">
        <f t="shared" si="1"/>
        <v>8.97</v>
      </c>
      <c r="T41" s="21">
        <f t="shared" si="2"/>
        <v>0.970000000000001</v>
      </c>
      <c r="U41" s="21" t="str">
        <f t="shared" si="3"/>
        <v>是</v>
      </c>
      <c r="V41" s="21">
        <f>VLOOKUP($C41,[4]Sheet1!$B:$AN,39,FALSE)</f>
        <v>18.34</v>
      </c>
      <c r="W41" s="21">
        <v>0</v>
      </c>
      <c r="X41" s="23">
        <v>2</v>
      </c>
      <c r="Y41" s="23">
        <v>4</v>
      </c>
      <c r="Z41" s="25">
        <f t="shared" si="4"/>
        <v>2</v>
      </c>
      <c r="AA41" s="25" t="str">
        <f t="shared" si="5"/>
        <v>是</v>
      </c>
      <c r="AB41" t="s">
        <v>148</v>
      </c>
      <c r="AC41" t="e">
        <f>VLOOKUP(C41,[1]Sheet1!$C:$O,13,FALSE)</f>
        <v>#N/A</v>
      </c>
      <c r="AD41" t="str">
        <f>VLOOKUP($H41,'[3]0509人员排班情况 副本'!$G:$U,12,FALSE)</f>
        <v>欧阳迎春Flower（Yingchun Ouyang）</v>
      </c>
      <c r="AE41" t="str">
        <f>VLOOKUP($H41,'[3]0509人员排班情况 副本'!$G:$U,13,FALSE)</f>
        <v>杨云飞</v>
      </c>
      <c r="AF41" t="str">
        <f>VLOOKUP($H41,'[3]0509人员排班情况 副本'!$G:$U,14,FALSE)</f>
        <v>Minqing (Minqing Xu),罗煜雄 Mike (Yuxiong Luo)</v>
      </c>
      <c r="AG41">
        <f>VLOOKUP($H41,'[3]0509人员排班情况 副本'!$G:$U,15,FALSE)</f>
        <v>0</v>
      </c>
    </row>
    <row r="42" customHeight="1" spans="1:33">
      <c r="A42" t="s">
        <v>202</v>
      </c>
      <c r="B42" t="s">
        <v>301</v>
      </c>
      <c r="C42" t="s">
        <v>302</v>
      </c>
      <c r="D42" t="s">
        <v>92</v>
      </c>
      <c r="E42" t="s">
        <v>96</v>
      </c>
      <c r="F42" t="s">
        <v>275</v>
      </c>
      <c r="G42" t="s">
        <v>112</v>
      </c>
      <c r="H42" t="str">
        <f t="shared" si="0"/>
        <v>TX 德州大区IAH.H分拣组</v>
      </c>
      <c r="I42" t="s">
        <v>303</v>
      </c>
      <c r="J42" t="s">
        <v>304</v>
      </c>
      <c r="K42" s="15">
        <v>0.666666666666667</v>
      </c>
      <c r="L42" s="15" t="s">
        <v>305</v>
      </c>
      <c r="M42" s="15">
        <v>0.66875</v>
      </c>
      <c r="N42" t="s">
        <v>306</v>
      </c>
      <c r="O42" s="20" t="str">
        <f t="shared" si="6"/>
        <v>正确</v>
      </c>
      <c r="P42" s="21">
        <v>0</v>
      </c>
      <c r="Q42" s="21">
        <v>8.57</v>
      </c>
      <c r="R42" s="21">
        <v>0</v>
      </c>
      <c r="S42" s="21">
        <f t="shared" si="1"/>
        <v>8.57</v>
      </c>
      <c r="T42" s="21">
        <f t="shared" si="2"/>
        <v>0.57</v>
      </c>
      <c r="U42" s="21" t="str">
        <f t="shared" si="3"/>
        <v>是</v>
      </c>
      <c r="V42" s="21">
        <f>VLOOKUP($C42,[4]Sheet1!$B:$AN,39,FALSE)</f>
        <v>22.04</v>
      </c>
      <c r="W42" s="21">
        <v>0</v>
      </c>
      <c r="X42" s="23">
        <v>2</v>
      </c>
      <c r="Y42" s="23">
        <v>4</v>
      </c>
      <c r="Z42" s="25">
        <f t="shared" si="4"/>
        <v>2</v>
      </c>
      <c r="AA42" s="25" t="str">
        <f t="shared" si="5"/>
        <v>是</v>
      </c>
      <c r="AB42" t="s">
        <v>148</v>
      </c>
      <c r="AC42" t="e">
        <f>VLOOKUP(C42,[1]Sheet1!$C:$O,13,FALSE)</f>
        <v>#N/A</v>
      </c>
      <c r="AD42" t="str">
        <f>VLOOKUP($H42,'[3]0509人员排班情况 副本'!$G:$U,12,FALSE)</f>
        <v>肖芦莉Lily (Luli Xiao)</v>
      </c>
      <c r="AE42" t="str">
        <f>VLOOKUP($H42,'[3]0509人员排班情况 副本'!$G:$U,13,FALSE)</f>
        <v>张骥Ji Zhang (Ji Zhang)</v>
      </c>
      <c r="AF42" t="str">
        <f>VLOOKUP($H42,'[3]0509人员排班情况 副本'!$G:$U,14,FALSE)</f>
        <v>张双甫(Shuangfu Zhang)</v>
      </c>
      <c r="AG42">
        <f>VLOOKUP($H42,'[3]0509人员排班情况 副本'!$G:$U,15,FALSE)</f>
        <v>0</v>
      </c>
    </row>
    <row r="43" customHeight="1" spans="1:33">
      <c r="A43" t="s">
        <v>202</v>
      </c>
      <c r="B43" t="s">
        <v>307</v>
      </c>
      <c r="C43" t="s">
        <v>308</v>
      </c>
      <c r="D43" t="s">
        <v>15</v>
      </c>
      <c r="E43" t="s">
        <v>18</v>
      </c>
      <c r="F43" t="s">
        <v>148</v>
      </c>
      <c r="H43" t="str">
        <f t="shared" si="0"/>
        <v>FL 佛州大区MCO01</v>
      </c>
      <c r="I43" t="s">
        <v>177</v>
      </c>
      <c r="J43" t="s">
        <v>258</v>
      </c>
      <c r="K43" s="15">
        <v>0.1875</v>
      </c>
      <c r="L43" s="15" t="s">
        <v>259</v>
      </c>
      <c r="M43" s="15">
        <v>0.145833333333333</v>
      </c>
      <c r="N43" t="s">
        <v>309</v>
      </c>
      <c r="O43" s="20" t="str">
        <f t="shared" si="6"/>
        <v>正确</v>
      </c>
      <c r="P43" s="21">
        <v>0</v>
      </c>
      <c r="Q43" s="21">
        <v>8.7</v>
      </c>
      <c r="R43" s="21">
        <v>0</v>
      </c>
      <c r="S43" s="21">
        <f t="shared" si="1"/>
        <v>8.7</v>
      </c>
      <c r="T43" s="21">
        <f t="shared" si="2"/>
        <v>0.699999999999999</v>
      </c>
      <c r="U43" s="21" t="str">
        <f t="shared" si="3"/>
        <v>是</v>
      </c>
      <c r="V43" s="21">
        <f>VLOOKUP($C43,[4]Sheet1!$B:$AN,39,FALSE)</f>
        <v>8.7</v>
      </c>
      <c r="W43" s="21">
        <v>0</v>
      </c>
      <c r="X43" s="23">
        <v>4</v>
      </c>
      <c r="Y43" s="23">
        <v>4</v>
      </c>
      <c r="Z43" s="25">
        <f t="shared" si="4"/>
        <v>0</v>
      </c>
      <c r="AA43" s="25" t="str">
        <f t="shared" si="5"/>
        <v>是</v>
      </c>
      <c r="AB43" t="s">
        <v>148</v>
      </c>
      <c r="AC43" t="e">
        <f>VLOOKUP(C43,[1]Sheet1!$C:$O,13,FALSE)</f>
        <v>#N/A</v>
      </c>
      <c r="AD43" t="str">
        <f>VLOOKUP($H43,'[3]0509人员排班情况 副本'!$G:$U,12,FALSE)</f>
        <v>Natalia (Natalia Padilla),孙婕 Jasmine（Sunjie）</v>
      </c>
      <c r="AE43" t="str">
        <f>VLOOKUP($H43,'[3]0509人员排班情况 副本'!$G:$U,13,FALSE)</f>
        <v>贺子强Jeff (Ziqiang He)</v>
      </c>
      <c r="AF43">
        <f>VLOOKUP($H43,'[3]0509人员排班情况 副本'!$G:$U,14,FALSE)</f>
        <v>0</v>
      </c>
      <c r="AG43">
        <f>VLOOKUP($H43,'[3]0509人员排班情况 副本'!$G:$U,15,FALSE)</f>
        <v>0</v>
      </c>
    </row>
    <row r="44" customHeight="1" spans="1:33">
      <c r="A44" t="s">
        <v>202</v>
      </c>
      <c r="B44" t="s">
        <v>310</v>
      </c>
      <c r="C44" t="s">
        <v>311</v>
      </c>
      <c r="D44" t="s">
        <v>15</v>
      </c>
      <c r="E44" t="s">
        <v>20</v>
      </c>
      <c r="F44" t="s">
        <v>312</v>
      </c>
      <c r="G44" t="s">
        <v>112</v>
      </c>
      <c r="H44" t="str">
        <f t="shared" si="0"/>
        <v>FL 佛州大区MIA.H异常处理组</v>
      </c>
      <c r="I44" t="s">
        <v>313</v>
      </c>
      <c r="J44" t="s">
        <v>295</v>
      </c>
      <c r="K44" s="15">
        <v>0.375</v>
      </c>
      <c r="L44" s="15" t="s">
        <v>296</v>
      </c>
      <c r="M44" s="15"/>
      <c r="N44" t="s">
        <v>314</v>
      </c>
      <c r="O44" s="20" t="str">
        <f t="shared" si="6"/>
        <v>不正确</v>
      </c>
      <c r="P44" s="21">
        <v>0</v>
      </c>
      <c r="Q44" s="21">
        <v>0</v>
      </c>
      <c r="R44" s="21">
        <v>0</v>
      </c>
      <c r="S44" s="21">
        <f t="shared" si="1"/>
        <v>0</v>
      </c>
      <c r="T44" s="21">
        <f t="shared" si="2"/>
        <v>0</v>
      </c>
      <c r="U44" s="21" t="str">
        <f t="shared" si="3"/>
        <v>否</v>
      </c>
      <c r="V44" s="21">
        <f>VLOOKUP($C44,[4]Sheet1!$B:$AN,39,FALSE)</f>
        <v>8.53</v>
      </c>
      <c r="W44" s="21">
        <v>0</v>
      </c>
      <c r="X44" s="23">
        <v>3</v>
      </c>
      <c r="Y44" s="23">
        <v>4</v>
      </c>
      <c r="Z44" s="25">
        <f t="shared" si="4"/>
        <v>1</v>
      </c>
      <c r="AA44" s="25" t="str">
        <f t="shared" si="5"/>
        <v>是</v>
      </c>
      <c r="AB44" t="s">
        <v>148</v>
      </c>
      <c r="AC44" t="e">
        <f>VLOOKUP(C44,[1]Sheet1!$C:$O,13,FALSE)</f>
        <v>#N/A</v>
      </c>
      <c r="AD44" t="str">
        <f>VLOOKUP($H44,'[3]0509人员排班情况 副本'!$G:$U,12,FALSE)</f>
        <v>Natalia (Natalia Padilla),孙婕 Jasmine（Sunjie）</v>
      </c>
      <c r="AE44" t="str">
        <f>VLOOKUP($H44,'[3]0509人员排班情况 副本'!$G:$U,13,FALSE)</f>
        <v>贺子强Jeff (Ziqiang He)</v>
      </c>
      <c r="AF44" t="str">
        <f>VLOOKUP($H44,'[3]0509人员排班情况 副本'!$G:$U,14,FALSE)</f>
        <v>Minqing (Minqing Xu),罗煜雄 Mike (Yuxiong Luo)</v>
      </c>
      <c r="AG44">
        <f>VLOOKUP($H44,'[3]0509人员排班情况 副本'!$G:$U,15,FALSE)</f>
        <v>0</v>
      </c>
    </row>
    <row r="45" customHeight="1" spans="1:33">
      <c r="A45" t="s">
        <v>202</v>
      </c>
      <c r="B45" t="s">
        <v>315</v>
      </c>
      <c r="C45" t="s">
        <v>316</v>
      </c>
      <c r="D45" t="s">
        <v>15</v>
      </c>
      <c r="E45" t="s">
        <v>20</v>
      </c>
      <c r="F45" t="s">
        <v>210</v>
      </c>
      <c r="G45" t="s">
        <v>112</v>
      </c>
      <c r="H45" t="str">
        <f t="shared" si="0"/>
        <v>FL 佛州大区MIA.H操作组</v>
      </c>
      <c r="I45" t="s">
        <v>156</v>
      </c>
      <c r="J45" t="s">
        <v>249</v>
      </c>
      <c r="K45" s="15">
        <v>0.458333333333333</v>
      </c>
      <c r="L45" s="15" t="s">
        <v>250</v>
      </c>
      <c r="M45" s="15">
        <v>0.451388888888889</v>
      </c>
      <c r="N45" t="s">
        <v>317</v>
      </c>
      <c r="O45" s="20" t="str">
        <f t="shared" si="6"/>
        <v>正确</v>
      </c>
      <c r="P45" s="21">
        <v>0</v>
      </c>
      <c r="Q45" s="21">
        <v>9.53</v>
      </c>
      <c r="R45" s="21">
        <v>0</v>
      </c>
      <c r="S45" s="21">
        <f t="shared" si="1"/>
        <v>9.53</v>
      </c>
      <c r="T45" s="21">
        <f t="shared" si="2"/>
        <v>1.53</v>
      </c>
      <c r="U45" s="21" t="str">
        <f t="shared" si="3"/>
        <v>是</v>
      </c>
      <c r="V45" s="21">
        <f>VLOOKUP($C45,[4]Sheet1!$B:$AN,39,FALSE)</f>
        <v>9.53</v>
      </c>
      <c r="W45" s="21">
        <v>0</v>
      </c>
      <c r="X45" s="23">
        <v>4</v>
      </c>
      <c r="Y45" s="23">
        <v>4</v>
      </c>
      <c r="Z45" s="25">
        <f t="shared" si="4"/>
        <v>0</v>
      </c>
      <c r="AA45" s="25" t="str">
        <f t="shared" si="5"/>
        <v>是</v>
      </c>
      <c r="AB45" t="s">
        <v>148</v>
      </c>
      <c r="AC45" t="e">
        <f>VLOOKUP(C45,[1]Sheet1!$C:$O,13,FALSE)</f>
        <v>#N/A</v>
      </c>
      <c r="AD45" t="str">
        <f>VLOOKUP($H45,'[3]0509人员排班情况 副本'!$G:$U,12,FALSE)</f>
        <v>Natalia (Natalia Padilla),孙婕 Jasmine（Sunjie）</v>
      </c>
      <c r="AE45" t="str">
        <f>VLOOKUP($H45,'[3]0509人员排班情况 副本'!$G:$U,13,FALSE)</f>
        <v>贺子强Jeff (Ziqiang He)</v>
      </c>
      <c r="AF45" t="str">
        <f>VLOOKUP($H45,'[3]0509人员排班情况 副本'!$G:$U,14,FALSE)</f>
        <v>Minqing (Minqing Xu),罗煜雄 Mike (Yuxiong Luo)</v>
      </c>
      <c r="AG45">
        <f>VLOOKUP($H45,'[3]0509人员排班情况 副本'!$G:$U,15,FALSE)</f>
        <v>0</v>
      </c>
    </row>
    <row r="46" customHeight="1" spans="1:33">
      <c r="A46" t="s">
        <v>202</v>
      </c>
      <c r="B46" t="s">
        <v>318</v>
      </c>
      <c r="C46" t="s">
        <v>319</v>
      </c>
      <c r="D46" t="s">
        <v>10</v>
      </c>
      <c r="E46" t="s">
        <v>265</v>
      </c>
      <c r="F46" t="s">
        <v>148</v>
      </c>
      <c r="H46" t="str">
        <f t="shared" si="0"/>
        <v>BD 本地客户部北美销售组</v>
      </c>
      <c r="I46" t="s">
        <v>266</v>
      </c>
      <c r="J46" t="s">
        <v>236</v>
      </c>
      <c r="K46" s="15">
        <v>0.395833333333333</v>
      </c>
      <c r="L46" s="15" t="s">
        <v>218</v>
      </c>
      <c r="M46" s="15"/>
      <c r="N46" t="s">
        <v>148</v>
      </c>
      <c r="O46" s="20" t="str">
        <f t="shared" si="6"/>
        <v>不正确</v>
      </c>
      <c r="P46" s="21">
        <v>0</v>
      </c>
      <c r="Q46" s="21">
        <v>0</v>
      </c>
      <c r="R46" s="21">
        <v>0</v>
      </c>
      <c r="S46" s="21">
        <f t="shared" si="1"/>
        <v>0</v>
      </c>
      <c r="T46" s="21">
        <f t="shared" si="2"/>
        <v>0</v>
      </c>
      <c r="U46" s="21" t="str">
        <f t="shared" si="3"/>
        <v>否</v>
      </c>
      <c r="V46" s="21">
        <f>VLOOKUP($C46,[4]Sheet1!$B:$AN,39,FALSE)</f>
        <v>0</v>
      </c>
      <c r="W46" s="21">
        <v>0</v>
      </c>
      <c r="X46" s="23">
        <v>0</v>
      </c>
      <c r="Y46" s="23">
        <v>4</v>
      </c>
      <c r="Z46" s="25">
        <f t="shared" si="4"/>
        <v>4</v>
      </c>
      <c r="AA46" s="25" t="str">
        <f t="shared" si="5"/>
        <v>是</v>
      </c>
      <c r="AB46" t="s">
        <v>148</v>
      </c>
      <c r="AC46" t="e">
        <f>VLOOKUP(C46,[1]Sheet1!$C:$O,13,FALSE)</f>
        <v>#N/A</v>
      </c>
      <c r="AD46" t="str">
        <f>VLOOKUP($H46,'[3]0509人员排班情况 副本'!$G:$U,12,FALSE)</f>
        <v>袁博闻(Bowen Yuan)</v>
      </c>
      <c r="AE46">
        <f>VLOOKUP($H46,'[3]0509人员排班情况 副本'!$G:$U,13,FALSE)</f>
        <v>0</v>
      </c>
      <c r="AF46">
        <f>VLOOKUP($H46,'[3]0509人员排班情况 副本'!$G:$U,14,FALSE)</f>
        <v>0</v>
      </c>
      <c r="AG46">
        <f>VLOOKUP($H46,'[3]0509人员排班情况 副本'!$G:$U,15,FALSE)</f>
        <v>0</v>
      </c>
    </row>
    <row r="47" customHeight="1" spans="1:33">
      <c r="A47" t="s">
        <v>202</v>
      </c>
      <c r="B47" t="s">
        <v>320</v>
      </c>
      <c r="C47" t="s">
        <v>321</v>
      </c>
      <c r="D47" t="s">
        <v>58</v>
      </c>
      <c r="E47" t="s">
        <v>60</v>
      </c>
      <c r="F47" t="s">
        <v>228</v>
      </c>
      <c r="H47" t="str">
        <f t="shared" si="0"/>
        <v>MS 中南大区AS 亚特兰大和南阿拉巴马片区ATL01</v>
      </c>
      <c r="I47" t="s">
        <v>156</v>
      </c>
      <c r="J47" t="s">
        <v>229</v>
      </c>
      <c r="K47" s="15">
        <v>0.270833333333333</v>
      </c>
      <c r="L47" s="15" t="s">
        <v>230</v>
      </c>
      <c r="M47" s="15">
        <v>0.274305555555556</v>
      </c>
      <c r="N47" t="s">
        <v>231</v>
      </c>
      <c r="O47" s="20" t="str">
        <f t="shared" si="6"/>
        <v>正确</v>
      </c>
      <c r="P47" s="21">
        <v>0</v>
      </c>
      <c r="Q47" s="21">
        <v>7.75</v>
      </c>
      <c r="R47" s="21">
        <v>0</v>
      </c>
      <c r="S47" s="21">
        <f t="shared" si="1"/>
        <v>7.75</v>
      </c>
      <c r="T47" s="21">
        <f t="shared" si="2"/>
        <v>0</v>
      </c>
      <c r="U47" s="21" t="str">
        <f t="shared" si="3"/>
        <v>否</v>
      </c>
      <c r="V47" s="21">
        <f>VLOOKUP($C47,[4]Sheet1!$B:$AN,39,FALSE)</f>
        <v>15.97</v>
      </c>
      <c r="W47" s="21">
        <v>0</v>
      </c>
      <c r="X47" s="23">
        <v>4</v>
      </c>
      <c r="Y47" s="23">
        <v>4</v>
      </c>
      <c r="Z47" s="25">
        <f t="shared" si="4"/>
        <v>0</v>
      </c>
      <c r="AA47" s="25" t="str">
        <f t="shared" si="5"/>
        <v>是</v>
      </c>
      <c r="AB47" t="s">
        <v>148</v>
      </c>
      <c r="AC47" t="e">
        <f>VLOOKUP(C47,[1]Sheet1!$C:$O,13,FALSE)</f>
        <v>#N/A</v>
      </c>
      <c r="AD47" t="str">
        <f>VLOOKUP($H47,'[3]0509人员排班情况 副本'!$G:$U,12,FALSE)</f>
        <v>欧阳迎春Flower（Yingchun Ouyang）</v>
      </c>
      <c r="AE47" t="str">
        <f>VLOOKUP($H47,'[3]0509人员排班情况 副本'!$G:$U,13,FALSE)</f>
        <v>杨云飞</v>
      </c>
      <c r="AF47" t="str">
        <f>VLOOKUP($H47,'[3]0509人员排班情况 副本'!$G:$U,14,FALSE)</f>
        <v>李明峰Lucas(Mingfeng Li)</v>
      </c>
      <c r="AG47">
        <f>VLOOKUP($H47,'[3]0509人员排班情况 副本'!$G:$U,15,FALSE)</f>
        <v>0</v>
      </c>
    </row>
    <row r="48" customHeight="1" spans="1:33">
      <c r="A48" t="s">
        <v>202</v>
      </c>
      <c r="B48" t="s">
        <v>322</v>
      </c>
      <c r="C48" t="s">
        <v>323</v>
      </c>
      <c r="D48" t="s">
        <v>15</v>
      </c>
      <c r="E48" t="s">
        <v>17</v>
      </c>
      <c r="F48" t="s">
        <v>275</v>
      </c>
      <c r="G48" t="s">
        <v>112</v>
      </c>
      <c r="H48" t="str">
        <f t="shared" si="0"/>
        <v>FL 佛州大区MCO.H分拣组</v>
      </c>
      <c r="I48" t="s">
        <v>303</v>
      </c>
      <c r="J48" t="s">
        <v>295</v>
      </c>
      <c r="K48" s="15">
        <v>0.375</v>
      </c>
      <c r="L48" s="15" t="s">
        <v>296</v>
      </c>
      <c r="M48" s="15">
        <v>0.365277777777778</v>
      </c>
      <c r="N48" t="s">
        <v>296</v>
      </c>
      <c r="O48" s="20" t="str">
        <f t="shared" si="6"/>
        <v>正确</v>
      </c>
      <c r="P48" s="21">
        <v>0</v>
      </c>
      <c r="Q48" s="21">
        <v>8.23</v>
      </c>
      <c r="R48" s="21">
        <v>0</v>
      </c>
      <c r="S48" s="21">
        <f t="shared" si="1"/>
        <v>8.23</v>
      </c>
      <c r="T48" s="21">
        <f t="shared" si="2"/>
        <v>0.23</v>
      </c>
      <c r="U48" s="21" t="str">
        <f t="shared" si="3"/>
        <v>是</v>
      </c>
      <c r="V48" s="21">
        <f>VLOOKUP($C48,[4]Sheet1!$B:$AN,39,FALSE)</f>
        <v>8.23</v>
      </c>
      <c r="W48" s="21">
        <v>0</v>
      </c>
      <c r="X48" s="23">
        <v>4</v>
      </c>
      <c r="Y48" s="23">
        <v>4</v>
      </c>
      <c r="Z48" s="25">
        <f t="shared" si="4"/>
        <v>0</v>
      </c>
      <c r="AA48" s="25" t="str">
        <f t="shared" si="5"/>
        <v>是</v>
      </c>
      <c r="AB48" t="s">
        <v>148</v>
      </c>
      <c r="AC48" t="e">
        <f>VLOOKUP(C48,[1]Sheet1!$C:$O,13,FALSE)</f>
        <v>#N/A</v>
      </c>
      <c r="AD48" t="str">
        <f>VLOOKUP($H48,'[3]0509人员排班情况 副本'!$G:$U,12,FALSE)</f>
        <v>Natalia (Natalia Padilla),孙婕 Jasmine（Sunjie）</v>
      </c>
      <c r="AE48" t="str">
        <f>VLOOKUP($H48,'[3]0509人员排班情况 副本'!$G:$U,13,FALSE)</f>
        <v>贺子强Jeff (Ziqiang He)</v>
      </c>
      <c r="AF48" t="str">
        <f>VLOOKUP($H48,'[3]0509人员排班情况 副本'!$G:$U,14,FALSE)</f>
        <v>张双甫(Shuangfu Zhang)</v>
      </c>
      <c r="AG48">
        <f>VLOOKUP($H48,'[3]0509人员排班情况 副本'!$G:$U,15,FALSE)</f>
        <v>0</v>
      </c>
    </row>
    <row r="49" customHeight="1" spans="1:33">
      <c r="A49" t="s">
        <v>202</v>
      </c>
      <c r="B49" t="s">
        <v>324</v>
      </c>
      <c r="C49" t="s">
        <v>325</v>
      </c>
      <c r="D49" t="s">
        <v>10</v>
      </c>
      <c r="E49" t="s">
        <v>271</v>
      </c>
      <c r="F49" t="s">
        <v>148</v>
      </c>
      <c r="H49" t="str">
        <f t="shared" si="0"/>
        <v>BD 本地客户部加拿大运营组</v>
      </c>
      <c r="I49" t="s">
        <v>326</v>
      </c>
      <c r="J49" t="s">
        <v>236</v>
      </c>
      <c r="K49" s="15">
        <v>0.395833333333333</v>
      </c>
      <c r="L49" s="15" t="s">
        <v>218</v>
      </c>
      <c r="M49" s="15"/>
      <c r="N49" t="s">
        <v>148</v>
      </c>
      <c r="O49" s="20" t="str">
        <f t="shared" si="6"/>
        <v>不正确</v>
      </c>
      <c r="P49" s="21">
        <v>0</v>
      </c>
      <c r="Q49" s="21">
        <v>0</v>
      </c>
      <c r="R49" s="21">
        <v>0</v>
      </c>
      <c r="S49" s="21">
        <f t="shared" si="1"/>
        <v>0</v>
      </c>
      <c r="T49" s="21">
        <f t="shared" si="2"/>
        <v>0</v>
      </c>
      <c r="U49" s="21" t="str">
        <f t="shared" si="3"/>
        <v>否</v>
      </c>
      <c r="V49" s="21">
        <f>VLOOKUP($C49,[4]Sheet1!$B:$AN,39,FALSE)</f>
        <v>0</v>
      </c>
      <c r="W49" s="21">
        <v>0</v>
      </c>
      <c r="X49" s="23">
        <v>0</v>
      </c>
      <c r="Y49" s="23">
        <v>4</v>
      </c>
      <c r="Z49" s="25">
        <f t="shared" si="4"/>
        <v>4</v>
      </c>
      <c r="AA49" s="25" t="str">
        <f t="shared" si="5"/>
        <v>是</v>
      </c>
      <c r="AB49" t="s">
        <v>148</v>
      </c>
      <c r="AC49" t="e">
        <f>VLOOKUP(C49,[1]Sheet1!$C:$O,13,FALSE)</f>
        <v>#N/A</v>
      </c>
      <c r="AD49" t="str">
        <f>VLOOKUP($H49,'[3]0509人员排班情况 副本'!$G:$U,12,FALSE)</f>
        <v>袁博闻(Bowen Yuan)</v>
      </c>
      <c r="AE49">
        <f>VLOOKUP($H49,'[3]0509人员排班情况 副本'!$G:$U,13,FALSE)</f>
        <v>0</v>
      </c>
      <c r="AF49">
        <f>VLOOKUP($H49,'[3]0509人员排班情况 副本'!$G:$U,14,FALSE)</f>
        <v>0</v>
      </c>
      <c r="AG49">
        <f>VLOOKUP($H49,'[3]0509人员排班情况 副本'!$G:$U,15,FALSE)</f>
        <v>0</v>
      </c>
    </row>
    <row r="50" customHeight="1" spans="1:33">
      <c r="A50" t="s">
        <v>202</v>
      </c>
      <c r="B50" t="s">
        <v>327</v>
      </c>
      <c r="C50" t="s">
        <v>328</v>
      </c>
      <c r="D50" t="s">
        <v>48</v>
      </c>
      <c r="E50" t="s">
        <v>52</v>
      </c>
      <c r="F50" t="s">
        <v>329</v>
      </c>
      <c r="H50" t="str">
        <f t="shared" si="0"/>
        <v>Ground项目部OG 美中区ORD.G</v>
      </c>
      <c r="I50" t="s">
        <v>156</v>
      </c>
      <c r="J50" t="s">
        <v>330</v>
      </c>
      <c r="K50" s="15">
        <v>0.625</v>
      </c>
      <c r="L50" s="15" t="s">
        <v>331</v>
      </c>
      <c r="M50" s="15"/>
      <c r="N50" t="s">
        <v>148</v>
      </c>
      <c r="O50" s="20" t="str">
        <f t="shared" si="6"/>
        <v>不正确</v>
      </c>
      <c r="P50" s="21">
        <v>0</v>
      </c>
      <c r="Q50" s="21">
        <v>0</v>
      </c>
      <c r="R50" s="21">
        <v>0</v>
      </c>
      <c r="S50" s="21">
        <f t="shared" si="1"/>
        <v>0</v>
      </c>
      <c r="T50" s="21">
        <f t="shared" si="2"/>
        <v>0</v>
      </c>
      <c r="U50" s="21" t="str">
        <f t="shared" si="3"/>
        <v>否</v>
      </c>
      <c r="V50" s="21">
        <f>VLOOKUP($C50,[4]Sheet1!$B:$AN,39,FALSE)</f>
        <v>0</v>
      </c>
      <c r="W50" s="21">
        <v>0</v>
      </c>
      <c r="X50" s="23">
        <v>0</v>
      </c>
      <c r="Y50" s="23">
        <v>4</v>
      </c>
      <c r="Z50" s="25">
        <f t="shared" si="4"/>
        <v>4</v>
      </c>
      <c r="AA50" s="25" t="str">
        <f t="shared" si="5"/>
        <v>是</v>
      </c>
      <c r="AB50" t="s">
        <v>148</v>
      </c>
      <c r="AC50" t="e">
        <f>VLOOKUP(C50,[1]Sheet1!$C:$O,13,FALSE)</f>
        <v>#N/A</v>
      </c>
      <c r="AD50" t="str">
        <f>VLOOKUP($H50,'[3]0509人员排班情况 副本'!$G:$U,12,FALSE)</f>
        <v>王安琪 (Anqi Wang),张朱同 Thomson（Zhutong Zhang）</v>
      </c>
      <c r="AE50" t="str">
        <f>VLOOKUP($H50,'[3]0509人员排班情况 副本'!$G:$U,13,FALSE)</f>
        <v>陈锦昭</v>
      </c>
      <c r="AF50">
        <f>VLOOKUP($H50,'[3]0509人员排班情况 副本'!$G:$U,14,FALSE)</f>
        <v>0</v>
      </c>
      <c r="AG50">
        <f>VLOOKUP($H50,'[3]0509人员排班情况 副本'!$G:$U,15,FALSE)</f>
        <v>0</v>
      </c>
    </row>
    <row r="51" customHeight="1" spans="1:33">
      <c r="A51" t="s">
        <v>202</v>
      </c>
      <c r="B51" t="s">
        <v>332</v>
      </c>
      <c r="C51" t="s">
        <v>333</v>
      </c>
      <c r="D51" t="s">
        <v>10</v>
      </c>
      <c r="E51" t="s">
        <v>334</v>
      </c>
      <c r="F51" t="s">
        <v>148</v>
      </c>
      <c r="H51" t="str">
        <f t="shared" si="0"/>
        <v>BD 本地客户部定价分析组</v>
      </c>
      <c r="I51" t="s">
        <v>335</v>
      </c>
      <c r="J51" t="s">
        <v>236</v>
      </c>
      <c r="K51" s="15">
        <v>0.395833333333333</v>
      </c>
      <c r="L51" s="15" t="s">
        <v>218</v>
      </c>
      <c r="M51" s="15"/>
      <c r="N51" t="s">
        <v>148</v>
      </c>
      <c r="O51" s="20" t="str">
        <f t="shared" si="6"/>
        <v>不正确</v>
      </c>
      <c r="P51" s="21">
        <v>0</v>
      </c>
      <c r="Q51" s="21">
        <v>0</v>
      </c>
      <c r="R51" s="21">
        <v>0</v>
      </c>
      <c r="S51" s="21">
        <f t="shared" si="1"/>
        <v>0</v>
      </c>
      <c r="T51" s="21">
        <f t="shared" si="2"/>
        <v>0</v>
      </c>
      <c r="U51" s="21" t="str">
        <f t="shared" si="3"/>
        <v>否</v>
      </c>
      <c r="V51" s="21">
        <f>VLOOKUP($C51,[4]Sheet1!$B:$AN,39,FALSE)</f>
        <v>0</v>
      </c>
      <c r="W51" s="21">
        <v>0</v>
      </c>
      <c r="X51" s="23">
        <v>0</v>
      </c>
      <c r="Y51" s="23">
        <v>4</v>
      </c>
      <c r="Z51" s="25">
        <f t="shared" si="4"/>
        <v>4</v>
      </c>
      <c r="AA51" s="25" t="str">
        <f t="shared" si="5"/>
        <v>是</v>
      </c>
      <c r="AB51" t="s">
        <v>148</v>
      </c>
      <c r="AC51" t="e">
        <f>VLOOKUP(C51,[1]Sheet1!$C:$O,13,FALSE)</f>
        <v>#N/A</v>
      </c>
      <c r="AD51" t="str">
        <f>VLOOKUP($H51,'[3]0509人员排班情况 副本'!$G:$U,12,FALSE)</f>
        <v>袁博闻(Bowen Yuan)</v>
      </c>
      <c r="AE51">
        <f>VLOOKUP($H51,'[3]0509人员排班情况 副本'!$G:$U,13,FALSE)</f>
        <v>0</v>
      </c>
      <c r="AF51">
        <f>VLOOKUP($H51,'[3]0509人员排班情况 副本'!$G:$U,14,FALSE)</f>
        <v>0</v>
      </c>
      <c r="AG51">
        <f>VLOOKUP($H51,'[3]0509人员排班情况 副本'!$G:$U,15,FALSE)</f>
        <v>0</v>
      </c>
    </row>
    <row r="52" customHeight="1" spans="1:33">
      <c r="A52" t="s">
        <v>202</v>
      </c>
      <c r="B52" t="s">
        <v>336</v>
      </c>
      <c r="C52" t="s">
        <v>337</v>
      </c>
      <c r="D52" t="s">
        <v>10</v>
      </c>
      <c r="E52" t="s">
        <v>265</v>
      </c>
      <c r="F52" t="s">
        <v>148</v>
      </c>
      <c r="H52" t="str">
        <f t="shared" si="0"/>
        <v>BD 本地客户部北美销售组</v>
      </c>
      <c r="I52" t="s">
        <v>338</v>
      </c>
      <c r="J52" t="s">
        <v>236</v>
      </c>
      <c r="K52" s="15">
        <v>0.395833333333333</v>
      </c>
      <c r="L52" s="15" t="s">
        <v>218</v>
      </c>
      <c r="M52" s="15"/>
      <c r="N52" t="s">
        <v>148</v>
      </c>
      <c r="O52" s="20" t="str">
        <f t="shared" si="6"/>
        <v>不正确</v>
      </c>
      <c r="P52" s="21">
        <v>0</v>
      </c>
      <c r="Q52" s="21">
        <v>0</v>
      </c>
      <c r="R52" s="21">
        <v>0</v>
      </c>
      <c r="S52" s="21">
        <f t="shared" si="1"/>
        <v>0</v>
      </c>
      <c r="T52" s="21">
        <f t="shared" si="2"/>
        <v>0</v>
      </c>
      <c r="U52" s="21" t="str">
        <f t="shared" si="3"/>
        <v>否</v>
      </c>
      <c r="V52" s="21">
        <f>VLOOKUP($C52,[4]Sheet1!$B:$AN,39,FALSE)</f>
        <v>0</v>
      </c>
      <c r="W52" s="21">
        <v>0</v>
      </c>
      <c r="X52" s="23">
        <v>0</v>
      </c>
      <c r="Y52" s="23">
        <v>0</v>
      </c>
      <c r="Z52" s="25">
        <f t="shared" si="4"/>
        <v>0</v>
      </c>
      <c r="AA52" s="25" t="str">
        <f t="shared" si="5"/>
        <v>是</v>
      </c>
      <c r="AB52" t="s">
        <v>339</v>
      </c>
      <c r="AC52" t="e">
        <f>VLOOKUP(C52,[1]Sheet1!$C:$O,13,FALSE)</f>
        <v>#N/A</v>
      </c>
      <c r="AD52" t="str">
        <f>VLOOKUP($H52,'[3]0509人员排班情况 副本'!$G:$U,12,FALSE)</f>
        <v>袁博闻(Bowen Yuan)</v>
      </c>
      <c r="AE52">
        <f>VLOOKUP($H52,'[3]0509人员排班情况 副本'!$G:$U,13,FALSE)</f>
        <v>0</v>
      </c>
      <c r="AF52">
        <f>VLOOKUP($H52,'[3]0509人员排班情况 副本'!$G:$U,14,FALSE)</f>
        <v>0</v>
      </c>
      <c r="AG52">
        <f>VLOOKUP($H52,'[3]0509人员排班情况 副本'!$G:$U,15,FALSE)</f>
        <v>0</v>
      </c>
    </row>
    <row r="53" customHeight="1" spans="1:33">
      <c r="A53" t="s">
        <v>202</v>
      </c>
      <c r="B53" t="s">
        <v>340</v>
      </c>
      <c r="C53" t="s">
        <v>341</v>
      </c>
      <c r="D53" t="s">
        <v>58</v>
      </c>
      <c r="E53" t="s">
        <v>64</v>
      </c>
      <c r="F53" t="s">
        <v>342</v>
      </c>
      <c r="H53" t="str">
        <f t="shared" si="0"/>
        <v>MS 中南大区CS 夏洛特及周边片区GSP01</v>
      </c>
      <c r="I53" t="s">
        <v>177</v>
      </c>
      <c r="J53" t="s">
        <v>343</v>
      </c>
      <c r="K53" s="15">
        <v>0.25</v>
      </c>
      <c r="L53" s="15" t="s">
        <v>344</v>
      </c>
      <c r="M53" s="15">
        <v>0.252083333333333</v>
      </c>
      <c r="N53" t="s">
        <v>148</v>
      </c>
      <c r="O53" s="20" t="str">
        <f t="shared" si="6"/>
        <v>正确</v>
      </c>
      <c r="P53" s="21">
        <v>0</v>
      </c>
      <c r="Q53" s="21">
        <v>0</v>
      </c>
      <c r="R53" s="21">
        <v>0</v>
      </c>
      <c r="S53" s="21">
        <f t="shared" si="1"/>
        <v>0</v>
      </c>
      <c r="T53" s="21">
        <f t="shared" si="2"/>
        <v>0</v>
      </c>
      <c r="U53" s="21" t="str">
        <f t="shared" si="3"/>
        <v>否</v>
      </c>
      <c r="V53" s="21">
        <f>VLOOKUP($C53,[4]Sheet1!$B:$AN,39,FALSE)</f>
        <v>4.92</v>
      </c>
      <c r="W53" s="21">
        <v>0</v>
      </c>
      <c r="X53" s="23">
        <v>4</v>
      </c>
      <c r="Y53" s="23">
        <v>4</v>
      </c>
      <c r="Z53" s="25">
        <f t="shared" si="4"/>
        <v>0</v>
      </c>
      <c r="AA53" s="25" t="str">
        <f t="shared" si="5"/>
        <v>是</v>
      </c>
      <c r="AB53" t="s">
        <v>148</v>
      </c>
      <c r="AC53" t="e">
        <f>VLOOKUP(C53,[1]Sheet1!$C:$O,13,FALSE)</f>
        <v>#N/A</v>
      </c>
      <c r="AD53" t="str">
        <f>VLOOKUP($H53,'[3]0509人员排班情况 副本'!$G:$U,12,FALSE)</f>
        <v>欧阳迎春Flower（Yingchun Ouyang）</v>
      </c>
      <c r="AE53" t="str">
        <f>VLOOKUP($H53,'[3]0509人员排班情况 副本'!$G:$U,13,FALSE)</f>
        <v>杨云飞</v>
      </c>
      <c r="AF53" t="str">
        <f>VLOOKUP($H53,'[3]0509人员排班情况 副本'!$G:$U,14,FALSE)</f>
        <v>唐浩Thomas(Hao Tang)</v>
      </c>
      <c r="AG53">
        <f>VLOOKUP($H53,'[3]0509人员排班情况 副本'!$G:$U,15,FALSE)</f>
        <v>0</v>
      </c>
    </row>
    <row r="54" customHeight="1" spans="1:33">
      <c r="A54" t="s">
        <v>202</v>
      </c>
      <c r="B54" t="s">
        <v>345</v>
      </c>
      <c r="C54" t="s">
        <v>346</v>
      </c>
      <c r="D54" t="s">
        <v>15</v>
      </c>
      <c r="E54" t="s">
        <v>17</v>
      </c>
      <c r="F54" t="s">
        <v>275</v>
      </c>
      <c r="G54" t="s">
        <v>112</v>
      </c>
      <c r="H54" t="str">
        <f t="shared" si="0"/>
        <v>FL 佛州大区MCO.H分拣组</v>
      </c>
      <c r="I54" t="s">
        <v>303</v>
      </c>
      <c r="J54" t="s">
        <v>347</v>
      </c>
      <c r="K54" s="15">
        <v>0.541666666666667</v>
      </c>
      <c r="L54" s="15" t="s">
        <v>348</v>
      </c>
      <c r="M54" s="15">
        <v>0.515277777777778</v>
      </c>
      <c r="N54" t="s">
        <v>349</v>
      </c>
      <c r="O54" s="20" t="str">
        <f t="shared" si="6"/>
        <v>正确</v>
      </c>
      <c r="P54" s="21">
        <v>0</v>
      </c>
      <c r="Q54" s="21">
        <v>10.15</v>
      </c>
      <c r="R54" s="21">
        <v>0</v>
      </c>
      <c r="S54" s="21">
        <f t="shared" si="1"/>
        <v>10.15</v>
      </c>
      <c r="T54" s="21">
        <f t="shared" si="2"/>
        <v>2.15</v>
      </c>
      <c r="U54" s="21" t="str">
        <f t="shared" si="3"/>
        <v>是</v>
      </c>
      <c r="V54" s="21">
        <f>VLOOKUP($C54,[4]Sheet1!$B:$AN,39,FALSE)</f>
        <v>22.07</v>
      </c>
      <c r="W54" s="21">
        <v>0</v>
      </c>
      <c r="X54" s="23">
        <v>4</v>
      </c>
      <c r="Y54" s="23">
        <v>4</v>
      </c>
      <c r="Z54" s="25">
        <f t="shared" si="4"/>
        <v>0</v>
      </c>
      <c r="AA54" s="25" t="str">
        <f t="shared" si="5"/>
        <v>是</v>
      </c>
      <c r="AB54" t="s">
        <v>148</v>
      </c>
      <c r="AC54" t="e">
        <f>VLOOKUP(C54,[1]Sheet1!$C:$O,13,FALSE)</f>
        <v>#N/A</v>
      </c>
      <c r="AD54" t="str">
        <f>VLOOKUP($H54,'[3]0509人员排班情况 副本'!$G:$U,12,FALSE)</f>
        <v>Natalia (Natalia Padilla),孙婕 Jasmine（Sunjie）</v>
      </c>
      <c r="AE54" t="str">
        <f>VLOOKUP($H54,'[3]0509人员排班情况 副本'!$G:$U,13,FALSE)</f>
        <v>贺子强Jeff (Ziqiang He)</v>
      </c>
      <c r="AF54" t="str">
        <f>VLOOKUP($H54,'[3]0509人员排班情况 副本'!$G:$U,14,FALSE)</f>
        <v>张双甫(Shuangfu Zhang)</v>
      </c>
      <c r="AG54">
        <f>VLOOKUP($H54,'[3]0509人员排班情况 副本'!$G:$U,15,FALSE)</f>
        <v>0</v>
      </c>
    </row>
    <row r="55" customHeight="1" spans="1:33">
      <c r="A55" t="s">
        <v>202</v>
      </c>
      <c r="B55" t="s">
        <v>350</v>
      </c>
      <c r="C55" t="s">
        <v>351</v>
      </c>
      <c r="D55" t="s">
        <v>92</v>
      </c>
      <c r="E55" t="s">
        <v>94</v>
      </c>
      <c r="F55" t="s">
        <v>210</v>
      </c>
      <c r="G55" t="s">
        <v>112</v>
      </c>
      <c r="H55" t="str">
        <f t="shared" si="0"/>
        <v>TX 德州大区DFW.H操作组</v>
      </c>
      <c r="I55" t="s">
        <v>156</v>
      </c>
      <c r="J55" t="s">
        <v>217</v>
      </c>
      <c r="K55" s="15">
        <v>0.395833333333333</v>
      </c>
      <c r="L55" s="15" t="s">
        <v>218</v>
      </c>
      <c r="M55" s="15"/>
      <c r="N55" t="s">
        <v>148</v>
      </c>
      <c r="O55" s="20" t="s">
        <v>116</v>
      </c>
      <c r="P55" s="21">
        <v>0</v>
      </c>
      <c r="Q55" s="21">
        <v>0</v>
      </c>
      <c r="R55" s="21">
        <v>0</v>
      </c>
      <c r="S55" s="21">
        <f t="shared" si="1"/>
        <v>0</v>
      </c>
      <c r="T55" s="21">
        <f t="shared" si="2"/>
        <v>0</v>
      </c>
      <c r="U55" s="21" t="str">
        <f t="shared" si="3"/>
        <v>否</v>
      </c>
      <c r="V55" s="21">
        <f>VLOOKUP($C55,[4]Sheet1!$B:$AN,39,FALSE)</f>
        <v>9.23</v>
      </c>
      <c r="W55" s="21">
        <v>0</v>
      </c>
      <c r="X55" s="23">
        <v>0</v>
      </c>
      <c r="Y55" s="23">
        <v>0</v>
      </c>
      <c r="Z55" s="25">
        <f t="shared" si="4"/>
        <v>0</v>
      </c>
      <c r="AA55" s="25" t="str">
        <f t="shared" si="5"/>
        <v>是</v>
      </c>
      <c r="AB55" t="s">
        <v>148</v>
      </c>
      <c r="AC55" t="e">
        <f>VLOOKUP(C55,[1]Sheet1!$C:$O,13,FALSE)</f>
        <v>#N/A</v>
      </c>
      <c r="AD55" t="str">
        <f>VLOOKUP($H55,'[3]0509人员排班情况 副本'!$G:$U,12,FALSE)</f>
        <v>肖芦莉Lily (Luli Xiao)</v>
      </c>
      <c r="AE55" t="str">
        <f>VLOOKUP($H55,'[3]0509人员排班情况 副本'!$G:$U,13,FALSE)</f>
        <v>张骥Ji Zhang (Ji Zhang)</v>
      </c>
      <c r="AF55" t="str">
        <f>VLOOKUP($H55,'[3]0509人员排班情况 副本'!$G:$U,14,FALSE)</f>
        <v>Minqing (Minqing Xu),罗煜雄 Mike (Yuxiong Luo)</v>
      </c>
      <c r="AG55">
        <f>VLOOKUP($H55,'[3]0509人员排班情况 副本'!$G:$U,15,FALSE)</f>
        <v>0</v>
      </c>
    </row>
    <row r="56" customHeight="1" spans="1:33">
      <c r="A56" t="s">
        <v>202</v>
      </c>
      <c r="B56" t="s">
        <v>352</v>
      </c>
      <c r="C56" t="s">
        <v>353</v>
      </c>
      <c r="D56" t="s">
        <v>15</v>
      </c>
      <c r="E56" t="s">
        <v>20</v>
      </c>
      <c r="F56" t="s">
        <v>354</v>
      </c>
      <c r="G56" t="s">
        <v>112</v>
      </c>
      <c r="H56" t="str">
        <f t="shared" si="0"/>
        <v>FL 佛州大区MIA.H二程管理组</v>
      </c>
      <c r="I56" t="s">
        <v>355</v>
      </c>
      <c r="J56" t="s">
        <v>211</v>
      </c>
      <c r="K56" s="15">
        <v>0.333333333333333</v>
      </c>
      <c r="L56" s="15" t="s">
        <v>212</v>
      </c>
      <c r="M56" s="15">
        <v>0.331944444444444</v>
      </c>
      <c r="N56" t="s">
        <v>213</v>
      </c>
      <c r="O56" s="20" t="str">
        <f t="shared" si="6"/>
        <v>正确</v>
      </c>
      <c r="P56" s="21">
        <v>0</v>
      </c>
      <c r="Q56" s="21">
        <v>9.07</v>
      </c>
      <c r="R56" s="21">
        <v>0</v>
      </c>
      <c r="S56" s="21">
        <f t="shared" si="1"/>
        <v>9.07</v>
      </c>
      <c r="T56" s="21">
        <f t="shared" si="2"/>
        <v>1.07</v>
      </c>
      <c r="U56" s="21" t="str">
        <f t="shared" si="3"/>
        <v>是</v>
      </c>
      <c r="V56" s="21">
        <f>VLOOKUP($C56,[4]Sheet1!$B:$AN,39,FALSE)</f>
        <v>9.07</v>
      </c>
      <c r="W56" s="21">
        <v>0</v>
      </c>
      <c r="X56" s="23">
        <v>2</v>
      </c>
      <c r="Y56" s="23">
        <v>4</v>
      </c>
      <c r="Z56" s="25">
        <f t="shared" si="4"/>
        <v>2</v>
      </c>
      <c r="AA56" s="25" t="str">
        <f t="shared" si="5"/>
        <v>是</v>
      </c>
      <c r="AB56" t="s">
        <v>148</v>
      </c>
      <c r="AC56" t="e">
        <f>VLOOKUP(C56,[1]Sheet1!$C:$O,13,FALSE)</f>
        <v>#N/A</v>
      </c>
      <c r="AD56" t="str">
        <f>VLOOKUP($H56,'[3]0509人员排班情况 副本'!$G:$U,12,FALSE)</f>
        <v>Natalia (Natalia Padilla),孙婕 Jasmine（Sunjie）</v>
      </c>
      <c r="AE56" t="str">
        <f>VLOOKUP($H56,'[3]0509人员排班情况 副本'!$G:$U,13,FALSE)</f>
        <v>贺子强Jeff (Ziqiang He)</v>
      </c>
      <c r="AF56" t="str">
        <f>VLOOKUP($H56,'[3]0509人员排班情况 副本'!$G:$U,14,FALSE)</f>
        <v>Minqing (Minqing Xu),罗煜雄 Mike (Yuxiong Luo)</v>
      </c>
      <c r="AG56">
        <f>VLOOKUP($H56,'[3]0509人员排班情况 副本'!$G:$U,15,FALSE)</f>
        <v>0</v>
      </c>
    </row>
    <row r="57" customHeight="1" spans="1:33">
      <c r="A57" t="s">
        <v>202</v>
      </c>
      <c r="B57" t="s">
        <v>356</v>
      </c>
      <c r="C57" t="s">
        <v>357</v>
      </c>
      <c r="D57" t="s">
        <v>100</v>
      </c>
      <c r="E57" t="s">
        <v>102</v>
      </c>
      <c r="F57" t="s">
        <v>358</v>
      </c>
      <c r="H57" t="str">
        <f t="shared" si="0"/>
        <v>WE 美西大区DS 丹佛·盐湖城片区DEN.H</v>
      </c>
      <c r="I57" t="s">
        <v>303</v>
      </c>
      <c r="J57" t="s">
        <v>211</v>
      </c>
      <c r="K57" s="15">
        <v>0.333333333333333</v>
      </c>
      <c r="L57" s="15" t="s">
        <v>212</v>
      </c>
      <c r="M57" s="15">
        <v>0.3375</v>
      </c>
      <c r="N57" t="s">
        <v>359</v>
      </c>
      <c r="O57" s="20" t="str">
        <f t="shared" si="6"/>
        <v>正确</v>
      </c>
      <c r="P57" s="21">
        <v>0</v>
      </c>
      <c r="Q57" s="21">
        <v>8.28</v>
      </c>
      <c r="R57" s="21">
        <v>0</v>
      </c>
      <c r="S57" s="21">
        <f t="shared" si="1"/>
        <v>8.28</v>
      </c>
      <c r="T57" s="21">
        <f t="shared" si="2"/>
        <v>0.279999999999999</v>
      </c>
      <c r="U57" s="21" t="str">
        <f t="shared" si="3"/>
        <v>是</v>
      </c>
      <c r="V57" s="21">
        <f>VLOOKUP($C57,[4]Sheet1!$B:$AN,39,FALSE)</f>
        <v>16.58</v>
      </c>
      <c r="W57" s="21">
        <v>0</v>
      </c>
      <c r="X57" s="23">
        <v>4</v>
      </c>
      <c r="Y57" s="23">
        <v>4</v>
      </c>
      <c r="Z57" s="25">
        <f t="shared" si="4"/>
        <v>0</v>
      </c>
      <c r="AA57" s="25" t="str">
        <f t="shared" si="5"/>
        <v>是</v>
      </c>
      <c r="AB57" t="s">
        <v>148</v>
      </c>
      <c r="AC57" t="e">
        <f>VLOOKUP(C57,[1]Sheet1!$C:$O,13,FALSE)</f>
        <v>#N/A</v>
      </c>
      <c r="AD57" t="str">
        <f>VLOOKUP($H57,'[3]0509人员排班情况 副本'!$G:$U,12,FALSE)</f>
        <v>王骞Ariel（Qian Wang）,叶秀芳Freya (Xiufang Ye)</v>
      </c>
      <c r="AE57" t="str">
        <f>VLOOKUP($H57,'[3]0509人员排班情况 副本'!$G:$U,13,FALSE)</f>
        <v>常哲</v>
      </c>
      <c r="AF57" t="str">
        <f>VLOOKUP($H57,'[3]0509人员排班情况 副本'!$G:$U,14,FALSE)</f>
        <v>兰鹏Peng（Peng Lan）</v>
      </c>
      <c r="AG57">
        <f>VLOOKUP($H57,'[3]0509人员排班情况 副本'!$G:$U,15,FALSE)</f>
        <v>0</v>
      </c>
    </row>
    <row r="58" customHeight="1" spans="1:33">
      <c r="A58" t="s">
        <v>202</v>
      </c>
      <c r="B58" t="s">
        <v>360</v>
      </c>
      <c r="C58" t="s">
        <v>361</v>
      </c>
      <c r="D58" t="s">
        <v>10</v>
      </c>
      <c r="E58" t="s">
        <v>334</v>
      </c>
      <c r="F58" t="s">
        <v>148</v>
      </c>
      <c r="H58" t="str">
        <f t="shared" si="0"/>
        <v>BD 本地客户部定价分析组</v>
      </c>
      <c r="I58" t="s">
        <v>362</v>
      </c>
      <c r="J58" t="s">
        <v>236</v>
      </c>
      <c r="K58" s="15">
        <v>0.395833333333333</v>
      </c>
      <c r="L58" s="15" t="s">
        <v>218</v>
      </c>
      <c r="M58" s="15"/>
      <c r="N58" t="s">
        <v>148</v>
      </c>
      <c r="O58" s="20" t="str">
        <f t="shared" si="6"/>
        <v>不正确</v>
      </c>
      <c r="P58" s="21">
        <v>0</v>
      </c>
      <c r="Q58" s="21">
        <v>0</v>
      </c>
      <c r="R58" s="21">
        <v>0</v>
      </c>
      <c r="S58" s="21">
        <f t="shared" si="1"/>
        <v>0</v>
      </c>
      <c r="T58" s="21">
        <f t="shared" si="2"/>
        <v>0</v>
      </c>
      <c r="U58" s="21" t="str">
        <f t="shared" si="3"/>
        <v>否</v>
      </c>
      <c r="V58" s="21">
        <f>VLOOKUP($C58,[4]Sheet1!$B:$AN,39,FALSE)</f>
        <v>0</v>
      </c>
      <c r="W58" s="21">
        <v>0</v>
      </c>
      <c r="X58" s="23">
        <v>0</v>
      </c>
      <c r="Y58" s="23">
        <v>4</v>
      </c>
      <c r="Z58" s="25">
        <f t="shared" si="4"/>
        <v>4</v>
      </c>
      <c r="AA58" s="25" t="str">
        <f t="shared" si="5"/>
        <v>是</v>
      </c>
      <c r="AB58" t="s">
        <v>148</v>
      </c>
      <c r="AC58" t="e">
        <f>VLOOKUP(C58,[1]Sheet1!$C:$O,13,FALSE)</f>
        <v>#N/A</v>
      </c>
      <c r="AD58" t="str">
        <f>VLOOKUP($H58,'[3]0509人员排班情况 副本'!$G:$U,12,FALSE)</f>
        <v>袁博闻(Bowen Yuan)</v>
      </c>
      <c r="AE58">
        <f>VLOOKUP($H58,'[3]0509人员排班情况 副本'!$G:$U,13,FALSE)</f>
        <v>0</v>
      </c>
      <c r="AF58">
        <f>VLOOKUP($H58,'[3]0509人员排班情况 副本'!$G:$U,14,FALSE)</f>
        <v>0</v>
      </c>
      <c r="AG58">
        <f>VLOOKUP($H58,'[3]0509人员排班情况 副本'!$G:$U,15,FALSE)</f>
        <v>0</v>
      </c>
    </row>
    <row r="59" customHeight="1" spans="1:33">
      <c r="A59" t="s">
        <v>202</v>
      </c>
      <c r="B59" t="s">
        <v>363</v>
      </c>
      <c r="C59" t="s">
        <v>364</v>
      </c>
      <c r="D59" t="s">
        <v>15</v>
      </c>
      <c r="E59" t="s">
        <v>20</v>
      </c>
      <c r="F59" t="s">
        <v>210</v>
      </c>
      <c r="G59" t="s">
        <v>112</v>
      </c>
      <c r="H59" t="str">
        <f t="shared" si="0"/>
        <v>FL 佛州大区MIA.H操作组</v>
      </c>
      <c r="I59" t="s">
        <v>156</v>
      </c>
      <c r="J59" t="s">
        <v>365</v>
      </c>
      <c r="K59" s="15">
        <v>0.833333333333333</v>
      </c>
      <c r="L59" s="15" t="s">
        <v>366</v>
      </c>
      <c r="M59" s="15">
        <v>0.859027777777778</v>
      </c>
      <c r="N59" t="s">
        <v>148</v>
      </c>
      <c r="O59" s="20" t="str">
        <f t="shared" si="6"/>
        <v>正确</v>
      </c>
      <c r="P59" s="21">
        <v>0</v>
      </c>
      <c r="Q59" s="21">
        <v>0</v>
      </c>
      <c r="R59" s="21">
        <v>0</v>
      </c>
      <c r="S59" s="21">
        <f t="shared" si="1"/>
        <v>0</v>
      </c>
      <c r="T59" s="21">
        <f t="shared" si="2"/>
        <v>0</v>
      </c>
      <c r="U59" s="21" t="str">
        <f t="shared" si="3"/>
        <v>否</v>
      </c>
      <c r="V59" s="21">
        <f>VLOOKUP($C59,[4]Sheet1!$B:$AN,39,FALSE)</f>
        <v>5</v>
      </c>
      <c r="W59" s="21">
        <v>0</v>
      </c>
      <c r="X59" s="23">
        <v>1</v>
      </c>
      <c r="Y59" s="23">
        <v>4</v>
      </c>
      <c r="Z59" s="25">
        <f t="shared" si="4"/>
        <v>3</v>
      </c>
      <c r="AA59" s="25" t="str">
        <f t="shared" si="5"/>
        <v>是</v>
      </c>
      <c r="AB59" t="s">
        <v>148</v>
      </c>
      <c r="AC59" t="e">
        <f>VLOOKUP(C59,[1]Sheet1!$C:$O,13,FALSE)</f>
        <v>#N/A</v>
      </c>
      <c r="AD59" t="str">
        <f>VLOOKUP($H59,'[3]0509人员排班情况 副本'!$G:$U,12,FALSE)</f>
        <v>Natalia (Natalia Padilla),孙婕 Jasmine（Sunjie）</v>
      </c>
      <c r="AE59" t="str">
        <f>VLOOKUP($H59,'[3]0509人员排班情况 副本'!$G:$U,13,FALSE)</f>
        <v>贺子强Jeff (Ziqiang He)</v>
      </c>
      <c r="AF59" t="str">
        <f>VLOOKUP($H59,'[3]0509人员排班情况 副本'!$G:$U,14,FALSE)</f>
        <v>Minqing (Minqing Xu),罗煜雄 Mike (Yuxiong Luo)</v>
      </c>
      <c r="AG59">
        <f>VLOOKUP($H59,'[3]0509人员排班情况 副本'!$G:$U,15,FALSE)</f>
        <v>0</v>
      </c>
    </row>
    <row r="60" customHeight="1" spans="1:33">
      <c r="A60" t="s">
        <v>202</v>
      </c>
      <c r="B60" t="s">
        <v>367</v>
      </c>
      <c r="C60" t="s">
        <v>368</v>
      </c>
      <c r="D60" t="s">
        <v>15</v>
      </c>
      <c r="E60" t="s">
        <v>22</v>
      </c>
      <c r="F60" t="s">
        <v>369</v>
      </c>
      <c r="H60" t="str">
        <f t="shared" si="0"/>
        <v>FL 佛州大区NF 北佛片区TAL01</v>
      </c>
      <c r="I60" t="s">
        <v>177</v>
      </c>
      <c r="J60" t="s">
        <v>221</v>
      </c>
      <c r="K60" s="15">
        <v>0.208333333333333</v>
      </c>
      <c r="L60" s="15" t="s">
        <v>222</v>
      </c>
      <c r="M60" s="15">
        <v>0.209027777777778</v>
      </c>
      <c r="N60" t="s">
        <v>370</v>
      </c>
      <c r="O60" s="20" t="str">
        <f t="shared" si="6"/>
        <v>正确</v>
      </c>
      <c r="P60" s="21">
        <v>0</v>
      </c>
      <c r="Q60" s="21">
        <v>8.05</v>
      </c>
      <c r="R60" s="21">
        <v>0</v>
      </c>
      <c r="S60" s="21">
        <f t="shared" si="1"/>
        <v>8.05</v>
      </c>
      <c r="T60" s="21">
        <f t="shared" si="2"/>
        <v>0.0500000000000007</v>
      </c>
      <c r="U60" s="21" t="str">
        <f t="shared" si="3"/>
        <v>是</v>
      </c>
      <c r="V60" s="21">
        <f>VLOOKUP($C60,[4]Sheet1!$B:$AN,39,FALSE)</f>
        <v>16.13</v>
      </c>
      <c r="W60" s="21">
        <v>0</v>
      </c>
      <c r="X60" s="23">
        <v>4</v>
      </c>
      <c r="Y60" s="23">
        <v>4</v>
      </c>
      <c r="Z60" s="25">
        <f t="shared" si="4"/>
        <v>0</v>
      </c>
      <c r="AA60" s="25" t="str">
        <f t="shared" si="5"/>
        <v>是</v>
      </c>
      <c r="AB60" t="s">
        <v>148</v>
      </c>
      <c r="AC60" t="e">
        <f>VLOOKUP(C60,[1]Sheet1!$C:$O,13,FALSE)</f>
        <v>#N/A</v>
      </c>
      <c r="AD60" t="str">
        <f>VLOOKUP($H60,'[3]0509人员排班情况 副本'!$G:$U,12,FALSE)</f>
        <v>Natalia (Natalia Padilla),孙婕 Jasmine（Sunjie）</v>
      </c>
      <c r="AE60" t="str">
        <f>VLOOKUP($H60,'[3]0509人员排班情况 副本'!$G:$U,13,FALSE)</f>
        <v>贺子强Jeff (Ziqiang He)</v>
      </c>
      <c r="AF60" t="str">
        <f>VLOOKUP($H60,'[3]0509人员排班情况 副本'!$G:$U,14,FALSE)</f>
        <v>黄燕娜 Nana (Yanna Huang)</v>
      </c>
      <c r="AG60">
        <f>VLOOKUP($H60,'[3]0509人员排班情况 副本'!$G:$U,15,FALSE)</f>
        <v>0</v>
      </c>
    </row>
    <row r="61" customHeight="1" spans="1:33">
      <c r="A61" t="s">
        <v>202</v>
      </c>
      <c r="B61" t="s">
        <v>371</v>
      </c>
      <c r="C61" t="s">
        <v>372</v>
      </c>
      <c r="D61" t="s">
        <v>100</v>
      </c>
      <c r="E61" t="s">
        <v>101</v>
      </c>
      <c r="F61" t="s">
        <v>210</v>
      </c>
      <c r="G61" t="s">
        <v>112</v>
      </c>
      <c r="H61" t="str">
        <f t="shared" si="0"/>
        <v>WE 美西大区CNO.H操作组</v>
      </c>
      <c r="I61" t="s">
        <v>156</v>
      </c>
      <c r="J61" t="s">
        <v>373</v>
      </c>
      <c r="K61" s="15">
        <v>0.291666666666667</v>
      </c>
      <c r="L61" s="15" t="s">
        <v>374</v>
      </c>
      <c r="M61" s="15">
        <v>0.31875</v>
      </c>
      <c r="N61" t="s">
        <v>375</v>
      </c>
      <c r="O61" s="20" t="str">
        <f t="shared" si="6"/>
        <v>正确</v>
      </c>
      <c r="P61" s="21">
        <v>0</v>
      </c>
      <c r="Q61" s="21">
        <v>8.28</v>
      </c>
      <c r="R61" s="21">
        <v>0</v>
      </c>
      <c r="S61" s="21">
        <f t="shared" si="1"/>
        <v>8.28</v>
      </c>
      <c r="T61" s="21">
        <f t="shared" si="2"/>
        <v>0.279999999999999</v>
      </c>
      <c r="U61" s="21" t="str">
        <f t="shared" si="3"/>
        <v>是</v>
      </c>
      <c r="V61" s="21">
        <f>VLOOKUP($C61,[4]Sheet1!$B:$AN,39,FALSE)</f>
        <v>17.38</v>
      </c>
      <c r="W61" s="21">
        <v>0</v>
      </c>
      <c r="X61" s="23">
        <v>4</v>
      </c>
      <c r="Y61" s="23">
        <v>4</v>
      </c>
      <c r="Z61" s="25">
        <f t="shared" si="4"/>
        <v>0</v>
      </c>
      <c r="AA61" s="25" t="str">
        <f t="shared" si="5"/>
        <v>是</v>
      </c>
      <c r="AB61" t="s">
        <v>148</v>
      </c>
      <c r="AC61" t="e">
        <f>VLOOKUP(C61,[1]Sheet1!$C:$O,13,FALSE)</f>
        <v>#N/A</v>
      </c>
      <c r="AD61" t="str">
        <f>VLOOKUP($H61,'[3]0509人员排班情况 副本'!$G:$U,12,FALSE)</f>
        <v>王骞Ariel（Qian Wang）,叶秀芳Freya (Xiufang Ye)</v>
      </c>
      <c r="AE61" t="str">
        <f>VLOOKUP($H61,'[3]0509人员排班情况 副本'!$G:$U,13,FALSE)</f>
        <v>常哲</v>
      </c>
      <c r="AF61" t="str">
        <f>VLOOKUP($H61,'[3]0509人员排班情况 副本'!$G:$U,14,FALSE)</f>
        <v>Minqing (Minqing Xu),罗煜雄 Mike (Yuxiong Luo)</v>
      </c>
      <c r="AG61">
        <f>VLOOKUP($H61,'[3]0509人员排班情况 副本'!$G:$U,15,FALSE)</f>
        <v>0</v>
      </c>
    </row>
    <row r="62" customHeight="1" spans="1:33">
      <c r="A62" t="s">
        <v>202</v>
      </c>
      <c r="B62" t="s">
        <v>376</v>
      </c>
      <c r="C62" t="s">
        <v>377</v>
      </c>
      <c r="D62" t="s">
        <v>48</v>
      </c>
      <c r="E62" t="s">
        <v>50</v>
      </c>
      <c r="F62" t="s">
        <v>159</v>
      </c>
      <c r="H62" t="str">
        <f t="shared" si="0"/>
        <v>Ground项目部OG 美南区ATL.G</v>
      </c>
      <c r="I62" t="s">
        <v>281</v>
      </c>
      <c r="J62" t="s">
        <v>221</v>
      </c>
      <c r="K62" s="15">
        <v>0.208333333333333</v>
      </c>
      <c r="L62" s="15" t="s">
        <v>222</v>
      </c>
      <c r="M62" s="15">
        <v>0.2125</v>
      </c>
      <c r="N62" t="s">
        <v>378</v>
      </c>
      <c r="O62" s="20" t="str">
        <f t="shared" si="6"/>
        <v>正确</v>
      </c>
      <c r="P62" s="21">
        <v>0</v>
      </c>
      <c r="Q62" s="21">
        <v>8.1</v>
      </c>
      <c r="R62" s="21">
        <v>0</v>
      </c>
      <c r="S62" s="21">
        <f t="shared" si="1"/>
        <v>8.1</v>
      </c>
      <c r="T62" s="21">
        <f t="shared" si="2"/>
        <v>0.0999999999999996</v>
      </c>
      <c r="U62" s="21" t="str">
        <f t="shared" si="3"/>
        <v>是</v>
      </c>
      <c r="V62" s="21">
        <f>VLOOKUP($C62,[4]Sheet1!$B:$AN,39,FALSE)</f>
        <v>8.1</v>
      </c>
      <c r="W62" s="21">
        <v>0</v>
      </c>
      <c r="X62" s="23">
        <v>4</v>
      </c>
      <c r="Y62" s="23">
        <v>4</v>
      </c>
      <c r="Z62" s="25">
        <f t="shared" si="4"/>
        <v>0</v>
      </c>
      <c r="AA62" s="25" t="str">
        <f t="shared" si="5"/>
        <v>是</v>
      </c>
      <c r="AB62" t="s">
        <v>148</v>
      </c>
      <c r="AC62" t="e">
        <f>VLOOKUP(C62,[1]Sheet1!$C:$O,13,FALSE)</f>
        <v>#N/A</v>
      </c>
      <c r="AD62" t="str">
        <f>VLOOKUP($H62,'[3]0509人员排班情况 副本'!$G:$U,12,FALSE)</f>
        <v>王安琪 (Anqi Wang),张朱同 Thomson（Zhutong Zhang）</v>
      </c>
      <c r="AE62" t="str">
        <f>VLOOKUP($H62,'[3]0509人员排班情况 副本'!$G:$U,13,FALSE)</f>
        <v>陈锦昭</v>
      </c>
      <c r="AF62" t="str">
        <f>VLOOKUP($H62,'[3]0509人员排班情况 副本'!$G:$U,14,FALSE)</f>
        <v>金筱燕Sharon（Xiaoyan Jin）</v>
      </c>
      <c r="AG62">
        <f>VLOOKUP($H62,'[3]0509人员排班情况 副本'!$G:$U,15,FALSE)</f>
        <v>0</v>
      </c>
    </row>
    <row r="63" customHeight="1" spans="1:33">
      <c r="A63" t="s">
        <v>202</v>
      </c>
      <c r="B63" t="s">
        <v>379</v>
      </c>
      <c r="C63" t="s">
        <v>380</v>
      </c>
      <c r="D63" t="s">
        <v>58</v>
      </c>
      <c r="E63" t="s">
        <v>61</v>
      </c>
      <c r="F63" t="s">
        <v>275</v>
      </c>
      <c r="G63" t="s">
        <v>112</v>
      </c>
      <c r="H63" t="str">
        <f t="shared" si="0"/>
        <v>MS 中南大区ATL.H分拣组</v>
      </c>
      <c r="I63" t="s">
        <v>276</v>
      </c>
      <c r="J63" t="s">
        <v>295</v>
      </c>
      <c r="K63" s="15">
        <v>0.375</v>
      </c>
      <c r="L63" s="15" t="s">
        <v>296</v>
      </c>
      <c r="M63" s="15">
        <v>0.399305555555556</v>
      </c>
      <c r="N63" t="s">
        <v>381</v>
      </c>
      <c r="O63" s="20" t="str">
        <f t="shared" si="6"/>
        <v>正确</v>
      </c>
      <c r="P63" s="21">
        <v>0</v>
      </c>
      <c r="Q63" s="21">
        <v>8.85</v>
      </c>
      <c r="R63" s="21">
        <v>0</v>
      </c>
      <c r="S63" s="21">
        <f t="shared" si="1"/>
        <v>8.85</v>
      </c>
      <c r="T63" s="21">
        <f t="shared" si="2"/>
        <v>0.85</v>
      </c>
      <c r="U63" s="21" t="str">
        <f t="shared" si="3"/>
        <v>是</v>
      </c>
      <c r="V63" s="21">
        <f>VLOOKUP($C63,[4]Sheet1!$B:$AN,39,FALSE)</f>
        <v>8.85</v>
      </c>
      <c r="W63" s="21">
        <v>0</v>
      </c>
      <c r="X63" s="23">
        <v>4</v>
      </c>
      <c r="Y63" s="23">
        <v>4</v>
      </c>
      <c r="Z63" s="25">
        <f t="shared" si="4"/>
        <v>0</v>
      </c>
      <c r="AA63" s="25" t="str">
        <f t="shared" si="5"/>
        <v>是</v>
      </c>
      <c r="AB63" t="s">
        <v>148</v>
      </c>
      <c r="AC63" t="e">
        <f>VLOOKUP(C63,[1]Sheet1!$C:$O,13,FALSE)</f>
        <v>#N/A</v>
      </c>
      <c r="AD63" t="str">
        <f>VLOOKUP($H63,'[3]0509人员排班情况 副本'!$G:$U,12,FALSE)</f>
        <v>欧阳迎春Flower（Yingchun Ouyang）</v>
      </c>
      <c r="AE63" t="str">
        <f>VLOOKUP($H63,'[3]0509人员排班情况 副本'!$G:$U,13,FALSE)</f>
        <v>杨云飞</v>
      </c>
      <c r="AF63" t="str">
        <f>VLOOKUP($H63,'[3]0509人员排班情况 副本'!$G:$U,14,FALSE)</f>
        <v>张双甫(Shuangfu Zhang),明杰麟Jennie (Jielin Ming)</v>
      </c>
      <c r="AG63" t="str">
        <f>VLOOKUP($H63,'[3]0509人员排班情况 副本'!$G:$U,15,FALSE)</f>
        <v>文艳平</v>
      </c>
    </row>
    <row r="64" customHeight="1" spans="1:33">
      <c r="A64" t="s">
        <v>202</v>
      </c>
      <c r="B64" t="s">
        <v>382</v>
      </c>
      <c r="C64" t="s">
        <v>383</v>
      </c>
      <c r="D64" t="s">
        <v>100</v>
      </c>
      <c r="E64" t="s">
        <v>103</v>
      </c>
      <c r="F64" t="s">
        <v>210</v>
      </c>
      <c r="G64" t="s">
        <v>112</v>
      </c>
      <c r="H64" t="str">
        <f t="shared" si="0"/>
        <v>WE 美西大区LAV.H操作组</v>
      </c>
      <c r="I64" t="s">
        <v>281</v>
      </c>
      <c r="J64" t="s">
        <v>384</v>
      </c>
      <c r="K64" s="15">
        <v>0.6875</v>
      </c>
      <c r="L64" s="15" t="s">
        <v>385</v>
      </c>
      <c r="M64" s="15">
        <v>0.690972222222222</v>
      </c>
      <c r="N64" t="s">
        <v>148</v>
      </c>
      <c r="O64" s="20" t="str">
        <f t="shared" si="6"/>
        <v>正确</v>
      </c>
      <c r="P64" s="21">
        <v>0</v>
      </c>
      <c r="Q64" s="21">
        <v>0</v>
      </c>
      <c r="R64" s="21">
        <v>0</v>
      </c>
      <c r="S64" s="21">
        <f t="shared" si="1"/>
        <v>0</v>
      </c>
      <c r="T64" s="21">
        <f t="shared" si="2"/>
        <v>0</v>
      </c>
      <c r="U64" s="21" t="str">
        <f t="shared" si="3"/>
        <v>否</v>
      </c>
      <c r="V64" s="21">
        <f>VLOOKUP($C64,[4]Sheet1!$B:$AN,39,FALSE)</f>
        <v>0</v>
      </c>
      <c r="W64" s="21">
        <v>0</v>
      </c>
      <c r="X64" s="23">
        <v>3</v>
      </c>
      <c r="Y64" s="23">
        <v>4</v>
      </c>
      <c r="Z64" s="25">
        <f t="shared" si="4"/>
        <v>1</v>
      </c>
      <c r="AA64" s="25" t="str">
        <f t="shared" si="5"/>
        <v>是</v>
      </c>
      <c r="AB64" t="s">
        <v>148</v>
      </c>
      <c r="AC64" t="e">
        <f>VLOOKUP(C64,[1]Sheet1!$C:$O,13,FALSE)</f>
        <v>#N/A</v>
      </c>
      <c r="AD64" t="str">
        <f>VLOOKUP($H64,'[3]0509人员排班情况 副本'!$G:$U,12,FALSE)</f>
        <v>王骞Ariel（Qian Wang）,叶秀芳Freya (Xiufang Ye)</v>
      </c>
      <c r="AE64" t="str">
        <f>VLOOKUP($H64,'[3]0509人员排班情况 副本'!$G:$U,13,FALSE)</f>
        <v>常哲</v>
      </c>
      <c r="AF64" t="str">
        <f>VLOOKUP($H64,'[3]0509人员排班情况 副本'!$G:$U,14,FALSE)</f>
        <v>Minqing (Minqing Xu),罗煜雄 Mike (Yuxiong Luo)</v>
      </c>
      <c r="AG64">
        <f>VLOOKUP($H64,'[3]0509人员排班情况 副本'!$G:$U,15,FALSE)</f>
        <v>0</v>
      </c>
    </row>
    <row r="65" customHeight="1" spans="1:33">
      <c r="A65" t="s">
        <v>202</v>
      </c>
      <c r="B65" t="s">
        <v>386</v>
      </c>
      <c r="C65" t="s">
        <v>387</v>
      </c>
      <c r="D65" t="s">
        <v>100</v>
      </c>
      <c r="E65" t="s">
        <v>103</v>
      </c>
      <c r="F65" t="s">
        <v>210</v>
      </c>
      <c r="G65" t="s">
        <v>112</v>
      </c>
      <c r="H65" t="str">
        <f t="shared" si="0"/>
        <v>WE 美西大区LAV.H操作组</v>
      </c>
      <c r="I65" t="s">
        <v>156</v>
      </c>
      <c r="J65" t="s">
        <v>384</v>
      </c>
      <c r="K65" s="15">
        <v>0.6875</v>
      </c>
      <c r="L65" s="15" t="s">
        <v>385</v>
      </c>
      <c r="M65" s="15">
        <v>0.690972222222222</v>
      </c>
      <c r="N65" t="s">
        <v>148</v>
      </c>
      <c r="O65" s="20" t="str">
        <f t="shared" si="6"/>
        <v>正确</v>
      </c>
      <c r="P65" s="21">
        <v>0</v>
      </c>
      <c r="Q65" s="21">
        <v>0</v>
      </c>
      <c r="R65" s="21">
        <v>0</v>
      </c>
      <c r="S65" s="21">
        <f t="shared" si="1"/>
        <v>0</v>
      </c>
      <c r="T65" s="21">
        <f t="shared" si="2"/>
        <v>0</v>
      </c>
      <c r="U65" s="21" t="str">
        <f t="shared" si="3"/>
        <v>否</v>
      </c>
      <c r="V65" s="21">
        <f>VLOOKUP($C65,[4]Sheet1!$B:$AN,39,FALSE)</f>
        <v>11.55</v>
      </c>
      <c r="W65" s="21">
        <v>0</v>
      </c>
      <c r="X65" s="23">
        <v>3</v>
      </c>
      <c r="Y65" s="23">
        <v>4</v>
      </c>
      <c r="Z65" s="25">
        <f t="shared" si="4"/>
        <v>1</v>
      </c>
      <c r="AA65" s="25" t="str">
        <f t="shared" si="5"/>
        <v>是</v>
      </c>
      <c r="AB65" t="s">
        <v>148</v>
      </c>
      <c r="AC65" t="e">
        <f>VLOOKUP(C65,[1]Sheet1!$C:$O,13,FALSE)</f>
        <v>#N/A</v>
      </c>
      <c r="AD65" t="str">
        <f>VLOOKUP($H65,'[3]0509人员排班情况 副本'!$G:$U,12,FALSE)</f>
        <v>王骞Ariel（Qian Wang）,叶秀芳Freya (Xiufang Ye)</v>
      </c>
      <c r="AE65" t="str">
        <f>VLOOKUP($H65,'[3]0509人员排班情况 副本'!$G:$U,13,FALSE)</f>
        <v>常哲</v>
      </c>
      <c r="AF65" t="str">
        <f>VLOOKUP($H65,'[3]0509人员排班情况 副本'!$G:$U,14,FALSE)</f>
        <v>Minqing (Minqing Xu),罗煜雄 Mike (Yuxiong Luo)</v>
      </c>
      <c r="AG65">
        <f>VLOOKUP($H65,'[3]0509人员排班情况 副本'!$G:$U,15,FALSE)</f>
        <v>0</v>
      </c>
    </row>
    <row r="66" customHeight="1" spans="1:33">
      <c r="A66" t="s">
        <v>202</v>
      </c>
      <c r="B66" t="s">
        <v>388</v>
      </c>
      <c r="C66" t="s">
        <v>389</v>
      </c>
      <c r="D66" t="s">
        <v>58</v>
      </c>
      <c r="E66" t="s">
        <v>61</v>
      </c>
      <c r="F66" t="s">
        <v>275</v>
      </c>
      <c r="G66" t="s">
        <v>112</v>
      </c>
      <c r="H66" t="str">
        <f t="shared" si="0"/>
        <v>MS 中南大区ATL.H分拣组</v>
      </c>
      <c r="I66" t="s">
        <v>276</v>
      </c>
      <c r="J66" t="s">
        <v>245</v>
      </c>
      <c r="K66" s="15">
        <v>0.75</v>
      </c>
      <c r="L66" s="15" t="s">
        <v>246</v>
      </c>
      <c r="M66" s="15">
        <v>0.779861111111111</v>
      </c>
      <c r="N66" t="s">
        <v>148</v>
      </c>
      <c r="O66" s="20" t="str">
        <f t="shared" si="6"/>
        <v>正确</v>
      </c>
      <c r="P66" s="21">
        <v>0</v>
      </c>
      <c r="Q66" s="21">
        <v>0</v>
      </c>
      <c r="R66" s="21">
        <v>0</v>
      </c>
      <c r="S66" s="21">
        <f t="shared" si="1"/>
        <v>0</v>
      </c>
      <c r="T66" s="21">
        <f t="shared" si="2"/>
        <v>0</v>
      </c>
      <c r="U66" s="21" t="str">
        <f t="shared" si="3"/>
        <v>否</v>
      </c>
      <c r="V66" s="21">
        <f>VLOOKUP($C66,[4]Sheet1!$B:$AN,39,FALSE)</f>
        <v>9.98</v>
      </c>
      <c r="W66" s="21">
        <v>0</v>
      </c>
      <c r="X66" s="23">
        <v>1</v>
      </c>
      <c r="Y66" s="23">
        <v>4</v>
      </c>
      <c r="Z66" s="25">
        <f t="shared" si="4"/>
        <v>3</v>
      </c>
      <c r="AA66" s="25" t="str">
        <f t="shared" si="5"/>
        <v>是</v>
      </c>
      <c r="AB66" t="s">
        <v>148</v>
      </c>
      <c r="AC66" t="e">
        <f>VLOOKUP(C66,[1]Sheet1!$C:$O,13,FALSE)</f>
        <v>#N/A</v>
      </c>
      <c r="AD66" t="str">
        <f>VLOOKUP($H66,'[3]0509人员排班情况 副本'!$G:$U,12,FALSE)</f>
        <v>欧阳迎春Flower（Yingchun Ouyang）</v>
      </c>
      <c r="AE66" t="str">
        <f>VLOOKUP($H66,'[3]0509人员排班情况 副本'!$G:$U,13,FALSE)</f>
        <v>杨云飞</v>
      </c>
      <c r="AF66" t="str">
        <f>VLOOKUP($H66,'[3]0509人员排班情况 副本'!$G:$U,14,FALSE)</f>
        <v>张双甫(Shuangfu Zhang),明杰麟Jennie (Jielin Ming)</v>
      </c>
      <c r="AG66" t="str">
        <f>VLOOKUP($H66,'[3]0509人员排班情况 副本'!$G:$U,15,FALSE)</f>
        <v>文艳平</v>
      </c>
    </row>
    <row r="67" customHeight="1" spans="1:33">
      <c r="A67" t="s">
        <v>202</v>
      </c>
      <c r="B67" t="s">
        <v>390</v>
      </c>
      <c r="C67" t="s">
        <v>391</v>
      </c>
      <c r="D67" t="s">
        <v>15</v>
      </c>
      <c r="E67" t="s">
        <v>23</v>
      </c>
      <c r="F67" t="s">
        <v>148</v>
      </c>
      <c r="H67" t="str">
        <f t="shared" si="0"/>
        <v>FL 佛州大区OCF01</v>
      </c>
      <c r="I67" t="s">
        <v>177</v>
      </c>
      <c r="J67" t="s">
        <v>221</v>
      </c>
      <c r="K67" s="15">
        <v>0.208333333333333</v>
      </c>
      <c r="L67" s="15" t="s">
        <v>222</v>
      </c>
      <c r="M67" s="15">
        <v>0.198611111111111</v>
      </c>
      <c r="N67" t="s">
        <v>392</v>
      </c>
      <c r="O67" s="20" t="str">
        <f t="shared" si="6"/>
        <v>正确</v>
      </c>
      <c r="P67" s="21">
        <v>0</v>
      </c>
      <c r="Q67" s="21">
        <v>8.77</v>
      </c>
      <c r="R67" s="21">
        <v>0</v>
      </c>
      <c r="S67" s="21">
        <f t="shared" si="1"/>
        <v>8.77</v>
      </c>
      <c r="T67" s="21">
        <f t="shared" si="2"/>
        <v>0.77</v>
      </c>
      <c r="U67" s="21" t="str">
        <f t="shared" si="3"/>
        <v>是</v>
      </c>
      <c r="V67" s="21">
        <f>VLOOKUP($C67,[4]Sheet1!$B:$AN,39,FALSE)</f>
        <v>17.49</v>
      </c>
      <c r="W67" s="21">
        <v>0</v>
      </c>
      <c r="X67" s="23">
        <v>2</v>
      </c>
      <c r="Y67" s="23">
        <v>4</v>
      </c>
      <c r="Z67" s="25">
        <f t="shared" si="4"/>
        <v>2</v>
      </c>
      <c r="AA67" s="25" t="str">
        <f t="shared" si="5"/>
        <v>是</v>
      </c>
      <c r="AB67" t="s">
        <v>148</v>
      </c>
      <c r="AC67" t="e">
        <f>VLOOKUP(C67,[1]Sheet1!$C:$O,13,FALSE)</f>
        <v>#N/A</v>
      </c>
      <c r="AD67" t="str">
        <f>VLOOKUP($H67,'[3]0509人员排班情况 副本'!$G:$U,12,FALSE)</f>
        <v>Natalia (Natalia Padilla),孙婕 Jasmine（Sunjie）</v>
      </c>
      <c r="AE67" t="str">
        <f>VLOOKUP($H67,'[3]0509人员排班情况 副本'!$G:$U,13,FALSE)</f>
        <v>贺子强Jeff (Ziqiang He)</v>
      </c>
      <c r="AF67">
        <f>VLOOKUP($H67,'[3]0509人员排班情况 副本'!$G:$U,14,FALSE)</f>
        <v>0</v>
      </c>
      <c r="AG67">
        <f>VLOOKUP($H67,'[3]0509人员排班情况 副本'!$G:$U,15,FALSE)</f>
        <v>0</v>
      </c>
    </row>
    <row r="68" customHeight="1" spans="1:33">
      <c r="A68" t="s">
        <v>202</v>
      </c>
      <c r="B68" t="s">
        <v>393</v>
      </c>
      <c r="C68" t="s">
        <v>394</v>
      </c>
      <c r="D68" t="s">
        <v>15</v>
      </c>
      <c r="E68" t="s">
        <v>17</v>
      </c>
      <c r="F68" t="s">
        <v>275</v>
      </c>
      <c r="G68" t="s">
        <v>112</v>
      </c>
      <c r="H68" t="str">
        <f t="shared" ref="H68:H131" si="7">D68&amp;E68&amp;F68</f>
        <v>FL 佛州大区MCO.H分拣组</v>
      </c>
      <c r="I68" t="s">
        <v>303</v>
      </c>
      <c r="J68" t="s">
        <v>217</v>
      </c>
      <c r="K68" s="15">
        <v>0.395833333333333</v>
      </c>
      <c r="L68" s="15" t="s">
        <v>218</v>
      </c>
      <c r="M68" s="15"/>
      <c r="N68" t="s">
        <v>148</v>
      </c>
      <c r="O68" s="20" t="s">
        <v>116</v>
      </c>
      <c r="P68" s="21">
        <v>0</v>
      </c>
      <c r="Q68" s="21">
        <v>0</v>
      </c>
      <c r="R68" s="21">
        <v>0</v>
      </c>
      <c r="S68" s="21">
        <f t="shared" ref="S68:S131" si="8">Q68+R68</f>
        <v>0</v>
      </c>
      <c r="T68" s="21">
        <f t="shared" ref="T68:T131" si="9">IF(S68-8&gt;0,S68-8,0)</f>
        <v>0</v>
      </c>
      <c r="U68" s="21" t="str">
        <f t="shared" ref="U68:U131" si="10">IF(T68=0,"否","是")</f>
        <v>否</v>
      </c>
      <c r="V68" s="21">
        <f>VLOOKUP($C68,[4]Sheet1!$B:$AN,39,FALSE)</f>
        <v>0</v>
      </c>
      <c r="W68" s="21">
        <v>0</v>
      </c>
      <c r="X68" s="23">
        <v>0</v>
      </c>
      <c r="Y68" s="23">
        <v>0</v>
      </c>
      <c r="Z68" s="25">
        <f t="shared" ref="Z68:Z131" si="11">IF(Y68-X68&gt;=0,Y68-X68,0)</f>
        <v>0</v>
      </c>
      <c r="AA68" s="25" t="str">
        <f t="shared" ref="AA68:AA131" si="12">IF(J68="","否","是")</f>
        <v>是</v>
      </c>
      <c r="AB68" t="s">
        <v>148</v>
      </c>
      <c r="AC68" t="e">
        <f>VLOOKUP(C68,[1]Sheet1!$C:$O,13,FALSE)</f>
        <v>#N/A</v>
      </c>
      <c r="AD68" t="str">
        <f>VLOOKUP($H68,'[3]0509人员排班情况 副本'!$G:$U,12,FALSE)</f>
        <v>Natalia (Natalia Padilla),孙婕 Jasmine（Sunjie）</v>
      </c>
      <c r="AE68" t="str">
        <f>VLOOKUP($H68,'[3]0509人员排班情况 副本'!$G:$U,13,FALSE)</f>
        <v>贺子强Jeff (Ziqiang He)</v>
      </c>
      <c r="AF68" t="str">
        <f>VLOOKUP($H68,'[3]0509人员排班情况 副本'!$G:$U,14,FALSE)</f>
        <v>张双甫(Shuangfu Zhang)</v>
      </c>
      <c r="AG68">
        <f>VLOOKUP($H68,'[3]0509人员排班情况 副本'!$G:$U,15,FALSE)</f>
        <v>0</v>
      </c>
    </row>
    <row r="69" customHeight="1" spans="1:33">
      <c r="A69" t="s">
        <v>202</v>
      </c>
      <c r="B69" t="s">
        <v>395</v>
      </c>
      <c r="C69" t="s">
        <v>396</v>
      </c>
      <c r="D69" t="s">
        <v>92</v>
      </c>
      <c r="E69" t="s">
        <v>95</v>
      </c>
      <c r="F69" t="s">
        <v>397</v>
      </c>
      <c r="H69" t="str">
        <f t="shared" si="7"/>
        <v>TX 德州大区GC 墨湾片区MSY01</v>
      </c>
      <c r="I69" t="s">
        <v>177</v>
      </c>
      <c r="J69" t="s">
        <v>221</v>
      </c>
      <c r="K69" s="15">
        <v>0.208333333333333</v>
      </c>
      <c r="L69" s="15" t="s">
        <v>222</v>
      </c>
      <c r="M69" s="15"/>
      <c r="N69" t="s">
        <v>148</v>
      </c>
      <c r="O69" s="20" t="str">
        <f t="shared" ref="O68:O131" si="13">IFERROR(IF(ABS(M69-K69)&lt;=1/24,"正确","不正确"),"/")</f>
        <v>不正确</v>
      </c>
      <c r="P69" s="21">
        <v>0</v>
      </c>
      <c r="Q69" s="21">
        <v>0</v>
      </c>
      <c r="R69" s="21">
        <v>0</v>
      </c>
      <c r="S69" s="21">
        <f t="shared" si="8"/>
        <v>0</v>
      </c>
      <c r="T69" s="21">
        <f t="shared" si="9"/>
        <v>0</v>
      </c>
      <c r="U69" s="21" t="str">
        <f t="shared" si="10"/>
        <v>否</v>
      </c>
      <c r="V69" s="21">
        <f>VLOOKUP($C69,[4]Sheet1!$B:$AN,39,FALSE)</f>
        <v>8</v>
      </c>
      <c r="W69" s="21">
        <v>0</v>
      </c>
      <c r="X69" s="23">
        <v>0</v>
      </c>
      <c r="Y69" s="23">
        <v>4</v>
      </c>
      <c r="Z69" s="25">
        <f t="shared" si="11"/>
        <v>4</v>
      </c>
      <c r="AA69" s="25" t="str">
        <f t="shared" si="12"/>
        <v>是</v>
      </c>
      <c r="AB69" t="s">
        <v>148</v>
      </c>
      <c r="AC69" t="e">
        <f>VLOOKUP(C69,[1]Sheet1!$C:$O,13,FALSE)</f>
        <v>#N/A</v>
      </c>
      <c r="AD69" t="str">
        <f>VLOOKUP($H69,'[3]0509人员排班情况 副本'!$G:$U,12,FALSE)</f>
        <v>肖芦莉Lily (Luli Xiao)</v>
      </c>
      <c r="AE69" t="str">
        <f>VLOOKUP($H69,'[3]0509人员排班情况 副本'!$G:$U,13,FALSE)</f>
        <v>张骥Ji Zhang (Ji Zhang)</v>
      </c>
      <c r="AF69" t="str">
        <f>VLOOKUP($H69,'[3]0509人员排班情况 副本'!$G:$U,14,FALSE)</f>
        <v>金磊Brian（LEI JIN）</v>
      </c>
      <c r="AG69">
        <f>VLOOKUP($H69,'[3]0509人员排班情况 副本'!$G:$U,15,FALSE)</f>
        <v>0</v>
      </c>
    </row>
    <row r="70" customHeight="1" spans="1:33">
      <c r="A70" t="s">
        <v>202</v>
      </c>
      <c r="B70" t="s">
        <v>398</v>
      </c>
      <c r="C70" t="s">
        <v>399</v>
      </c>
      <c r="D70" t="s">
        <v>68</v>
      </c>
      <c r="E70" t="s">
        <v>78</v>
      </c>
      <c r="F70" t="s">
        <v>210</v>
      </c>
      <c r="G70" t="s">
        <v>112</v>
      </c>
      <c r="H70" t="str">
        <f t="shared" si="7"/>
        <v>NE 东北大区JFK.H操作组</v>
      </c>
      <c r="I70" t="s">
        <v>156</v>
      </c>
      <c r="J70" t="s">
        <v>400</v>
      </c>
      <c r="K70" s="15">
        <v>0.5</v>
      </c>
      <c r="L70" s="15" t="s">
        <v>401</v>
      </c>
      <c r="M70" s="15">
        <v>0.495138888888889</v>
      </c>
      <c r="N70" t="s">
        <v>402</v>
      </c>
      <c r="O70" s="20" t="str">
        <f t="shared" si="13"/>
        <v>正确</v>
      </c>
      <c r="P70" s="21">
        <v>0</v>
      </c>
      <c r="Q70" s="21">
        <v>10.15</v>
      </c>
      <c r="R70" s="21">
        <v>0</v>
      </c>
      <c r="S70" s="21">
        <f t="shared" si="8"/>
        <v>10.15</v>
      </c>
      <c r="T70" s="21">
        <f t="shared" si="9"/>
        <v>2.15</v>
      </c>
      <c r="U70" s="21" t="str">
        <f t="shared" si="10"/>
        <v>是</v>
      </c>
      <c r="V70" s="21">
        <f>VLOOKUP($C70,[4]Sheet1!$B:$AN,39,FALSE)</f>
        <v>20.07</v>
      </c>
      <c r="W70" s="21">
        <v>0</v>
      </c>
      <c r="X70" s="23">
        <v>4</v>
      </c>
      <c r="Y70" s="23">
        <v>4</v>
      </c>
      <c r="Z70" s="25">
        <f t="shared" si="11"/>
        <v>0</v>
      </c>
      <c r="AA70" s="25" t="str">
        <f t="shared" si="12"/>
        <v>是</v>
      </c>
      <c r="AB70" t="s">
        <v>148</v>
      </c>
      <c r="AC70" t="e">
        <f>VLOOKUP(C70,[1]Sheet1!$C:$O,13,FALSE)</f>
        <v>#N/A</v>
      </c>
      <c r="AD70" t="str">
        <f>VLOOKUP($H70,'[3]0509人员排班情况 副本'!$G:$U,12,FALSE)</f>
        <v>孙可君Monica（Kejun Sun）</v>
      </c>
      <c r="AE70" t="str">
        <f>VLOOKUP($H70,'[3]0509人员排班情况 副本'!$G:$U,13,FALSE)</f>
        <v>马聪Cong (Cong Ma)</v>
      </c>
      <c r="AF70" t="str">
        <f>VLOOKUP($H70,'[3]0509人员排班情况 副本'!$G:$U,14,FALSE)</f>
        <v>Minqing (Minqing Xu),罗煜雄 Mike (Yuxiong Luo)</v>
      </c>
      <c r="AG70">
        <f>VLOOKUP($H70,'[3]0509人员排班情况 副本'!$G:$U,15,FALSE)</f>
        <v>0</v>
      </c>
    </row>
    <row r="71" customHeight="1" spans="1:33">
      <c r="A71" t="s">
        <v>202</v>
      </c>
      <c r="B71" t="s">
        <v>403</v>
      </c>
      <c r="C71" t="s">
        <v>404</v>
      </c>
      <c r="D71" t="s">
        <v>48</v>
      </c>
      <c r="E71" t="s">
        <v>52</v>
      </c>
      <c r="F71" t="s">
        <v>405</v>
      </c>
      <c r="H71" t="str">
        <f t="shared" si="7"/>
        <v>Ground项目部OG 美中区CH600</v>
      </c>
      <c r="I71" t="s">
        <v>406</v>
      </c>
      <c r="J71" t="s">
        <v>407</v>
      </c>
      <c r="K71" s="15">
        <v>0.354166666666667</v>
      </c>
      <c r="L71" s="15" t="s">
        <v>254</v>
      </c>
      <c r="M71" s="15">
        <v>0.272222222222222</v>
      </c>
      <c r="N71" t="s">
        <v>408</v>
      </c>
      <c r="O71" s="20" t="str">
        <f t="shared" si="13"/>
        <v>不正确</v>
      </c>
      <c r="P71" s="21">
        <v>0</v>
      </c>
      <c r="Q71" s="21">
        <v>11.2</v>
      </c>
      <c r="R71" s="21">
        <v>0</v>
      </c>
      <c r="S71" s="21">
        <f t="shared" si="8"/>
        <v>11.2</v>
      </c>
      <c r="T71" s="21">
        <f t="shared" si="9"/>
        <v>3.2</v>
      </c>
      <c r="U71" s="21" t="str">
        <f t="shared" si="10"/>
        <v>是</v>
      </c>
      <c r="V71" s="21">
        <f>VLOOKUP($C71,[4]Sheet1!$B:$AN,39,FALSE)</f>
        <v>24.18</v>
      </c>
      <c r="W71" s="21">
        <v>0</v>
      </c>
      <c r="X71" s="23">
        <v>2</v>
      </c>
      <c r="Y71" s="23">
        <v>4</v>
      </c>
      <c r="Z71" s="25">
        <f t="shared" si="11"/>
        <v>2</v>
      </c>
      <c r="AA71" s="25" t="str">
        <f t="shared" si="12"/>
        <v>是</v>
      </c>
      <c r="AB71" t="s">
        <v>148</v>
      </c>
      <c r="AC71" t="e">
        <f>VLOOKUP(C71,[1]Sheet1!$C:$O,13,FALSE)</f>
        <v>#N/A</v>
      </c>
      <c r="AD71" t="str">
        <f>VLOOKUP($H71,'[3]0509人员排班情况 副本'!$G:$U,12,FALSE)</f>
        <v>王安琪 (Anqi Wang),张朱同 Thomson（Zhutong Zhang）</v>
      </c>
      <c r="AE71" t="str">
        <f>VLOOKUP($H71,'[3]0509人员排班情况 副本'!$G:$U,13,FALSE)</f>
        <v>陈锦昭</v>
      </c>
      <c r="AF71" t="str">
        <f>VLOOKUP($H71,'[3]0509人员排班情况 副本'!$G:$U,14,FALSE)</f>
        <v>王佳昊 Jason (Jiahao Wang)</v>
      </c>
      <c r="AG71">
        <f>VLOOKUP($H71,'[3]0509人员排班情况 副本'!$G:$U,15,FALSE)</f>
        <v>0</v>
      </c>
    </row>
    <row r="72" customHeight="1" spans="1:33">
      <c r="A72" t="s">
        <v>202</v>
      </c>
      <c r="B72" t="s">
        <v>409</v>
      </c>
      <c r="C72" t="s">
        <v>410</v>
      </c>
      <c r="D72" t="s">
        <v>92</v>
      </c>
      <c r="E72" t="s">
        <v>95</v>
      </c>
      <c r="F72" t="s">
        <v>397</v>
      </c>
      <c r="H72" t="str">
        <f t="shared" si="7"/>
        <v>TX 德州大区GC 墨湾片区MSY01</v>
      </c>
      <c r="I72" t="s">
        <v>177</v>
      </c>
      <c r="J72" t="s">
        <v>217</v>
      </c>
      <c r="K72" s="15">
        <v>0.395833333333333</v>
      </c>
      <c r="L72" s="15" t="s">
        <v>218</v>
      </c>
      <c r="M72" s="15"/>
      <c r="N72" t="s">
        <v>148</v>
      </c>
      <c r="O72" s="20" t="s">
        <v>116</v>
      </c>
      <c r="P72" s="21">
        <v>0</v>
      </c>
      <c r="Q72" s="21">
        <v>0</v>
      </c>
      <c r="R72" s="21">
        <v>0</v>
      </c>
      <c r="S72" s="21">
        <f t="shared" si="8"/>
        <v>0</v>
      </c>
      <c r="T72" s="21">
        <f t="shared" si="9"/>
        <v>0</v>
      </c>
      <c r="U72" s="21" t="str">
        <f t="shared" si="10"/>
        <v>否</v>
      </c>
      <c r="V72" s="21">
        <f>VLOOKUP($C72,[4]Sheet1!$B:$AN,39,FALSE)</f>
        <v>0</v>
      </c>
      <c r="W72" s="21">
        <v>0</v>
      </c>
      <c r="X72" s="23">
        <v>0</v>
      </c>
      <c r="Y72" s="23">
        <v>0</v>
      </c>
      <c r="Z72" s="25">
        <f t="shared" si="11"/>
        <v>0</v>
      </c>
      <c r="AA72" s="25" t="str">
        <f t="shared" si="12"/>
        <v>是</v>
      </c>
      <c r="AB72" t="s">
        <v>148</v>
      </c>
      <c r="AC72" t="e">
        <f>VLOOKUP(C72,[1]Sheet1!$C:$O,13,FALSE)</f>
        <v>#N/A</v>
      </c>
      <c r="AD72" t="str">
        <f>VLOOKUP($H72,'[3]0509人员排班情况 副本'!$G:$U,12,FALSE)</f>
        <v>肖芦莉Lily (Luli Xiao)</v>
      </c>
      <c r="AE72" t="str">
        <f>VLOOKUP($H72,'[3]0509人员排班情况 副本'!$G:$U,13,FALSE)</f>
        <v>张骥Ji Zhang (Ji Zhang)</v>
      </c>
      <c r="AF72" t="str">
        <f>VLOOKUP($H72,'[3]0509人员排班情况 副本'!$G:$U,14,FALSE)</f>
        <v>金磊Brian（LEI JIN）</v>
      </c>
      <c r="AG72">
        <f>VLOOKUP($H72,'[3]0509人员排班情况 副本'!$G:$U,15,FALSE)</f>
        <v>0</v>
      </c>
    </row>
    <row r="73" customHeight="1" spans="1:33">
      <c r="A73" t="s">
        <v>202</v>
      </c>
      <c r="B73" t="s">
        <v>411</v>
      </c>
      <c r="C73" t="s">
        <v>412</v>
      </c>
      <c r="D73" t="s">
        <v>15</v>
      </c>
      <c r="E73" t="s">
        <v>20</v>
      </c>
      <c r="F73" t="s">
        <v>275</v>
      </c>
      <c r="G73" t="s">
        <v>112</v>
      </c>
      <c r="H73" t="str">
        <f t="shared" si="7"/>
        <v>FL 佛州大区MIA.H分拣组</v>
      </c>
      <c r="I73" t="s">
        <v>276</v>
      </c>
      <c r="J73" t="s">
        <v>413</v>
      </c>
      <c r="K73" s="15">
        <v>0.9375</v>
      </c>
      <c r="L73" s="15" t="s">
        <v>414</v>
      </c>
      <c r="M73" s="15">
        <v>0.972916666666667</v>
      </c>
      <c r="N73" t="s">
        <v>148</v>
      </c>
      <c r="O73" s="20" t="str">
        <f t="shared" si="13"/>
        <v>正确</v>
      </c>
      <c r="P73" s="21">
        <v>0</v>
      </c>
      <c r="Q73" s="21">
        <v>0</v>
      </c>
      <c r="R73" s="21">
        <v>0</v>
      </c>
      <c r="S73" s="21">
        <f t="shared" si="8"/>
        <v>0</v>
      </c>
      <c r="T73" s="21">
        <f t="shared" si="9"/>
        <v>0</v>
      </c>
      <c r="U73" s="21" t="str">
        <f t="shared" si="10"/>
        <v>否</v>
      </c>
      <c r="V73" s="21">
        <f>VLOOKUP($C73,[4]Sheet1!$B:$AN,39,FALSE)</f>
        <v>7.63</v>
      </c>
      <c r="W73" s="21">
        <v>4.8</v>
      </c>
      <c r="X73" s="23">
        <v>1</v>
      </c>
      <c r="Y73" s="23">
        <v>4</v>
      </c>
      <c r="Z73" s="25">
        <f t="shared" si="11"/>
        <v>3</v>
      </c>
      <c r="AA73" s="25" t="str">
        <f t="shared" si="12"/>
        <v>是</v>
      </c>
      <c r="AB73" t="s">
        <v>148</v>
      </c>
      <c r="AC73" t="e">
        <f>VLOOKUP(C73,[1]Sheet1!$C:$O,13,FALSE)</f>
        <v>#N/A</v>
      </c>
      <c r="AD73" t="str">
        <f>VLOOKUP($H73,'[3]0509人员排班情况 副本'!$G:$U,12,FALSE)</f>
        <v>Natalia (Natalia Padilla),孙婕 Jasmine（Sunjie）</v>
      </c>
      <c r="AE73" t="str">
        <f>VLOOKUP($H73,'[3]0509人员排班情况 副本'!$G:$U,13,FALSE)</f>
        <v>贺子强Jeff (Ziqiang He)</v>
      </c>
      <c r="AF73" t="str">
        <f>VLOOKUP($H73,'[3]0509人员排班情况 副本'!$G:$U,14,FALSE)</f>
        <v>张双甫(Shuangfu Zhang)</v>
      </c>
      <c r="AG73">
        <f>VLOOKUP($H73,'[3]0509人员排班情况 副本'!$G:$U,15,FALSE)</f>
        <v>0</v>
      </c>
    </row>
    <row r="74" customHeight="1" spans="1:33">
      <c r="A74" t="s">
        <v>202</v>
      </c>
      <c r="B74" t="s">
        <v>415</v>
      </c>
      <c r="C74" t="s">
        <v>416</v>
      </c>
      <c r="D74" t="s">
        <v>15</v>
      </c>
      <c r="E74" t="s">
        <v>20</v>
      </c>
      <c r="F74" t="s">
        <v>210</v>
      </c>
      <c r="G74" t="s">
        <v>112</v>
      </c>
      <c r="H74" t="str">
        <f t="shared" si="7"/>
        <v>FL 佛州大区MIA.H操作组</v>
      </c>
      <c r="I74" t="s">
        <v>156</v>
      </c>
      <c r="J74" t="s">
        <v>365</v>
      </c>
      <c r="K74" s="15">
        <v>0.833333333333333</v>
      </c>
      <c r="L74" s="15" t="s">
        <v>366</v>
      </c>
      <c r="M74" s="15">
        <v>0.859027777777778</v>
      </c>
      <c r="N74" t="s">
        <v>148</v>
      </c>
      <c r="O74" s="20" t="str">
        <f t="shared" si="13"/>
        <v>正确</v>
      </c>
      <c r="P74" s="21">
        <v>0</v>
      </c>
      <c r="Q74" s="21">
        <v>0</v>
      </c>
      <c r="R74" s="21">
        <v>0</v>
      </c>
      <c r="S74" s="21">
        <f t="shared" si="8"/>
        <v>0</v>
      </c>
      <c r="T74" s="21">
        <f t="shared" si="9"/>
        <v>0</v>
      </c>
      <c r="U74" s="21" t="str">
        <f t="shared" si="10"/>
        <v>否</v>
      </c>
      <c r="V74" s="21">
        <f>VLOOKUP($C74,[4]Sheet1!$B:$AN,39,FALSE)</f>
        <v>5</v>
      </c>
      <c r="W74" s="21">
        <v>0</v>
      </c>
      <c r="X74" s="23">
        <v>1</v>
      </c>
      <c r="Y74" s="23">
        <v>4</v>
      </c>
      <c r="Z74" s="25">
        <f t="shared" si="11"/>
        <v>3</v>
      </c>
      <c r="AA74" s="25" t="str">
        <f t="shared" si="12"/>
        <v>是</v>
      </c>
      <c r="AB74" t="s">
        <v>148</v>
      </c>
      <c r="AC74" t="e">
        <f>VLOOKUP(C74,[1]Sheet1!$C:$O,13,FALSE)</f>
        <v>#N/A</v>
      </c>
      <c r="AD74" t="str">
        <f>VLOOKUP($H74,'[3]0509人员排班情况 副本'!$G:$U,12,FALSE)</f>
        <v>Natalia (Natalia Padilla),孙婕 Jasmine（Sunjie）</v>
      </c>
      <c r="AE74" t="str">
        <f>VLOOKUP($H74,'[3]0509人员排班情况 副本'!$G:$U,13,FALSE)</f>
        <v>贺子强Jeff (Ziqiang He)</v>
      </c>
      <c r="AF74" t="str">
        <f>VLOOKUP($H74,'[3]0509人员排班情况 副本'!$G:$U,14,FALSE)</f>
        <v>Minqing (Minqing Xu),罗煜雄 Mike (Yuxiong Luo)</v>
      </c>
      <c r="AG74">
        <f>VLOOKUP($H74,'[3]0509人员排班情况 副本'!$G:$U,15,FALSE)</f>
        <v>0</v>
      </c>
    </row>
    <row r="75" customHeight="1" spans="1:33">
      <c r="A75" t="s">
        <v>202</v>
      </c>
      <c r="B75" t="s">
        <v>417</v>
      </c>
      <c r="C75" t="s">
        <v>418</v>
      </c>
      <c r="D75" t="s">
        <v>15</v>
      </c>
      <c r="E75" t="s">
        <v>17</v>
      </c>
      <c r="F75" t="s">
        <v>275</v>
      </c>
      <c r="G75" t="s">
        <v>112</v>
      </c>
      <c r="H75" t="str">
        <f t="shared" si="7"/>
        <v>FL 佛州大区MCO.H分拣组</v>
      </c>
      <c r="I75" t="s">
        <v>303</v>
      </c>
      <c r="J75" t="s">
        <v>217</v>
      </c>
      <c r="K75" s="15">
        <v>0.395833333333333</v>
      </c>
      <c r="L75" s="15" t="s">
        <v>218</v>
      </c>
      <c r="M75" s="15"/>
      <c r="N75" t="s">
        <v>148</v>
      </c>
      <c r="O75" s="20" t="s">
        <v>116</v>
      </c>
      <c r="P75" s="21">
        <v>0</v>
      </c>
      <c r="Q75" s="21">
        <v>0</v>
      </c>
      <c r="R75" s="21">
        <v>0</v>
      </c>
      <c r="S75" s="21">
        <f t="shared" si="8"/>
        <v>0</v>
      </c>
      <c r="T75" s="21">
        <f t="shared" si="9"/>
        <v>0</v>
      </c>
      <c r="U75" s="21" t="str">
        <f t="shared" si="10"/>
        <v>否</v>
      </c>
      <c r="V75" s="21">
        <f>VLOOKUP($C75,[4]Sheet1!$B:$AN,39,FALSE)</f>
        <v>0</v>
      </c>
      <c r="W75" s="21">
        <v>0</v>
      </c>
      <c r="X75" s="23">
        <v>0</v>
      </c>
      <c r="Y75" s="23">
        <v>0</v>
      </c>
      <c r="Z75" s="25">
        <f t="shared" si="11"/>
        <v>0</v>
      </c>
      <c r="AA75" s="25" t="str">
        <f t="shared" si="12"/>
        <v>是</v>
      </c>
      <c r="AB75" t="s">
        <v>148</v>
      </c>
      <c r="AC75" t="e">
        <f>VLOOKUP(C75,[1]Sheet1!$C:$O,13,FALSE)</f>
        <v>#N/A</v>
      </c>
      <c r="AD75" t="str">
        <f>VLOOKUP($H75,'[3]0509人员排班情况 副本'!$G:$U,12,FALSE)</f>
        <v>Natalia (Natalia Padilla),孙婕 Jasmine（Sunjie）</v>
      </c>
      <c r="AE75" t="str">
        <f>VLOOKUP($H75,'[3]0509人员排班情况 副本'!$G:$U,13,FALSE)</f>
        <v>贺子强Jeff (Ziqiang He)</v>
      </c>
      <c r="AF75" t="str">
        <f>VLOOKUP($H75,'[3]0509人员排班情况 副本'!$G:$U,14,FALSE)</f>
        <v>张双甫(Shuangfu Zhang)</v>
      </c>
      <c r="AG75">
        <f>VLOOKUP($H75,'[3]0509人员排班情况 副本'!$G:$U,15,FALSE)</f>
        <v>0</v>
      </c>
    </row>
    <row r="76" customHeight="1" spans="1:33">
      <c r="A76" t="s">
        <v>202</v>
      </c>
      <c r="B76" t="s">
        <v>419</v>
      </c>
      <c r="C76" t="s">
        <v>420</v>
      </c>
      <c r="D76" t="s">
        <v>100</v>
      </c>
      <c r="E76" t="s">
        <v>101</v>
      </c>
      <c r="F76" t="s">
        <v>275</v>
      </c>
      <c r="G76" t="s">
        <v>112</v>
      </c>
      <c r="H76" t="str">
        <f t="shared" si="7"/>
        <v>WE 美西大区CNO.H分拣组</v>
      </c>
      <c r="I76" t="s">
        <v>303</v>
      </c>
      <c r="J76" t="s">
        <v>421</v>
      </c>
      <c r="K76" s="15">
        <v>0.708333333333333</v>
      </c>
      <c r="L76" s="15" t="s">
        <v>422</v>
      </c>
      <c r="M76" s="15">
        <v>0.665972222222222</v>
      </c>
      <c r="N76" t="s">
        <v>148</v>
      </c>
      <c r="O76" s="20" t="str">
        <f t="shared" si="13"/>
        <v>不正确</v>
      </c>
      <c r="P76" s="21">
        <v>0</v>
      </c>
      <c r="Q76" s="21">
        <v>0</v>
      </c>
      <c r="R76" s="21">
        <v>0</v>
      </c>
      <c r="S76" s="21">
        <f t="shared" si="8"/>
        <v>0</v>
      </c>
      <c r="T76" s="21">
        <f t="shared" si="9"/>
        <v>0</v>
      </c>
      <c r="U76" s="21" t="str">
        <f t="shared" si="10"/>
        <v>否</v>
      </c>
      <c r="V76" s="21">
        <f>VLOOKUP($C76,[4]Sheet1!$B:$AN,39,FALSE)</f>
        <v>10.55</v>
      </c>
      <c r="W76" s="21">
        <v>0</v>
      </c>
      <c r="X76" s="23">
        <v>3</v>
      </c>
      <c r="Y76" s="23">
        <v>4</v>
      </c>
      <c r="Z76" s="25">
        <f t="shared" si="11"/>
        <v>1</v>
      </c>
      <c r="AA76" s="25" t="str">
        <f t="shared" si="12"/>
        <v>是</v>
      </c>
      <c r="AB76" t="s">
        <v>148</v>
      </c>
      <c r="AC76" t="e">
        <f>VLOOKUP(C76,[1]Sheet1!$C:$O,13,FALSE)</f>
        <v>#N/A</v>
      </c>
      <c r="AD76" t="str">
        <f>VLOOKUP($H76,'[3]0509人员排班情况 副本'!$G:$U,12,FALSE)</f>
        <v>王骞Ariel（Qian Wang）,叶秀芳Freya (Xiufang Ye)</v>
      </c>
      <c r="AE76" t="str">
        <f>VLOOKUP($H76,'[3]0509人员排班情况 副本'!$G:$U,13,FALSE)</f>
        <v>常哲</v>
      </c>
      <c r="AF76" t="str">
        <f>VLOOKUP($H76,'[3]0509人员排班情况 副本'!$G:$U,14,FALSE)</f>
        <v>张双甫(Shuangfu Zhang)</v>
      </c>
      <c r="AG76">
        <f>VLOOKUP($H76,'[3]0509人员排班情况 副本'!$G:$U,15,FALSE)</f>
        <v>0</v>
      </c>
    </row>
    <row r="77" customHeight="1" spans="1:33">
      <c r="A77" t="s">
        <v>202</v>
      </c>
      <c r="B77" t="s">
        <v>423</v>
      </c>
      <c r="C77" t="s">
        <v>424</v>
      </c>
      <c r="D77" t="s">
        <v>100</v>
      </c>
      <c r="E77" t="s">
        <v>103</v>
      </c>
      <c r="F77" t="s">
        <v>210</v>
      </c>
      <c r="G77" t="s">
        <v>112</v>
      </c>
      <c r="H77" t="str">
        <f t="shared" si="7"/>
        <v>WE 美西大区LAV.H操作组</v>
      </c>
      <c r="I77" t="s">
        <v>156</v>
      </c>
      <c r="J77" t="s">
        <v>221</v>
      </c>
      <c r="K77" s="15">
        <v>0.208333333333333</v>
      </c>
      <c r="L77" s="15" t="s">
        <v>222</v>
      </c>
      <c r="M77" s="15">
        <v>0.202083333333333</v>
      </c>
      <c r="N77" t="s">
        <v>425</v>
      </c>
      <c r="O77" s="20" t="str">
        <f t="shared" si="13"/>
        <v>正确</v>
      </c>
      <c r="P77" s="21">
        <v>0</v>
      </c>
      <c r="Q77" s="21">
        <v>11.03</v>
      </c>
      <c r="R77" s="21">
        <v>0</v>
      </c>
      <c r="S77" s="21">
        <f t="shared" si="8"/>
        <v>11.03</v>
      </c>
      <c r="T77" s="21">
        <f t="shared" si="9"/>
        <v>3.03</v>
      </c>
      <c r="U77" s="21" t="str">
        <f t="shared" si="10"/>
        <v>是</v>
      </c>
      <c r="V77" s="21">
        <f>VLOOKUP($C77,[4]Sheet1!$B:$AN,39,FALSE)</f>
        <v>11.03</v>
      </c>
      <c r="W77" s="21">
        <v>0</v>
      </c>
      <c r="X77" s="23">
        <v>4</v>
      </c>
      <c r="Y77" s="23">
        <v>4</v>
      </c>
      <c r="Z77" s="25">
        <f t="shared" si="11"/>
        <v>0</v>
      </c>
      <c r="AA77" s="25" t="str">
        <f t="shared" si="12"/>
        <v>是</v>
      </c>
      <c r="AB77" t="s">
        <v>148</v>
      </c>
      <c r="AC77" t="e">
        <f>VLOOKUP(C77,[1]Sheet1!$C:$O,13,FALSE)</f>
        <v>#N/A</v>
      </c>
      <c r="AD77" t="str">
        <f>VLOOKUP($H77,'[3]0509人员排班情况 副本'!$G:$U,12,FALSE)</f>
        <v>王骞Ariel（Qian Wang）,叶秀芳Freya (Xiufang Ye)</v>
      </c>
      <c r="AE77" t="str">
        <f>VLOOKUP($H77,'[3]0509人员排班情况 副本'!$G:$U,13,FALSE)</f>
        <v>常哲</v>
      </c>
      <c r="AF77" t="str">
        <f>VLOOKUP($H77,'[3]0509人员排班情况 副本'!$G:$U,14,FALSE)</f>
        <v>Minqing (Minqing Xu),罗煜雄 Mike (Yuxiong Luo)</v>
      </c>
      <c r="AG77">
        <f>VLOOKUP($H77,'[3]0509人员排班情况 副本'!$G:$U,15,FALSE)</f>
        <v>0</v>
      </c>
    </row>
    <row r="78" customHeight="1" spans="1:33">
      <c r="A78" t="s">
        <v>202</v>
      </c>
      <c r="B78" t="s">
        <v>426</v>
      </c>
      <c r="C78" t="s">
        <v>427</v>
      </c>
      <c r="D78" t="s">
        <v>15</v>
      </c>
      <c r="E78" t="s">
        <v>17</v>
      </c>
      <c r="F78" t="s">
        <v>275</v>
      </c>
      <c r="G78" t="s">
        <v>112</v>
      </c>
      <c r="H78" t="str">
        <f t="shared" si="7"/>
        <v>FL 佛州大区MCO.H分拣组</v>
      </c>
      <c r="I78" t="s">
        <v>303</v>
      </c>
      <c r="J78" t="s">
        <v>295</v>
      </c>
      <c r="K78" s="15">
        <v>0.375</v>
      </c>
      <c r="L78" s="15" t="s">
        <v>296</v>
      </c>
      <c r="M78" s="15">
        <v>0.373611111111111</v>
      </c>
      <c r="N78" t="s">
        <v>428</v>
      </c>
      <c r="O78" s="20" t="str">
        <f t="shared" si="13"/>
        <v>正确</v>
      </c>
      <c r="P78" s="21">
        <v>0</v>
      </c>
      <c r="Q78" s="21">
        <v>8.17</v>
      </c>
      <c r="R78" s="21">
        <v>0</v>
      </c>
      <c r="S78" s="21">
        <f t="shared" si="8"/>
        <v>8.17</v>
      </c>
      <c r="T78" s="21">
        <f t="shared" si="9"/>
        <v>0.17</v>
      </c>
      <c r="U78" s="21" t="str">
        <f t="shared" si="10"/>
        <v>是</v>
      </c>
      <c r="V78" s="21">
        <f>VLOOKUP($C78,[4]Sheet1!$B:$AN,39,FALSE)</f>
        <v>16.25</v>
      </c>
      <c r="W78" s="21">
        <v>0</v>
      </c>
      <c r="X78" s="23">
        <v>4</v>
      </c>
      <c r="Y78" s="23">
        <v>4</v>
      </c>
      <c r="Z78" s="25">
        <f t="shared" si="11"/>
        <v>0</v>
      </c>
      <c r="AA78" s="25" t="str">
        <f t="shared" si="12"/>
        <v>是</v>
      </c>
      <c r="AB78" t="s">
        <v>148</v>
      </c>
      <c r="AC78" t="e">
        <f>VLOOKUP(C78,[1]Sheet1!$C:$O,13,FALSE)</f>
        <v>#N/A</v>
      </c>
      <c r="AD78" t="str">
        <f>VLOOKUP($H78,'[3]0509人员排班情况 副本'!$G:$U,12,FALSE)</f>
        <v>Natalia (Natalia Padilla),孙婕 Jasmine（Sunjie）</v>
      </c>
      <c r="AE78" t="str">
        <f>VLOOKUP($H78,'[3]0509人员排班情况 副本'!$G:$U,13,FALSE)</f>
        <v>贺子强Jeff (Ziqiang He)</v>
      </c>
      <c r="AF78" t="str">
        <f>VLOOKUP($H78,'[3]0509人员排班情况 副本'!$G:$U,14,FALSE)</f>
        <v>张双甫(Shuangfu Zhang)</v>
      </c>
      <c r="AG78">
        <f>VLOOKUP($H78,'[3]0509人员排班情况 副本'!$G:$U,15,FALSE)</f>
        <v>0</v>
      </c>
    </row>
    <row r="79" customHeight="1" spans="1:33">
      <c r="A79" t="s">
        <v>202</v>
      </c>
      <c r="B79" t="s">
        <v>429</v>
      </c>
      <c r="C79" t="s">
        <v>430</v>
      </c>
      <c r="D79" t="s">
        <v>100</v>
      </c>
      <c r="E79" t="s">
        <v>29</v>
      </c>
      <c r="F79" t="s">
        <v>200</v>
      </c>
      <c r="H79" t="str">
        <f t="shared" si="7"/>
        <v>WE 美西大区运营支持部区域支持组</v>
      </c>
      <c r="I79" t="s">
        <v>201</v>
      </c>
      <c r="J79" t="s">
        <v>236</v>
      </c>
      <c r="K79" s="15">
        <v>0.395833333333333</v>
      </c>
      <c r="L79" s="15" t="s">
        <v>218</v>
      </c>
      <c r="M79" s="15"/>
      <c r="N79" t="s">
        <v>148</v>
      </c>
      <c r="O79" s="20" t="str">
        <f t="shared" si="13"/>
        <v>不正确</v>
      </c>
      <c r="P79" s="21">
        <v>0</v>
      </c>
      <c r="Q79" s="21">
        <v>0</v>
      </c>
      <c r="R79" s="21">
        <v>0</v>
      </c>
      <c r="S79" s="21">
        <f t="shared" si="8"/>
        <v>0</v>
      </c>
      <c r="T79" s="21">
        <f t="shared" si="9"/>
        <v>0</v>
      </c>
      <c r="U79" s="21" t="str">
        <f t="shared" si="10"/>
        <v>否</v>
      </c>
      <c r="V79" s="21">
        <f>VLOOKUP($C79,[4]Sheet1!$B:$AN,39,FALSE)</f>
        <v>0</v>
      </c>
      <c r="W79" s="21">
        <v>0</v>
      </c>
      <c r="X79" s="23">
        <v>0</v>
      </c>
      <c r="Y79" s="23">
        <v>0</v>
      </c>
      <c r="Z79" s="25">
        <f t="shared" si="11"/>
        <v>0</v>
      </c>
      <c r="AA79" s="25" t="str">
        <f t="shared" si="12"/>
        <v>是</v>
      </c>
      <c r="AB79" t="s">
        <v>339</v>
      </c>
      <c r="AC79" t="e">
        <f>VLOOKUP(C79,[1]Sheet1!$C:$O,13,FALSE)</f>
        <v>#N/A</v>
      </c>
      <c r="AD79" t="str">
        <f>VLOOKUP($H79,'[3]0509人员排班情况 副本'!$G:$U,12,FALSE)</f>
        <v>王骞Ariel（Qian Wang）,叶秀芳Freya (Xiufang Ye)</v>
      </c>
      <c r="AE79" t="str">
        <f>VLOOKUP($H79,'[3]0509人员排班情况 副本'!$G:$U,13,FALSE)</f>
        <v>常哲</v>
      </c>
      <c r="AF79">
        <f>VLOOKUP($H79,'[3]0509人员排班情况 副本'!$G:$U,14,FALSE)</f>
        <v>0</v>
      </c>
      <c r="AG79">
        <f>VLOOKUP($H79,'[3]0509人员排班情况 副本'!$G:$U,15,FALSE)</f>
        <v>0</v>
      </c>
    </row>
    <row r="80" customHeight="1" spans="1:33">
      <c r="A80" t="s">
        <v>202</v>
      </c>
      <c r="B80" t="s">
        <v>431</v>
      </c>
      <c r="C80" t="s">
        <v>432</v>
      </c>
      <c r="D80" t="s">
        <v>48</v>
      </c>
      <c r="E80" t="s">
        <v>50</v>
      </c>
      <c r="F80" t="s">
        <v>159</v>
      </c>
      <c r="H80" t="str">
        <f t="shared" si="7"/>
        <v>Ground项目部OG 美南区ATL.G</v>
      </c>
      <c r="I80" t="s">
        <v>303</v>
      </c>
      <c r="J80" t="s">
        <v>221</v>
      </c>
      <c r="K80" s="15">
        <v>0.208333333333333</v>
      </c>
      <c r="L80" s="15" t="s">
        <v>222</v>
      </c>
      <c r="M80" s="15">
        <v>0.204861111111111</v>
      </c>
      <c r="N80" t="s">
        <v>378</v>
      </c>
      <c r="O80" s="20" t="str">
        <f t="shared" si="13"/>
        <v>正确</v>
      </c>
      <c r="P80" s="21">
        <v>0</v>
      </c>
      <c r="Q80" s="21">
        <v>8.28</v>
      </c>
      <c r="R80" s="21">
        <v>0</v>
      </c>
      <c r="S80" s="21">
        <f t="shared" si="8"/>
        <v>8.28</v>
      </c>
      <c r="T80" s="21">
        <f t="shared" si="9"/>
        <v>0.279999999999999</v>
      </c>
      <c r="U80" s="21" t="str">
        <f t="shared" si="10"/>
        <v>是</v>
      </c>
      <c r="V80" s="21">
        <f>VLOOKUP($C80,[4]Sheet1!$B:$AN,39,FALSE)</f>
        <v>16.31</v>
      </c>
      <c r="W80" s="21">
        <v>16.29</v>
      </c>
      <c r="X80" s="23">
        <v>4</v>
      </c>
      <c r="Y80" s="23">
        <v>4</v>
      </c>
      <c r="Z80" s="25">
        <f t="shared" si="11"/>
        <v>0</v>
      </c>
      <c r="AA80" s="25" t="str">
        <f t="shared" si="12"/>
        <v>是</v>
      </c>
      <c r="AB80" t="s">
        <v>148</v>
      </c>
      <c r="AC80" t="e">
        <f>VLOOKUP(C80,[1]Sheet1!$C:$O,13,FALSE)</f>
        <v>#N/A</v>
      </c>
      <c r="AD80" t="str">
        <f>VLOOKUP($H80,'[3]0509人员排班情况 副本'!$G:$U,12,FALSE)</f>
        <v>王安琪 (Anqi Wang),张朱同 Thomson（Zhutong Zhang）</v>
      </c>
      <c r="AE80" t="str">
        <f>VLOOKUP($H80,'[3]0509人员排班情况 副本'!$G:$U,13,FALSE)</f>
        <v>陈锦昭</v>
      </c>
      <c r="AF80" t="str">
        <f>VLOOKUP($H80,'[3]0509人员排班情况 副本'!$G:$U,14,FALSE)</f>
        <v>金筱燕Sharon（Xiaoyan Jin）</v>
      </c>
      <c r="AG80">
        <f>VLOOKUP($H80,'[3]0509人员排班情况 副本'!$G:$U,15,FALSE)</f>
        <v>0</v>
      </c>
    </row>
    <row r="81" customHeight="1" spans="1:33">
      <c r="A81" t="s">
        <v>202</v>
      </c>
      <c r="B81" t="s">
        <v>433</v>
      </c>
      <c r="C81" t="s">
        <v>434</v>
      </c>
      <c r="D81" t="s">
        <v>68</v>
      </c>
      <c r="E81" t="s">
        <v>76</v>
      </c>
      <c r="F81" t="s">
        <v>275</v>
      </c>
      <c r="G81" t="s">
        <v>112</v>
      </c>
      <c r="H81" t="str">
        <f t="shared" si="7"/>
        <v>NE 东北大区EWR.H分拣组</v>
      </c>
      <c r="I81" t="s">
        <v>303</v>
      </c>
      <c r="J81" t="s">
        <v>400</v>
      </c>
      <c r="K81" s="15">
        <v>0.5</v>
      </c>
      <c r="L81" s="15" t="s">
        <v>401</v>
      </c>
      <c r="M81" s="15"/>
      <c r="N81" t="s">
        <v>148</v>
      </c>
      <c r="O81" s="20" t="str">
        <f t="shared" si="13"/>
        <v>不正确</v>
      </c>
      <c r="P81" s="21">
        <v>0</v>
      </c>
      <c r="Q81" s="21">
        <v>0</v>
      </c>
      <c r="R81" s="21">
        <v>0</v>
      </c>
      <c r="S81" s="21">
        <f t="shared" si="8"/>
        <v>0</v>
      </c>
      <c r="T81" s="21">
        <f t="shared" si="9"/>
        <v>0</v>
      </c>
      <c r="U81" s="21" t="str">
        <f t="shared" si="10"/>
        <v>否</v>
      </c>
      <c r="V81" s="21">
        <f>VLOOKUP($C81,[4]Sheet1!$B:$AN,39,FALSE)</f>
        <v>0</v>
      </c>
      <c r="W81" s="21">
        <v>0</v>
      </c>
      <c r="X81" s="23">
        <v>0</v>
      </c>
      <c r="Y81" s="23">
        <v>4</v>
      </c>
      <c r="Z81" s="25">
        <f t="shared" si="11"/>
        <v>4</v>
      </c>
      <c r="AA81" s="25" t="str">
        <f t="shared" si="12"/>
        <v>是</v>
      </c>
      <c r="AB81" t="s">
        <v>148</v>
      </c>
      <c r="AC81" t="e">
        <f>VLOOKUP(C81,[1]Sheet1!$C:$O,13,FALSE)</f>
        <v>#N/A</v>
      </c>
      <c r="AD81" t="str">
        <f>VLOOKUP($H81,'[3]0509人员排班情况 副本'!$G:$U,12,FALSE)</f>
        <v>孙可君Monica（Kejun Sun）</v>
      </c>
      <c r="AE81" t="str">
        <f>VLOOKUP($H81,'[3]0509人员排班情况 副本'!$G:$U,13,FALSE)</f>
        <v>马聪Cong (Cong Ma)</v>
      </c>
      <c r="AF81" t="str">
        <f>VLOOKUP($H81,'[3]0509人员排班情况 副本'!$G:$U,14,FALSE)</f>
        <v>张双甫(Shuangfu Zhang)</v>
      </c>
      <c r="AG81">
        <f>VLOOKUP($H81,'[3]0509人员排班情况 副本'!$G:$U,15,FALSE)</f>
        <v>0</v>
      </c>
    </row>
    <row r="82" customHeight="1" spans="1:33">
      <c r="A82" t="s">
        <v>202</v>
      </c>
      <c r="B82" t="s">
        <v>435</v>
      </c>
      <c r="C82" t="s">
        <v>436</v>
      </c>
      <c r="D82" t="s">
        <v>31</v>
      </c>
      <c r="E82" t="s">
        <v>33</v>
      </c>
      <c r="F82" t="s">
        <v>34</v>
      </c>
      <c r="H82" t="str">
        <f t="shared" si="7"/>
        <v>GL 大湖大区CM 中西部中心片区CMH01</v>
      </c>
      <c r="I82" t="s">
        <v>177</v>
      </c>
      <c r="J82" t="s">
        <v>437</v>
      </c>
      <c r="K82" s="15">
        <v>0.229166666666667</v>
      </c>
      <c r="L82" s="15" t="s">
        <v>438</v>
      </c>
      <c r="M82" s="15"/>
      <c r="N82" t="s">
        <v>148</v>
      </c>
      <c r="O82" s="20" t="str">
        <f t="shared" si="13"/>
        <v>不正确</v>
      </c>
      <c r="P82" s="21">
        <v>0</v>
      </c>
      <c r="Q82" s="21">
        <v>0</v>
      </c>
      <c r="R82" s="21">
        <v>0</v>
      </c>
      <c r="S82" s="21">
        <f t="shared" si="8"/>
        <v>0</v>
      </c>
      <c r="T82" s="21">
        <f t="shared" si="9"/>
        <v>0</v>
      </c>
      <c r="U82" s="21" t="str">
        <f t="shared" si="10"/>
        <v>否</v>
      </c>
      <c r="V82" s="21">
        <f>VLOOKUP($C82,[4]Sheet1!$B:$AN,39,FALSE)</f>
        <v>7.98</v>
      </c>
      <c r="W82" s="21">
        <v>0</v>
      </c>
      <c r="X82" s="23">
        <v>0</v>
      </c>
      <c r="Y82" s="23">
        <v>4</v>
      </c>
      <c r="Z82" s="25">
        <f t="shared" si="11"/>
        <v>4</v>
      </c>
      <c r="AA82" s="25" t="str">
        <f t="shared" si="12"/>
        <v>是</v>
      </c>
      <c r="AB82" t="s">
        <v>148</v>
      </c>
      <c r="AC82" t="e">
        <f>VLOOKUP(C82,[1]Sheet1!$C:$O,13,FALSE)</f>
        <v>#N/A</v>
      </c>
      <c r="AD82" t="str">
        <f>VLOOKUP($H82,'[3]0509人员排班情况 副本'!$G:$U,12,FALSE)</f>
        <v>王晓丹 Jasmine（Xiaodan Wang）,周延舒Isabel（Yanshu Zhou）</v>
      </c>
      <c r="AE82" t="str">
        <f>VLOOKUP($H82,'[3]0509人员排班情况 副本'!$G:$U,13,FALSE)</f>
        <v>张骥Ji Zhang (Ji Zhang)</v>
      </c>
      <c r="AF82" t="str">
        <f>VLOOKUP($H82,'[3]0509人员排班情况 副本'!$G:$U,14,FALSE)</f>
        <v>欧阳溢巍 Nathan (Yiwei Ouyang),尚青蓓 Suki （Qingbei Shang）</v>
      </c>
      <c r="AG82">
        <f>VLOOKUP($H82,'[3]0509人员排班情况 副本'!$G:$U,15,FALSE)</f>
        <v>0</v>
      </c>
    </row>
    <row r="83" customHeight="1" spans="1:33">
      <c r="A83" t="s">
        <v>202</v>
      </c>
      <c r="B83" t="s">
        <v>439</v>
      </c>
      <c r="C83" t="s">
        <v>440</v>
      </c>
      <c r="D83" t="s">
        <v>58</v>
      </c>
      <c r="E83" t="s">
        <v>61</v>
      </c>
      <c r="F83" t="s">
        <v>210</v>
      </c>
      <c r="G83" t="s">
        <v>112</v>
      </c>
      <c r="H83" t="str">
        <f t="shared" si="7"/>
        <v>MS 中南大区ATL.H操作组</v>
      </c>
      <c r="I83" t="s">
        <v>281</v>
      </c>
      <c r="J83" t="s">
        <v>282</v>
      </c>
      <c r="K83" s="15">
        <v>0.416666666666667</v>
      </c>
      <c r="L83" s="15" t="s">
        <v>283</v>
      </c>
      <c r="M83" s="15">
        <v>0.411111111111111</v>
      </c>
      <c r="N83" t="s">
        <v>441</v>
      </c>
      <c r="O83" s="20" t="str">
        <f t="shared" si="13"/>
        <v>正确</v>
      </c>
      <c r="P83" s="21">
        <v>0</v>
      </c>
      <c r="Q83" s="21">
        <v>9.53</v>
      </c>
      <c r="R83" s="21">
        <v>0</v>
      </c>
      <c r="S83" s="21">
        <f t="shared" si="8"/>
        <v>9.53</v>
      </c>
      <c r="T83" s="21">
        <f t="shared" si="9"/>
        <v>1.53</v>
      </c>
      <c r="U83" s="21" t="str">
        <f t="shared" si="10"/>
        <v>是</v>
      </c>
      <c r="V83" s="21">
        <f>VLOOKUP($C83,[4]Sheet1!$B:$AN,39,FALSE)</f>
        <v>17.86</v>
      </c>
      <c r="W83" s="21">
        <v>16.34</v>
      </c>
      <c r="X83" s="23">
        <v>4</v>
      </c>
      <c r="Y83" s="23">
        <v>4</v>
      </c>
      <c r="Z83" s="25">
        <f t="shared" si="11"/>
        <v>0</v>
      </c>
      <c r="AA83" s="25" t="str">
        <f t="shared" si="12"/>
        <v>是</v>
      </c>
      <c r="AB83" t="s">
        <v>148</v>
      </c>
      <c r="AC83" t="e">
        <f>VLOOKUP(C83,[1]Sheet1!$C:$O,13,FALSE)</f>
        <v>#N/A</v>
      </c>
      <c r="AD83" t="str">
        <f>VLOOKUP($H83,'[3]0509人员排班情况 副本'!$G:$U,12,FALSE)</f>
        <v>欧阳迎春Flower（Yingchun Ouyang）</v>
      </c>
      <c r="AE83" t="str">
        <f>VLOOKUP($H83,'[3]0509人员排班情况 副本'!$G:$U,13,FALSE)</f>
        <v>杨云飞</v>
      </c>
      <c r="AF83" t="str">
        <f>VLOOKUP($H83,'[3]0509人员排班情况 副本'!$G:$U,14,FALSE)</f>
        <v>Minqing (Minqing Xu),罗煜雄 Mike (Yuxiong Luo),明杰麟Jennie (Jielin Ming)</v>
      </c>
      <c r="AG83" t="str">
        <f>VLOOKUP($H83,'[3]0509人员排班情况 副本'!$G:$U,15,FALSE)</f>
        <v>文艳平</v>
      </c>
    </row>
    <row r="84" customHeight="1" spans="1:33">
      <c r="A84" t="s">
        <v>202</v>
      </c>
      <c r="B84" t="s">
        <v>442</v>
      </c>
      <c r="C84" t="s">
        <v>443</v>
      </c>
      <c r="D84" t="s">
        <v>15</v>
      </c>
      <c r="E84" t="s">
        <v>17</v>
      </c>
      <c r="F84" t="s">
        <v>275</v>
      </c>
      <c r="G84" t="s">
        <v>112</v>
      </c>
      <c r="H84" t="str">
        <f t="shared" si="7"/>
        <v>FL 佛州大区MCO.H分拣组</v>
      </c>
      <c r="I84" t="s">
        <v>303</v>
      </c>
      <c r="J84" t="s">
        <v>295</v>
      </c>
      <c r="K84" s="15">
        <v>0.375</v>
      </c>
      <c r="L84" s="15" t="s">
        <v>296</v>
      </c>
      <c r="M84" s="15">
        <v>0.375</v>
      </c>
      <c r="N84" t="s">
        <v>444</v>
      </c>
      <c r="O84" s="20" t="str">
        <f t="shared" si="13"/>
        <v>正确</v>
      </c>
      <c r="P84" s="21">
        <v>0</v>
      </c>
      <c r="Q84" s="21">
        <v>12.63</v>
      </c>
      <c r="R84" s="21">
        <v>0</v>
      </c>
      <c r="S84" s="21">
        <f t="shared" si="8"/>
        <v>12.63</v>
      </c>
      <c r="T84" s="21">
        <f t="shared" si="9"/>
        <v>4.63</v>
      </c>
      <c r="U84" s="21" t="str">
        <f t="shared" si="10"/>
        <v>是</v>
      </c>
      <c r="V84" s="21">
        <f>VLOOKUP($C84,[4]Sheet1!$B:$AN,39,FALSE)</f>
        <v>12.63</v>
      </c>
      <c r="W84" s="21">
        <v>0</v>
      </c>
      <c r="X84" s="23">
        <v>4</v>
      </c>
      <c r="Y84" s="23">
        <v>4</v>
      </c>
      <c r="Z84" s="25">
        <f t="shared" si="11"/>
        <v>0</v>
      </c>
      <c r="AA84" s="25" t="str">
        <f t="shared" si="12"/>
        <v>是</v>
      </c>
      <c r="AB84" t="s">
        <v>148</v>
      </c>
      <c r="AC84" t="e">
        <f>VLOOKUP(C84,[1]Sheet1!$C:$O,13,FALSE)</f>
        <v>#N/A</v>
      </c>
      <c r="AD84" t="str">
        <f>VLOOKUP($H84,'[3]0509人员排班情况 副本'!$G:$U,12,FALSE)</f>
        <v>Natalia (Natalia Padilla),孙婕 Jasmine（Sunjie）</v>
      </c>
      <c r="AE84" t="str">
        <f>VLOOKUP($H84,'[3]0509人员排班情况 副本'!$G:$U,13,FALSE)</f>
        <v>贺子强Jeff (Ziqiang He)</v>
      </c>
      <c r="AF84" t="str">
        <f>VLOOKUP($H84,'[3]0509人员排班情况 副本'!$G:$U,14,FALSE)</f>
        <v>张双甫(Shuangfu Zhang)</v>
      </c>
      <c r="AG84">
        <f>VLOOKUP($H84,'[3]0509人员排班情况 副本'!$G:$U,15,FALSE)</f>
        <v>0</v>
      </c>
    </row>
    <row r="85" customHeight="1" spans="1:33">
      <c r="A85" t="s">
        <v>202</v>
      </c>
      <c r="B85" t="s">
        <v>445</v>
      </c>
      <c r="C85" t="s">
        <v>446</v>
      </c>
      <c r="D85" t="s">
        <v>100</v>
      </c>
      <c r="E85" t="s">
        <v>101</v>
      </c>
      <c r="F85" t="s">
        <v>210</v>
      </c>
      <c r="G85" t="s">
        <v>112</v>
      </c>
      <c r="H85" t="str">
        <f t="shared" si="7"/>
        <v>WE 美西大区CNO.H操作组</v>
      </c>
      <c r="I85" t="s">
        <v>156</v>
      </c>
      <c r="J85" t="s">
        <v>211</v>
      </c>
      <c r="K85" s="15">
        <v>0.333333333333333</v>
      </c>
      <c r="L85" s="15" t="s">
        <v>212</v>
      </c>
      <c r="M85" s="15">
        <v>0.324305555555556</v>
      </c>
      <c r="N85" t="s">
        <v>447</v>
      </c>
      <c r="O85" s="20" t="str">
        <f t="shared" si="13"/>
        <v>正确</v>
      </c>
      <c r="P85" s="21">
        <v>0</v>
      </c>
      <c r="Q85" s="21">
        <v>7.32</v>
      </c>
      <c r="R85" s="21">
        <v>0</v>
      </c>
      <c r="S85" s="21">
        <f t="shared" si="8"/>
        <v>7.32</v>
      </c>
      <c r="T85" s="21">
        <f t="shared" si="9"/>
        <v>0</v>
      </c>
      <c r="U85" s="21" t="str">
        <f t="shared" si="10"/>
        <v>否</v>
      </c>
      <c r="V85" s="21">
        <f>VLOOKUP($C85,[4]Sheet1!$B:$AN,39,FALSE)</f>
        <v>14.95</v>
      </c>
      <c r="W85" s="21">
        <v>0</v>
      </c>
      <c r="X85" s="23">
        <v>4</v>
      </c>
      <c r="Y85" s="23">
        <v>4</v>
      </c>
      <c r="Z85" s="25">
        <f t="shared" si="11"/>
        <v>0</v>
      </c>
      <c r="AA85" s="25" t="str">
        <f t="shared" si="12"/>
        <v>是</v>
      </c>
      <c r="AB85" t="s">
        <v>148</v>
      </c>
      <c r="AC85" t="e">
        <f>VLOOKUP(C85,[1]Sheet1!$C:$O,13,FALSE)</f>
        <v>#N/A</v>
      </c>
      <c r="AD85" t="str">
        <f>VLOOKUP($H85,'[3]0509人员排班情况 副本'!$G:$U,12,FALSE)</f>
        <v>王骞Ariel（Qian Wang）,叶秀芳Freya (Xiufang Ye)</v>
      </c>
      <c r="AE85" t="str">
        <f>VLOOKUP($H85,'[3]0509人员排班情况 副本'!$G:$U,13,FALSE)</f>
        <v>常哲</v>
      </c>
      <c r="AF85" t="str">
        <f>VLOOKUP($H85,'[3]0509人员排班情况 副本'!$G:$U,14,FALSE)</f>
        <v>Minqing (Minqing Xu),罗煜雄 Mike (Yuxiong Luo)</v>
      </c>
      <c r="AG85">
        <f>VLOOKUP($H85,'[3]0509人员排班情况 副本'!$G:$U,15,FALSE)</f>
        <v>0</v>
      </c>
    </row>
    <row r="86" customHeight="1" spans="1:33">
      <c r="A86" t="s">
        <v>202</v>
      </c>
      <c r="B86" t="s">
        <v>448</v>
      </c>
      <c r="C86" t="s">
        <v>449</v>
      </c>
      <c r="D86" t="s">
        <v>15</v>
      </c>
      <c r="E86" t="s">
        <v>20</v>
      </c>
      <c r="F86" t="s">
        <v>210</v>
      </c>
      <c r="G86" t="s">
        <v>112</v>
      </c>
      <c r="H86" t="str">
        <f t="shared" si="7"/>
        <v>FL 佛州大区MIA.H操作组</v>
      </c>
      <c r="I86" t="s">
        <v>156</v>
      </c>
      <c r="J86" t="s">
        <v>373</v>
      </c>
      <c r="K86" s="15">
        <v>0.291666666666667</v>
      </c>
      <c r="L86" s="15" t="s">
        <v>374</v>
      </c>
      <c r="M86" s="15">
        <v>0.297916666666667</v>
      </c>
      <c r="N86" t="s">
        <v>450</v>
      </c>
      <c r="O86" s="20" t="str">
        <f t="shared" si="13"/>
        <v>正确</v>
      </c>
      <c r="P86" s="21">
        <v>0</v>
      </c>
      <c r="Q86" s="21">
        <v>8.32</v>
      </c>
      <c r="R86" s="21">
        <v>0</v>
      </c>
      <c r="S86" s="21">
        <f t="shared" si="8"/>
        <v>8.32</v>
      </c>
      <c r="T86" s="21">
        <f t="shared" si="9"/>
        <v>0.32</v>
      </c>
      <c r="U86" s="21" t="str">
        <f t="shared" si="10"/>
        <v>是</v>
      </c>
      <c r="V86" s="21">
        <f>VLOOKUP($C86,[4]Sheet1!$B:$AN,39,FALSE)</f>
        <v>8.32</v>
      </c>
      <c r="W86" s="21">
        <v>0</v>
      </c>
      <c r="X86" s="23">
        <v>4</v>
      </c>
      <c r="Y86" s="23">
        <v>4</v>
      </c>
      <c r="Z86" s="25">
        <f t="shared" si="11"/>
        <v>0</v>
      </c>
      <c r="AA86" s="25" t="str">
        <f t="shared" si="12"/>
        <v>是</v>
      </c>
      <c r="AB86" t="s">
        <v>148</v>
      </c>
      <c r="AC86" t="e">
        <f>VLOOKUP(C86,[1]Sheet1!$C:$O,13,FALSE)</f>
        <v>#N/A</v>
      </c>
      <c r="AD86" t="str">
        <f>VLOOKUP($H86,'[3]0509人员排班情况 副本'!$G:$U,12,FALSE)</f>
        <v>Natalia (Natalia Padilla),孙婕 Jasmine（Sunjie）</v>
      </c>
      <c r="AE86" t="str">
        <f>VLOOKUP($H86,'[3]0509人员排班情况 副本'!$G:$U,13,FALSE)</f>
        <v>贺子强Jeff (Ziqiang He)</v>
      </c>
      <c r="AF86" t="str">
        <f>VLOOKUP($H86,'[3]0509人员排班情况 副本'!$G:$U,14,FALSE)</f>
        <v>Minqing (Minqing Xu),罗煜雄 Mike (Yuxiong Luo)</v>
      </c>
      <c r="AG86">
        <f>VLOOKUP($H86,'[3]0509人员排班情况 副本'!$G:$U,15,FALSE)</f>
        <v>0</v>
      </c>
    </row>
    <row r="87" customHeight="1" spans="1:33">
      <c r="A87" t="s">
        <v>202</v>
      </c>
      <c r="B87" t="s">
        <v>451</v>
      </c>
      <c r="C87" t="s">
        <v>452</v>
      </c>
      <c r="D87" t="s">
        <v>100</v>
      </c>
      <c r="E87" t="s">
        <v>101</v>
      </c>
      <c r="F87" t="s">
        <v>210</v>
      </c>
      <c r="G87" t="s">
        <v>112</v>
      </c>
      <c r="H87" t="str">
        <f t="shared" si="7"/>
        <v>WE 美西大区CNO.H操作组</v>
      </c>
      <c r="I87" t="s">
        <v>156</v>
      </c>
      <c r="J87" t="s">
        <v>421</v>
      </c>
      <c r="K87" s="15">
        <v>0.708333333333333</v>
      </c>
      <c r="L87" s="15" t="s">
        <v>422</v>
      </c>
      <c r="M87" s="15"/>
      <c r="N87" t="s">
        <v>148</v>
      </c>
      <c r="O87" s="20" t="str">
        <f t="shared" si="13"/>
        <v>不正确</v>
      </c>
      <c r="P87" s="21">
        <v>0</v>
      </c>
      <c r="Q87" s="21">
        <v>0</v>
      </c>
      <c r="R87" s="21">
        <v>0</v>
      </c>
      <c r="S87" s="21">
        <f t="shared" si="8"/>
        <v>0</v>
      </c>
      <c r="T87" s="21">
        <f t="shared" si="9"/>
        <v>0</v>
      </c>
      <c r="U87" s="21" t="str">
        <f t="shared" si="10"/>
        <v>否</v>
      </c>
      <c r="V87" s="21">
        <f>VLOOKUP($C87,[4]Sheet1!$B:$AN,39,FALSE)</f>
        <v>8.12</v>
      </c>
      <c r="W87" s="21">
        <v>0</v>
      </c>
      <c r="X87" s="23">
        <v>2</v>
      </c>
      <c r="Y87" s="23">
        <v>4</v>
      </c>
      <c r="Z87" s="25">
        <f t="shared" si="11"/>
        <v>2</v>
      </c>
      <c r="AA87" s="25" t="str">
        <f t="shared" si="12"/>
        <v>是</v>
      </c>
      <c r="AB87" t="s">
        <v>148</v>
      </c>
      <c r="AC87" t="e">
        <f>VLOOKUP(C87,[1]Sheet1!$C:$O,13,FALSE)</f>
        <v>#N/A</v>
      </c>
      <c r="AD87" t="str">
        <f>VLOOKUP($H87,'[3]0509人员排班情况 副本'!$G:$U,12,FALSE)</f>
        <v>王骞Ariel（Qian Wang）,叶秀芳Freya (Xiufang Ye)</v>
      </c>
      <c r="AE87" t="str">
        <f>VLOOKUP($H87,'[3]0509人员排班情况 副本'!$G:$U,13,FALSE)</f>
        <v>常哲</v>
      </c>
      <c r="AF87" t="str">
        <f>VLOOKUP($H87,'[3]0509人员排班情况 副本'!$G:$U,14,FALSE)</f>
        <v>Minqing (Minqing Xu),罗煜雄 Mike (Yuxiong Luo)</v>
      </c>
      <c r="AG87">
        <f>VLOOKUP($H87,'[3]0509人员排班情况 副本'!$G:$U,15,FALSE)</f>
        <v>0</v>
      </c>
    </row>
    <row r="88" customHeight="1" spans="1:33">
      <c r="A88" t="s">
        <v>202</v>
      </c>
      <c r="B88" t="s">
        <v>453</v>
      </c>
      <c r="C88" t="s">
        <v>454</v>
      </c>
      <c r="D88" t="s">
        <v>15</v>
      </c>
      <c r="E88" t="s">
        <v>20</v>
      </c>
      <c r="F88" t="s">
        <v>210</v>
      </c>
      <c r="G88" t="s">
        <v>112</v>
      </c>
      <c r="H88" t="str">
        <f t="shared" si="7"/>
        <v>FL 佛州大区MIA.H操作组</v>
      </c>
      <c r="I88" t="s">
        <v>156</v>
      </c>
      <c r="J88" t="s">
        <v>217</v>
      </c>
      <c r="K88" s="15">
        <v>0.395833333333333</v>
      </c>
      <c r="L88" s="15" t="s">
        <v>218</v>
      </c>
      <c r="M88" s="15"/>
      <c r="N88" t="s">
        <v>148</v>
      </c>
      <c r="O88" s="20" t="s">
        <v>116</v>
      </c>
      <c r="P88" s="21">
        <v>0</v>
      </c>
      <c r="Q88" s="21">
        <v>0</v>
      </c>
      <c r="R88" s="21">
        <v>0</v>
      </c>
      <c r="S88" s="21">
        <f t="shared" si="8"/>
        <v>0</v>
      </c>
      <c r="T88" s="21">
        <f t="shared" si="9"/>
        <v>0</v>
      </c>
      <c r="U88" s="21" t="str">
        <f t="shared" si="10"/>
        <v>否</v>
      </c>
      <c r="V88" s="21">
        <f>VLOOKUP($C88,[4]Sheet1!$B:$AN,39,FALSE)</f>
        <v>8.85</v>
      </c>
      <c r="W88" s="21">
        <v>0</v>
      </c>
      <c r="X88" s="23">
        <v>0</v>
      </c>
      <c r="Y88" s="23">
        <v>0</v>
      </c>
      <c r="Z88" s="25">
        <f t="shared" si="11"/>
        <v>0</v>
      </c>
      <c r="AA88" s="25" t="str">
        <f t="shared" si="12"/>
        <v>是</v>
      </c>
      <c r="AB88" t="s">
        <v>148</v>
      </c>
      <c r="AC88" t="e">
        <f>VLOOKUP(C88,[1]Sheet1!$C:$O,13,FALSE)</f>
        <v>#N/A</v>
      </c>
      <c r="AD88" t="str">
        <f>VLOOKUP($H88,'[3]0509人员排班情况 副本'!$G:$U,12,FALSE)</f>
        <v>Natalia (Natalia Padilla),孙婕 Jasmine（Sunjie）</v>
      </c>
      <c r="AE88" t="str">
        <f>VLOOKUP($H88,'[3]0509人员排班情况 副本'!$G:$U,13,FALSE)</f>
        <v>贺子强Jeff (Ziqiang He)</v>
      </c>
      <c r="AF88" t="str">
        <f>VLOOKUP($H88,'[3]0509人员排班情况 副本'!$G:$U,14,FALSE)</f>
        <v>Minqing (Minqing Xu),罗煜雄 Mike (Yuxiong Luo)</v>
      </c>
      <c r="AG88">
        <f>VLOOKUP($H88,'[3]0509人员排班情况 副本'!$G:$U,15,FALSE)</f>
        <v>0</v>
      </c>
    </row>
    <row r="89" customHeight="1" spans="1:33">
      <c r="A89" t="s">
        <v>202</v>
      </c>
      <c r="B89" t="s">
        <v>455</v>
      </c>
      <c r="C89" t="s">
        <v>456</v>
      </c>
      <c r="D89" t="s">
        <v>15</v>
      </c>
      <c r="E89" t="s">
        <v>20</v>
      </c>
      <c r="F89" t="s">
        <v>243</v>
      </c>
      <c r="G89" t="s">
        <v>112</v>
      </c>
      <c r="H89" t="str">
        <f t="shared" si="7"/>
        <v>FL 佛州大区MIA.H调度组</v>
      </c>
      <c r="I89" t="s">
        <v>160</v>
      </c>
      <c r="J89" t="s">
        <v>217</v>
      </c>
      <c r="K89" s="15">
        <v>0.395833333333333</v>
      </c>
      <c r="L89" s="15" t="s">
        <v>218</v>
      </c>
      <c r="M89" s="15"/>
      <c r="N89" t="s">
        <v>457</v>
      </c>
      <c r="O89" s="20" t="str">
        <f t="shared" si="13"/>
        <v>不正确</v>
      </c>
      <c r="P89" s="21">
        <v>0</v>
      </c>
      <c r="Q89" s="21">
        <v>0</v>
      </c>
      <c r="R89" s="21">
        <v>0</v>
      </c>
      <c r="S89" s="21">
        <f t="shared" si="8"/>
        <v>0</v>
      </c>
      <c r="T89" s="21">
        <f t="shared" si="9"/>
        <v>0</v>
      </c>
      <c r="U89" s="21" t="str">
        <f t="shared" si="10"/>
        <v>否</v>
      </c>
      <c r="V89" s="21">
        <f>VLOOKUP($C89,[4]Sheet1!$B:$AN,39,FALSE)</f>
        <v>0</v>
      </c>
      <c r="W89" s="21">
        <v>0</v>
      </c>
      <c r="X89" s="23">
        <v>1</v>
      </c>
      <c r="Y89" s="23">
        <v>0</v>
      </c>
      <c r="Z89" s="25">
        <f t="shared" si="11"/>
        <v>0</v>
      </c>
      <c r="AA89" s="25" t="str">
        <f t="shared" si="12"/>
        <v>是</v>
      </c>
      <c r="AB89" t="s">
        <v>148</v>
      </c>
      <c r="AC89" t="e">
        <f>VLOOKUP(C89,[1]Sheet1!$C:$O,13,FALSE)</f>
        <v>#N/A</v>
      </c>
      <c r="AD89" t="str">
        <f>VLOOKUP($H89,'[3]0509人员排班情况 副本'!$G:$U,12,FALSE)</f>
        <v>Natalia (Natalia Padilla),孙婕 Jasmine（Sunjie）</v>
      </c>
      <c r="AE89" t="str">
        <f>VLOOKUP($H89,'[3]0509人员排班情况 副本'!$G:$U,13,FALSE)</f>
        <v>贺子强Jeff (Ziqiang He)</v>
      </c>
      <c r="AF89" t="str">
        <f>VLOOKUP($H89,'[3]0509人员排班情况 副本'!$G:$U,14,FALSE)</f>
        <v>Minqing (Minqing Xu),罗煜雄 Mike (Yuxiong Luo)</v>
      </c>
      <c r="AG89">
        <f>VLOOKUP($H89,'[3]0509人员排班情况 副本'!$G:$U,15,FALSE)</f>
        <v>0</v>
      </c>
    </row>
    <row r="90" customHeight="1" spans="1:33">
      <c r="A90" t="s">
        <v>202</v>
      </c>
      <c r="B90" t="s">
        <v>458</v>
      </c>
      <c r="C90" t="s">
        <v>459</v>
      </c>
      <c r="D90" t="s">
        <v>100</v>
      </c>
      <c r="E90" t="s">
        <v>103</v>
      </c>
      <c r="F90" t="s">
        <v>210</v>
      </c>
      <c r="G90" t="s">
        <v>112</v>
      </c>
      <c r="H90" t="str">
        <f t="shared" si="7"/>
        <v>WE 美西大区LAV.H操作组</v>
      </c>
      <c r="I90" t="s">
        <v>156</v>
      </c>
      <c r="J90" t="s">
        <v>221</v>
      </c>
      <c r="K90" s="15">
        <v>0.208333333333333</v>
      </c>
      <c r="L90" s="15" t="s">
        <v>222</v>
      </c>
      <c r="M90" s="15">
        <v>0.20625</v>
      </c>
      <c r="N90" t="s">
        <v>460</v>
      </c>
      <c r="O90" s="20" t="str">
        <f t="shared" si="13"/>
        <v>正确</v>
      </c>
      <c r="P90" s="21">
        <v>0</v>
      </c>
      <c r="Q90" s="21">
        <v>10.8</v>
      </c>
      <c r="R90" s="21">
        <v>0</v>
      </c>
      <c r="S90" s="21">
        <f t="shared" si="8"/>
        <v>10.8</v>
      </c>
      <c r="T90" s="21">
        <f t="shared" si="9"/>
        <v>2.8</v>
      </c>
      <c r="U90" s="21" t="str">
        <f t="shared" si="10"/>
        <v>是</v>
      </c>
      <c r="V90" s="21">
        <f>VLOOKUP($C90,[4]Sheet1!$B:$AN,39,FALSE)</f>
        <v>21.75</v>
      </c>
      <c r="W90" s="21">
        <v>0</v>
      </c>
      <c r="X90" s="23">
        <v>4</v>
      </c>
      <c r="Y90" s="23">
        <v>4</v>
      </c>
      <c r="Z90" s="25">
        <f t="shared" si="11"/>
        <v>0</v>
      </c>
      <c r="AA90" s="25" t="str">
        <f t="shared" si="12"/>
        <v>是</v>
      </c>
      <c r="AB90" t="s">
        <v>148</v>
      </c>
      <c r="AC90" t="e">
        <f>VLOOKUP(C90,[1]Sheet1!$C:$O,13,FALSE)</f>
        <v>#N/A</v>
      </c>
      <c r="AD90" t="str">
        <f>VLOOKUP($H90,'[3]0509人员排班情况 副本'!$G:$U,12,FALSE)</f>
        <v>王骞Ariel（Qian Wang）,叶秀芳Freya (Xiufang Ye)</v>
      </c>
      <c r="AE90" t="str">
        <f>VLOOKUP($H90,'[3]0509人员排班情况 副本'!$G:$U,13,FALSE)</f>
        <v>常哲</v>
      </c>
      <c r="AF90" t="str">
        <f>VLOOKUP($H90,'[3]0509人员排班情况 副本'!$G:$U,14,FALSE)</f>
        <v>Minqing (Minqing Xu),罗煜雄 Mike (Yuxiong Luo)</v>
      </c>
      <c r="AG90">
        <f>VLOOKUP($H90,'[3]0509人员排班情况 副本'!$G:$U,15,FALSE)</f>
        <v>0</v>
      </c>
    </row>
    <row r="91" customHeight="1" spans="1:33">
      <c r="A91" t="s">
        <v>202</v>
      </c>
      <c r="B91" t="s">
        <v>461</v>
      </c>
      <c r="C91" t="s">
        <v>462</v>
      </c>
      <c r="D91" t="s">
        <v>68</v>
      </c>
      <c r="E91" t="s">
        <v>76</v>
      </c>
      <c r="F91" t="s">
        <v>210</v>
      </c>
      <c r="G91" t="s">
        <v>112</v>
      </c>
      <c r="H91" t="str">
        <f t="shared" si="7"/>
        <v>NE 东北大区EWR.H操作组</v>
      </c>
      <c r="I91" t="s">
        <v>156</v>
      </c>
      <c r="J91" t="s">
        <v>205</v>
      </c>
      <c r="K91" s="15">
        <v>0.166666666666667</v>
      </c>
      <c r="L91" s="15" t="s">
        <v>206</v>
      </c>
      <c r="M91" s="15">
        <v>0.15625</v>
      </c>
      <c r="N91" t="s">
        <v>206</v>
      </c>
      <c r="O91" s="20" t="str">
        <f t="shared" si="13"/>
        <v>正确</v>
      </c>
      <c r="P91" s="21">
        <v>0</v>
      </c>
      <c r="Q91" s="21">
        <v>8.25</v>
      </c>
      <c r="R91" s="21">
        <v>0</v>
      </c>
      <c r="S91" s="21">
        <f t="shared" si="8"/>
        <v>8.25</v>
      </c>
      <c r="T91" s="21">
        <f t="shared" si="9"/>
        <v>0.25</v>
      </c>
      <c r="U91" s="21" t="str">
        <f t="shared" si="10"/>
        <v>是</v>
      </c>
      <c r="V91" s="21">
        <f>VLOOKUP($C91,[4]Sheet1!$B:$AN,39,FALSE)</f>
        <v>8.25</v>
      </c>
      <c r="W91" s="21">
        <v>9.2</v>
      </c>
      <c r="X91" s="23">
        <v>4</v>
      </c>
      <c r="Y91" s="23">
        <v>4</v>
      </c>
      <c r="Z91" s="25">
        <f t="shared" si="11"/>
        <v>0</v>
      </c>
      <c r="AA91" s="25" t="str">
        <f t="shared" si="12"/>
        <v>是</v>
      </c>
      <c r="AB91" t="s">
        <v>148</v>
      </c>
      <c r="AC91" t="e">
        <f>VLOOKUP(C91,[1]Sheet1!$C:$O,13,FALSE)</f>
        <v>#N/A</v>
      </c>
      <c r="AD91" t="str">
        <f>VLOOKUP($H91,'[3]0509人员排班情况 副本'!$G:$U,12,FALSE)</f>
        <v>孙可君Monica（Kejun Sun）</v>
      </c>
      <c r="AE91" t="str">
        <f>VLOOKUP($H91,'[3]0509人员排班情况 副本'!$G:$U,13,FALSE)</f>
        <v>马聪Cong (Cong Ma)</v>
      </c>
      <c r="AF91" t="str">
        <f>VLOOKUP($H91,'[3]0509人员排班情况 副本'!$G:$U,14,FALSE)</f>
        <v>Minqing (Minqing Xu),罗煜雄 Mike (Yuxiong Luo)</v>
      </c>
      <c r="AG91">
        <f>VLOOKUP($H91,'[3]0509人员排班情况 副本'!$G:$U,15,FALSE)</f>
        <v>0</v>
      </c>
    </row>
    <row r="92" customHeight="1" spans="1:33">
      <c r="A92" t="s">
        <v>202</v>
      </c>
      <c r="B92" t="s">
        <v>463</v>
      </c>
      <c r="C92" t="s">
        <v>464</v>
      </c>
      <c r="D92" t="s">
        <v>15</v>
      </c>
      <c r="E92" t="s">
        <v>20</v>
      </c>
      <c r="F92" t="s">
        <v>243</v>
      </c>
      <c r="G92" t="s">
        <v>112</v>
      </c>
      <c r="H92" t="str">
        <f t="shared" si="7"/>
        <v>FL 佛州大区MIA.H调度组</v>
      </c>
      <c r="I92" t="s">
        <v>160</v>
      </c>
      <c r="J92" t="s">
        <v>365</v>
      </c>
      <c r="K92" s="15">
        <v>0.833333333333333</v>
      </c>
      <c r="L92" s="15" t="s">
        <v>366</v>
      </c>
      <c r="M92" s="15"/>
      <c r="N92" t="s">
        <v>148</v>
      </c>
      <c r="O92" s="20" t="str">
        <f t="shared" si="13"/>
        <v>不正确</v>
      </c>
      <c r="P92" s="21">
        <v>0</v>
      </c>
      <c r="Q92" s="21">
        <v>0</v>
      </c>
      <c r="R92" s="21">
        <v>0</v>
      </c>
      <c r="S92" s="21">
        <f t="shared" si="8"/>
        <v>0</v>
      </c>
      <c r="T92" s="21">
        <f t="shared" si="9"/>
        <v>0</v>
      </c>
      <c r="U92" s="21" t="str">
        <f t="shared" si="10"/>
        <v>否</v>
      </c>
      <c r="V92" s="21">
        <f>VLOOKUP($C92,[4]Sheet1!$B:$AN,39,FALSE)</f>
        <v>0</v>
      </c>
      <c r="W92" s="21">
        <v>0</v>
      </c>
      <c r="X92" s="23">
        <v>0</v>
      </c>
      <c r="Y92" s="23">
        <v>4</v>
      </c>
      <c r="Z92" s="25">
        <f t="shared" si="11"/>
        <v>4</v>
      </c>
      <c r="AA92" s="25" t="str">
        <f t="shared" si="12"/>
        <v>是</v>
      </c>
      <c r="AB92" t="s">
        <v>148</v>
      </c>
      <c r="AC92" t="e">
        <f>VLOOKUP(C92,[1]Sheet1!$C:$O,13,FALSE)</f>
        <v>#N/A</v>
      </c>
      <c r="AD92" t="str">
        <f>VLOOKUP($H92,'[3]0509人员排班情况 副本'!$G:$U,12,FALSE)</f>
        <v>Natalia (Natalia Padilla),孙婕 Jasmine（Sunjie）</v>
      </c>
      <c r="AE92" t="str">
        <f>VLOOKUP($H92,'[3]0509人员排班情况 副本'!$G:$U,13,FALSE)</f>
        <v>贺子强Jeff (Ziqiang He)</v>
      </c>
      <c r="AF92" t="str">
        <f>VLOOKUP($H92,'[3]0509人员排班情况 副本'!$G:$U,14,FALSE)</f>
        <v>Minqing (Minqing Xu),罗煜雄 Mike (Yuxiong Luo)</v>
      </c>
      <c r="AG92">
        <f>VLOOKUP($H92,'[3]0509人员排班情况 副本'!$G:$U,15,FALSE)</f>
        <v>0</v>
      </c>
    </row>
    <row r="93" customHeight="1" spans="1:33">
      <c r="A93" t="s">
        <v>202</v>
      </c>
      <c r="B93" t="s">
        <v>465</v>
      </c>
      <c r="C93" t="s">
        <v>466</v>
      </c>
      <c r="D93" t="s">
        <v>100</v>
      </c>
      <c r="E93" t="s">
        <v>106</v>
      </c>
      <c r="F93" t="s">
        <v>291</v>
      </c>
      <c r="H93" t="str">
        <f t="shared" si="7"/>
        <v>WE 美西大区SC 南加片区SFV01</v>
      </c>
      <c r="I93" t="s">
        <v>156</v>
      </c>
      <c r="J93" t="s">
        <v>205</v>
      </c>
      <c r="K93" s="15">
        <v>0.166666666666667</v>
      </c>
      <c r="L93" s="15" t="s">
        <v>206</v>
      </c>
      <c r="M93" s="15"/>
      <c r="N93" t="s">
        <v>148</v>
      </c>
      <c r="O93" s="20" t="str">
        <f t="shared" si="13"/>
        <v>不正确</v>
      </c>
      <c r="P93" s="21">
        <v>0</v>
      </c>
      <c r="Q93" s="21">
        <v>0</v>
      </c>
      <c r="R93" s="21">
        <v>0</v>
      </c>
      <c r="S93" s="21">
        <f t="shared" si="8"/>
        <v>0</v>
      </c>
      <c r="T93" s="21">
        <f t="shared" si="9"/>
        <v>0</v>
      </c>
      <c r="U93" s="21" t="str">
        <f t="shared" si="10"/>
        <v>否</v>
      </c>
      <c r="V93" s="21">
        <f>VLOOKUP($C93,[4]Sheet1!$B:$AN,39,FALSE)</f>
        <v>0</v>
      </c>
      <c r="W93" s="21">
        <v>0</v>
      </c>
      <c r="X93" s="23">
        <v>0</v>
      </c>
      <c r="Y93" s="23">
        <v>4</v>
      </c>
      <c r="Z93" s="25">
        <f t="shared" si="11"/>
        <v>4</v>
      </c>
      <c r="AA93" s="25" t="str">
        <f t="shared" si="12"/>
        <v>是</v>
      </c>
      <c r="AB93" t="s">
        <v>148</v>
      </c>
      <c r="AC93" t="e">
        <f>VLOOKUP(C93,[1]Sheet1!$C:$O,13,FALSE)</f>
        <v>#N/A</v>
      </c>
      <c r="AD93" t="str">
        <f>VLOOKUP($H93,'[3]0509人员排班情况 副本'!$G:$U,12,FALSE)</f>
        <v>王骞Ariel（Qian Wang）,叶秀芳Freya (Xiufang Ye)</v>
      </c>
      <c r="AE93" t="str">
        <f>VLOOKUP($H93,'[3]0509人员排班情况 副本'!$G:$U,13,FALSE)</f>
        <v>常哲</v>
      </c>
      <c r="AF93" t="str">
        <f>VLOOKUP($H93,'[3]0509人员排班情况 副本'!$G:$U,14,FALSE)</f>
        <v>尤梦楠Yuko（Mengnan You）</v>
      </c>
      <c r="AG93">
        <f>VLOOKUP($H93,'[3]0509人员排班情况 副本'!$G:$U,15,FALSE)</f>
        <v>0</v>
      </c>
    </row>
    <row r="94" customHeight="1" spans="1:33">
      <c r="A94" t="s">
        <v>202</v>
      </c>
      <c r="B94" t="s">
        <v>467</v>
      </c>
      <c r="C94" t="s">
        <v>468</v>
      </c>
      <c r="D94" t="s">
        <v>15</v>
      </c>
      <c r="E94" t="s">
        <v>20</v>
      </c>
      <c r="F94" t="s">
        <v>354</v>
      </c>
      <c r="G94" t="s">
        <v>112</v>
      </c>
      <c r="H94" t="str">
        <f t="shared" si="7"/>
        <v>FL 佛州大区MIA.H二程管理组</v>
      </c>
      <c r="I94" t="s">
        <v>355</v>
      </c>
      <c r="J94" t="s">
        <v>211</v>
      </c>
      <c r="K94" s="15">
        <v>0.333333333333333</v>
      </c>
      <c r="L94" s="15" t="s">
        <v>212</v>
      </c>
      <c r="M94" s="15">
        <v>0.329861111111111</v>
      </c>
      <c r="N94" t="s">
        <v>469</v>
      </c>
      <c r="O94" s="20" t="str">
        <f t="shared" si="13"/>
        <v>正确</v>
      </c>
      <c r="P94" s="21">
        <v>0</v>
      </c>
      <c r="Q94" s="21">
        <v>9.1</v>
      </c>
      <c r="R94" s="21">
        <v>0</v>
      </c>
      <c r="S94" s="21">
        <f t="shared" si="8"/>
        <v>9.1</v>
      </c>
      <c r="T94" s="21">
        <f t="shared" si="9"/>
        <v>1.1</v>
      </c>
      <c r="U94" s="21" t="str">
        <f t="shared" si="10"/>
        <v>是</v>
      </c>
      <c r="V94" s="21">
        <f>VLOOKUP($C94,[4]Sheet1!$B:$AN,39,FALSE)</f>
        <v>17.97</v>
      </c>
      <c r="W94" s="21">
        <v>0</v>
      </c>
      <c r="X94" s="23">
        <v>4</v>
      </c>
      <c r="Y94" s="23">
        <v>4</v>
      </c>
      <c r="Z94" s="25">
        <f t="shared" si="11"/>
        <v>0</v>
      </c>
      <c r="AA94" s="25" t="str">
        <f t="shared" si="12"/>
        <v>是</v>
      </c>
      <c r="AB94" t="s">
        <v>148</v>
      </c>
      <c r="AC94" t="e">
        <f>VLOOKUP(C94,[1]Sheet1!$C:$O,13,FALSE)</f>
        <v>#N/A</v>
      </c>
      <c r="AD94" t="str">
        <f>VLOOKUP($H94,'[3]0509人员排班情况 副本'!$G:$U,12,FALSE)</f>
        <v>Natalia (Natalia Padilla),孙婕 Jasmine（Sunjie）</v>
      </c>
      <c r="AE94" t="str">
        <f>VLOOKUP($H94,'[3]0509人员排班情况 副本'!$G:$U,13,FALSE)</f>
        <v>贺子强Jeff (Ziqiang He)</v>
      </c>
      <c r="AF94" t="str">
        <f>VLOOKUP($H94,'[3]0509人员排班情况 副本'!$G:$U,14,FALSE)</f>
        <v>Minqing (Minqing Xu),罗煜雄 Mike (Yuxiong Luo)</v>
      </c>
      <c r="AG94">
        <f>VLOOKUP($H94,'[3]0509人员排班情况 副本'!$G:$U,15,FALSE)</f>
        <v>0</v>
      </c>
    </row>
    <row r="95" customHeight="1" spans="1:33">
      <c r="A95" t="s">
        <v>202</v>
      </c>
      <c r="B95" t="s">
        <v>470</v>
      </c>
      <c r="C95" t="s">
        <v>471</v>
      </c>
      <c r="D95" t="s">
        <v>92</v>
      </c>
      <c r="E95" t="s">
        <v>93</v>
      </c>
      <c r="F95" t="s">
        <v>472</v>
      </c>
      <c r="H95" t="str">
        <f t="shared" si="7"/>
        <v>TX 德州大区CT 中德州片区ACT01</v>
      </c>
      <c r="I95" t="s">
        <v>177</v>
      </c>
      <c r="J95" t="s">
        <v>437</v>
      </c>
      <c r="K95" s="15">
        <v>0.229166666666667</v>
      </c>
      <c r="L95" s="15" t="s">
        <v>438</v>
      </c>
      <c r="M95" s="15"/>
      <c r="N95" t="s">
        <v>148</v>
      </c>
      <c r="O95" s="20" t="str">
        <f t="shared" si="13"/>
        <v>不正确</v>
      </c>
      <c r="P95" s="21">
        <v>0</v>
      </c>
      <c r="Q95" s="21">
        <v>0</v>
      </c>
      <c r="R95" s="21">
        <v>0</v>
      </c>
      <c r="S95" s="21">
        <f t="shared" si="8"/>
        <v>0</v>
      </c>
      <c r="T95" s="21">
        <f t="shared" si="9"/>
        <v>0</v>
      </c>
      <c r="U95" s="21" t="str">
        <f t="shared" si="10"/>
        <v>否</v>
      </c>
      <c r="V95" s="21">
        <f>VLOOKUP($C95,[4]Sheet1!$B:$AN,39,FALSE)</f>
        <v>0</v>
      </c>
      <c r="W95" s="21">
        <v>0</v>
      </c>
      <c r="X95" s="23">
        <v>0</v>
      </c>
      <c r="Y95" s="23">
        <v>4</v>
      </c>
      <c r="Z95" s="25">
        <f t="shared" si="11"/>
        <v>4</v>
      </c>
      <c r="AA95" s="25" t="str">
        <f t="shared" si="12"/>
        <v>是</v>
      </c>
      <c r="AB95" t="s">
        <v>148</v>
      </c>
      <c r="AC95" t="e">
        <f>VLOOKUP(C95,[1]Sheet1!$C:$O,13,FALSE)</f>
        <v>#N/A</v>
      </c>
      <c r="AD95" t="str">
        <f>VLOOKUP($H95,'[3]0509人员排班情况 副本'!$G:$U,12,FALSE)</f>
        <v>肖芦莉Lily (Luli Xiao)</v>
      </c>
      <c r="AE95" t="str">
        <f>VLOOKUP($H95,'[3]0509人员排班情况 副本'!$G:$U,13,FALSE)</f>
        <v>张骥Ji Zhang (Ji Zhang)</v>
      </c>
      <c r="AF95" t="str">
        <f>VLOOKUP($H95,'[3]0509人员排班情况 副本'!$G:$U,14,FALSE)</f>
        <v>马铭 Ming (Ming Ma)</v>
      </c>
      <c r="AG95">
        <f>VLOOKUP($H95,'[3]0509人员排班情况 副本'!$G:$U,15,FALSE)</f>
        <v>0</v>
      </c>
    </row>
    <row r="96" customHeight="1" spans="1:33">
      <c r="A96" t="s">
        <v>202</v>
      </c>
      <c r="B96" t="s">
        <v>473</v>
      </c>
      <c r="C96" t="s">
        <v>474</v>
      </c>
      <c r="D96" t="s">
        <v>15</v>
      </c>
      <c r="E96" t="s">
        <v>27</v>
      </c>
      <c r="F96" t="s">
        <v>16</v>
      </c>
      <c r="H96" t="str">
        <f t="shared" si="7"/>
        <v>FL 佛州大区WF 西佛片区FTM01</v>
      </c>
      <c r="I96" t="s">
        <v>177</v>
      </c>
      <c r="J96" t="s">
        <v>205</v>
      </c>
      <c r="K96" s="15">
        <v>0.166666666666667</v>
      </c>
      <c r="L96" s="15" t="s">
        <v>206</v>
      </c>
      <c r="M96" s="15"/>
      <c r="N96" t="s">
        <v>148</v>
      </c>
      <c r="O96" s="20" t="str">
        <f t="shared" si="13"/>
        <v>不正确</v>
      </c>
      <c r="P96" s="21">
        <v>0</v>
      </c>
      <c r="Q96" s="21">
        <v>0</v>
      </c>
      <c r="R96" s="21">
        <v>0</v>
      </c>
      <c r="S96" s="21">
        <f t="shared" si="8"/>
        <v>0</v>
      </c>
      <c r="T96" s="21">
        <f t="shared" si="9"/>
        <v>0</v>
      </c>
      <c r="U96" s="21" t="str">
        <f t="shared" si="10"/>
        <v>否</v>
      </c>
      <c r="V96" s="21">
        <f>VLOOKUP($C96,[4]Sheet1!$B:$AN,39,FALSE)</f>
        <v>6.33</v>
      </c>
      <c r="W96" s="21">
        <v>0</v>
      </c>
      <c r="X96" s="23">
        <v>0</v>
      </c>
      <c r="Y96" s="23">
        <v>4</v>
      </c>
      <c r="Z96" s="25">
        <f t="shared" si="11"/>
        <v>4</v>
      </c>
      <c r="AA96" s="25" t="str">
        <f t="shared" si="12"/>
        <v>是</v>
      </c>
      <c r="AB96" t="s">
        <v>148</v>
      </c>
      <c r="AC96" t="e">
        <f>VLOOKUP(C96,[1]Sheet1!$C:$O,13,FALSE)</f>
        <v>#N/A</v>
      </c>
      <c r="AD96" t="str">
        <f>VLOOKUP($H96,'[3]0509人员排班情况 副本'!$G:$U,12,FALSE)</f>
        <v>Natalia (Natalia Padilla),孙婕 Jasmine（Sunjie）</v>
      </c>
      <c r="AE96" t="str">
        <f>VLOOKUP($H96,'[3]0509人员排班情况 副本'!$G:$U,13,FALSE)</f>
        <v>贺子强Jeff (Ziqiang He)</v>
      </c>
      <c r="AF96" t="str">
        <f>VLOOKUP($H96,'[3]0509人员排班情况 副本'!$G:$U,14,FALSE)</f>
        <v>吴欣玥 Destinee (Xinyue Wu)</v>
      </c>
      <c r="AG96">
        <f>VLOOKUP($H96,'[3]0509人员排班情况 副本'!$G:$U,15,FALSE)</f>
        <v>0</v>
      </c>
    </row>
    <row r="97" customHeight="1" spans="1:33">
      <c r="A97" t="s">
        <v>202</v>
      </c>
      <c r="B97" t="s">
        <v>475</v>
      </c>
      <c r="C97" t="s">
        <v>476</v>
      </c>
      <c r="D97" t="s">
        <v>68</v>
      </c>
      <c r="E97" t="s">
        <v>78</v>
      </c>
      <c r="F97" t="s">
        <v>210</v>
      </c>
      <c r="G97" t="s">
        <v>112</v>
      </c>
      <c r="H97" t="str">
        <f t="shared" si="7"/>
        <v>NE 东北大区JFK.H操作组</v>
      </c>
      <c r="I97" t="s">
        <v>156</v>
      </c>
      <c r="J97" t="s">
        <v>400</v>
      </c>
      <c r="K97" s="15">
        <v>0.5</v>
      </c>
      <c r="L97" s="15" t="s">
        <v>401</v>
      </c>
      <c r="M97" s="15">
        <v>0.494444444444444</v>
      </c>
      <c r="N97" t="s">
        <v>477</v>
      </c>
      <c r="O97" s="20" t="str">
        <f t="shared" si="13"/>
        <v>正确</v>
      </c>
      <c r="P97" s="21">
        <v>0</v>
      </c>
      <c r="Q97" s="21">
        <v>9.62</v>
      </c>
      <c r="R97" s="21">
        <v>0</v>
      </c>
      <c r="S97" s="21">
        <f t="shared" si="8"/>
        <v>9.62</v>
      </c>
      <c r="T97" s="21">
        <f t="shared" si="9"/>
        <v>1.62</v>
      </c>
      <c r="U97" s="21" t="str">
        <f t="shared" si="10"/>
        <v>是</v>
      </c>
      <c r="V97" s="21">
        <f>VLOOKUP($C97,[4]Sheet1!$B:$AN,39,FALSE)</f>
        <v>18.47</v>
      </c>
      <c r="W97" s="21">
        <v>0</v>
      </c>
      <c r="X97" s="23">
        <v>4</v>
      </c>
      <c r="Y97" s="23">
        <v>4</v>
      </c>
      <c r="Z97" s="25">
        <f t="shared" si="11"/>
        <v>0</v>
      </c>
      <c r="AA97" s="25" t="str">
        <f t="shared" si="12"/>
        <v>是</v>
      </c>
      <c r="AB97" t="s">
        <v>148</v>
      </c>
      <c r="AC97" t="e">
        <f>VLOOKUP(C97,[1]Sheet1!$C:$O,13,FALSE)</f>
        <v>#N/A</v>
      </c>
      <c r="AD97" t="str">
        <f>VLOOKUP($H97,'[3]0509人员排班情况 副本'!$G:$U,12,FALSE)</f>
        <v>孙可君Monica（Kejun Sun）</v>
      </c>
      <c r="AE97" t="str">
        <f>VLOOKUP($H97,'[3]0509人员排班情况 副本'!$G:$U,13,FALSE)</f>
        <v>马聪Cong (Cong Ma)</v>
      </c>
      <c r="AF97" t="str">
        <f>VLOOKUP($H97,'[3]0509人员排班情况 副本'!$G:$U,14,FALSE)</f>
        <v>Minqing (Minqing Xu),罗煜雄 Mike (Yuxiong Luo)</v>
      </c>
      <c r="AG97">
        <f>VLOOKUP($H97,'[3]0509人员排班情况 副本'!$G:$U,15,FALSE)</f>
        <v>0</v>
      </c>
    </row>
    <row r="98" customHeight="1" spans="1:33">
      <c r="A98" t="s">
        <v>202</v>
      </c>
      <c r="B98" t="s">
        <v>478</v>
      </c>
      <c r="C98" t="s">
        <v>479</v>
      </c>
      <c r="D98" t="s">
        <v>15</v>
      </c>
      <c r="E98" t="s">
        <v>26</v>
      </c>
      <c r="F98" t="s">
        <v>148</v>
      </c>
      <c r="H98" t="str">
        <f t="shared" si="7"/>
        <v>FL 佛州大区TPA01</v>
      </c>
      <c r="I98" t="s">
        <v>177</v>
      </c>
      <c r="J98" t="s">
        <v>480</v>
      </c>
      <c r="K98" s="15">
        <v>0.979166666666667</v>
      </c>
      <c r="L98" s="15" t="s">
        <v>481</v>
      </c>
      <c r="M98" s="15">
        <v>0.945138888888889</v>
      </c>
      <c r="N98" t="s">
        <v>148</v>
      </c>
      <c r="O98" s="20" t="str">
        <f t="shared" si="13"/>
        <v>正确</v>
      </c>
      <c r="P98" s="21">
        <v>0</v>
      </c>
      <c r="Q98" s="21">
        <v>0</v>
      </c>
      <c r="R98" s="21">
        <v>0</v>
      </c>
      <c r="S98" s="21">
        <f t="shared" si="8"/>
        <v>0</v>
      </c>
      <c r="T98" s="21">
        <f t="shared" si="9"/>
        <v>0</v>
      </c>
      <c r="U98" s="21" t="str">
        <f t="shared" si="10"/>
        <v>否</v>
      </c>
      <c r="V98" s="21">
        <f>VLOOKUP($C98,[4]Sheet1!$B:$AN,39,FALSE)</f>
        <v>8.58</v>
      </c>
      <c r="W98" s="21">
        <v>0</v>
      </c>
      <c r="X98" s="23">
        <v>1</v>
      </c>
      <c r="Y98" s="23">
        <v>4</v>
      </c>
      <c r="Z98" s="25">
        <f t="shared" si="11"/>
        <v>3</v>
      </c>
      <c r="AA98" s="25" t="str">
        <f t="shared" si="12"/>
        <v>是</v>
      </c>
      <c r="AB98" t="s">
        <v>148</v>
      </c>
      <c r="AC98" t="e">
        <f>VLOOKUP(C98,[1]Sheet1!$C:$O,13,FALSE)</f>
        <v>#N/A</v>
      </c>
      <c r="AD98" t="str">
        <f>VLOOKUP($H98,'[3]0509人员排班情况 副本'!$G:$U,12,FALSE)</f>
        <v>Natalia (Natalia Padilla),孙婕 Jasmine（Sunjie）</v>
      </c>
      <c r="AE98" t="str">
        <f>VLOOKUP($H98,'[3]0509人员排班情况 副本'!$G:$U,13,FALSE)</f>
        <v>贺子强Jeff (Ziqiang He)</v>
      </c>
      <c r="AF98">
        <f>VLOOKUP($H98,'[3]0509人员排班情况 副本'!$G:$U,14,FALSE)</f>
        <v>0</v>
      </c>
      <c r="AG98">
        <f>VLOOKUP($H98,'[3]0509人员排班情况 副本'!$G:$U,15,FALSE)</f>
        <v>0</v>
      </c>
    </row>
    <row r="99" customHeight="1" spans="1:33">
      <c r="A99" t="s">
        <v>202</v>
      </c>
      <c r="B99" t="s">
        <v>482</v>
      </c>
      <c r="C99" t="s">
        <v>483</v>
      </c>
      <c r="D99" t="s">
        <v>31</v>
      </c>
      <c r="E99" t="s">
        <v>43</v>
      </c>
      <c r="F99" t="s">
        <v>484</v>
      </c>
      <c r="H99" t="str">
        <f t="shared" si="7"/>
        <v>GL 大湖大区WG 西大湖片区MSN01</v>
      </c>
      <c r="I99" t="s">
        <v>177</v>
      </c>
      <c r="J99" t="s">
        <v>221</v>
      </c>
      <c r="K99" s="15">
        <v>0.208333333333333</v>
      </c>
      <c r="L99" s="15" t="s">
        <v>222</v>
      </c>
      <c r="M99" s="15">
        <v>0.200694444444444</v>
      </c>
      <c r="N99" t="s">
        <v>148</v>
      </c>
      <c r="O99" s="20" t="str">
        <f t="shared" si="13"/>
        <v>正确</v>
      </c>
      <c r="P99" s="21">
        <v>0</v>
      </c>
      <c r="Q99" s="21">
        <v>0</v>
      </c>
      <c r="R99" s="21">
        <v>0</v>
      </c>
      <c r="S99" s="21">
        <f t="shared" si="8"/>
        <v>0</v>
      </c>
      <c r="T99" s="21">
        <f t="shared" si="9"/>
        <v>0</v>
      </c>
      <c r="U99" s="21" t="str">
        <f t="shared" si="10"/>
        <v>否</v>
      </c>
      <c r="V99" s="21">
        <f>VLOOKUP($C99,[4]Sheet1!$B:$AN,39,FALSE)</f>
        <v>8.22</v>
      </c>
      <c r="W99" s="21">
        <v>0</v>
      </c>
      <c r="X99" s="23">
        <v>1</v>
      </c>
      <c r="Y99" s="23">
        <v>4</v>
      </c>
      <c r="Z99" s="25">
        <f t="shared" si="11"/>
        <v>3</v>
      </c>
      <c r="AA99" s="25" t="str">
        <f t="shared" si="12"/>
        <v>是</v>
      </c>
      <c r="AB99" t="s">
        <v>148</v>
      </c>
      <c r="AC99" t="e">
        <f>VLOOKUP(C99,[1]Sheet1!$C:$O,13,FALSE)</f>
        <v>#N/A</v>
      </c>
      <c r="AD99" t="str">
        <f>VLOOKUP($H99,'[3]0509人员排班情况 副本'!$G:$U,12,FALSE)</f>
        <v>王晓丹 Jasmine（Xiaodan Wang）,周延舒Isabel（Yanshu Zhou）</v>
      </c>
      <c r="AE99" t="str">
        <f>VLOOKUP($H99,'[3]0509人员排班情况 副本'!$G:$U,13,FALSE)</f>
        <v>张骥Ji Zhang (Ji Zhang)</v>
      </c>
      <c r="AF99" t="str">
        <f>VLOOKUP($H99,'[3]0509人员排班情况 副本'!$G:$U,14,FALSE)</f>
        <v>易至聪Zac (Zhicong Yi),尚青蓓 Suki （Qingbei Shang）</v>
      </c>
      <c r="AG99">
        <f>VLOOKUP($H99,'[3]0509人员排班情况 副本'!$G:$U,15,FALSE)</f>
        <v>0</v>
      </c>
    </row>
    <row r="100" customHeight="1" spans="1:33">
      <c r="A100" t="s">
        <v>202</v>
      </c>
      <c r="B100" t="s">
        <v>485</v>
      </c>
      <c r="C100" t="s">
        <v>486</v>
      </c>
      <c r="D100" t="s">
        <v>15</v>
      </c>
      <c r="E100" t="s">
        <v>20</v>
      </c>
      <c r="F100" t="s">
        <v>275</v>
      </c>
      <c r="G100" t="s">
        <v>112</v>
      </c>
      <c r="H100" t="str">
        <f t="shared" si="7"/>
        <v>FL 佛州大区MIA.H分拣组</v>
      </c>
      <c r="I100" t="s">
        <v>303</v>
      </c>
      <c r="J100" t="s">
        <v>487</v>
      </c>
      <c r="K100" s="15">
        <v>0.875</v>
      </c>
      <c r="L100" s="15" t="s">
        <v>488</v>
      </c>
      <c r="M100" s="15">
        <v>0.877777777777778</v>
      </c>
      <c r="N100" t="s">
        <v>246</v>
      </c>
      <c r="O100" s="20" t="str">
        <f t="shared" si="13"/>
        <v>正确</v>
      </c>
      <c r="P100" s="21">
        <v>0</v>
      </c>
      <c r="Q100" s="21">
        <v>4.93</v>
      </c>
      <c r="R100" s="21">
        <v>0</v>
      </c>
      <c r="S100" s="21">
        <f t="shared" si="8"/>
        <v>4.93</v>
      </c>
      <c r="T100" s="21">
        <f t="shared" si="9"/>
        <v>0</v>
      </c>
      <c r="U100" s="21" t="str">
        <f t="shared" si="10"/>
        <v>否</v>
      </c>
      <c r="V100" s="21">
        <f>VLOOKUP($C100,[4]Sheet1!$B:$AN,39,FALSE)</f>
        <v>13.58</v>
      </c>
      <c r="W100" s="21">
        <v>2.94</v>
      </c>
      <c r="X100" s="23">
        <v>3</v>
      </c>
      <c r="Y100" s="23">
        <v>4</v>
      </c>
      <c r="Z100" s="25">
        <f t="shared" si="11"/>
        <v>1</v>
      </c>
      <c r="AA100" s="25" t="str">
        <f t="shared" si="12"/>
        <v>是</v>
      </c>
      <c r="AB100" t="s">
        <v>148</v>
      </c>
      <c r="AC100" t="e">
        <f>VLOOKUP(C100,[1]Sheet1!$C:$O,13,FALSE)</f>
        <v>#N/A</v>
      </c>
      <c r="AD100" t="str">
        <f>VLOOKUP($H100,'[3]0509人员排班情况 副本'!$G:$U,12,FALSE)</f>
        <v>Natalia (Natalia Padilla),孙婕 Jasmine（Sunjie）</v>
      </c>
      <c r="AE100" t="str">
        <f>VLOOKUP($H100,'[3]0509人员排班情况 副本'!$G:$U,13,FALSE)</f>
        <v>贺子强Jeff (Ziqiang He)</v>
      </c>
      <c r="AF100" t="str">
        <f>VLOOKUP($H100,'[3]0509人员排班情况 副本'!$G:$U,14,FALSE)</f>
        <v>张双甫(Shuangfu Zhang)</v>
      </c>
      <c r="AG100">
        <f>VLOOKUP($H100,'[3]0509人员排班情况 副本'!$G:$U,15,FALSE)</f>
        <v>0</v>
      </c>
    </row>
    <row r="101" customHeight="1" spans="1:33">
      <c r="A101" t="s">
        <v>202</v>
      </c>
      <c r="B101" t="s">
        <v>489</v>
      </c>
      <c r="C101" t="s">
        <v>490</v>
      </c>
      <c r="D101" t="s">
        <v>68</v>
      </c>
      <c r="E101" t="s">
        <v>78</v>
      </c>
      <c r="F101" t="s">
        <v>210</v>
      </c>
      <c r="G101" t="s">
        <v>112</v>
      </c>
      <c r="H101" t="str">
        <f t="shared" si="7"/>
        <v>NE 东北大区JFK.H操作组</v>
      </c>
      <c r="I101" t="s">
        <v>156</v>
      </c>
      <c r="J101" t="s">
        <v>295</v>
      </c>
      <c r="K101" s="15">
        <v>0.375</v>
      </c>
      <c r="L101" s="15" t="s">
        <v>296</v>
      </c>
      <c r="M101" s="15">
        <v>0.375</v>
      </c>
      <c r="N101" t="s">
        <v>491</v>
      </c>
      <c r="O101" s="20" t="str">
        <f t="shared" si="13"/>
        <v>正确</v>
      </c>
      <c r="P101" s="21">
        <v>0</v>
      </c>
      <c r="Q101" s="21">
        <v>9.5</v>
      </c>
      <c r="R101" s="21">
        <v>0</v>
      </c>
      <c r="S101" s="21">
        <f t="shared" si="8"/>
        <v>9.5</v>
      </c>
      <c r="T101" s="21">
        <f t="shared" si="9"/>
        <v>1.5</v>
      </c>
      <c r="U101" s="21" t="str">
        <f t="shared" si="10"/>
        <v>是</v>
      </c>
      <c r="V101" s="21">
        <f>VLOOKUP($C101,[4]Sheet1!$B:$AN,39,FALSE)</f>
        <v>9.5</v>
      </c>
      <c r="W101" s="21">
        <v>14.01</v>
      </c>
      <c r="X101" s="23">
        <v>4</v>
      </c>
      <c r="Y101" s="23">
        <v>4</v>
      </c>
      <c r="Z101" s="25">
        <f t="shared" si="11"/>
        <v>0</v>
      </c>
      <c r="AA101" s="25" t="str">
        <f t="shared" si="12"/>
        <v>是</v>
      </c>
      <c r="AB101" t="s">
        <v>148</v>
      </c>
      <c r="AC101" t="e">
        <f>VLOOKUP(C101,[1]Sheet1!$C:$O,13,FALSE)</f>
        <v>#N/A</v>
      </c>
      <c r="AD101" t="str">
        <f>VLOOKUP($H101,'[3]0509人员排班情况 副本'!$G:$U,12,FALSE)</f>
        <v>孙可君Monica（Kejun Sun）</v>
      </c>
      <c r="AE101" t="str">
        <f>VLOOKUP($H101,'[3]0509人员排班情况 副本'!$G:$U,13,FALSE)</f>
        <v>马聪Cong (Cong Ma)</v>
      </c>
      <c r="AF101" t="str">
        <f>VLOOKUP($H101,'[3]0509人员排班情况 副本'!$G:$U,14,FALSE)</f>
        <v>Minqing (Minqing Xu),罗煜雄 Mike (Yuxiong Luo)</v>
      </c>
      <c r="AG101">
        <f>VLOOKUP($H101,'[3]0509人员排班情况 副本'!$G:$U,15,FALSE)</f>
        <v>0</v>
      </c>
    </row>
    <row r="102" customHeight="1" spans="1:33">
      <c r="A102" t="s">
        <v>202</v>
      </c>
      <c r="B102" t="s">
        <v>492</v>
      </c>
      <c r="C102" t="s">
        <v>493</v>
      </c>
      <c r="D102" t="s">
        <v>10</v>
      </c>
      <c r="E102" t="s">
        <v>148</v>
      </c>
      <c r="F102" t="s">
        <v>148</v>
      </c>
      <c r="H102" t="str">
        <f t="shared" si="7"/>
        <v>BD 本地客户部</v>
      </c>
      <c r="I102" t="s">
        <v>494</v>
      </c>
      <c r="J102" t="s">
        <v>236</v>
      </c>
      <c r="K102" s="15">
        <v>0.395833333333333</v>
      </c>
      <c r="L102" s="15" t="s">
        <v>218</v>
      </c>
      <c r="M102" s="15"/>
      <c r="N102" t="s">
        <v>148</v>
      </c>
      <c r="O102" s="20" t="str">
        <f t="shared" si="13"/>
        <v>不正确</v>
      </c>
      <c r="P102" s="21">
        <v>0</v>
      </c>
      <c r="Q102" s="21">
        <v>0</v>
      </c>
      <c r="R102" s="21">
        <v>0</v>
      </c>
      <c r="S102" s="21">
        <f t="shared" si="8"/>
        <v>0</v>
      </c>
      <c r="T102" s="21">
        <f t="shared" si="9"/>
        <v>0</v>
      </c>
      <c r="U102" s="21" t="str">
        <f t="shared" si="10"/>
        <v>否</v>
      </c>
      <c r="V102" s="21">
        <f>VLOOKUP($C102,[4]Sheet1!$B:$AN,39,FALSE)</f>
        <v>0</v>
      </c>
      <c r="W102" s="21">
        <v>0</v>
      </c>
      <c r="X102" s="23">
        <v>0</v>
      </c>
      <c r="Y102" s="23">
        <v>0</v>
      </c>
      <c r="Z102" s="25">
        <f t="shared" si="11"/>
        <v>0</v>
      </c>
      <c r="AA102" s="25" t="str">
        <f t="shared" si="12"/>
        <v>是</v>
      </c>
      <c r="AB102" t="s">
        <v>495</v>
      </c>
      <c r="AC102" t="e">
        <f>VLOOKUP(C102,[1]Sheet1!$C:$O,13,FALSE)</f>
        <v>#N/A</v>
      </c>
      <c r="AD102" t="str">
        <f>VLOOKUP($H102,'[3]0509人员排班情况 副本'!$G:$U,12,FALSE)</f>
        <v>袁博闻(Bowen Yuan)</v>
      </c>
      <c r="AE102">
        <f>VLOOKUP($H102,'[3]0509人员排班情况 副本'!$G:$U,13,FALSE)</f>
        <v>0</v>
      </c>
      <c r="AF102">
        <f>VLOOKUP($H102,'[3]0509人员排班情况 副本'!$G:$U,14,FALSE)</f>
        <v>0</v>
      </c>
      <c r="AG102">
        <f>VLOOKUP($H102,'[3]0509人员排班情况 副本'!$G:$U,15,FALSE)</f>
        <v>0</v>
      </c>
    </row>
    <row r="103" customHeight="1" spans="1:33">
      <c r="A103" t="s">
        <v>202</v>
      </c>
      <c r="B103" t="s">
        <v>496</v>
      </c>
      <c r="C103" t="s">
        <v>497</v>
      </c>
      <c r="D103" t="s">
        <v>68</v>
      </c>
      <c r="E103" t="s">
        <v>78</v>
      </c>
      <c r="F103" t="s">
        <v>210</v>
      </c>
      <c r="G103" t="s">
        <v>112</v>
      </c>
      <c r="H103" t="str">
        <f t="shared" si="7"/>
        <v>NE 东北大区JFK.H操作组</v>
      </c>
      <c r="I103" t="s">
        <v>156</v>
      </c>
      <c r="J103" t="s">
        <v>217</v>
      </c>
      <c r="K103" s="15">
        <v>0.395833333333333</v>
      </c>
      <c r="L103" s="15" t="s">
        <v>218</v>
      </c>
      <c r="M103" s="15"/>
      <c r="N103" t="s">
        <v>148</v>
      </c>
      <c r="O103" s="20" t="s">
        <v>116</v>
      </c>
      <c r="P103" s="21">
        <v>0</v>
      </c>
      <c r="Q103" s="21">
        <v>0</v>
      </c>
      <c r="R103" s="21">
        <v>0</v>
      </c>
      <c r="S103" s="21">
        <f t="shared" si="8"/>
        <v>0</v>
      </c>
      <c r="T103" s="21">
        <f t="shared" si="9"/>
        <v>0</v>
      </c>
      <c r="U103" s="21" t="str">
        <f t="shared" si="10"/>
        <v>否</v>
      </c>
      <c r="V103" s="21">
        <f>VLOOKUP($C103,[4]Sheet1!$B:$AN,39,FALSE)</f>
        <v>0</v>
      </c>
      <c r="W103" s="21">
        <v>0</v>
      </c>
      <c r="X103" s="23">
        <v>0</v>
      </c>
      <c r="Y103" s="23">
        <v>0</v>
      </c>
      <c r="Z103" s="25">
        <f t="shared" si="11"/>
        <v>0</v>
      </c>
      <c r="AA103" s="25" t="str">
        <f t="shared" si="12"/>
        <v>是</v>
      </c>
      <c r="AB103" t="s">
        <v>148</v>
      </c>
      <c r="AC103" t="e">
        <f>VLOOKUP(C103,[1]Sheet1!$C:$O,13,FALSE)</f>
        <v>#N/A</v>
      </c>
      <c r="AD103" t="str">
        <f>VLOOKUP($H103,'[3]0509人员排班情况 副本'!$G:$U,12,FALSE)</f>
        <v>孙可君Monica（Kejun Sun）</v>
      </c>
      <c r="AE103" t="str">
        <f>VLOOKUP($H103,'[3]0509人员排班情况 副本'!$G:$U,13,FALSE)</f>
        <v>马聪Cong (Cong Ma)</v>
      </c>
      <c r="AF103" t="str">
        <f>VLOOKUP($H103,'[3]0509人员排班情况 副本'!$G:$U,14,FALSE)</f>
        <v>Minqing (Minqing Xu),罗煜雄 Mike (Yuxiong Luo)</v>
      </c>
      <c r="AG103">
        <f>VLOOKUP($H103,'[3]0509人员排班情况 副本'!$G:$U,15,FALSE)</f>
        <v>0</v>
      </c>
    </row>
    <row r="104" customHeight="1" spans="1:33">
      <c r="A104" t="s">
        <v>202</v>
      </c>
      <c r="B104" t="s">
        <v>498</v>
      </c>
      <c r="C104" t="s">
        <v>499</v>
      </c>
      <c r="D104" t="s">
        <v>68</v>
      </c>
      <c r="E104" t="s">
        <v>78</v>
      </c>
      <c r="F104" t="s">
        <v>210</v>
      </c>
      <c r="G104" t="s">
        <v>112</v>
      </c>
      <c r="H104" t="str">
        <f t="shared" si="7"/>
        <v>NE 东北大区JFK.H操作组</v>
      </c>
      <c r="I104" t="s">
        <v>156</v>
      </c>
      <c r="J104" t="s">
        <v>217</v>
      </c>
      <c r="K104" s="15">
        <v>0.395833333333333</v>
      </c>
      <c r="L104" s="15" t="s">
        <v>218</v>
      </c>
      <c r="M104" s="15"/>
      <c r="N104" t="s">
        <v>148</v>
      </c>
      <c r="O104" s="20" t="s">
        <v>116</v>
      </c>
      <c r="P104" s="21">
        <v>0</v>
      </c>
      <c r="Q104" s="21">
        <v>0</v>
      </c>
      <c r="R104" s="21">
        <v>0</v>
      </c>
      <c r="S104" s="21">
        <f t="shared" si="8"/>
        <v>0</v>
      </c>
      <c r="T104" s="21">
        <f t="shared" si="9"/>
        <v>0</v>
      </c>
      <c r="U104" s="21" t="str">
        <f t="shared" si="10"/>
        <v>否</v>
      </c>
      <c r="V104" s="21">
        <f>VLOOKUP($C104,[4]Sheet1!$B:$AN,39,FALSE)</f>
        <v>0</v>
      </c>
      <c r="W104" s="21">
        <v>0</v>
      </c>
      <c r="X104" s="23">
        <v>0</v>
      </c>
      <c r="Y104" s="23">
        <v>0</v>
      </c>
      <c r="Z104" s="25">
        <f t="shared" si="11"/>
        <v>0</v>
      </c>
      <c r="AA104" s="25" t="str">
        <f t="shared" si="12"/>
        <v>是</v>
      </c>
      <c r="AB104" t="s">
        <v>148</v>
      </c>
      <c r="AC104" t="e">
        <f>VLOOKUP(C104,[1]Sheet1!$C:$O,13,FALSE)</f>
        <v>#N/A</v>
      </c>
      <c r="AD104" t="str">
        <f>VLOOKUP($H104,'[3]0509人员排班情况 副本'!$G:$U,12,FALSE)</f>
        <v>孙可君Monica（Kejun Sun）</v>
      </c>
      <c r="AE104" t="str">
        <f>VLOOKUP($H104,'[3]0509人员排班情况 副本'!$G:$U,13,FALSE)</f>
        <v>马聪Cong (Cong Ma)</v>
      </c>
      <c r="AF104" t="str">
        <f>VLOOKUP($H104,'[3]0509人员排班情况 副本'!$G:$U,14,FALSE)</f>
        <v>Minqing (Minqing Xu),罗煜雄 Mike (Yuxiong Luo)</v>
      </c>
      <c r="AG104">
        <f>VLOOKUP($H104,'[3]0509人员排班情况 副本'!$G:$U,15,FALSE)</f>
        <v>0</v>
      </c>
    </row>
    <row r="105" customHeight="1" spans="1:33">
      <c r="A105" t="s">
        <v>202</v>
      </c>
      <c r="B105" t="s">
        <v>500</v>
      </c>
      <c r="C105" t="s">
        <v>501</v>
      </c>
      <c r="D105" t="s">
        <v>10</v>
      </c>
      <c r="E105" t="s">
        <v>502</v>
      </c>
      <c r="F105" t="s">
        <v>148</v>
      </c>
      <c r="H105" t="str">
        <f t="shared" si="7"/>
        <v>BD 本地客户部销售支持组</v>
      </c>
      <c r="I105" t="s">
        <v>503</v>
      </c>
      <c r="J105" t="s">
        <v>236</v>
      </c>
      <c r="K105" s="15">
        <v>0.395833333333333</v>
      </c>
      <c r="L105" s="15" t="s">
        <v>218</v>
      </c>
      <c r="M105" s="15"/>
      <c r="N105" t="s">
        <v>148</v>
      </c>
      <c r="O105" s="20" t="str">
        <f t="shared" si="13"/>
        <v>不正确</v>
      </c>
      <c r="P105" s="21">
        <v>0</v>
      </c>
      <c r="Q105" s="21">
        <v>0</v>
      </c>
      <c r="R105" s="21">
        <v>0</v>
      </c>
      <c r="S105" s="21">
        <f t="shared" si="8"/>
        <v>0</v>
      </c>
      <c r="T105" s="21">
        <f t="shared" si="9"/>
        <v>0</v>
      </c>
      <c r="U105" s="21" t="str">
        <f t="shared" si="10"/>
        <v>否</v>
      </c>
      <c r="V105" s="21">
        <f>VLOOKUP($C105,[4]Sheet1!$B:$AN,39,FALSE)</f>
        <v>0</v>
      </c>
      <c r="W105" s="21">
        <v>0</v>
      </c>
      <c r="X105" s="23">
        <v>0</v>
      </c>
      <c r="Y105" s="23">
        <v>4</v>
      </c>
      <c r="Z105" s="25">
        <f t="shared" si="11"/>
        <v>4</v>
      </c>
      <c r="AA105" s="25" t="str">
        <f t="shared" si="12"/>
        <v>是</v>
      </c>
      <c r="AB105" t="s">
        <v>148</v>
      </c>
      <c r="AC105" t="e">
        <f>VLOOKUP(C105,[1]Sheet1!$C:$O,13,FALSE)</f>
        <v>#N/A</v>
      </c>
      <c r="AD105" t="str">
        <f>VLOOKUP($H105,'[3]0509人员排班情况 副本'!$G:$U,12,FALSE)</f>
        <v>袁博闻(Bowen Yuan)</v>
      </c>
      <c r="AE105">
        <f>VLOOKUP($H105,'[3]0509人员排班情况 副本'!$G:$U,13,FALSE)</f>
        <v>0</v>
      </c>
      <c r="AF105">
        <f>VLOOKUP($H105,'[3]0509人员排班情况 副本'!$G:$U,14,FALSE)</f>
        <v>0</v>
      </c>
      <c r="AG105">
        <f>VLOOKUP($H105,'[3]0509人员排班情况 副本'!$G:$U,15,FALSE)</f>
        <v>0</v>
      </c>
    </row>
    <row r="106" customHeight="1" spans="1:33">
      <c r="A106" t="s">
        <v>202</v>
      </c>
      <c r="B106" t="s">
        <v>504</v>
      </c>
      <c r="C106" t="s">
        <v>505</v>
      </c>
      <c r="D106" t="s">
        <v>68</v>
      </c>
      <c r="E106" t="s">
        <v>81</v>
      </c>
      <c r="F106" t="s">
        <v>506</v>
      </c>
      <c r="H106" t="str">
        <f t="shared" si="7"/>
        <v>NE 东北大区NY 纽约片区BDR01</v>
      </c>
      <c r="I106" t="s">
        <v>177</v>
      </c>
      <c r="J106" t="s">
        <v>437</v>
      </c>
      <c r="K106" s="15">
        <v>0.229166666666667</v>
      </c>
      <c r="L106" s="15" t="s">
        <v>438</v>
      </c>
      <c r="M106" s="15">
        <v>0.183333333333333</v>
      </c>
      <c r="N106" t="s">
        <v>507</v>
      </c>
      <c r="O106" s="20" t="str">
        <f t="shared" si="13"/>
        <v>不正确</v>
      </c>
      <c r="P106" s="21">
        <v>0</v>
      </c>
      <c r="Q106" s="21">
        <v>8.12</v>
      </c>
      <c r="R106" s="21">
        <v>0</v>
      </c>
      <c r="S106" s="21">
        <f t="shared" si="8"/>
        <v>8.12</v>
      </c>
      <c r="T106" s="21">
        <f t="shared" si="9"/>
        <v>0.119999999999999</v>
      </c>
      <c r="U106" s="21" t="str">
        <f t="shared" si="10"/>
        <v>是</v>
      </c>
      <c r="V106" s="21">
        <f>VLOOKUP($C106,[4]Sheet1!$B:$AN,39,FALSE)</f>
        <v>8.12</v>
      </c>
      <c r="W106" s="21">
        <v>0</v>
      </c>
      <c r="X106" s="23">
        <v>4</v>
      </c>
      <c r="Y106" s="23">
        <v>4</v>
      </c>
      <c r="Z106" s="25">
        <f t="shared" si="11"/>
        <v>0</v>
      </c>
      <c r="AA106" s="25" t="str">
        <f t="shared" si="12"/>
        <v>是</v>
      </c>
      <c r="AB106" t="s">
        <v>148</v>
      </c>
      <c r="AC106" t="e">
        <f>VLOOKUP(C106,[1]Sheet1!$C:$O,13,FALSE)</f>
        <v>#N/A</v>
      </c>
      <c r="AD106" t="str">
        <f>VLOOKUP($H106,'[3]0509人员排班情况 副本'!$G:$U,12,FALSE)</f>
        <v>孙可君Monica（Kejun Sun）</v>
      </c>
      <c r="AE106" t="str">
        <f>VLOOKUP($H106,'[3]0509人员排班情况 副本'!$G:$U,13,FALSE)</f>
        <v>马聪Cong (Cong Ma)</v>
      </c>
      <c r="AF106" t="str">
        <f>VLOOKUP($H106,'[3]0509人员排班情况 副本'!$G:$U,14,FALSE)</f>
        <v>朱晗宇 Peter (Hanyu Zhu)</v>
      </c>
      <c r="AG106">
        <f>VLOOKUP($H106,'[3]0509人员排班情况 副本'!$G:$U,15,FALSE)</f>
        <v>0</v>
      </c>
    </row>
    <row r="107" customHeight="1" spans="1:33">
      <c r="A107" t="s">
        <v>202</v>
      </c>
      <c r="B107" t="s">
        <v>508</v>
      </c>
      <c r="C107" t="s">
        <v>509</v>
      </c>
      <c r="D107" t="s">
        <v>100</v>
      </c>
      <c r="E107" t="s">
        <v>103</v>
      </c>
      <c r="F107" t="s">
        <v>243</v>
      </c>
      <c r="G107" t="s">
        <v>112</v>
      </c>
      <c r="H107" t="str">
        <f t="shared" si="7"/>
        <v>WE 美西大区LAV.H调度组</v>
      </c>
      <c r="I107" t="s">
        <v>160</v>
      </c>
      <c r="J107" t="s">
        <v>400</v>
      </c>
      <c r="K107" s="15">
        <v>0.5</v>
      </c>
      <c r="L107" s="15" t="s">
        <v>401</v>
      </c>
      <c r="M107" s="15">
        <v>0.514583333333333</v>
      </c>
      <c r="N107" t="s">
        <v>148</v>
      </c>
      <c r="O107" s="20" t="str">
        <f t="shared" si="13"/>
        <v>正确</v>
      </c>
      <c r="P107" s="21">
        <v>0</v>
      </c>
      <c r="Q107" s="21">
        <v>0</v>
      </c>
      <c r="R107" s="21">
        <v>0</v>
      </c>
      <c r="S107" s="21">
        <f t="shared" si="8"/>
        <v>0</v>
      </c>
      <c r="T107" s="21">
        <f t="shared" si="9"/>
        <v>0</v>
      </c>
      <c r="U107" s="21" t="str">
        <f t="shared" si="10"/>
        <v>否</v>
      </c>
      <c r="V107" s="21">
        <f>VLOOKUP($C107,[4]Sheet1!$B:$AN,39,FALSE)</f>
        <v>0</v>
      </c>
      <c r="W107" s="21">
        <v>0</v>
      </c>
      <c r="X107" s="23">
        <v>3</v>
      </c>
      <c r="Y107" s="23">
        <v>4</v>
      </c>
      <c r="Z107" s="25">
        <f t="shared" si="11"/>
        <v>1</v>
      </c>
      <c r="AA107" s="25" t="str">
        <f t="shared" si="12"/>
        <v>是</v>
      </c>
      <c r="AB107" t="s">
        <v>148</v>
      </c>
      <c r="AC107" t="e">
        <f>VLOOKUP(C107,[1]Sheet1!$C:$O,13,FALSE)</f>
        <v>#N/A</v>
      </c>
      <c r="AD107" t="str">
        <f>VLOOKUP($H107,'[3]0509人员排班情况 副本'!$G:$U,12,FALSE)</f>
        <v>王骞Ariel（Qian Wang）,叶秀芳Freya (Xiufang Ye)</v>
      </c>
      <c r="AE107" t="str">
        <f>VLOOKUP($H107,'[3]0509人员排班情况 副本'!$G:$U,13,FALSE)</f>
        <v>常哲</v>
      </c>
      <c r="AF107" t="str">
        <f>VLOOKUP($H107,'[3]0509人员排班情况 副本'!$G:$U,14,FALSE)</f>
        <v>Minqing (Minqing Xu),罗煜雄 Mike (Yuxiong Luo)</v>
      </c>
      <c r="AG107">
        <f>VLOOKUP($H107,'[3]0509人员排班情况 副本'!$G:$U,15,FALSE)</f>
        <v>0</v>
      </c>
    </row>
    <row r="108" customHeight="1" spans="1:33">
      <c r="A108" t="s">
        <v>202</v>
      </c>
      <c r="B108" t="s">
        <v>510</v>
      </c>
      <c r="C108" t="s">
        <v>511</v>
      </c>
      <c r="D108" t="s">
        <v>58</v>
      </c>
      <c r="E108" t="s">
        <v>62</v>
      </c>
      <c r="F108" t="s">
        <v>512</v>
      </c>
      <c r="H108" t="str">
        <f t="shared" si="7"/>
        <v>MS 中南大区BN 田纳西和北阿拉巴马片区CHA01</v>
      </c>
      <c r="I108" t="s">
        <v>156</v>
      </c>
      <c r="J108" t="s">
        <v>205</v>
      </c>
      <c r="K108" s="15">
        <v>0.166666666666667</v>
      </c>
      <c r="L108" s="15" t="s">
        <v>206</v>
      </c>
      <c r="M108" s="15">
        <v>0.171527777777778</v>
      </c>
      <c r="N108" t="s">
        <v>513</v>
      </c>
      <c r="O108" s="20" t="str">
        <f t="shared" si="13"/>
        <v>正确</v>
      </c>
      <c r="P108" s="21">
        <v>0</v>
      </c>
      <c r="Q108" s="21">
        <v>7.33</v>
      </c>
      <c r="R108" s="21">
        <v>0</v>
      </c>
      <c r="S108" s="21">
        <f t="shared" si="8"/>
        <v>7.33</v>
      </c>
      <c r="T108" s="21">
        <f t="shared" si="9"/>
        <v>0</v>
      </c>
      <c r="U108" s="21" t="str">
        <f t="shared" si="10"/>
        <v>否</v>
      </c>
      <c r="V108" s="21">
        <f>VLOOKUP($C108,[4]Sheet1!$B:$AN,39,FALSE)</f>
        <v>15.01</v>
      </c>
      <c r="W108" s="21">
        <v>0</v>
      </c>
      <c r="X108" s="23">
        <v>5</v>
      </c>
      <c r="Y108" s="23">
        <v>4</v>
      </c>
      <c r="Z108" s="25">
        <f t="shared" si="11"/>
        <v>0</v>
      </c>
      <c r="AA108" s="25" t="str">
        <f t="shared" si="12"/>
        <v>是</v>
      </c>
      <c r="AB108" t="s">
        <v>148</v>
      </c>
      <c r="AC108" t="e">
        <f>VLOOKUP(C108,[1]Sheet1!$C:$O,13,FALSE)</f>
        <v>#N/A</v>
      </c>
      <c r="AD108" t="str">
        <f>VLOOKUP($H108,'[3]0509人员排班情况 副本'!$G:$U,12,FALSE)</f>
        <v>欧阳迎春Flower（Yingchun Ouyang）</v>
      </c>
      <c r="AE108" t="str">
        <f>VLOOKUP($H108,'[3]0509人员排班情况 副本'!$G:$U,13,FALSE)</f>
        <v>杨云飞</v>
      </c>
      <c r="AF108" t="str">
        <f>VLOOKUP($H108,'[3]0509人员排班情况 副本'!$G:$U,14,FALSE)</f>
        <v>杨益洲Young（Yizhou Yang）</v>
      </c>
      <c r="AG108">
        <f>VLOOKUP($H108,'[3]0509人员排班情况 副本'!$G:$U,15,FALSE)</f>
        <v>0</v>
      </c>
    </row>
    <row r="109" customHeight="1" spans="1:33">
      <c r="A109" t="s">
        <v>202</v>
      </c>
      <c r="B109" t="s">
        <v>514</v>
      </c>
      <c r="C109" t="s">
        <v>515</v>
      </c>
      <c r="D109" t="s">
        <v>10</v>
      </c>
      <c r="E109" t="s">
        <v>265</v>
      </c>
      <c r="F109" t="s">
        <v>148</v>
      </c>
      <c r="H109" t="str">
        <f t="shared" si="7"/>
        <v>BD 本地客户部北美销售组</v>
      </c>
      <c r="I109" t="s">
        <v>338</v>
      </c>
      <c r="J109" t="s">
        <v>236</v>
      </c>
      <c r="K109" s="15">
        <v>0.395833333333333</v>
      </c>
      <c r="L109" s="15" t="s">
        <v>218</v>
      </c>
      <c r="M109" s="15"/>
      <c r="N109" t="s">
        <v>148</v>
      </c>
      <c r="O109" s="20" t="str">
        <f t="shared" si="13"/>
        <v>不正确</v>
      </c>
      <c r="P109" s="21">
        <v>0</v>
      </c>
      <c r="Q109" s="21">
        <v>0</v>
      </c>
      <c r="R109" s="21">
        <v>0</v>
      </c>
      <c r="S109" s="21">
        <f t="shared" si="8"/>
        <v>0</v>
      </c>
      <c r="T109" s="21">
        <f t="shared" si="9"/>
        <v>0</v>
      </c>
      <c r="U109" s="21" t="str">
        <f t="shared" si="10"/>
        <v>否</v>
      </c>
      <c r="V109" s="21">
        <f>VLOOKUP($C109,[4]Sheet1!$B:$AN,39,FALSE)</f>
        <v>0</v>
      </c>
      <c r="W109" s="21">
        <v>0</v>
      </c>
      <c r="X109" s="23">
        <v>0</v>
      </c>
      <c r="Y109" s="23">
        <v>4</v>
      </c>
      <c r="Z109" s="25">
        <f t="shared" si="11"/>
        <v>4</v>
      </c>
      <c r="AA109" s="25" t="str">
        <f t="shared" si="12"/>
        <v>是</v>
      </c>
      <c r="AB109" t="s">
        <v>148</v>
      </c>
      <c r="AC109" t="e">
        <f>VLOOKUP(C109,[1]Sheet1!$C:$O,13,FALSE)</f>
        <v>#N/A</v>
      </c>
      <c r="AD109" t="str">
        <f>VLOOKUP($H109,'[3]0509人员排班情况 副本'!$G:$U,12,FALSE)</f>
        <v>袁博闻(Bowen Yuan)</v>
      </c>
      <c r="AE109">
        <f>VLOOKUP($H109,'[3]0509人员排班情况 副本'!$G:$U,13,FALSE)</f>
        <v>0</v>
      </c>
      <c r="AF109">
        <f>VLOOKUP($H109,'[3]0509人员排班情况 副本'!$G:$U,14,FALSE)</f>
        <v>0</v>
      </c>
      <c r="AG109">
        <f>VLOOKUP($H109,'[3]0509人员排班情况 副本'!$G:$U,15,FALSE)</f>
        <v>0</v>
      </c>
    </row>
    <row r="110" customHeight="1" spans="1:33">
      <c r="A110" t="s">
        <v>202</v>
      </c>
      <c r="B110" t="s">
        <v>516</v>
      </c>
      <c r="C110" t="s">
        <v>517</v>
      </c>
      <c r="D110" t="s">
        <v>10</v>
      </c>
      <c r="E110" t="s">
        <v>334</v>
      </c>
      <c r="F110" t="s">
        <v>148</v>
      </c>
      <c r="H110" t="str">
        <f t="shared" si="7"/>
        <v>BD 本地客户部定价分析组</v>
      </c>
      <c r="I110" t="s">
        <v>518</v>
      </c>
      <c r="J110" t="s">
        <v>236</v>
      </c>
      <c r="K110" s="15">
        <v>0.395833333333333</v>
      </c>
      <c r="L110" s="15" t="s">
        <v>218</v>
      </c>
      <c r="M110" s="15"/>
      <c r="N110" t="s">
        <v>148</v>
      </c>
      <c r="O110" s="20" t="str">
        <f t="shared" si="13"/>
        <v>不正确</v>
      </c>
      <c r="P110" s="21">
        <v>0</v>
      </c>
      <c r="Q110" s="21">
        <v>0</v>
      </c>
      <c r="R110" s="21">
        <v>0</v>
      </c>
      <c r="S110" s="21">
        <f t="shared" si="8"/>
        <v>0</v>
      </c>
      <c r="T110" s="21">
        <f t="shared" si="9"/>
        <v>0</v>
      </c>
      <c r="U110" s="21" t="str">
        <f t="shared" si="10"/>
        <v>否</v>
      </c>
      <c r="V110" s="21">
        <f>VLOOKUP($C110,[4]Sheet1!$B:$AN,39,FALSE)</f>
        <v>0</v>
      </c>
      <c r="W110" s="21">
        <v>0</v>
      </c>
      <c r="X110" s="23">
        <v>0</v>
      </c>
      <c r="Y110" s="23">
        <v>4</v>
      </c>
      <c r="Z110" s="25">
        <f t="shared" si="11"/>
        <v>4</v>
      </c>
      <c r="AA110" s="25" t="str">
        <f t="shared" si="12"/>
        <v>是</v>
      </c>
      <c r="AB110" t="s">
        <v>148</v>
      </c>
      <c r="AC110" t="e">
        <f>VLOOKUP(C110,[1]Sheet1!$C:$O,13,FALSE)</f>
        <v>#N/A</v>
      </c>
      <c r="AD110" t="str">
        <f>VLOOKUP($H110,'[3]0509人员排班情况 副本'!$G:$U,12,FALSE)</f>
        <v>袁博闻(Bowen Yuan)</v>
      </c>
      <c r="AE110">
        <f>VLOOKUP($H110,'[3]0509人员排班情况 副本'!$G:$U,13,FALSE)</f>
        <v>0</v>
      </c>
      <c r="AF110">
        <f>VLOOKUP($H110,'[3]0509人员排班情况 副本'!$G:$U,14,FALSE)</f>
        <v>0</v>
      </c>
      <c r="AG110">
        <f>VLOOKUP($H110,'[3]0509人员排班情况 副本'!$G:$U,15,FALSE)</f>
        <v>0</v>
      </c>
    </row>
    <row r="111" customHeight="1" spans="1:33">
      <c r="A111" t="s">
        <v>202</v>
      </c>
      <c r="B111" t="s">
        <v>519</v>
      </c>
      <c r="C111" t="s">
        <v>520</v>
      </c>
      <c r="D111" t="s">
        <v>10</v>
      </c>
      <c r="E111" t="s">
        <v>265</v>
      </c>
      <c r="F111" t="s">
        <v>148</v>
      </c>
      <c r="H111" t="str">
        <f t="shared" si="7"/>
        <v>BD 本地客户部北美销售组</v>
      </c>
      <c r="I111" t="s">
        <v>338</v>
      </c>
      <c r="J111" t="s">
        <v>236</v>
      </c>
      <c r="K111" s="15">
        <v>0.395833333333333</v>
      </c>
      <c r="L111" s="15" t="s">
        <v>218</v>
      </c>
      <c r="M111" s="15"/>
      <c r="N111" t="s">
        <v>148</v>
      </c>
      <c r="O111" s="20" t="str">
        <f t="shared" si="13"/>
        <v>不正确</v>
      </c>
      <c r="P111" s="21">
        <v>0</v>
      </c>
      <c r="Q111" s="21">
        <v>0</v>
      </c>
      <c r="R111" s="21">
        <v>0</v>
      </c>
      <c r="S111" s="21">
        <f t="shared" si="8"/>
        <v>0</v>
      </c>
      <c r="T111" s="21">
        <f t="shared" si="9"/>
        <v>0</v>
      </c>
      <c r="U111" s="21" t="str">
        <f t="shared" si="10"/>
        <v>否</v>
      </c>
      <c r="V111" s="21">
        <f>VLOOKUP($C111,[4]Sheet1!$B:$AN,39,FALSE)</f>
        <v>0</v>
      </c>
      <c r="W111" s="21">
        <v>0</v>
      </c>
      <c r="X111" s="23">
        <v>0</v>
      </c>
      <c r="Y111" s="23">
        <v>4</v>
      </c>
      <c r="Z111" s="25">
        <f t="shared" si="11"/>
        <v>4</v>
      </c>
      <c r="AA111" s="25" t="str">
        <f t="shared" si="12"/>
        <v>是</v>
      </c>
      <c r="AB111" t="s">
        <v>148</v>
      </c>
      <c r="AC111" t="e">
        <f>VLOOKUP(C111,[1]Sheet1!$C:$O,13,FALSE)</f>
        <v>#N/A</v>
      </c>
      <c r="AD111" t="str">
        <f>VLOOKUP($H111,'[3]0509人员排班情况 副本'!$G:$U,12,FALSE)</f>
        <v>袁博闻(Bowen Yuan)</v>
      </c>
      <c r="AE111">
        <f>VLOOKUP($H111,'[3]0509人员排班情况 副本'!$G:$U,13,FALSE)</f>
        <v>0</v>
      </c>
      <c r="AF111">
        <f>VLOOKUP($H111,'[3]0509人员排班情况 副本'!$G:$U,14,FALSE)</f>
        <v>0</v>
      </c>
      <c r="AG111">
        <f>VLOOKUP($H111,'[3]0509人员排班情况 副本'!$G:$U,15,FALSE)</f>
        <v>0</v>
      </c>
    </row>
    <row r="112" customHeight="1" spans="1:33">
      <c r="A112" t="s">
        <v>202</v>
      </c>
      <c r="B112" t="s">
        <v>521</v>
      </c>
      <c r="C112" t="s">
        <v>522</v>
      </c>
      <c r="D112" t="s">
        <v>48</v>
      </c>
      <c r="E112" t="s">
        <v>50</v>
      </c>
      <c r="F112" t="s">
        <v>159</v>
      </c>
      <c r="H112" t="str">
        <f t="shared" si="7"/>
        <v>Ground项目部OG 美南区ATL.G</v>
      </c>
      <c r="I112" t="s">
        <v>156</v>
      </c>
      <c r="J112" t="s">
        <v>245</v>
      </c>
      <c r="K112" s="15">
        <v>0.75</v>
      </c>
      <c r="L112" s="15" t="s">
        <v>246</v>
      </c>
      <c r="M112" s="15">
        <v>0.749305555555556</v>
      </c>
      <c r="N112" t="s">
        <v>148</v>
      </c>
      <c r="O112" s="20" t="str">
        <f t="shared" si="13"/>
        <v>正确</v>
      </c>
      <c r="P112" s="21">
        <v>0</v>
      </c>
      <c r="Q112" s="21">
        <v>0</v>
      </c>
      <c r="R112" s="21">
        <v>0</v>
      </c>
      <c r="S112" s="21">
        <f t="shared" si="8"/>
        <v>0</v>
      </c>
      <c r="T112" s="21">
        <f t="shared" si="9"/>
        <v>0</v>
      </c>
      <c r="U112" s="21" t="str">
        <f t="shared" si="10"/>
        <v>否</v>
      </c>
      <c r="V112" s="21">
        <f>VLOOKUP($C112,[4]Sheet1!$B:$AN,39,FALSE)</f>
        <v>10.83</v>
      </c>
      <c r="W112" s="21">
        <v>0</v>
      </c>
      <c r="X112" s="23">
        <v>1</v>
      </c>
      <c r="Y112" s="23">
        <v>4</v>
      </c>
      <c r="Z112" s="25">
        <f t="shared" si="11"/>
        <v>3</v>
      </c>
      <c r="AA112" s="25" t="str">
        <f t="shared" si="12"/>
        <v>是</v>
      </c>
      <c r="AB112" t="s">
        <v>148</v>
      </c>
      <c r="AC112" t="e">
        <f>VLOOKUP(C112,[1]Sheet1!$C:$O,13,FALSE)</f>
        <v>#N/A</v>
      </c>
      <c r="AD112" t="str">
        <f>VLOOKUP($H112,'[3]0509人员排班情况 副本'!$G:$U,12,FALSE)</f>
        <v>王安琪 (Anqi Wang),张朱同 Thomson（Zhutong Zhang）</v>
      </c>
      <c r="AE112" t="str">
        <f>VLOOKUP($H112,'[3]0509人员排班情况 副本'!$G:$U,13,FALSE)</f>
        <v>陈锦昭</v>
      </c>
      <c r="AF112" t="str">
        <f>VLOOKUP($H112,'[3]0509人员排班情况 副本'!$G:$U,14,FALSE)</f>
        <v>金筱燕Sharon（Xiaoyan Jin）</v>
      </c>
      <c r="AG112">
        <f>VLOOKUP($H112,'[3]0509人员排班情况 副本'!$G:$U,15,FALSE)</f>
        <v>0</v>
      </c>
    </row>
    <row r="113" customHeight="1" spans="1:33">
      <c r="A113" t="s">
        <v>202</v>
      </c>
      <c r="B113" t="s">
        <v>523</v>
      </c>
      <c r="C113" t="s">
        <v>524</v>
      </c>
      <c r="D113" t="s">
        <v>48</v>
      </c>
      <c r="E113" t="s">
        <v>49</v>
      </c>
      <c r="F113" t="s">
        <v>525</v>
      </c>
      <c r="G113" t="s">
        <v>112</v>
      </c>
      <c r="H113" t="str">
        <f t="shared" si="7"/>
        <v>Ground项目部OG 美东区EWR.G</v>
      </c>
      <c r="I113" t="s">
        <v>526</v>
      </c>
      <c r="J113" t="s">
        <v>211</v>
      </c>
      <c r="K113" s="15">
        <v>0.333333333333333</v>
      </c>
      <c r="L113" s="15" t="s">
        <v>212</v>
      </c>
      <c r="M113" s="15">
        <v>0.341666666666667</v>
      </c>
      <c r="N113" t="s">
        <v>527</v>
      </c>
      <c r="O113" s="20" t="str">
        <f t="shared" si="13"/>
        <v>正确</v>
      </c>
      <c r="P113" s="21">
        <v>0</v>
      </c>
      <c r="Q113" s="21">
        <v>7.85</v>
      </c>
      <c r="R113" s="21">
        <v>0</v>
      </c>
      <c r="S113" s="21">
        <f t="shared" si="8"/>
        <v>7.85</v>
      </c>
      <c r="T113" s="21">
        <f t="shared" si="9"/>
        <v>0</v>
      </c>
      <c r="U113" s="21" t="str">
        <f t="shared" si="10"/>
        <v>否</v>
      </c>
      <c r="V113" s="21">
        <f>VLOOKUP($C113,[4]Sheet1!$B:$AN,39,FALSE)</f>
        <v>15.9</v>
      </c>
      <c r="W113" s="21">
        <v>0</v>
      </c>
      <c r="X113" s="23">
        <v>4</v>
      </c>
      <c r="Y113" s="23">
        <v>4</v>
      </c>
      <c r="Z113" s="25">
        <f t="shared" si="11"/>
        <v>0</v>
      </c>
      <c r="AA113" s="25" t="str">
        <f t="shared" si="12"/>
        <v>是</v>
      </c>
      <c r="AB113" t="s">
        <v>148</v>
      </c>
      <c r="AC113" t="e">
        <f>VLOOKUP(C113,[1]Sheet1!$C:$O,13,FALSE)</f>
        <v>#N/A</v>
      </c>
      <c r="AD113" t="str">
        <f>VLOOKUP($H113,'[3]0509人员排班情况 副本'!$G:$U,12,FALSE)</f>
        <v>王安琪 (Anqi Wang),张朱同 Thomson（Zhutong Zhang）</v>
      </c>
      <c r="AE113" t="str">
        <f>VLOOKUP($H113,'[3]0509人员排班情况 副本'!$G:$U,13,FALSE)</f>
        <v>陈锦昭</v>
      </c>
      <c r="AF113" t="str">
        <f>VLOOKUP($H113,'[3]0509人员排班情况 副本'!$G:$U,14,FALSE)</f>
        <v>王兵 Allen (Bing Wang)</v>
      </c>
      <c r="AG113">
        <f>VLOOKUP($H113,'[3]0509人员排班情况 副本'!$G:$U,15,FALSE)</f>
        <v>0</v>
      </c>
    </row>
    <row r="114" customHeight="1" spans="1:33">
      <c r="A114" t="s">
        <v>202</v>
      </c>
      <c r="B114" t="s">
        <v>528</v>
      </c>
      <c r="C114" t="s">
        <v>529</v>
      </c>
      <c r="D114" t="s">
        <v>100</v>
      </c>
      <c r="E114" t="s">
        <v>29</v>
      </c>
      <c r="F114" t="s">
        <v>200</v>
      </c>
      <c r="H114" t="str">
        <f t="shared" si="7"/>
        <v>WE 美西大区运营支持部区域支持组</v>
      </c>
      <c r="I114" t="s">
        <v>201</v>
      </c>
      <c r="J114" t="s">
        <v>236</v>
      </c>
      <c r="K114" s="15">
        <v>0.395833333333333</v>
      </c>
      <c r="L114" s="15" t="s">
        <v>218</v>
      </c>
      <c r="M114" s="15">
        <v>0.400694444444444</v>
      </c>
      <c r="N114" t="s">
        <v>530</v>
      </c>
      <c r="O114" s="20" t="str">
        <f t="shared" si="13"/>
        <v>正确</v>
      </c>
      <c r="P114" s="21">
        <v>0</v>
      </c>
      <c r="Q114" s="21">
        <v>8.02</v>
      </c>
      <c r="R114" s="21">
        <v>0</v>
      </c>
      <c r="S114" s="21">
        <f t="shared" si="8"/>
        <v>8.02</v>
      </c>
      <c r="T114" s="21">
        <f t="shared" si="9"/>
        <v>0.0199999999999996</v>
      </c>
      <c r="U114" s="21" t="str">
        <f t="shared" si="10"/>
        <v>是</v>
      </c>
      <c r="V114" s="21">
        <f>VLOOKUP($C114,[4]Sheet1!$B:$AN,39,FALSE)</f>
        <v>16.02</v>
      </c>
      <c r="W114" s="21">
        <v>0</v>
      </c>
      <c r="X114" s="23">
        <v>4</v>
      </c>
      <c r="Y114" s="23">
        <v>4</v>
      </c>
      <c r="Z114" s="25">
        <f t="shared" si="11"/>
        <v>0</v>
      </c>
      <c r="AA114" s="25" t="str">
        <f t="shared" si="12"/>
        <v>是</v>
      </c>
      <c r="AB114" t="s">
        <v>148</v>
      </c>
      <c r="AC114" t="e">
        <f>VLOOKUP(C114,[1]Sheet1!$C:$O,13,FALSE)</f>
        <v>#N/A</v>
      </c>
      <c r="AD114" t="str">
        <f>VLOOKUP($H114,'[3]0509人员排班情况 副本'!$G:$U,12,FALSE)</f>
        <v>王骞Ariel（Qian Wang）,叶秀芳Freya (Xiufang Ye)</v>
      </c>
      <c r="AE114" t="str">
        <f>VLOOKUP($H114,'[3]0509人员排班情况 副本'!$G:$U,13,FALSE)</f>
        <v>常哲</v>
      </c>
      <c r="AF114">
        <f>VLOOKUP($H114,'[3]0509人员排班情况 副本'!$G:$U,14,FALSE)</f>
        <v>0</v>
      </c>
      <c r="AG114">
        <f>VLOOKUP($H114,'[3]0509人员排班情况 副本'!$G:$U,15,FALSE)</f>
        <v>0</v>
      </c>
    </row>
    <row r="115" customHeight="1" spans="1:33">
      <c r="A115" t="s">
        <v>202</v>
      </c>
      <c r="B115" t="s">
        <v>531</v>
      </c>
      <c r="C115" t="s">
        <v>532</v>
      </c>
      <c r="D115" t="s">
        <v>15</v>
      </c>
      <c r="E115" t="s">
        <v>20</v>
      </c>
      <c r="F115" t="s">
        <v>166</v>
      </c>
      <c r="G115" t="s">
        <v>112</v>
      </c>
      <c r="H115" t="str">
        <f t="shared" si="7"/>
        <v>FL 佛州大区MIA.H综办组</v>
      </c>
      <c r="I115" t="s">
        <v>167</v>
      </c>
      <c r="J115" t="s">
        <v>533</v>
      </c>
      <c r="K115" s="15">
        <v>0.604166666666667</v>
      </c>
      <c r="L115" s="15" t="s">
        <v>534</v>
      </c>
      <c r="M115" s="15">
        <v>0.640277777777778</v>
      </c>
      <c r="N115" t="s">
        <v>535</v>
      </c>
      <c r="O115" s="20" t="str">
        <f t="shared" si="13"/>
        <v>正确</v>
      </c>
      <c r="P115" s="21">
        <v>0</v>
      </c>
      <c r="Q115" s="21">
        <v>8.07</v>
      </c>
      <c r="R115" s="21">
        <v>0</v>
      </c>
      <c r="S115" s="21">
        <f t="shared" si="8"/>
        <v>8.07</v>
      </c>
      <c r="T115" s="21">
        <f t="shared" si="9"/>
        <v>0.0700000000000003</v>
      </c>
      <c r="U115" s="21" t="str">
        <f t="shared" si="10"/>
        <v>是</v>
      </c>
      <c r="V115" s="21">
        <f>VLOOKUP($C115,[4]Sheet1!$B:$AN,39,FALSE)</f>
        <v>16.85</v>
      </c>
      <c r="W115" s="21">
        <v>15.8</v>
      </c>
      <c r="X115" s="23">
        <v>4</v>
      </c>
      <c r="Y115" s="23">
        <v>4</v>
      </c>
      <c r="Z115" s="25">
        <f t="shared" si="11"/>
        <v>0</v>
      </c>
      <c r="AA115" s="25" t="str">
        <f t="shared" si="12"/>
        <v>是</v>
      </c>
      <c r="AB115" t="s">
        <v>148</v>
      </c>
      <c r="AC115" t="e">
        <f>VLOOKUP(C115,[1]Sheet1!$C:$O,13,FALSE)</f>
        <v>#N/A</v>
      </c>
      <c r="AD115" t="str">
        <f>VLOOKUP($H115,'[3]0509人员排班情况 副本'!$G:$U,12,FALSE)</f>
        <v>Natalia (Natalia Padilla),孙婕 Jasmine（Sunjie）</v>
      </c>
      <c r="AE115" t="str">
        <f>VLOOKUP($H115,'[3]0509人员排班情况 副本'!$G:$U,13,FALSE)</f>
        <v>贺子强Jeff (Ziqiang He)</v>
      </c>
      <c r="AF115" t="str">
        <f>VLOOKUP($H115,'[3]0509人员排班情况 副本'!$G:$U,14,FALSE)</f>
        <v>Minqing (Minqing Xu),罗煜雄 Mike (Yuxiong Luo)</v>
      </c>
      <c r="AG115">
        <f>VLOOKUP($H115,'[3]0509人员排班情况 副本'!$G:$U,15,FALSE)</f>
        <v>0</v>
      </c>
    </row>
    <row r="116" customHeight="1" spans="1:33">
      <c r="A116" t="s">
        <v>202</v>
      </c>
      <c r="B116" t="s">
        <v>536</v>
      </c>
      <c r="C116" t="s">
        <v>537</v>
      </c>
      <c r="D116" t="s">
        <v>100</v>
      </c>
      <c r="E116" t="s">
        <v>102</v>
      </c>
      <c r="F116" t="s">
        <v>358</v>
      </c>
      <c r="H116" t="str">
        <f t="shared" si="7"/>
        <v>WE 美西大区DS 丹佛·盐湖城片区DEN.H</v>
      </c>
      <c r="I116" t="s">
        <v>156</v>
      </c>
      <c r="J116" t="s">
        <v>330</v>
      </c>
      <c r="K116" s="15">
        <v>0.625</v>
      </c>
      <c r="L116" s="15" t="s">
        <v>331</v>
      </c>
      <c r="M116" s="15">
        <v>0.620833333333333</v>
      </c>
      <c r="N116" t="s">
        <v>538</v>
      </c>
      <c r="O116" s="20" t="str">
        <f t="shared" si="13"/>
        <v>正确</v>
      </c>
      <c r="P116" s="21">
        <v>0</v>
      </c>
      <c r="Q116" s="21">
        <v>8.95</v>
      </c>
      <c r="R116" s="21">
        <v>0</v>
      </c>
      <c r="S116" s="21">
        <f t="shared" si="8"/>
        <v>8.95</v>
      </c>
      <c r="T116" s="21">
        <f t="shared" si="9"/>
        <v>0.949999999999999</v>
      </c>
      <c r="U116" s="21" t="str">
        <f t="shared" si="10"/>
        <v>是</v>
      </c>
      <c r="V116" s="21">
        <f>VLOOKUP($C116,[4]Sheet1!$B:$AN,39,FALSE)</f>
        <v>19.2</v>
      </c>
      <c r="W116" s="21">
        <v>0</v>
      </c>
      <c r="X116" s="23">
        <v>2</v>
      </c>
      <c r="Y116" s="23">
        <v>4</v>
      </c>
      <c r="Z116" s="25">
        <f t="shared" si="11"/>
        <v>2</v>
      </c>
      <c r="AA116" s="25" t="str">
        <f t="shared" si="12"/>
        <v>是</v>
      </c>
      <c r="AB116" t="s">
        <v>148</v>
      </c>
      <c r="AC116" t="e">
        <f>VLOOKUP(C116,[1]Sheet1!$C:$O,13,FALSE)</f>
        <v>#N/A</v>
      </c>
      <c r="AD116" t="str">
        <f>VLOOKUP($H116,'[3]0509人员排班情况 副本'!$G:$U,12,FALSE)</f>
        <v>王骞Ariel（Qian Wang）,叶秀芳Freya (Xiufang Ye)</v>
      </c>
      <c r="AE116" t="str">
        <f>VLOOKUP($H116,'[3]0509人员排班情况 副本'!$G:$U,13,FALSE)</f>
        <v>常哲</v>
      </c>
      <c r="AF116" t="str">
        <f>VLOOKUP($H116,'[3]0509人员排班情况 副本'!$G:$U,14,FALSE)</f>
        <v>兰鹏Peng（Peng Lan）</v>
      </c>
      <c r="AG116">
        <f>VLOOKUP($H116,'[3]0509人员排班情况 副本'!$G:$U,15,FALSE)</f>
        <v>0</v>
      </c>
    </row>
    <row r="117" customHeight="1" spans="1:33">
      <c r="A117" t="s">
        <v>202</v>
      </c>
      <c r="B117" t="s">
        <v>539</v>
      </c>
      <c r="C117" t="s">
        <v>540</v>
      </c>
      <c r="D117" t="s">
        <v>58</v>
      </c>
      <c r="E117" t="s">
        <v>61</v>
      </c>
      <c r="F117" t="s">
        <v>243</v>
      </c>
      <c r="G117" t="s">
        <v>112</v>
      </c>
      <c r="H117" t="str">
        <f t="shared" si="7"/>
        <v>MS 中南大区ATL.H调度组</v>
      </c>
      <c r="I117" t="s">
        <v>160</v>
      </c>
      <c r="J117" t="s">
        <v>217</v>
      </c>
      <c r="K117" s="15">
        <v>0.395833333333333</v>
      </c>
      <c r="L117" s="15" t="s">
        <v>218</v>
      </c>
      <c r="M117" s="15"/>
      <c r="N117" t="s">
        <v>148</v>
      </c>
      <c r="O117" s="20" t="s">
        <v>116</v>
      </c>
      <c r="P117" s="21">
        <v>0</v>
      </c>
      <c r="Q117" s="21">
        <v>0</v>
      </c>
      <c r="R117" s="21">
        <v>0</v>
      </c>
      <c r="S117" s="21">
        <f t="shared" si="8"/>
        <v>0</v>
      </c>
      <c r="T117" s="21">
        <f t="shared" si="9"/>
        <v>0</v>
      </c>
      <c r="U117" s="21" t="str">
        <f t="shared" si="10"/>
        <v>否</v>
      </c>
      <c r="V117" s="21">
        <f>VLOOKUP($C117,[4]Sheet1!$B:$AN,39,FALSE)</f>
        <v>8.48</v>
      </c>
      <c r="W117" s="21">
        <v>0</v>
      </c>
      <c r="X117" s="23">
        <v>0</v>
      </c>
      <c r="Y117" s="23">
        <v>0</v>
      </c>
      <c r="Z117" s="25">
        <f t="shared" si="11"/>
        <v>0</v>
      </c>
      <c r="AA117" s="25" t="str">
        <f t="shared" si="12"/>
        <v>是</v>
      </c>
      <c r="AB117" t="s">
        <v>148</v>
      </c>
      <c r="AC117" t="e">
        <f>VLOOKUP(C117,[1]Sheet1!$C:$O,13,FALSE)</f>
        <v>#N/A</v>
      </c>
      <c r="AD117" t="str">
        <f>VLOOKUP($H117,'[3]0509人员排班情况 副本'!$G:$U,12,FALSE)</f>
        <v>欧阳迎春Flower（Yingchun Ouyang）</v>
      </c>
      <c r="AE117" t="str">
        <f>VLOOKUP($H117,'[3]0509人员排班情况 副本'!$G:$U,13,FALSE)</f>
        <v>杨云飞</v>
      </c>
      <c r="AF117" t="str">
        <f>VLOOKUP($H117,'[3]0509人员排班情况 副本'!$G:$U,14,FALSE)</f>
        <v>Minqing (Minqing Xu),罗煜雄 Mike (Yuxiong Luo),明杰麟Jennie (Jielin Ming)</v>
      </c>
      <c r="AG117" t="str">
        <f>VLOOKUP($H117,'[3]0509人员排班情况 副本'!$G:$U,15,FALSE)</f>
        <v>文艳平</v>
      </c>
    </row>
    <row r="118" customHeight="1" spans="1:33">
      <c r="A118" t="s">
        <v>202</v>
      </c>
      <c r="B118" t="s">
        <v>541</v>
      </c>
      <c r="C118" t="s">
        <v>542</v>
      </c>
      <c r="D118" t="s">
        <v>58</v>
      </c>
      <c r="E118" t="s">
        <v>63</v>
      </c>
      <c r="F118" t="s">
        <v>275</v>
      </c>
      <c r="G118" t="s">
        <v>112</v>
      </c>
      <c r="H118" t="str">
        <f t="shared" si="7"/>
        <v>MS 中南大区CLT.H分拣组</v>
      </c>
      <c r="I118" t="s">
        <v>276</v>
      </c>
      <c r="J118" t="s">
        <v>236</v>
      </c>
      <c r="K118" s="15">
        <v>0.395833333333333</v>
      </c>
      <c r="L118" s="15" t="s">
        <v>218</v>
      </c>
      <c r="M118" s="15">
        <v>0.359722222222222</v>
      </c>
      <c r="N118" t="s">
        <v>543</v>
      </c>
      <c r="O118" s="20" t="str">
        <f t="shared" si="13"/>
        <v>正确</v>
      </c>
      <c r="P118" s="21">
        <v>0</v>
      </c>
      <c r="Q118" s="21">
        <v>9.52</v>
      </c>
      <c r="R118" s="21">
        <v>0</v>
      </c>
      <c r="S118" s="21">
        <f t="shared" si="8"/>
        <v>9.52</v>
      </c>
      <c r="T118" s="21">
        <f t="shared" si="9"/>
        <v>1.52</v>
      </c>
      <c r="U118" s="21" t="str">
        <f t="shared" si="10"/>
        <v>是</v>
      </c>
      <c r="V118" s="21">
        <f>VLOOKUP($C118,[4]Sheet1!$B:$AN,39,FALSE)</f>
        <v>19.12</v>
      </c>
      <c r="W118" s="21">
        <v>0</v>
      </c>
      <c r="X118" s="23">
        <v>4</v>
      </c>
      <c r="Y118" s="23">
        <v>4</v>
      </c>
      <c r="Z118" s="25">
        <f t="shared" si="11"/>
        <v>0</v>
      </c>
      <c r="AA118" s="25" t="str">
        <f t="shared" si="12"/>
        <v>是</v>
      </c>
      <c r="AB118" t="s">
        <v>148</v>
      </c>
      <c r="AC118" t="e">
        <f>VLOOKUP(C118,[1]Sheet1!$C:$O,13,FALSE)</f>
        <v>#N/A</v>
      </c>
      <c r="AD118" t="str">
        <f>VLOOKUP($H118,'[3]0509人员排班情况 副本'!$G:$U,12,FALSE)</f>
        <v>欧阳迎春Flower（Yingchun Ouyang）</v>
      </c>
      <c r="AE118" t="str">
        <f>VLOOKUP($H118,'[3]0509人员排班情况 副本'!$G:$U,13,FALSE)</f>
        <v>杨云飞</v>
      </c>
      <c r="AF118" t="str">
        <f>VLOOKUP($H118,'[3]0509人员排班情况 副本'!$G:$U,14,FALSE)</f>
        <v>张双甫(Shuangfu Zhang)</v>
      </c>
      <c r="AG118">
        <f>VLOOKUP($H118,'[3]0509人员排班情况 副本'!$G:$U,15,FALSE)</f>
        <v>0</v>
      </c>
    </row>
    <row r="119" customHeight="1" spans="1:33">
      <c r="A119" t="s">
        <v>202</v>
      </c>
      <c r="B119" t="s">
        <v>544</v>
      </c>
      <c r="C119" t="s">
        <v>545</v>
      </c>
      <c r="D119" t="s">
        <v>68</v>
      </c>
      <c r="E119" t="s">
        <v>80</v>
      </c>
      <c r="F119" t="s">
        <v>546</v>
      </c>
      <c r="H119" t="str">
        <f t="shared" si="7"/>
        <v>NE 东北大区MA 新英格兰片区MHT01</v>
      </c>
      <c r="I119" t="s">
        <v>177</v>
      </c>
      <c r="J119" t="s">
        <v>343</v>
      </c>
      <c r="K119" s="15">
        <v>0.25</v>
      </c>
      <c r="L119" s="15" t="s">
        <v>344</v>
      </c>
      <c r="M119" s="15">
        <v>0.246527777777778</v>
      </c>
      <c r="N119" t="s">
        <v>547</v>
      </c>
      <c r="O119" s="20" t="str">
        <f t="shared" si="13"/>
        <v>正确</v>
      </c>
      <c r="P119" s="21">
        <v>0</v>
      </c>
      <c r="Q119" s="21">
        <v>8.05</v>
      </c>
      <c r="R119" s="21">
        <v>0</v>
      </c>
      <c r="S119" s="21">
        <f t="shared" si="8"/>
        <v>8.05</v>
      </c>
      <c r="T119" s="21">
        <f t="shared" si="9"/>
        <v>0.0500000000000007</v>
      </c>
      <c r="U119" s="21" t="str">
        <f t="shared" si="10"/>
        <v>是</v>
      </c>
      <c r="V119" s="21">
        <f>VLOOKUP($C119,[4]Sheet1!$B:$AN,39,FALSE)</f>
        <v>8.05</v>
      </c>
      <c r="W119" s="21">
        <v>0</v>
      </c>
      <c r="X119" s="23">
        <v>4</v>
      </c>
      <c r="Y119" s="23">
        <v>4</v>
      </c>
      <c r="Z119" s="25">
        <f t="shared" si="11"/>
        <v>0</v>
      </c>
      <c r="AA119" s="25" t="str">
        <f t="shared" si="12"/>
        <v>是</v>
      </c>
      <c r="AB119" t="s">
        <v>148</v>
      </c>
      <c r="AC119" t="e">
        <f>VLOOKUP(C119,[1]Sheet1!$C:$O,13,FALSE)</f>
        <v>#N/A</v>
      </c>
      <c r="AD119" t="str">
        <f>VLOOKUP($H119,'[3]0509人员排班情况 副本'!$G:$U,12,FALSE)</f>
        <v>孙可君Monica（Kejun Sun）</v>
      </c>
      <c r="AE119" t="str">
        <f>VLOOKUP($H119,'[3]0509人员排班情况 副本'!$G:$U,13,FALSE)</f>
        <v>马聪Cong (Cong Ma)</v>
      </c>
      <c r="AF119" t="str">
        <f>VLOOKUP($H119,'[3]0509人员排班情况 副本'!$G:$U,14,FALSE)</f>
        <v>朱晗宇 Peter (Hanyu Zhu)</v>
      </c>
      <c r="AG119">
        <f>VLOOKUP($H119,'[3]0509人员排班情况 副本'!$G:$U,15,FALSE)</f>
        <v>0</v>
      </c>
    </row>
    <row r="120" customHeight="1" spans="1:33">
      <c r="A120" t="s">
        <v>202</v>
      </c>
      <c r="B120" t="s">
        <v>548</v>
      </c>
      <c r="C120" t="s">
        <v>549</v>
      </c>
      <c r="D120" t="s">
        <v>92</v>
      </c>
      <c r="E120" t="s">
        <v>95</v>
      </c>
      <c r="F120" t="s">
        <v>216</v>
      </c>
      <c r="H120" t="str">
        <f t="shared" si="7"/>
        <v>TX 德州大区GC 墨湾片区MFE01</v>
      </c>
      <c r="I120" t="s">
        <v>177</v>
      </c>
      <c r="J120" t="s">
        <v>437</v>
      </c>
      <c r="K120" s="15">
        <v>0.229166666666667</v>
      </c>
      <c r="L120" s="15" t="s">
        <v>438</v>
      </c>
      <c r="M120" s="15">
        <v>0.228472222222222</v>
      </c>
      <c r="N120" t="s">
        <v>550</v>
      </c>
      <c r="O120" s="20" t="str">
        <f t="shared" si="13"/>
        <v>正确</v>
      </c>
      <c r="P120" s="21">
        <v>0</v>
      </c>
      <c r="Q120" s="21">
        <v>7.15</v>
      </c>
      <c r="R120" s="21">
        <v>0</v>
      </c>
      <c r="S120" s="21">
        <f t="shared" si="8"/>
        <v>7.15</v>
      </c>
      <c r="T120" s="21">
        <f t="shared" si="9"/>
        <v>0</v>
      </c>
      <c r="U120" s="21" t="str">
        <f t="shared" si="10"/>
        <v>否</v>
      </c>
      <c r="V120" s="21">
        <f>VLOOKUP($C120,[4]Sheet1!$B:$AN,39,FALSE)</f>
        <v>7.15</v>
      </c>
      <c r="W120" s="21">
        <v>0</v>
      </c>
      <c r="X120" s="23">
        <v>4</v>
      </c>
      <c r="Y120" s="23">
        <v>4</v>
      </c>
      <c r="Z120" s="25">
        <f t="shared" si="11"/>
        <v>0</v>
      </c>
      <c r="AA120" s="25" t="str">
        <f t="shared" si="12"/>
        <v>是</v>
      </c>
      <c r="AB120" t="s">
        <v>148</v>
      </c>
      <c r="AC120" t="e">
        <f>VLOOKUP(C120,[1]Sheet1!$C:$O,13,FALSE)</f>
        <v>#N/A</v>
      </c>
      <c r="AD120" t="str">
        <f>VLOOKUP($H120,'[3]0509人员排班情况 副本'!$G:$U,12,FALSE)</f>
        <v>肖芦莉Lily (Luli Xiao)</v>
      </c>
      <c r="AE120" t="str">
        <f>VLOOKUP($H120,'[3]0509人员排班情况 副本'!$G:$U,13,FALSE)</f>
        <v>张骥Ji Zhang (Ji Zhang)</v>
      </c>
      <c r="AF120" t="str">
        <f>VLOOKUP($H120,'[3]0509人员排班情况 副本'!$G:$U,14,FALSE)</f>
        <v>金磊Brian（LEI JIN）</v>
      </c>
      <c r="AG120">
        <f>VLOOKUP($H120,'[3]0509人员排班情况 副本'!$G:$U,15,FALSE)</f>
        <v>0</v>
      </c>
    </row>
    <row r="121" customHeight="1" spans="1:33">
      <c r="A121" t="s">
        <v>202</v>
      </c>
      <c r="B121" t="s">
        <v>551</v>
      </c>
      <c r="C121" t="s">
        <v>552</v>
      </c>
      <c r="D121" t="s">
        <v>100</v>
      </c>
      <c r="E121" t="s">
        <v>101</v>
      </c>
      <c r="F121" t="s">
        <v>210</v>
      </c>
      <c r="G121" t="s">
        <v>112</v>
      </c>
      <c r="H121" t="str">
        <f t="shared" si="7"/>
        <v>WE 美西大区CNO.H操作组</v>
      </c>
      <c r="I121" t="s">
        <v>156</v>
      </c>
      <c r="J121" t="s">
        <v>304</v>
      </c>
      <c r="K121" s="15">
        <v>0.666666666666667</v>
      </c>
      <c r="L121" s="15" t="s">
        <v>305</v>
      </c>
      <c r="M121" s="15">
        <v>0.661805555555556</v>
      </c>
      <c r="N121" t="s">
        <v>553</v>
      </c>
      <c r="O121" s="20" t="str">
        <f t="shared" si="13"/>
        <v>正确</v>
      </c>
      <c r="P121" s="21">
        <v>0</v>
      </c>
      <c r="Q121" s="21">
        <v>6.32</v>
      </c>
      <c r="R121" s="21">
        <v>0</v>
      </c>
      <c r="S121" s="21">
        <f t="shared" si="8"/>
        <v>6.32</v>
      </c>
      <c r="T121" s="21">
        <f t="shared" si="9"/>
        <v>0</v>
      </c>
      <c r="U121" s="21" t="str">
        <f t="shared" si="10"/>
        <v>否</v>
      </c>
      <c r="V121" s="21">
        <f>VLOOKUP($C121,[4]Sheet1!$B:$AN,39,FALSE)</f>
        <v>6.32</v>
      </c>
      <c r="W121" s="21">
        <v>0</v>
      </c>
      <c r="X121" s="23">
        <v>3</v>
      </c>
      <c r="Y121" s="23">
        <v>4</v>
      </c>
      <c r="Z121" s="25">
        <f t="shared" si="11"/>
        <v>1</v>
      </c>
      <c r="AA121" s="25" t="str">
        <f t="shared" si="12"/>
        <v>是</v>
      </c>
      <c r="AB121" t="s">
        <v>148</v>
      </c>
      <c r="AC121" t="e">
        <f>VLOOKUP(C121,[1]Sheet1!$C:$O,13,FALSE)</f>
        <v>#N/A</v>
      </c>
      <c r="AD121" t="str">
        <f>VLOOKUP($H121,'[3]0509人员排班情况 副本'!$G:$U,12,FALSE)</f>
        <v>王骞Ariel（Qian Wang）,叶秀芳Freya (Xiufang Ye)</v>
      </c>
      <c r="AE121" t="str">
        <f>VLOOKUP($H121,'[3]0509人员排班情况 副本'!$G:$U,13,FALSE)</f>
        <v>常哲</v>
      </c>
      <c r="AF121" t="str">
        <f>VLOOKUP($H121,'[3]0509人员排班情况 副本'!$G:$U,14,FALSE)</f>
        <v>Minqing (Minqing Xu),罗煜雄 Mike (Yuxiong Luo)</v>
      </c>
      <c r="AG121">
        <f>VLOOKUP($H121,'[3]0509人员排班情况 副本'!$G:$U,15,FALSE)</f>
        <v>0</v>
      </c>
    </row>
    <row r="122" customHeight="1" spans="1:33">
      <c r="A122" t="s">
        <v>202</v>
      </c>
      <c r="B122" t="s">
        <v>554</v>
      </c>
      <c r="C122" t="s">
        <v>555</v>
      </c>
      <c r="D122" t="s">
        <v>58</v>
      </c>
      <c r="E122" t="s">
        <v>62</v>
      </c>
      <c r="F122" t="s">
        <v>556</v>
      </c>
      <c r="H122" t="str">
        <f t="shared" si="7"/>
        <v>MS 中南大区BN 田纳西和北阿拉巴马片区BHM01</v>
      </c>
      <c r="I122" t="s">
        <v>156</v>
      </c>
      <c r="J122" t="s">
        <v>437</v>
      </c>
      <c r="K122" s="15">
        <v>0.229166666666667</v>
      </c>
      <c r="L122" s="15" t="s">
        <v>438</v>
      </c>
      <c r="M122" s="15">
        <v>0.229861111111111</v>
      </c>
      <c r="N122" t="s">
        <v>557</v>
      </c>
      <c r="O122" s="20" t="str">
        <f t="shared" si="13"/>
        <v>正确</v>
      </c>
      <c r="P122" s="21">
        <v>0</v>
      </c>
      <c r="Q122" s="21">
        <v>6.73</v>
      </c>
      <c r="R122" s="21">
        <v>0</v>
      </c>
      <c r="S122" s="21">
        <f t="shared" si="8"/>
        <v>6.73</v>
      </c>
      <c r="T122" s="21">
        <f t="shared" si="9"/>
        <v>0</v>
      </c>
      <c r="U122" s="21" t="str">
        <f t="shared" si="10"/>
        <v>否</v>
      </c>
      <c r="V122" s="21">
        <f>VLOOKUP($C122,[4]Sheet1!$B:$AN,39,FALSE)</f>
        <v>9.38</v>
      </c>
      <c r="W122" s="21">
        <v>0</v>
      </c>
      <c r="X122" s="23">
        <v>4</v>
      </c>
      <c r="Y122" s="23">
        <v>4</v>
      </c>
      <c r="Z122" s="25">
        <f t="shared" si="11"/>
        <v>0</v>
      </c>
      <c r="AA122" s="25" t="str">
        <f t="shared" si="12"/>
        <v>是</v>
      </c>
      <c r="AB122" t="s">
        <v>148</v>
      </c>
      <c r="AC122" t="e">
        <f>VLOOKUP(C122,[1]Sheet1!$C:$O,13,FALSE)</f>
        <v>#N/A</v>
      </c>
      <c r="AD122" t="str">
        <f>VLOOKUP($H122,'[3]0509人员排班情况 副本'!$G:$U,12,FALSE)</f>
        <v>欧阳迎春Flower（Yingchun Ouyang）</v>
      </c>
      <c r="AE122" t="str">
        <f>VLOOKUP($H122,'[3]0509人员排班情况 副本'!$G:$U,13,FALSE)</f>
        <v>杨云飞</v>
      </c>
      <c r="AF122" t="str">
        <f>VLOOKUP($H122,'[3]0509人员排班情况 副本'!$G:$U,14,FALSE)</f>
        <v>鄧亦翔Sean (Yi-Hsiang Teng)</v>
      </c>
      <c r="AG122">
        <f>VLOOKUP($H122,'[3]0509人员排班情况 副本'!$G:$U,15,FALSE)</f>
        <v>0</v>
      </c>
    </row>
    <row r="123" customHeight="1" spans="1:33">
      <c r="A123" t="s">
        <v>202</v>
      </c>
      <c r="B123" t="s">
        <v>558</v>
      </c>
      <c r="C123" t="s">
        <v>559</v>
      </c>
      <c r="D123" t="s">
        <v>31</v>
      </c>
      <c r="E123" t="s">
        <v>41</v>
      </c>
      <c r="F123" t="s">
        <v>275</v>
      </c>
      <c r="G123" t="s">
        <v>112</v>
      </c>
      <c r="H123" t="str">
        <f t="shared" si="7"/>
        <v>GL 大湖大区ORD.H分拣组</v>
      </c>
      <c r="I123" t="s">
        <v>276</v>
      </c>
      <c r="J123" t="s">
        <v>373</v>
      </c>
      <c r="K123" s="15">
        <v>0.291666666666667</v>
      </c>
      <c r="L123" s="15" t="s">
        <v>374</v>
      </c>
      <c r="M123" s="15">
        <v>0.3375</v>
      </c>
      <c r="N123" t="s">
        <v>560</v>
      </c>
      <c r="O123" s="20" t="str">
        <f t="shared" si="13"/>
        <v>不正确</v>
      </c>
      <c r="P123" s="21">
        <v>0</v>
      </c>
      <c r="Q123" s="21">
        <v>8.32</v>
      </c>
      <c r="R123" s="21">
        <v>0</v>
      </c>
      <c r="S123" s="21">
        <f t="shared" si="8"/>
        <v>8.32</v>
      </c>
      <c r="T123" s="21">
        <f t="shared" si="9"/>
        <v>0.32</v>
      </c>
      <c r="U123" s="21" t="str">
        <f t="shared" si="10"/>
        <v>是</v>
      </c>
      <c r="V123" s="21">
        <f>VLOOKUP($C123,[4]Sheet1!$B:$AN,39,FALSE)</f>
        <v>16.67</v>
      </c>
      <c r="W123" s="21">
        <v>0</v>
      </c>
      <c r="X123" s="23">
        <v>4</v>
      </c>
      <c r="Y123" s="23">
        <v>4</v>
      </c>
      <c r="Z123" s="25">
        <f t="shared" si="11"/>
        <v>0</v>
      </c>
      <c r="AA123" s="25" t="str">
        <f t="shared" si="12"/>
        <v>是</v>
      </c>
      <c r="AB123" t="s">
        <v>148</v>
      </c>
      <c r="AC123" t="e">
        <f>VLOOKUP(C123,[1]Sheet1!$C:$O,13,FALSE)</f>
        <v>#N/A</v>
      </c>
      <c r="AD123" t="str">
        <f>VLOOKUP($H123,'[3]0509人员排班情况 副本'!$G:$U,12,FALSE)</f>
        <v>王晓丹 Jasmine（Xiaodan Wang）,周延舒Isabel（Yanshu Zhou）</v>
      </c>
      <c r="AE123" t="str">
        <f>VLOOKUP($H123,'[3]0509人员排班情况 副本'!$G:$U,13,FALSE)</f>
        <v>张骥Ji Zhang (Ji Zhang)</v>
      </c>
      <c r="AF123" t="str">
        <f>VLOOKUP($H123,'[3]0509人员排班情况 副本'!$G:$U,14,FALSE)</f>
        <v>张双甫(Shuangfu Zhang)</v>
      </c>
      <c r="AG123">
        <f>VLOOKUP($H123,'[3]0509人员排班情况 副本'!$G:$U,15,FALSE)</f>
        <v>0</v>
      </c>
    </row>
    <row r="124" customHeight="1" spans="1:33">
      <c r="A124" t="s">
        <v>202</v>
      </c>
      <c r="B124" t="s">
        <v>561</v>
      </c>
      <c r="C124" t="s">
        <v>562</v>
      </c>
      <c r="D124" t="s">
        <v>48</v>
      </c>
      <c r="E124" t="s">
        <v>51</v>
      </c>
      <c r="F124" t="s">
        <v>563</v>
      </c>
      <c r="G124" t="s">
        <v>112</v>
      </c>
      <c r="H124" t="str">
        <f t="shared" si="7"/>
        <v>Ground项目部OG 美西区CNO.G</v>
      </c>
      <c r="I124" t="s">
        <v>156</v>
      </c>
      <c r="J124" t="s">
        <v>217</v>
      </c>
      <c r="K124" s="15">
        <v>0.395833333333333</v>
      </c>
      <c r="L124" s="15" t="s">
        <v>218</v>
      </c>
      <c r="M124" s="15"/>
      <c r="N124" t="s">
        <v>148</v>
      </c>
      <c r="O124" s="20" t="s">
        <v>116</v>
      </c>
      <c r="P124" s="21">
        <v>0</v>
      </c>
      <c r="Q124" s="21">
        <v>0</v>
      </c>
      <c r="R124" s="21">
        <v>0</v>
      </c>
      <c r="S124" s="21">
        <f t="shared" si="8"/>
        <v>0</v>
      </c>
      <c r="T124" s="21">
        <f t="shared" si="9"/>
        <v>0</v>
      </c>
      <c r="U124" s="21" t="str">
        <f t="shared" si="10"/>
        <v>否</v>
      </c>
      <c r="V124" s="21">
        <f>VLOOKUP($C124,[4]Sheet1!$B:$AN,39,FALSE)</f>
        <v>0</v>
      </c>
      <c r="W124" s="21">
        <v>0</v>
      </c>
      <c r="X124" s="23">
        <v>0</v>
      </c>
      <c r="Y124" s="23">
        <v>0</v>
      </c>
      <c r="Z124" s="25">
        <f t="shared" si="11"/>
        <v>0</v>
      </c>
      <c r="AA124" s="25" t="str">
        <f t="shared" si="12"/>
        <v>是</v>
      </c>
      <c r="AB124" t="s">
        <v>148</v>
      </c>
      <c r="AC124" t="e">
        <f>VLOOKUP(C124,[1]Sheet1!$C:$O,13,FALSE)</f>
        <v>#N/A</v>
      </c>
      <c r="AD124" t="str">
        <f>VLOOKUP($H124,'[3]0509人员排班情况 副本'!$G:$U,12,FALSE)</f>
        <v>王安琪 (Anqi Wang),张朱同 Thomson（Zhutong Zhang）</v>
      </c>
      <c r="AE124" t="str">
        <f>VLOOKUP($H124,'[3]0509人员排班情况 副本'!$G:$U,13,FALSE)</f>
        <v>陈锦昭</v>
      </c>
      <c r="AF124" t="str">
        <f>VLOOKUP($H124,'[3]0509人员排班情况 副本'!$G:$U,14,FALSE)</f>
        <v>张弘毅 Hongyi （Hongyi Zhang）</v>
      </c>
      <c r="AG124">
        <f>VLOOKUP($H124,'[3]0509人员排班情况 副本'!$G:$U,15,FALSE)</f>
        <v>0</v>
      </c>
    </row>
    <row r="125" customHeight="1" spans="1:33">
      <c r="A125" t="s">
        <v>202</v>
      </c>
      <c r="B125" t="s">
        <v>564</v>
      </c>
      <c r="C125" t="s">
        <v>565</v>
      </c>
      <c r="D125" t="s">
        <v>48</v>
      </c>
      <c r="E125" t="s">
        <v>51</v>
      </c>
      <c r="F125" t="s">
        <v>563</v>
      </c>
      <c r="G125" t="s">
        <v>112</v>
      </c>
      <c r="H125" t="str">
        <f t="shared" si="7"/>
        <v>Ground项目部OG 美西区CNO.G</v>
      </c>
      <c r="I125" t="s">
        <v>156</v>
      </c>
      <c r="J125" t="s">
        <v>221</v>
      </c>
      <c r="K125" s="15">
        <v>0.208333333333333</v>
      </c>
      <c r="L125" s="15" t="s">
        <v>222</v>
      </c>
      <c r="M125" s="15"/>
      <c r="N125" t="s">
        <v>148</v>
      </c>
      <c r="O125" s="20" t="str">
        <f t="shared" si="13"/>
        <v>不正确</v>
      </c>
      <c r="P125" s="21">
        <v>0</v>
      </c>
      <c r="Q125" s="21">
        <v>0</v>
      </c>
      <c r="R125" s="21">
        <v>0</v>
      </c>
      <c r="S125" s="21">
        <f t="shared" si="8"/>
        <v>0</v>
      </c>
      <c r="T125" s="21">
        <f t="shared" si="9"/>
        <v>0</v>
      </c>
      <c r="U125" s="21" t="str">
        <f t="shared" si="10"/>
        <v>否</v>
      </c>
      <c r="V125" s="21">
        <f>VLOOKUP($C125,[4]Sheet1!$B:$AN,39,FALSE)</f>
        <v>0</v>
      </c>
      <c r="W125" s="21">
        <v>0</v>
      </c>
      <c r="X125" s="23">
        <v>0</v>
      </c>
      <c r="Y125" s="23">
        <v>4</v>
      </c>
      <c r="Z125" s="25">
        <f t="shared" si="11"/>
        <v>4</v>
      </c>
      <c r="AA125" s="25" t="str">
        <f t="shared" si="12"/>
        <v>是</v>
      </c>
      <c r="AB125" t="s">
        <v>148</v>
      </c>
      <c r="AC125" t="e">
        <f>VLOOKUP(C125,[1]Sheet1!$C:$O,13,FALSE)</f>
        <v>#N/A</v>
      </c>
      <c r="AD125" t="str">
        <f>VLOOKUP($H125,'[3]0509人员排班情况 副本'!$G:$U,12,FALSE)</f>
        <v>王安琪 (Anqi Wang),张朱同 Thomson（Zhutong Zhang）</v>
      </c>
      <c r="AE125" t="str">
        <f>VLOOKUP($H125,'[3]0509人员排班情况 副本'!$G:$U,13,FALSE)</f>
        <v>陈锦昭</v>
      </c>
      <c r="AF125" t="str">
        <f>VLOOKUP($H125,'[3]0509人员排班情况 副本'!$G:$U,14,FALSE)</f>
        <v>张弘毅 Hongyi （Hongyi Zhang）</v>
      </c>
      <c r="AG125">
        <f>VLOOKUP($H125,'[3]0509人员排班情况 副本'!$G:$U,15,FALSE)</f>
        <v>0</v>
      </c>
    </row>
    <row r="126" customHeight="1" spans="1:33">
      <c r="A126" t="s">
        <v>202</v>
      </c>
      <c r="B126" t="s">
        <v>566</v>
      </c>
      <c r="C126" t="s">
        <v>567</v>
      </c>
      <c r="D126" t="s">
        <v>92</v>
      </c>
      <c r="E126" t="s">
        <v>94</v>
      </c>
      <c r="F126" t="s">
        <v>210</v>
      </c>
      <c r="G126" t="s">
        <v>112</v>
      </c>
      <c r="H126" t="str">
        <f t="shared" si="7"/>
        <v>TX 德州大区DFW.H操作组</v>
      </c>
      <c r="I126" t="s">
        <v>156</v>
      </c>
      <c r="J126" t="s">
        <v>330</v>
      </c>
      <c r="K126" s="15">
        <v>0.625</v>
      </c>
      <c r="L126" s="15" t="s">
        <v>331</v>
      </c>
      <c r="M126" s="15">
        <v>0.623611111111111</v>
      </c>
      <c r="N126" t="s">
        <v>568</v>
      </c>
      <c r="O126" s="20" t="str">
        <f t="shared" si="13"/>
        <v>正确</v>
      </c>
      <c r="P126" s="21">
        <v>0</v>
      </c>
      <c r="Q126" s="21">
        <v>9.37</v>
      </c>
      <c r="R126" s="21">
        <v>0</v>
      </c>
      <c r="S126" s="21">
        <f t="shared" si="8"/>
        <v>9.37</v>
      </c>
      <c r="T126" s="21">
        <f t="shared" si="9"/>
        <v>1.37</v>
      </c>
      <c r="U126" s="21" t="str">
        <f t="shared" si="10"/>
        <v>是</v>
      </c>
      <c r="V126" s="21">
        <f>VLOOKUP($C126,[4]Sheet1!$B:$AN,39,FALSE)</f>
        <v>19.05</v>
      </c>
      <c r="W126" s="21">
        <v>0</v>
      </c>
      <c r="X126" s="23">
        <v>4</v>
      </c>
      <c r="Y126" s="23">
        <v>4</v>
      </c>
      <c r="Z126" s="25">
        <f t="shared" si="11"/>
        <v>0</v>
      </c>
      <c r="AA126" s="25" t="str">
        <f t="shared" si="12"/>
        <v>是</v>
      </c>
      <c r="AB126" t="s">
        <v>148</v>
      </c>
      <c r="AC126" t="e">
        <f>VLOOKUP(C126,[1]Sheet1!$C:$O,13,FALSE)</f>
        <v>#N/A</v>
      </c>
      <c r="AD126" t="str">
        <f>VLOOKUP($H126,'[3]0509人员排班情况 副本'!$G:$U,12,FALSE)</f>
        <v>肖芦莉Lily (Luli Xiao)</v>
      </c>
      <c r="AE126" t="str">
        <f>VLOOKUP($H126,'[3]0509人员排班情况 副本'!$G:$U,13,FALSE)</f>
        <v>张骥Ji Zhang (Ji Zhang)</v>
      </c>
      <c r="AF126" t="str">
        <f>VLOOKUP($H126,'[3]0509人员排班情况 副本'!$G:$U,14,FALSE)</f>
        <v>Minqing (Minqing Xu),罗煜雄 Mike (Yuxiong Luo)</v>
      </c>
      <c r="AG126">
        <f>VLOOKUP($H126,'[3]0509人员排班情况 副本'!$G:$U,15,FALSE)</f>
        <v>0</v>
      </c>
    </row>
    <row r="127" customHeight="1" spans="1:33">
      <c r="A127" t="s">
        <v>202</v>
      </c>
      <c r="B127" t="s">
        <v>569</v>
      </c>
      <c r="C127" t="s">
        <v>570</v>
      </c>
      <c r="D127" t="s">
        <v>31</v>
      </c>
      <c r="E127" t="s">
        <v>43</v>
      </c>
      <c r="F127" t="s">
        <v>42</v>
      </c>
      <c r="H127" t="str">
        <f t="shared" si="7"/>
        <v>GL 大湖大区WG 西大湖片区ORD01</v>
      </c>
      <c r="I127" t="s">
        <v>177</v>
      </c>
      <c r="J127" t="s">
        <v>221</v>
      </c>
      <c r="K127" s="15">
        <v>0.208333333333333</v>
      </c>
      <c r="L127" s="15" t="s">
        <v>222</v>
      </c>
      <c r="M127" s="15">
        <v>0.192361111111111</v>
      </c>
      <c r="N127" t="s">
        <v>571</v>
      </c>
      <c r="O127" s="20" t="str">
        <f t="shared" si="13"/>
        <v>正确</v>
      </c>
      <c r="P127" s="21">
        <v>0</v>
      </c>
      <c r="Q127" s="21">
        <v>8.7</v>
      </c>
      <c r="R127" s="21">
        <v>0</v>
      </c>
      <c r="S127" s="21">
        <f t="shared" si="8"/>
        <v>8.7</v>
      </c>
      <c r="T127" s="21">
        <f t="shared" si="9"/>
        <v>0.699999999999999</v>
      </c>
      <c r="U127" s="21" t="str">
        <f t="shared" si="10"/>
        <v>是</v>
      </c>
      <c r="V127" s="21">
        <f>VLOOKUP($C127,[4]Sheet1!$B:$AN,39,FALSE)</f>
        <v>17.37</v>
      </c>
      <c r="W127" s="21">
        <v>0</v>
      </c>
      <c r="X127" s="23">
        <v>4</v>
      </c>
      <c r="Y127" s="23">
        <v>4</v>
      </c>
      <c r="Z127" s="25">
        <f t="shared" si="11"/>
        <v>0</v>
      </c>
      <c r="AA127" s="25" t="str">
        <f t="shared" si="12"/>
        <v>是</v>
      </c>
      <c r="AB127" t="s">
        <v>148</v>
      </c>
      <c r="AC127" t="e">
        <f>VLOOKUP(C127,[1]Sheet1!$C:$O,13,FALSE)</f>
        <v>#N/A</v>
      </c>
      <c r="AD127" t="str">
        <f>VLOOKUP($H127,'[3]0509人员排班情况 副本'!$G:$U,12,FALSE)</f>
        <v>王晓丹 Jasmine（Xiaodan Wang）,周延舒Isabel（Yanshu Zhou）</v>
      </c>
      <c r="AE127" t="str">
        <f>VLOOKUP($H127,'[3]0509人员排班情况 副本'!$G:$U,13,FALSE)</f>
        <v>张骥Ji Zhang (Ji Zhang)</v>
      </c>
      <c r="AF127" t="str">
        <f>VLOOKUP($H127,'[3]0509人员排班情况 副本'!$G:$U,14,FALSE)</f>
        <v>易至聪Zac (Zhicong Yi),尚青蓓 Suki （Qingbei Shang）</v>
      </c>
      <c r="AG127">
        <f>VLOOKUP($H127,'[3]0509人员排班情况 副本'!$G:$U,15,FALSE)</f>
        <v>0</v>
      </c>
    </row>
    <row r="128" customHeight="1" spans="1:33">
      <c r="A128" t="s">
        <v>202</v>
      </c>
      <c r="B128" t="s">
        <v>572</v>
      </c>
      <c r="C128" t="s">
        <v>573</v>
      </c>
      <c r="D128" t="s">
        <v>100</v>
      </c>
      <c r="E128" t="s">
        <v>103</v>
      </c>
      <c r="F128" t="s">
        <v>574</v>
      </c>
      <c r="G128" t="s">
        <v>112</v>
      </c>
      <c r="H128" t="str">
        <f t="shared" si="7"/>
        <v>WE 美西大区LAV.H合流合包组</v>
      </c>
      <c r="I128" t="s">
        <v>281</v>
      </c>
      <c r="J128" t="s">
        <v>282</v>
      </c>
      <c r="K128" s="15">
        <v>0.416666666666667</v>
      </c>
      <c r="L128" s="15" t="s">
        <v>283</v>
      </c>
      <c r="M128" s="15">
        <v>0.469444444444444</v>
      </c>
      <c r="N128" t="s">
        <v>575</v>
      </c>
      <c r="O128" s="20" t="str">
        <f t="shared" si="13"/>
        <v>不正确</v>
      </c>
      <c r="P128" s="21">
        <v>0</v>
      </c>
      <c r="Q128" s="21">
        <v>9.45</v>
      </c>
      <c r="R128" s="21">
        <v>0</v>
      </c>
      <c r="S128" s="21">
        <f t="shared" si="8"/>
        <v>9.45</v>
      </c>
      <c r="T128" s="21">
        <f t="shared" si="9"/>
        <v>1.45</v>
      </c>
      <c r="U128" s="21" t="str">
        <f t="shared" si="10"/>
        <v>是</v>
      </c>
      <c r="V128" s="21">
        <f>VLOOKUP($C128,[4]Sheet1!$B:$AN,39,FALSE)</f>
        <v>19.53</v>
      </c>
      <c r="W128" s="21">
        <v>0</v>
      </c>
      <c r="X128" s="23">
        <v>4</v>
      </c>
      <c r="Y128" s="23">
        <v>4</v>
      </c>
      <c r="Z128" s="25">
        <f t="shared" si="11"/>
        <v>0</v>
      </c>
      <c r="AA128" s="25" t="str">
        <f t="shared" si="12"/>
        <v>是</v>
      </c>
      <c r="AB128" t="s">
        <v>148</v>
      </c>
      <c r="AC128" t="e">
        <f>VLOOKUP(C128,[1]Sheet1!$C:$O,13,FALSE)</f>
        <v>#N/A</v>
      </c>
      <c r="AD128" t="str">
        <f>VLOOKUP($H128,'[3]0509人员排班情况 副本'!$G:$U,12,FALSE)</f>
        <v>王骞Ariel（Qian Wang）,叶秀芳Freya (Xiufang Ye)</v>
      </c>
      <c r="AE128" t="str">
        <f>VLOOKUP($H128,'[3]0509人员排班情况 副本'!$G:$U,13,FALSE)</f>
        <v>常哲</v>
      </c>
      <c r="AF128" t="str">
        <f>VLOOKUP($H128,'[3]0509人员排班情况 副本'!$G:$U,14,FALSE)</f>
        <v>覃超群Jessica（Chaoqun Qin）</v>
      </c>
      <c r="AG128">
        <f>VLOOKUP($H128,'[3]0509人员排班情况 副本'!$G:$U,15,FALSE)</f>
        <v>0</v>
      </c>
    </row>
    <row r="129" customHeight="1" spans="1:33">
      <c r="A129" t="s">
        <v>202</v>
      </c>
      <c r="B129" t="s">
        <v>576</v>
      </c>
      <c r="C129" t="s">
        <v>577</v>
      </c>
      <c r="D129" t="s">
        <v>58</v>
      </c>
      <c r="E129" t="s">
        <v>62</v>
      </c>
      <c r="F129" t="s">
        <v>578</v>
      </c>
      <c r="H129" t="str">
        <f t="shared" si="7"/>
        <v>MS 中南大区BN 田纳西和北阿拉巴马片区HSV01</v>
      </c>
      <c r="I129" t="s">
        <v>177</v>
      </c>
      <c r="J129" t="s">
        <v>221</v>
      </c>
      <c r="K129" s="15">
        <v>0.208333333333333</v>
      </c>
      <c r="L129" s="15" t="s">
        <v>222</v>
      </c>
      <c r="M129" s="15">
        <v>0.206944444444444</v>
      </c>
      <c r="N129" t="s">
        <v>579</v>
      </c>
      <c r="O129" s="20" t="str">
        <f t="shared" si="13"/>
        <v>正确</v>
      </c>
      <c r="P129" s="21">
        <v>1.9</v>
      </c>
      <c r="Q129" s="21">
        <v>6.17</v>
      </c>
      <c r="R129" s="21">
        <v>3.9</v>
      </c>
      <c r="S129" s="21">
        <f t="shared" si="8"/>
        <v>10.07</v>
      </c>
      <c r="T129" s="21">
        <f t="shared" si="9"/>
        <v>2.07</v>
      </c>
      <c r="U129" s="21" t="str">
        <f t="shared" si="10"/>
        <v>是</v>
      </c>
      <c r="V129" s="21">
        <f>VLOOKUP($C129,[4]Sheet1!$B:$AN,39,FALSE)</f>
        <v>18.19</v>
      </c>
      <c r="W129" s="21">
        <v>0</v>
      </c>
      <c r="X129" s="23">
        <v>4</v>
      </c>
      <c r="Y129" s="23">
        <v>4</v>
      </c>
      <c r="Z129" s="25">
        <f t="shared" si="11"/>
        <v>0</v>
      </c>
      <c r="AA129" s="25" t="str">
        <f t="shared" si="12"/>
        <v>是</v>
      </c>
      <c r="AB129" t="s">
        <v>580</v>
      </c>
      <c r="AC129" t="e">
        <f>VLOOKUP(C129,[1]Sheet1!$C:$O,13,FALSE)</f>
        <v>#N/A</v>
      </c>
      <c r="AD129" t="str">
        <f>VLOOKUP($H129,'[3]0509人员排班情况 副本'!$G:$U,12,FALSE)</f>
        <v>欧阳迎春Flower（Yingchun Ouyang）</v>
      </c>
      <c r="AE129" t="str">
        <f>VLOOKUP($H129,'[3]0509人员排班情况 副本'!$G:$U,13,FALSE)</f>
        <v>杨云飞</v>
      </c>
      <c r="AF129" t="str">
        <f>VLOOKUP($H129,'[3]0509人员排班情况 副本'!$G:$U,14,FALSE)</f>
        <v>刘宏果（Hongguo Liu）</v>
      </c>
      <c r="AG129">
        <f>VLOOKUP($H129,'[3]0509人员排班情况 副本'!$G:$U,15,FALSE)</f>
        <v>0</v>
      </c>
    </row>
    <row r="130" customHeight="1" spans="1:33">
      <c r="A130" t="s">
        <v>202</v>
      </c>
      <c r="B130" t="s">
        <v>581</v>
      </c>
      <c r="C130" t="s">
        <v>582</v>
      </c>
      <c r="D130" t="s">
        <v>15</v>
      </c>
      <c r="E130" t="s">
        <v>17</v>
      </c>
      <c r="F130" t="s">
        <v>210</v>
      </c>
      <c r="G130" t="s">
        <v>112</v>
      </c>
      <c r="H130" t="str">
        <f t="shared" si="7"/>
        <v>FL 佛州大区MCO.H操作组</v>
      </c>
      <c r="I130" t="s">
        <v>156</v>
      </c>
      <c r="J130" t="s">
        <v>347</v>
      </c>
      <c r="K130" s="15">
        <v>0.541666666666667</v>
      </c>
      <c r="L130" s="15" t="s">
        <v>348</v>
      </c>
      <c r="M130" s="15">
        <v>0.521527777777778</v>
      </c>
      <c r="N130" t="s">
        <v>583</v>
      </c>
      <c r="O130" s="20" t="str">
        <f t="shared" si="13"/>
        <v>正确</v>
      </c>
      <c r="P130" s="21">
        <v>0</v>
      </c>
      <c r="Q130" s="21">
        <v>8.5</v>
      </c>
      <c r="R130" s="21">
        <v>0</v>
      </c>
      <c r="S130" s="21">
        <f t="shared" si="8"/>
        <v>8.5</v>
      </c>
      <c r="T130" s="21">
        <f t="shared" si="9"/>
        <v>0.5</v>
      </c>
      <c r="U130" s="21" t="str">
        <f t="shared" si="10"/>
        <v>是</v>
      </c>
      <c r="V130" s="21">
        <f>VLOOKUP($C130,[4]Sheet1!$B:$AN,39,FALSE)</f>
        <v>17.27</v>
      </c>
      <c r="W130" s="21">
        <v>7.28</v>
      </c>
      <c r="X130" s="23">
        <v>4</v>
      </c>
      <c r="Y130" s="23">
        <v>4</v>
      </c>
      <c r="Z130" s="25">
        <f t="shared" si="11"/>
        <v>0</v>
      </c>
      <c r="AA130" s="25" t="str">
        <f t="shared" si="12"/>
        <v>是</v>
      </c>
      <c r="AB130" t="s">
        <v>148</v>
      </c>
      <c r="AC130" t="e">
        <f>VLOOKUP(C130,[1]Sheet1!$C:$O,13,FALSE)</f>
        <v>#N/A</v>
      </c>
      <c r="AD130" t="str">
        <f>VLOOKUP($H130,'[3]0509人员排班情况 副本'!$G:$U,12,FALSE)</f>
        <v>Natalia (Natalia Padilla),孙婕 Jasmine（Sunjie）</v>
      </c>
      <c r="AE130" t="str">
        <f>VLOOKUP($H130,'[3]0509人员排班情况 副本'!$G:$U,13,FALSE)</f>
        <v>贺子强Jeff (Ziqiang He)</v>
      </c>
      <c r="AF130" t="str">
        <f>VLOOKUP($H130,'[3]0509人员排班情况 副本'!$G:$U,14,FALSE)</f>
        <v>Minqing (Minqing Xu),罗煜雄 Mike (Yuxiong Luo)</v>
      </c>
      <c r="AG130">
        <f>VLOOKUP($H130,'[3]0509人员排班情况 副本'!$G:$U,15,FALSE)</f>
        <v>0</v>
      </c>
    </row>
    <row r="131" customHeight="1" spans="1:33">
      <c r="A131" t="s">
        <v>202</v>
      </c>
      <c r="B131" t="s">
        <v>584</v>
      </c>
      <c r="C131" t="s">
        <v>585</v>
      </c>
      <c r="D131" t="s">
        <v>15</v>
      </c>
      <c r="E131" t="s">
        <v>17</v>
      </c>
      <c r="F131" t="s">
        <v>210</v>
      </c>
      <c r="G131" t="s">
        <v>112</v>
      </c>
      <c r="H131" t="str">
        <f t="shared" si="7"/>
        <v>FL 佛州大区MCO.H操作组</v>
      </c>
      <c r="I131" t="s">
        <v>156</v>
      </c>
      <c r="J131" t="s">
        <v>347</v>
      </c>
      <c r="K131" s="15">
        <v>0.541666666666667</v>
      </c>
      <c r="L131" s="15" t="s">
        <v>348</v>
      </c>
      <c r="M131" s="15">
        <v>0.51875</v>
      </c>
      <c r="N131" t="s">
        <v>586</v>
      </c>
      <c r="O131" s="20" t="str">
        <f t="shared" si="13"/>
        <v>正确</v>
      </c>
      <c r="P131" s="21">
        <v>0</v>
      </c>
      <c r="Q131" s="21">
        <v>10.22</v>
      </c>
      <c r="R131" s="21">
        <v>0</v>
      </c>
      <c r="S131" s="21">
        <f t="shared" si="8"/>
        <v>10.22</v>
      </c>
      <c r="T131" s="21">
        <f t="shared" si="9"/>
        <v>2.22</v>
      </c>
      <c r="U131" s="21" t="str">
        <f t="shared" si="10"/>
        <v>是</v>
      </c>
      <c r="V131" s="21">
        <f>VLOOKUP($C131,[4]Sheet1!$B:$AN,39,FALSE)</f>
        <v>10.22</v>
      </c>
      <c r="W131" s="21">
        <v>0</v>
      </c>
      <c r="X131" s="23">
        <v>4</v>
      </c>
      <c r="Y131" s="23">
        <v>4</v>
      </c>
      <c r="Z131" s="25">
        <f t="shared" si="11"/>
        <v>0</v>
      </c>
      <c r="AA131" s="25" t="str">
        <f t="shared" si="12"/>
        <v>是</v>
      </c>
      <c r="AB131" t="s">
        <v>148</v>
      </c>
      <c r="AC131" t="e">
        <f>VLOOKUP(C131,[1]Sheet1!$C:$O,13,FALSE)</f>
        <v>#N/A</v>
      </c>
      <c r="AD131" t="str">
        <f>VLOOKUP($H131,'[3]0509人员排班情况 副本'!$G:$U,12,FALSE)</f>
        <v>Natalia (Natalia Padilla),孙婕 Jasmine（Sunjie）</v>
      </c>
      <c r="AE131" t="str">
        <f>VLOOKUP($H131,'[3]0509人员排班情况 副本'!$G:$U,13,FALSE)</f>
        <v>贺子强Jeff (Ziqiang He)</v>
      </c>
      <c r="AF131" t="str">
        <f>VLOOKUP($H131,'[3]0509人员排班情况 副本'!$G:$U,14,FALSE)</f>
        <v>Minqing (Minqing Xu),罗煜雄 Mike (Yuxiong Luo)</v>
      </c>
      <c r="AG131">
        <f>VLOOKUP($H131,'[3]0509人员排班情况 副本'!$G:$U,15,FALSE)</f>
        <v>0</v>
      </c>
    </row>
    <row r="132" customHeight="1" spans="1:33">
      <c r="A132" t="s">
        <v>202</v>
      </c>
      <c r="B132" t="s">
        <v>587</v>
      </c>
      <c r="C132" t="s">
        <v>588</v>
      </c>
      <c r="D132" t="s">
        <v>100</v>
      </c>
      <c r="E132" t="s">
        <v>101</v>
      </c>
      <c r="F132" t="s">
        <v>210</v>
      </c>
      <c r="G132" t="s">
        <v>112</v>
      </c>
      <c r="H132" t="str">
        <f t="shared" ref="H132:H195" si="14">D132&amp;E132&amp;F132</f>
        <v>WE 美西大区CNO.H操作组</v>
      </c>
      <c r="I132" t="s">
        <v>156</v>
      </c>
      <c r="J132" t="s">
        <v>343</v>
      </c>
      <c r="K132" s="15">
        <v>0.25</v>
      </c>
      <c r="L132" s="15" t="s">
        <v>344</v>
      </c>
      <c r="M132" s="15">
        <v>0.258333333333333</v>
      </c>
      <c r="N132" t="s">
        <v>589</v>
      </c>
      <c r="O132" s="20" t="str">
        <f t="shared" ref="O132:O195" si="15">IFERROR(IF(ABS(M132-K132)&lt;=1/24,"正确","不正确"),"/")</f>
        <v>正确</v>
      </c>
      <c r="P132" s="21">
        <v>0</v>
      </c>
      <c r="Q132" s="21">
        <v>10.35</v>
      </c>
      <c r="R132" s="21">
        <v>0</v>
      </c>
      <c r="S132" s="21">
        <f t="shared" ref="S132:S195" si="16">Q132+R132</f>
        <v>10.35</v>
      </c>
      <c r="T132" s="21">
        <f t="shared" ref="T132:T195" si="17">IF(S132-8&gt;0,S132-8,0)</f>
        <v>2.35</v>
      </c>
      <c r="U132" s="21" t="str">
        <f t="shared" ref="U132:U195" si="18">IF(T132=0,"否","是")</f>
        <v>是</v>
      </c>
      <c r="V132" s="21">
        <f>VLOOKUP($C132,[4]Sheet1!$B:$AN,39,FALSE)</f>
        <v>10.35</v>
      </c>
      <c r="W132" s="21">
        <v>0</v>
      </c>
      <c r="X132" s="23">
        <v>4</v>
      </c>
      <c r="Y132" s="23">
        <v>4</v>
      </c>
      <c r="Z132" s="25">
        <f t="shared" ref="Z132:Z195" si="19">IF(Y132-X132&gt;=0,Y132-X132,0)</f>
        <v>0</v>
      </c>
      <c r="AA132" s="25" t="str">
        <f t="shared" ref="AA132:AA195" si="20">IF(J132="","否","是")</f>
        <v>是</v>
      </c>
      <c r="AB132" t="s">
        <v>148</v>
      </c>
      <c r="AC132" t="e">
        <f>VLOOKUP(C132,[1]Sheet1!$C:$O,13,FALSE)</f>
        <v>#N/A</v>
      </c>
      <c r="AD132" t="str">
        <f>VLOOKUP($H132,'[3]0509人员排班情况 副本'!$G:$U,12,FALSE)</f>
        <v>王骞Ariel（Qian Wang）,叶秀芳Freya (Xiufang Ye)</v>
      </c>
      <c r="AE132" t="str">
        <f>VLOOKUP($H132,'[3]0509人员排班情况 副本'!$G:$U,13,FALSE)</f>
        <v>常哲</v>
      </c>
      <c r="AF132" t="str">
        <f>VLOOKUP($H132,'[3]0509人员排班情况 副本'!$G:$U,14,FALSE)</f>
        <v>Minqing (Minqing Xu),罗煜雄 Mike (Yuxiong Luo)</v>
      </c>
      <c r="AG132">
        <f>VLOOKUP($H132,'[3]0509人员排班情况 副本'!$G:$U,15,FALSE)</f>
        <v>0</v>
      </c>
    </row>
    <row r="133" customHeight="1" spans="1:33">
      <c r="A133" t="s">
        <v>202</v>
      </c>
      <c r="B133" t="s">
        <v>590</v>
      </c>
      <c r="C133" t="s">
        <v>591</v>
      </c>
      <c r="D133" t="s">
        <v>15</v>
      </c>
      <c r="E133" t="s">
        <v>19</v>
      </c>
      <c r="F133" t="s">
        <v>592</v>
      </c>
      <c r="H133" t="str">
        <f t="shared" si="14"/>
        <v>FL 佛州大区MF 中佛片区WPB02</v>
      </c>
      <c r="I133" t="s">
        <v>177</v>
      </c>
      <c r="J133" t="s">
        <v>258</v>
      </c>
      <c r="K133" s="15">
        <v>0.1875</v>
      </c>
      <c r="L133" s="15" t="s">
        <v>259</v>
      </c>
      <c r="M133" s="15">
        <v>0.184722222222222</v>
      </c>
      <c r="N133" t="s">
        <v>222</v>
      </c>
      <c r="O133" s="20" t="str">
        <f t="shared" si="15"/>
        <v>正确</v>
      </c>
      <c r="P133" s="21">
        <v>0</v>
      </c>
      <c r="Q133" s="21">
        <v>8.57</v>
      </c>
      <c r="R133" s="21">
        <v>0</v>
      </c>
      <c r="S133" s="21">
        <f t="shared" si="16"/>
        <v>8.57</v>
      </c>
      <c r="T133" s="21">
        <f t="shared" si="17"/>
        <v>0.57</v>
      </c>
      <c r="U133" s="21" t="str">
        <f t="shared" si="18"/>
        <v>是</v>
      </c>
      <c r="V133" s="21">
        <f>VLOOKUP($C133,[4]Sheet1!$B:$AN,39,FALSE)</f>
        <v>17.24</v>
      </c>
      <c r="W133" s="21">
        <v>0</v>
      </c>
      <c r="X133" s="23">
        <v>2</v>
      </c>
      <c r="Y133" s="23">
        <v>4</v>
      </c>
      <c r="Z133" s="25">
        <f t="shared" si="19"/>
        <v>2</v>
      </c>
      <c r="AA133" s="25" t="str">
        <f t="shared" si="20"/>
        <v>是</v>
      </c>
      <c r="AB133" t="s">
        <v>148</v>
      </c>
      <c r="AC133" t="e">
        <f>VLOOKUP(C133,[1]Sheet1!$C:$O,13,FALSE)</f>
        <v>#N/A</v>
      </c>
      <c r="AD133" t="str">
        <f>VLOOKUP($H133,'[3]0509人员排班情况 副本'!$G:$U,12,FALSE)</f>
        <v>Natalia (Natalia Padilla),孙婕 Jasmine（Sunjie）</v>
      </c>
      <c r="AE133" t="str">
        <f>VLOOKUP($H133,'[3]0509人员排班情况 副本'!$G:$U,13,FALSE)</f>
        <v>贺子强Jeff (Ziqiang He)</v>
      </c>
      <c r="AF133" t="str">
        <f>VLOOKUP($H133,'[3]0509人员排班情况 副本'!$G:$U,14,FALSE)</f>
        <v>曹杨清清(Encore)</v>
      </c>
      <c r="AG133">
        <f>VLOOKUP($H133,'[3]0509人员排班情况 副本'!$G:$U,15,FALSE)</f>
        <v>0</v>
      </c>
    </row>
    <row r="134" customHeight="1" spans="1:33">
      <c r="A134" t="s">
        <v>202</v>
      </c>
      <c r="B134" t="s">
        <v>593</v>
      </c>
      <c r="C134" t="s">
        <v>594</v>
      </c>
      <c r="D134" t="s">
        <v>15</v>
      </c>
      <c r="E134" t="s">
        <v>20</v>
      </c>
      <c r="F134" t="s">
        <v>275</v>
      </c>
      <c r="G134" t="s">
        <v>112</v>
      </c>
      <c r="H134" t="str">
        <f t="shared" si="14"/>
        <v>FL 佛州大区MIA.H分拣组</v>
      </c>
      <c r="I134" t="s">
        <v>276</v>
      </c>
      <c r="J134" t="s">
        <v>487</v>
      </c>
      <c r="K134" s="15">
        <v>0.875</v>
      </c>
      <c r="L134" s="15" t="s">
        <v>488</v>
      </c>
      <c r="M134" s="15">
        <v>0.879166666666667</v>
      </c>
      <c r="N134" t="s">
        <v>148</v>
      </c>
      <c r="O134" s="20" t="str">
        <f t="shared" si="15"/>
        <v>正确</v>
      </c>
      <c r="P134" s="21">
        <v>0</v>
      </c>
      <c r="Q134" s="21">
        <v>0</v>
      </c>
      <c r="R134" s="21">
        <v>0</v>
      </c>
      <c r="S134" s="21">
        <f t="shared" si="16"/>
        <v>0</v>
      </c>
      <c r="T134" s="21">
        <f t="shared" si="17"/>
        <v>0</v>
      </c>
      <c r="U134" s="21" t="str">
        <f t="shared" si="18"/>
        <v>否</v>
      </c>
      <c r="V134" s="21">
        <f>VLOOKUP($C134,[4]Sheet1!$B:$AN,39,FALSE)</f>
        <v>0</v>
      </c>
      <c r="W134" s="21">
        <v>0</v>
      </c>
      <c r="X134" s="23">
        <v>1</v>
      </c>
      <c r="Y134" s="23">
        <v>4</v>
      </c>
      <c r="Z134" s="25">
        <f t="shared" si="19"/>
        <v>3</v>
      </c>
      <c r="AA134" s="25" t="str">
        <f t="shared" si="20"/>
        <v>是</v>
      </c>
      <c r="AB134" t="s">
        <v>148</v>
      </c>
      <c r="AC134" t="e">
        <f>VLOOKUP(C134,[1]Sheet1!$C:$O,13,FALSE)</f>
        <v>#N/A</v>
      </c>
      <c r="AD134" t="str">
        <f>VLOOKUP($H134,'[3]0509人员排班情况 副本'!$G:$U,12,FALSE)</f>
        <v>Natalia (Natalia Padilla),孙婕 Jasmine（Sunjie）</v>
      </c>
      <c r="AE134" t="str">
        <f>VLOOKUP($H134,'[3]0509人员排班情况 副本'!$G:$U,13,FALSE)</f>
        <v>贺子强Jeff (Ziqiang He)</v>
      </c>
      <c r="AF134" t="str">
        <f>VLOOKUP($H134,'[3]0509人员排班情况 副本'!$G:$U,14,FALSE)</f>
        <v>张双甫(Shuangfu Zhang)</v>
      </c>
      <c r="AG134">
        <f>VLOOKUP($H134,'[3]0509人员排班情况 副本'!$G:$U,15,FALSE)</f>
        <v>0</v>
      </c>
    </row>
    <row r="135" customHeight="1" spans="1:33">
      <c r="A135" t="s">
        <v>202</v>
      </c>
      <c r="B135" t="s">
        <v>595</v>
      </c>
      <c r="C135" t="s">
        <v>596</v>
      </c>
      <c r="D135" t="s">
        <v>48</v>
      </c>
      <c r="E135" t="s">
        <v>51</v>
      </c>
      <c r="F135" t="s">
        <v>563</v>
      </c>
      <c r="G135" t="s">
        <v>112</v>
      </c>
      <c r="H135" t="str">
        <f t="shared" si="14"/>
        <v>Ground项目部OG 美西区CNO.G</v>
      </c>
      <c r="I135" t="s">
        <v>156</v>
      </c>
      <c r="J135" t="s">
        <v>597</v>
      </c>
      <c r="K135" s="15">
        <v>0.0833333333333333</v>
      </c>
      <c r="L135" s="15" t="s">
        <v>598</v>
      </c>
      <c r="M135" s="15"/>
      <c r="N135" t="s">
        <v>148</v>
      </c>
      <c r="O135" s="20" t="str">
        <f t="shared" si="15"/>
        <v>不正确</v>
      </c>
      <c r="P135" s="21">
        <v>0</v>
      </c>
      <c r="Q135" s="21">
        <v>0</v>
      </c>
      <c r="R135" s="21">
        <v>0</v>
      </c>
      <c r="S135" s="21">
        <f t="shared" si="16"/>
        <v>0</v>
      </c>
      <c r="T135" s="21">
        <f t="shared" si="17"/>
        <v>0</v>
      </c>
      <c r="U135" s="21" t="str">
        <f t="shared" si="18"/>
        <v>否</v>
      </c>
      <c r="V135" s="21">
        <f>VLOOKUP($C135,[4]Sheet1!$B:$AN,39,FALSE)</f>
        <v>0</v>
      </c>
      <c r="W135" s="21">
        <v>0</v>
      </c>
      <c r="X135" s="23">
        <v>0</v>
      </c>
      <c r="Y135" s="23">
        <v>0</v>
      </c>
      <c r="Z135" s="25">
        <f t="shared" si="19"/>
        <v>0</v>
      </c>
      <c r="AA135" s="25" t="str">
        <f t="shared" si="20"/>
        <v>是</v>
      </c>
      <c r="AB135" t="s">
        <v>599</v>
      </c>
      <c r="AC135" t="e">
        <f>VLOOKUP(C135,[1]Sheet1!$C:$O,13,FALSE)</f>
        <v>#N/A</v>
      </c>
      <c r="AD135" t="str">
        <f>VLOOKUP($H135,'[3]0509人员排班情况 副本'!$G:$U,12,FALSE)</f>
        <v>王安琪 (Anqi Wang),张朱同 Thomson（Zhutong Zhang）</v>
      </c>
      <c r="AE135" t="str">
        <f>VLOOKUP($H135,'[3]0509人员排班情况 副本'!$G:$U,13,FALSE)</f>
        <v>陈锦昭</v>
      </c>
      <c r="AF135" t="str">
        <f>VLOOKUP($H135,'[3]0509人员排班情况 副本'!$G:$U,14,FALSE)</f>
        <v>张弘毅 Hongyi （Hongyi Zhang）</v>
      </c>
      <c r="AG135">
        <f>VLOOKUP($H135,'[3]0509人员排班情况 副本'!$G:$U,15,FALSE)</f>
        <v>0</v>
      </c>
    </row>
    <row r="136" customHeight="1" spans="1:33">
      <c r="A136" t="s">
        <v>202</v>
      </c>
      <c r="B136" t="s">
        <v>600</v>
      </c>
      <c r="C136" t="s">
        <v>601</v>
      </c>
      <c r="D136" t="s">
        <v>92</v>
      </c>
      <c r="E136" t="s">
        <v>95</v>
      </c>
      <c r="F136" t="s">
        <v>602</v>
      </c>
      <c r="H136" t="str">
        <f t="shared" si="14"/>
        <v>TX 德州大区GC 墨湾片区BTR01</v>
      </c>
      <c r="I136" t="s">
        <v>177</v>
      </c>
      <c r="J136" t="s">
        <v>437</v>
      </c>
      <c r="K136" s="15">
        <v>0.229166666666667</v>
      </c>
      <c r="L136" s="15" t="s">
        <v>438</v>
      </c>
      <c r="M136" s="15"/>
      <c r="N136" t="s">
        <v>148</v>
      </c>
      <c r="O136" s="20" t="str">
        <f t="shared" si="15"/>
        <v>不正确</v>
      </c>
      <c r="P136" s="21">
        <v>0</v>
      </c>
      <c r="Q136" s="21">
        <v>0</v>
      </c>
      <c r="R136" s="21">
        <v>0</v>
      </c>
      <c r="S136" s="21">
        <f t="shared" si="16"/>
        <v>0</v>
      </c>
      <c r="T136" s="21">
        <f t="shared" si="17"/>
        <v>0</v>
      </c>
      <c r="U136" s="21" t="str">
        <f t="shared" si="18"/>
        <v>否</v>
      </c>
      <c r="V136" s="21">
        <f>VLOOKUP($C136,[4]Sheet1!$B:$AN,39,FALSE)</f>
        <v>0</v>
      </c>
      <c r="W136" s="21">
        <v>0</v>
      </c>
      <c r="X136" s="23">
        <v>0</v>
      </c>
      <c r="Y136" s="23">
        <v>4</v>
      </c>
      <c r="Z136" s="25">
        <f t="shared" si="19"/>
        <v>4</v>
      </c>
      <c r="AA136" s="25" t="str">
        <f t="shared" si="20"/>
        <v>是</v>
      </c>
      <c r="AB136" t="s">
        <v>148</v>
      </c>
      <c r="AC136" t="e">
        <f>VLOOKUP(C136,[1]Sheet1!$C:$O,13,FALSE)</f>
        <v>#N/A</v>
      </c>
      <c r="AD136" t="str">
        <f>VLOOKUP($H136,'[3]0509人员排班情况 副本'!$G:$U,12,FALSE)</f>
        <v>肖芦莉Lily (Luli Xiao)</v>
      </c>
      <c r="AE136" t="str">
        <f>VLOOKUP($H136,'[3]0509人员排班情况 副本'!$G:$U,13,FALSE)</f>
        <v>张骥Ji Zhang (Ji Zhang)</v>
      </c>
      <c r="AF136" t="str">
        <f>VLOOKUP($H136,'[3]0509人员排班情况 副本'!$G:$U,14,FALSE)</f>
        <v>金磊Brian（LEI JIN）</v>
      </c>
      <c r="AG136">
        <f>VLOOKUP($H136,'[3]0509人员排班情况 副本'!$G:$U,15,FALSE)</f>
        <v>0</v>
      </c>
    </row>
    <row r="137" customHeight="1" spans="1:33">
      <c r="A137" t="s">
        <v>202</v>
      </c>
      <c r="B137" t="s">
        <v>603</v>
      </c>
      <c r="C137" t="s">
        <v>604</v>
      </c>
      <c r="D137" t="s">
        <v>68</v>
      </c>
      <c r="E137" t="s">
        <v>29</v>
      </c>
      <c r="F137" t="s">
        <v>200</v>
      </c>
      <c r="H137" t="str">
        <f t="shared" si="14"/>
        <v>NE 东北大区运营支持部区域支持组</v>
      </c>
      <c r="I137" t="s">
        <v>201</v>
      </c>
      <c r="J137" t="s">
        <v>236</v>
      </c>
      <c r="K137" s="15">
        <v>0.395833333333333</v>
      </c>
      <c r="L137" s="15" t="s">
        <v>218</v>
      </c>
      <c r="M137" s="15">
        <v>0.3125</v>
      </c>
      <c r="N137" t="s">
        <v>605</v>
      </c>
      <c r="O137" s="20" t="str">
        <f t="shared" si="15"/>
        <v>不正确</v>
      </c>
      <c r="P137" s="21">
        <v>0</v>
      </c>
      <c r="Q137" s="21">
        <v>7.87</v>
      </c>
      <c r="R137" s="21">
        <v>0</v>
      </c>
      <c r="S137" s="21">
        <f t="shared" si="16"/>
        <v>7.87</v>
      </c>
      <c r="T137" s="21">
        <f t="shared" si="17"/>
        <v>0</v>
      </c>
      <c r="U137" s="21" t="str">
        <f t="shared" si="18"/>
        <v>否</v>
      </c>
      <c r="V137" s="21">
        <f>VLOOKUP($C137,[4]Sheet1!$B:$AN,39,FALSE)</f>
        <v>7.87</v>
      </c>
      <c r="W137" s="21">
        <v>0.94</v>
      </c>
      <c r="X137" s="23">
        <v>3</v>
      </c>
      <c r="Y137" s="23">
        <v>4</v>
      </c>
      <c r="Z137" s="25">
        <f t="shared" si="19"/>
        <v>1</v>
      </c>
      <c r="AA137" s="25" t="str">
        <f t="shared" si="20"/>
        <v>是</v>
      </c>
      <c r="AB137" t="s">
        <v>148</v>
      </c>
      <c r="AC137" t="e">
        <f>VLOOKUP(C137,[1]Sheet1!$C:$O,13,FALSE)</f>
        <v>#N/A</v>
      </c>
      <c r="AD137" t="str">
        <f>VLOOKUP($H137,'[3]0509人员排班情况 副本'!$G:$U,12,FALSE)</f>
        <v>孙可君Monica（Kejun Sun）</v>
      </c>
      <c r="AE137" t="str">
        <f>VLOOKUP($H137,'[3]0509人员排班情况 副本'!$G:$U,13,FALSE)</f>
        <v>马聪Cong (Cong Ma)</v>
      </c>
      <c r="AF137">
        <f>VLOOKUP($H137,'[3]0509人员排班情况 副本'!$G:$U,14,FALSE)</f>
        <v>0</v>
      </c>
      <c r="AG137">
        <f>VLOOKUP($H137,'[3]0509人员排班情况 副本'!$G:$U,15,FALSE)</f>
        <v>0</v>
      </c>
    </row>
    <row r="138" customHeight="1" spans="1:33">
      <c r="A138" t="s">
        <v>202</v>
      </c>
      <c r="B138" t="s">
        <v>606</v>
      </c>
      <c r="C138" t="s">
        <v>607</v>
      </c>
      <c r="D138" t="s">
        <v>92</v>
      </c>
      <c r="E138" t="s">
        <v>45</v>
      </c>
      <c r="F138" t="s">
        <v>148</v>
      </c>
      <c r="H138" t="str">
        <f t="shared" si="14"/>
        <v>TX 德州大区揽收部</v>
      </c>
      <c r="I138" t="s">
        <v>608</v>
      </c>
      <c r="J138" t="s">
        <v>236</v>
      </c>
      <c r="K138" s="15">
        <v>0.395833333333333</v>
      </c>
      <c r="L138" s="15" t="s">
        <v>218</v>
      </c>
      <c r="M138" s="15">
        <v>0.399305555555556</v>
      </c>
      <c r="N138" t="s">
        <v>609</v>
      </c>
      <c r="O138" s="20" t="str">
        <f t="shared" si="15"/>
        <v>正确</v>
      </c>
      <c r="P138" s="21">
        <v>0</v>
      </c>
      <c r="Q138" s="21">
        <v>7.03</v>
      </c>
      <c r="R138" s="21">
        <v>0</v>
      </c>
      <c r="S138" s="21">
        <f t="shared" si="16"/>
        <v>7.03</v>
      </c>
      <c r="T138" s="21">
        <f t="shared" si="17"/>
        <v>0</v>
      </c>
      <c r="U138" s="21" t="str">
        <f t="shared" si="18"/>
        <v>否</v>
      </c>
      <c r="V138" s="21">
        <f>VLOOKUP($C138,[4]Sheet1!$B:$AN,39,FALSE)</f>
        <v>7.03</v>
      </c>
      <c r="W138" s="21">
        <v>0</v>
      </c>
      <c r="X138" s="23">
        <v>4</v>
      </c>
      <c r="Y138" s="23">
        <v>4</v>
      </c>
      <c r="Z138" s="25">
        <f t="shared" si="19"/>
        <v>0</v>
      </c>
      <c r="AA138" s="25" t="str">
        <f t="shared" si="20"/>
        <v>是</v>
      </c>
      <c r="AB138" t="s">
        <v>148</v>
      </c>
      <c r="AC138" t="e">
        <f>VLOOKUP(C138,[1]Sheet1!$C:$O,13,FALSE)</f>
        <v>#N/A</v>
      </c>
      <c r="AD138" t="str">
        <f>VLOOKUP($H138,'[3]0509人员排班情况 副本'!$G:$U,12,FALSE)</f>
        <v>肖芦莉Lily (Luli Xiao)</v>
      </c>
      <c r="AE138" t="str">
        <f>VLOOKUP($H138,'[3]0509人员排班情况 副本'!$G:$U,13,FALSE)</f>
        <v>张骥Ji Zhang (Ji Zhang)</v>
      </c>
      <c r="AF138">
        <f>VLOOKUP($H138,'[3]0509人员排班情况 副本'!$G:$U,14,FALSE)</f>
        <v>0</v>
      </c>
      <c r="AG138">
        <f>VLOOKUP($H138,'[3]0509人员排班情况 副本'!$G:$U,15,FALSE)</f>
        <v>0</v>
      </c>
    </row>
    <row r="139" customHeight="1" spans="1:33">
      <c r="A139" t="s">
        <v>202</v>
      </c>
      <c r="B139" t="s">
        <v>610</v>
      </c>
      <c r="C139" t="s">
        <v>611</v>
      </c>
      <c r="D139" t="s">
        <v>100</v>
      </c>
      <c r="E139" t="s">
        <v>103</v>
      </c>
      <c r="F139" t="s">
        <v>210</v>
      </c>
      <c r="G139" t="s">
        <v>112</v>
      </c>
      <c r="H139" t="str">
        <f t="shared" si="14"/>
        <v>WE 美西大区LAV.H操作组</v>
      </c>
      <c r="I139" t="s">
        <v>156</v>
      </c>
      <c r="J139" t="s">
        <v>384</v>
      </c>
      <c r="K139" s="15">
        <v>0.6875</v>
      </c>
      <c r="L139" s="15" t="s">
        <v>385</v>
      </c>
      <c r="M139" s="15">
        <v>0.686111111111111</v>
      </c>
      <c r="N139" t="s">
        <v>148</v>
      </c>
      <c r="O139" s="20" t="str">
        <f t="shared" si="15"/>
        <v>正确</v>
      </c>
      <c r="P139" s="21">
        <v>0</v>
      </c>
      <c r="Q139" s="21">
        <v>0</v>
      </c>
      <c r="R139" s="21">
        <v>0</v>
      </c>
      <c r="S139" s="21">
        <f t="shared" si="16"/>
        <v>0</v>
      </c>
      <c r="T139" s="21">
        <f t="shared" si="17"/>
        <v>0</v>
      </c>
      <c r="U139" s="21" t="str">
        <f t="shared" si="18"/>
        <v>否</v>
      </c>
      <c r="V139" s="21">
        <f>VLOOKUP($C139,[4]Sheet1!$B:$AN,39,FALSE)</f>
        <v>11.62</v>
      </c>
      <c r="W139" s="21">
        <v>0</v>
      </c>
      <c r="X139" s="23">
        <v>3</v>
      </c>
      <c r="Y139" s="23">
        <v>4</v>
      </c>
      <c r="Z139" s="25">
        <f t="shared" si="19"/>
        <v>1</v>
      </c>
      <c r="AA139" s="25" t="str">
        <f t="shared" si="20"/>
        <v>是</v>
      </c>
      <c r="AB139" t="s">
        <v>148</v>
      </c>
      <c r="AC139" t="e">
        <f>VLOOKUP(C139,[1]Sheet1!$C:$O,13,FALSE)</f>
        <v>#N/A</v>
      </c>
      <c r="AD139" t="str">
        <f>VLOOKUP($H139,'[3]0509人员排班情况 副本'!$G:$U,12,FALSE)</f>
        <v>王骞Ariel（Qian Wang）,叶秀芳Freya (Xiufang Ye)</v>
      </c>
      <c r="AE139" t="str">
        <f>VLOOKUP($H139,'[3]0509人员排班情况 副本'!$G:$U,13,FALSE)</f>
        <v>常哲</v>
      </c>
      <c r="AF139" t="str">
        <f>VLOOKUP($H139,'[3]0509人员排班情况 副本'!$G:$U,14,FALSE)</f>
        <v>Minqing (Minqing Xu),罗煜雄 Mike (Yuxiong Luo)</v>
      </c>
      <c r="AG139">
        <f>VLOOKUP($H139,'[3]0509人员排班情况 副本'!$G:$U,15,FALSE)</f>
        <v>0</v>
      </c>
    </row>
    <row r="140" customHeight="1" spans="1:33">
      <c r="A140" t="s">
        <v>202</v>
      </c>
      <c r="B140" t="s">
        <v>612</v>
      </c>
      <c r="C140" t="s">
        <v>613</v>
      </c>
      <c r="D140" t="s">
        <v>13</v>
      </c>
      <c r="E140" t="s">
        <v>614</v>
      </c>
      <c r="F140" t="s">
        <v>615</v>
      </c>
      <c r="H140" t="str">
        <f t="shared" si="14"/>
        <v>CS 客户服务部消费者客服组海外客服组</v>
      </c>
      <c r="I140" t="s">
        <v>616</v>
      </c>
      <c r="J140" t="s">
        <v>343</v>
      </c>
      <c r="K140" s="15">
        <v>0.25</v>
      </c>
      <c r="L140" s="15" t="s">
        <v>344</v>
      </c>
      <c r="M140" s="15">
        <v>0.257638888888889</v>
      </c>
      <c r="N140" t="s">
        <v>617</v>
      </c>
      <c r="O140" s="20" t="str">
        <f t="shared" si="15"/>
        <v>正确</v>
      </c>
      <c r="P140" s="21">
        <v>0</v>
      </c>
      <c r="Q140" s="21">
        <v>8.72</v>
      </c>
      <c r="R140" s="21">
        <v>0</v>
      </c>
      <c r="S140" s="21">
        <f t="shared" si="16"/>
        <v>8.72</v>
      </c>
      <c r="T140" s="21">
        <f t="shared" si="17"/>
        <v>0.720000000000001</v>
      </c>
      <c r="U140" s="21" t="str">
        <f t="shared" si="18"/>
        <v>是</v>
      </c>
      <c r="V140" s="21">
        <f>VLOOKUP($C140,[4]Sheet1!$B:$AN,39,FALSE)</f>
        <v>17.34</v>
      </c>
      <c r="W140" s="21">
        <v>0</v>
      </c>
      <c r="X140" s="23">
        <v>4</v>
      </c>
      <c r="Y140" s="23">
        <v>4</v>
      </c>
      <c r="Z140" s="25">
        <f t="shared" si="19"/>
        <v>0</v>
      </c>
      <c r="AA140" s="25" t="str">
        <f t="shared" si="20"/>
        <v>是</v>
      </c>
      <c r="AB140" t="s">
        <v>148</v>
      </c>
      <c r="AC140" t="e">
        <f>VLOOKUP(C140,[1]Sheet1!$C:$O,13,FALSE)</f>
        <v>#N/A</v>
      </c>
      <c r="AD140" t="str">
        <f>VLOOKUP($H140,'[3]0509人员排班情况 副本'!$G:$U,12,FALSE)</f>
        <v>袁博闻(Bowen Yuan)</v>
      </c>
      <c r="AE140">
        <f>VLOOKUP($H140,'[3]0509人员排班情况 副本'!$G:$U,13,FALSE)</f>
        <v>0</v>
      </c>
      <c r="AF140">
        <f>VLOOKUP($H140,'[3]0509人员排班情况 副本'!$G:$U,14,FALSE)</f>
        <v>0</v>
      </c>
      <c r="AG140">
        <f>VLOOKUP($H140,'[3]0509人员排班情况 副本'!$G:$U,15,FALSE)</f>
        <v>0</v>
      </c>
    </row>
    <row r="141" customHeight="1" spans="1:33">
      <c r="A141" t="s">
        <v>202</v>
      </c>
      <c r="B141" t="s">
        <v>618</v>
      </c>
      <c r="C141" t="s">
        <v>619</v>
      </c>
      <c r="D141" t="s">
        <v>15</v>
      </c>
      <c r="E141" t="s">
        <v>17</v>
      </c>
      <c r="F141" t="s">
        <v>275</v>
      </c>
      <c r="G141" t="s">
        <v>112</v>
      </c>
      <c r="H141" t="str">
        <f t="shared" si="14"/>
        <v>FL 佛州大区MCO.H分拣组</v>
      </c>
      <c r="I141" t="s">
        <v>303</v>
      </c>
      <c r="J141" t="s">
        <v>217</v>
      </c>
      <c r="K141" s="15">
        <v>0.395833333333333</v>
      </c>
      <c r="L141" s="15" t="s">
        <v>218</v>
      </c>
      <c r="M141" s="15"/>
      <c r="N141" t="s">
        <v>148</v>
      </c>
      <c r="O141" s="20" t="s">
        <v>116</v>
      </c>
      <c r="P141" s="21">
        <v>0</v>
      </c>
      <c r="Q141" s="21">
        <v>0</v>
      </c>
      <c r="R141" s="21">
        <v>0</v>
      </c>
      <c r="S141" s="21">
        <f t="shared" si="16"/>
        <v>0</v>
      </c>
      <c r="T141" s="21">
        <f t="shared" si="17"/>
        <v>0</v>
      </c>
      <c r="U141" s="21" t="str">
        <f t="shared" si="18"/>
        <v>否</v>
      </c>
      <c r="V141" s="21">
        <f>VLOOKUP($C141,[4]Sheet1!$B:$AN,39,FALSE)</f>
        <v>8.7</v>
      </c>
      <c r="W141" s="21">
        <v>0</v>
      </c>
      <c r="X141" s="23">
        <v>0</v>
      </c>
      <c r="Y141" s="23">
        <v>0</v>
      </c>
      <c r="Z141" s="25">
        <f t="shared" si="19"/>
        <v>0</v>
      </c>
      <c r="AA141" s="25" t="str">
        <f t="shared" si="20"/>
        <v>是</v>
      </c>
      <c r="AB141" t="s">
        <v>148</v>
      </c>
      <c r="AC141" t="e">
        <f>VLOOKUP(C141,[1]Sheet1!$C:$O,13,FALSE)</f>
        <v>#N/A</v>
      </c>
      <c r="AD141" t="str">
        <f>VLOOKUP($H141,'[3]0509人员排班情况 副本'!$G:$U,12,FALSE)</f>
        <v>Natalia (Natalia Padilla),孙婕 Jasmine（Sunjie）</v>
      </c>
      <c r="AE141" t="str">
        <f>VLOOKUP($H141,'[3]0509人员排班情况 副本'!$G:$U,13,FALSE)</f>
        <v>贺子强Jeff (Ziqiang He)</v>
      </c>
      <c r="AF141" t="str">
        <f>VLOOKUP($H141,'[3]0509人员排班情况 副本'!$G:$U,14,FALSE)</f>
        <v>张双甫(Shuangfu Zhang)</v>
      </c>
      <c r="AG141">
        <f>VLOOKUP($H141,'[3]0509人员排班情况 副本'!$G:$U,15,FALSE)</f>
        <v>0</v>
      </c>
    </row>
    <row r="142" customHeight="1" spans="1:33">
      <c r="A142" t="s">
        <v>202</v>
      </c>
      <c r="B142" t="s">
        <v>620</v>
      </c>
      <c r="C142" t="s">
        <v>621</v>
      </c>
      <c r="D142" t="s">
        <v>10</v>
      </c>
      <c r="E142" t="s">
        <v>271</v>
      </c>
      <c r="F142" t="s">
        <v>148</v>
      </c>
      <c r="H142" t="str">
        <f t="shared" si="14"/>
        <v>BD 本地客户部加拿大运营组</v>
      </c>
      <c r="I142" t="s">
        <v>272</v>
      </c>
      <c r="J142" t="s">
        <v>236</v>
      </c>
      <c r="K142" s="15">
        <v>0.395833333333333</v>
      </c>
      <c r="L142" s="15" t="s">
        <v>218</v>
      </c>
      <c r="M142" s="15"/>
      <c r="N142" t="s">
        <v>148</v>
      </c>
      <c r="O142" s="20" t="str">
        <f t="shared" si="15"/>
        <v>不正确</v>
      </c>
      <c r="P142" s="21">
        <v>0</v>
      </c>
      <c r="Q142" s="21">
        <v>0</v>
      </c>
      <c r="R142" s="21">
        <v>0</v>
      </c>
      <c r="S142" s="21">
        <f t="shared" si="16"/>
        <v>0</v>
      </c>
      <c r="T142" s="21">
        <f t="shared" si="17"/>
        <v>0</v>
      </c>
      <c r="U142" s="21" t="str">
        <f t="shared" si="18"/>
        <v>否</v>
      </c>
      <c r="V142" s="21">
        <f>VLOOKUP($C142,[4]Sheet1!$B:$AN,39,FALSE)</f>
        <v>0</v>
      </c>
      <c r="W142" s="21">
        <v>0</v>
      </c>
      <c r="X142" s="23">
        <v>0</v>
      </c>
      <c r="Y142" s="23">
        <v>4</v>
      </c>
      <c r="Z142" s="25">
        <f t="shared" si="19"/>
        <v>4</v>
      </c>
      <c r="AA142" s="25" t="str">
        <f t="shared" si="20"/>
        <v>是</v>
      </c>
      <c r="AB142" t="s">
        <v>148</v>
      </c>
      <c r="AC142" t="e">
        <f>VLOOKUP(C142,[1]Sheet1!$C:$O,13,FALSE)</f>
        <v>#N/A</v>
      </c>
      <c r="AD142" t="str">
        <f>VLOOKUP($H142,'[3]0509人员排班情况 副本'!$G:$U,12,FALSE)</f>
        <v>袁博闻(Bowen Yuan)</v>
      </c>
      <c r="AE142">
        <f>VLOOKUP($H142,'[3]0509人员排班情况 副本'!$G:$U,13,FALSE)</f>
        <v>0</v>
      </c>
      <c r="AF142">
        <f>VLOOKUP($H142,'[3]0509人员排班情况 副本'!$G:$U,14,FALSE)</f>
        <v>0</v>
      </c>
      <c r="AG142">
        <f>VLOOKUP($H142,'[3]0509人员排班情况 副本'!$G:$U,15,FALSE)</f>
        <v>0</v>
      </c>
    </row>
    <row r="143" customHeight="1" spans="1:33">
      <c r="A143" t="s">
        <v>202</v>
      </c>
      <c r="B143" t="s">
        <v>622</v>
      </c>
      <c r="C143" t="s">
        <v>623</v>
      </c>
      <c r="D143" t="s">
        <v>48</v>
      </c>
      <c r="E143" t="s">
        <v>51</v>
      </c>
      <c r="F143" t="s">
        <v>563</v>
      </c>
      <c r="G143" t="s">
        <v>112</v>
      </c>
      <c r="H143" t="str">
        <f t="shared" si="14"/>
        <v>Ground项目部OG 美西区CNO.G</v>
      </c>
      <c r="I143" t="s">
        <v>281</v>
      </c>
      <c r="J143" t="s">
        <v>330</v>
      </c>
      <c r="K143" s="15">
        <v>0.625</v>
      </c>
      <c r="L143" s="15" t="s">
        <v>331</v>
      </c>
      <c r="M143" s="15">
        <v>0.610416666666667</v>
      </c>
      <c r="N143" t="s">
        <v>148</v>
      </c>
      <c r="O143" s="20" t="str">
        <f t="shared" si="15"/>
        <v>正确</v>
      </c>
      <c r="P143" s="21">
        <v>0</v>
      </c>
      <c r="Q143" s="21">
        <v>0</v>
      </c>
      <c r="R143" s="21">
        <v>0</v>
      </c>
      <c r="S143" s="21">
        <f t="shared" si="16"/>
        <v>0</v>
      </c>
      <c r="T143" s="21">
        <f t="shared" si="17"/>
        <v>0</v>
      </c>
      <c r="U143" s="21" t="str">
        <f t="shared" si="18"/>
        <v>否</v>
      </c>
      <c r="V143" s="21">
        <f>VLOOKUP($C143,[4]Sheet1!$B:$AN,39,FALSE)</f>
        <v>8.48</v>
      </c>
      <c r="W143" s="21">
        <v>0</v>
      </c>
      <c r="X143" s="23">
        <v>3</v>
      </c>
      <c r="Y143" s="23">
        <v>4</v>
      </c>
      <c r="Z143" s="25">
        <f t="shared" si="19"/>
        <v>1</v>
      </c>
      <c r="AA143" s="25" t="str">
        <f t="shared" si="20"/>
        <v>是</v>
      </c>
      <c r="AB143" t="s">
        <v>148</v>
      </c>
      <c r="AC143" t="e">
        <f>VLOOKUP(C143,[1]Sheet1!$C:$O,13,FALSE)</f>
        <v>#N/A</v>
      </c>
      <c r="AD143" t="str">
        <f>VLOOKUP($H143,'[3]0509人员排班情况 副本'!$G:$U,12,FALSE)</f>
        <v>王安琪 (Anqi Wang),张朱同 Thomson（Zhutong Zhang）</v>
      </c>
      <c r="AE143" t="str">
        <f>VLOOKUP($H143,'[3]0509人员排班情况 副本'!$G:$U,13,FALSE)</f>
        <v>陈锦昭</v>
      </c>
      <c r="AF143" t="str">
        <f>VLOOKUP($H143,'[3]0509人员排班情况 副本'!$G:$U,14,FALSE)</f>
        <v>张弘毅 Hongyi （Hongyi Zhang）</v>
      </c>
      <c r="AG143">
        <f>VLOOKUP($H143,'[3]0509人员排班情况 副本'!$G:$U,15,FALSE)</f>
        <v>0</v>
      </c>
    </row>
    <row r="144" customHeight="1" spans="1:33">
      <c r="A144" t="s">
        <v>202</v>
      </c>
      <c r="B144" t="s">
        <v>624</v>
      </c>
      <c r="C144" t="s">
        <v>625</v>
      </c>
      <c r="D144" t="s">
        <v>10</v>
      </c>
      <c r="E144" t="s">
        <v>334</v>
      </c>
      <c r="F144" t="s">
        <v>148</v>
      </c>
      <c r="H144" t="str">
        <f t="shared" si="14"/>
        <v>BD 本地客户部定价分析组</v>
      </c>
      <c r="I144" t="s">
        <v>335</v>
      </c>
      <c r="J144" t="s">
        <v>236</v>
      </c>
      <c r="K144" s="15">
        <v>0.395833333333333</v>
      </c>
      <c r="L144" s="15" t="s">
        <v>218</v>
      </c>
      <c r="M144" s="15"/>
      <c r="N144" t="s">
        <v>148</v>
      </c>
      <c r="O144" s="20" t="str">
        <f t="shared" si="15"/>
        <v>不正确</v>
      </c>
      <c r="P144" s="21">
        <v>0</v>
      </c>
      <c r="Q144" s="21">
        <v>0</v>
      </c>
      <c r="R144" s="21">
        <v>0</v>
      </c>
      <c r="S144" s="21">
        <f t="shared" si="16"/>
        <v>0</v>
      </c>
      <c r="T144" s="21">
        <f t="shared" si="17"/>
        <v>0</v>
      </c>
      <c r="U144" s="21" t="str">
        <f t="shared" si="18"/>
        <v>否</v>
      </c>
      <c r="V144" s="21">
        <f>VLOOKUP($C144,[4]Sheet1!$B:$AN,39,FALSE)</f>
        <v>0</v>
      </c>
      <c r="W144" s="21">
        <v>0</v>
      </c>
      <c r="X144" s="23">
        <v>0</v>
      </c>
      <c r="Y144" s="23">
        <v>4</v>
      </c>
      <c r="Z144" s="25">
        <f t="shared" si="19"/>
        <v>4</v>
      </c>
      <c r="AA144" s="25" t="str">
        <f t="shared" si="20"/>
        <v>是</v>
      </c>
      <c r="AB144" t="s">
        <v>148</v>
      </c>
      <c r="AC144" t="e">
        <f>VLOOKUP(C144,[1]Sheet1!$C:$O,13,FALSE)</f>
        <v>#N/A</v>
      </c>
      <c r="AD144" t="str">
        <f>VLOOKUP($H144,'[3]0509人员排班情况 副本'!$G:$U,12,FALSE)</f>
        <v>袁博闻(Bowen Yuan)</v>
      </c>
      <c r="AE144">
        <f>VLOOKUP($H144,'[3]0509人员排班情况 副本'!$G:$U,13,FALSE)</f>
        <v>0</v>
      </c>
      <c r="AF144">
        <f>VLOOKUP($H144,'[3]0509人员排班情况 副本'!$G:$U,14,FALSE)</f>
        <v>0</v>
      </c>
      <c r="AG144">
        <f>VLOOKUP($H144,'[3]0509人员排班情况 副本'!$G:$U,15,FALSE)</f>
        <v>0</v>
      </c>
    </row>
    <row r="145" customHeight="1" spans="1:33">
      <c r="A145" t="s">
        <v>202</v>
      </c>
      <c r="B145" t="s">
        <v>626</v>
      </c>
      <c r="C145" t="s">
        <v>627</v>
      </c>
      <c r="D145" t="s">
        <v>48</v>
      </c>
      <c r="E145" t="s">
        <v>50</v>
      </c>
      <c r="F145" t="s">
        <v>194</v>
      </c>
      <c r="H145" t="str">
        <f t="shared" si="14"/>
        <v>Ground项目部OG 美南区AT303</v>
      </c>
      <c r="I145" t="s">
        <v>177</v>
      </c>
      <c r="J145" t="s">
        <v>211</v>
      </c>
      <c r="K145" s="15">
        <v>0.333333333333333</v>
      </c>
      <c r="L145" s="15" t="s">
        <v>212</v>
      </c>
      <c r="M145" s="15">
        <v>0.328472222222222</v>
      </c>
      <c r="N145" t="s">
        <v>628</v>
      </c>
      <c r="O145" s="20" t="str">
        <f t="shared" si="15"/>
        <v>正确</v>
      </c>
      <c r="P145" s="21">
        <v>0</v>
      </c>
      <c r="Q145" s="21">
        <v>8.13</v>
      </c>
      <c r="R145" s="21">
        <v>0</v>
      </c>
      <c r="S145" s="21">
        <f t="shared" si="16"/>
        <v>8.13</v>
      </c>
      <c r="T145" s="21">
        <f t="shared" si="17"/>
        <v>0.130000000000001</v>
      </c>
      <c r="U145" s="21" t="str">
        <f t="shared" si="18"/>
        <v>是</v>
      </c>
      <c r="V145" s="21">
        <f>VLOOKUP($C145,[4]Sheet1!$B:$AN,39,FALSE)</f>
        <v>8.13</v>
      </c>
      <c r="W145" s="21">
        <v>0</v>
      </c>
      <c r="X145" s="23">
        <v>3</v>
      </c>
      <c r="Y145" s="23">
        <v>4</v>
      </c>
      <c r="Z145" s="25">
        <f t="shared" si="19"/>
        <v>1</v>
      </c>
      <c r="AA145" s="25" t="str">
        <f t="shared" si="20"/>
        <v>是</v>
      </c>
      <c r="AB145" t="s">
        <v>148</v>
      </c>
      <c r="AC145" t="e">
        <f>VLOOKUP(C145,[1]Sheet1!$C:$O,13,FALSE)</f>
        <v>#N/A</v>
      </c>
      <c r="AD145" t="str">
        <f>VLOOKUP($H145,'[3]0509人员排班情况 副本'!$G:$U,12,FALSE)</f>
        <v>王安琪 (Anqi Wang),张朱同 Thomson（Zhutong Zhang）</v>
      </c>
      <c r="AE145" t="str">
        <f>VLOOKUP($H145,'[3]0509人员排班情况 副本'!$G:$U,13,FALSE)</f>
        <v>陈锦昭</v>
      </c>
      <c r="AF145" t="str">
        <f>VLOOKUP($H145,'[3]0509人员排班情况 副本'!$G:$U,14,FALSE)</f>
        <v>金筱燕Sharon（Xiaoyan Jin）</v>
      </c>
      <c r="AG145">
        <f>VLOOKUP($H145,'[3]0509人员排班情况 副本'!$G:$U,15,FALSE)</f>
        <v>0</v>
      </c>
    </row>
    <row r="146" customHeight="1" spans="1:33">
      <c r="A146" t="s">
        <v>202</v>
      </c>
      <c r="B146" t="s">
        <v>629</v>
      </c>
      <c r="C146" t="s">
        <v>630</v>
      </c>
      <c r="D146" t="s">
        <v>88</v>
      </c>
      <c r="E146" t="s">
        <v>631</v>
      </c>
      <c r="F146" t="s">
        <v>148</v>
      </c>
      <c r="H146" t="str">
        <f t="shared" si="14"/>
        <v>OM 操作管理部实施运营组</v>
      </c>
      <c r="I146" t="s">
        <v>632</v>
      </c>
      <c r="J146" t="s">
        <v>236</v>
      </c>
      <c r="K146" s="15">
        <v>0.395833333333333</v>
      </c>
      <c r="L146" s="15" t="s">
        <v>218</v>
      </c>
      <c r="M146" s="15">
        <v>0.377083333333333</v>
      </c>
      <c r="N146" t="s">
        <v>359</v>
      </c>
      <c r="O146" s="20" t="str">
        <f t="shared" si="15"/>
        <v>正确</v>
      </c>
      <c r="P146" s="21">
        <v>0</v>
      </c>
      <c r="Q146" s="21">
        <v>7.33</v>
      </c>
      <c r="R146" s="21">
        <v>0</v>
      </c>
      <c r="S146" s="21">
        <f t="shared" si="16"/>
        <v>7.33</v>
      </c>
      <c r="T146" s="21">
        <f t="shared" si="17"/>
        <v>0</v>
      </c>
      <c r="U146" s="21" t="str">
        <f t="shared" si="18"/>
        <v>否</v>
      </c>
      <c r="V146" s="21">
        <f>VLOOKUP($C146,[4]Sheet1!$B:$AN,39,FALSE)</f>
        <v>14.76</v>
      </c>
      <c r="W146" s="21">
        <v>0</v>
      </c>
      <c r="X146" s="23">
        <v>4</v>
      </c>
      <c r="Y146" s="23">
        <v>4</v>
      </c>
      <c r="Z146" s="25">
        <f t="shared" si="19"/>
        <v>0</v>
      </c>
      <c r="AA146" s="25" t="str">
        <f t="shared" si="20"/>
        <v>是</v>
      </c>
      <c r="AB146" t="s">
        <v>148</v>
      </c>
      <c r="AC146" t="e">
        <f>VLOOKUP(C146,[1]Sheet1!$C:$O,13,FALSE)</f>
        <v>#N/A</v>
      </c>
      <c r="AD146" t="str">
        <f>VLOOKUP($H146,'[3]0509人员排班情况 副本'!$G:$U,12,FALSE)</f>
        <v>袁博闻(Bowen Yuan)</v>
      </c>
      <c r="AE146">
        <f>VLOOKUP($H146,'[3]0509人员排班情况 副本'!$G:$U,13,FALSE)</f>
        <v>0</v>
      </c>
      <c r="AF146">
        <f>VLOOKUP($H146,'[3]0509人员排班情况 副本'!$G:$U,14,FALSE)</f>
        <v>0</v>
      </c>
      <c r="AG146">
        <f>VLOOKUP($H146,'[3]0509人员排班情况 副本'!$G:$U,15,FALSE)</f>
        <v>0</v>
      </c>
    </row>
    <row r="147" customHeight="1" spans="1:33">
      <c r="A147" t="s">
        <v>202</v>
      </c>
      <c r="B147" t="s">
        <v>633</v>
      </c>
      <c r="C147" t="s">
        <v>634</v>
      </c>
      <c r="D147" t="s">
        <v>58</v>
      </c>
      <c r="E147" t="s">
        <v>64</v>
      </c>
      <c r="F147" t="s">
        <v>635</v>
      </c>
      <c r="H147" t="str">
        <f t="shared" si="14"/>
        <v>MS 中南大区CS 夏洛特及周边片区CAE01</v>
      </c>
      <c r="I147" t="s">
        <v>177</v>
      </c>
      <c r="J147" t="s">
        <v>343</v>
      </c>
      <c r="K147" s="15">
        <v>0.25</v>
      </c>
      <c r="L147" s="15" t="s">
        <v>344</v>
      </c>
      <c r="M147" s="15">
        <v>0.255555555555556</v>
      </c>
      <c r="N147" t="s">
        <v>636</v>
      </c>
      <c r="O147" s="20" t="str">
        <f t="shared" si="15"/>
        <v>正确</v>
      </c>
      <c r="P147" s="21">
        <v>0</v>
      </c>
      <c r="Q147" s="21">
        <v>9.1</v>
      </c>
      <c r="R147" s="21">
        <v>0</v>
      </c>
      <c r="S147" s="21">
        <f t="shared" si="16"/>
        <v>9.1</v>
      </c>
      <c r="T147" s="21">
        <f t="shared" si="17"/>
        <v>1.1</v>
      </c>
      <c r="U147" s="21" t="str">
        <f t="shared" si="18"/>
        <v>是</v>
      </c>
      <c r="V147" s="21">
        <f>VLOOKUP($C147,[4]Sheet1!$B:$AN,39,FALSE)</f>
        <v>19.7</v>
      </c>
      <c r="W147" s="21">
        <v>0</v>
      </c>
      <c r="X147" s="23">
        <v>4</v>
      </c>
      <c r="Y147" s="23">
        <v>4</v>
      </c>
      <c r="Z147" s="25">
        <f t="shared" si="19"/>
        <v>0</v>
      </c>
      <c r="AA147" s="25" t="str">
        <f t="shared" si="20"/>
        <v>是</v>
      </c>
      <c r="AB147" t="s">
        <v>148</v>
      </c>
      <c r="AC147" t="e">
        <f>VLOOKUP(C147,[1]Sheet1!$C:$O,13,FALSE)</f>
        <v>#N/A</v>
      </c>
      <c r="AD147" t="str">
        <f>VLOOKUP($H147,'[3]0509人员排班情况 副本'!$G:$U,12,FALSE)</f>
        <v>欧阳迎春Flower（Yingchun Ouyang）</v>
      </c>
      <c r="AE147" t="str">
        <f>VLOOKUP($H147,'[3]0509人员排班情况 副本'!$G:$U,13,FALSE)</f>
        <v>杨云飞</v>
      </c>
      <c r="AF147" t="str">
        <f>VLOOKUP($H147,'[3]0509人员排班情况 副本'!$G:$U,14,FALSE)</f>
        <v>叶小菁Summer(Xiaojing Ye)</v>
      </c>
      <c r="AG147">
        <f>VLOOKUP($H147,'[3]0509人员排班情况 副本'!$G:$U,15,FALSE)</f>
        <v>0</v>
      </c>
    </row>
    <row r="148" customHeight="1" spans="1:33">
      <c r="A148" t="s">
        <v>202</v>
      </c>
      <c r="B148" t="s">
        <v>637</v>
      </c>
      <c r="C148" t="s">
        <v>638</v>
      </c>
      <c r="D148" t="s">
        <v>15</v>
      </c>
      <c r="E148" t="s">
        <v>16</v>
      </c>
      <c r="F148" t="s">
        <v>148</v>
      </c>
      <c r="H148" t="str">
        <f t="shared" si="14"/>
        <v>FL 佛州大区FTM01</v>
      </c>
      <c r="I148" t="s">
        <v>177</v>
      </c>
      <c r="J148" t="s">
        <v>205</v>
      </c>
      <c r="K148" s="15">
        <v>0.166666666666667</v>
      </c>
      <c r="L148" s="15" t="s">
        <v>206</v>
      </c>
      <c r="M148" s="15">
        <v>0.197222222222222</v>
      </c>
      <c r="N148" t="s">
        <v>639</v>
      </c>
      <c r="O148" s="20" t="str">
        <f t="shared" si="15"/>
        <v>正确</v>
      </c>
      <c r="P148" s="21">
        <v>0</v>
      </c>
      <c r="Q148" s="21">
        <v>6.28</v>
      </c>
      <c r="R148" s="21">
        <v>0</v>
      </c>
      <c r="S148" s="21">
        <f t="shared" si="16"/>
        <v>6.28</v>
      </c>
      <c r="T148" s="21">
        <f t="shared" si="17"/>
        <v>0</v>
      </c>
      <c r="U148" s="21" t="str">
        <f t="shared" si="18"/>
        <v>否</v>
      </c>
      <c r="V148" s="21">
        <f>VLOOKUP($C148,[4]Sheet1!$B:$AN,39,FALSE)</f>
        <v>12.65</v>
      </c>
      <c r="W148" s="21">
        <v>0</v>
      </c>
      <c r="X148" s="23">
        <v>2</v>
      </c>
      <c r="Y148" s="23">
        <v>4</v>
      </c>
      <c r="Z148" s="25">
        <f t="shared" si="19"/>
        <v>2</v>
      </c>
      <c r="AA148" s="25" t="str">
        <f t="shared" si="20"/>
        <v>是</v>
      </c>
      <c r="AB148" t="s">
        <v>148</v>
      </c>
      <c r="AC148" t="e">
        <f>VLOOKUP(C148,[1]Sheet1!$C:$O,13,FALSE)</f>
        <v>#N/A</v>
      </c>
      <c r="AD148" t="str">
        <f>VLOOKUP($H148,'[3]0509人员排班情况 副本'!$G:$U,12,FALSE)</f>
        <v>Natalia (Natalia Padilla),孙婕 Jasmine（Sunjie）</v>
      </c>
      <c r="AE148" t="str">
        <f>VLOOKUP($H148,'[3]0509人员排班情况 副本'!$G:$U,13,FALSE)</f>
        <v>贺子强Jeff (Ziqiang He)</v>
      </c>
      <c r="AF148">
        <f>VLOOKUP($H148,'[3]0509人员排班情况 副本'!$G:$U,14,FALSE)</f>
        <v>0</v>
      </c>
      <c r="AG148">
        <f>VLOOKUP($H148,'[3]0509人员排班情况 副本'!$G:$U,15,FALSE)</f>
        <v>0</v>
      </c>
    </row>
    <row r="149" customHeight="1" spans="1:33">
      <c r="A149" t="s">
        <v>202</v>
      </c>
      <c r="B149" t="s">
        <v>640</v>
      </c>
      <c r="C149" t="s">
        <v>641</v>
      </c>
      <c r="D149" t="s">
        <v>15</v>
      </c>
      <c r="E149" t="s">
        <v>27</v>
      </c>
      <c r="F149" t="s">
        <v>16</v>
      </c>
      <c r="H149" t="str">
        <f t="shared" si="14"/>
        <v>FL 佛州大区WF 西佛片区FTM01</v>
      </c>
      <c r="I149" t="s">
        <v>177</v>
      </c>
      <c r="J149" t="s">
        <v>205</v>
      </c>
      <c r="K149" s="15">
        <v>0.166666666666667</v>
      </c>
      <c r="L149" s="15" t="s">
        <v>206</v>
      </c>
      <c r="M149" s="15">
        <v>0.197222222222222</v>
      </c>
      <c r="N149" t="s">
        <v>642</v>
      </c>
      <c r="O149" s="20" t="str">
        <f t="shared" si="15"/>
        <v>正确</v>
      </c>
      <c r="P149" s="21">
        <v>0</v>
      </c>
      <c r="Q149" s="21">
        <v>6.27</v>
      </c>
      <c r="R149" s="21">
        <v>0</v>
      </c>
      <c r="S149" s="21">
        <f t="shared" si="16"/>
        <v>6.27</v>
      </c>
      <c r="T149" s="21">
        <f t="shared" si="17"/>
        <v>0</v>
      </c>
      <c r="U149" s="21" t="str">
        <f t="shared" si="18"/>
        <v>否</v>
      </c>
      <c r="V149" s="21">
        <f>VLOOKUP($C149,[4]Sheet1!$B:$AN,39,FALSE)</f>
        <v>12.75</v>
      </c>
      <c r="W149" s="21">
        <v>0</v>
      </c>
      <c r="X149" s="23">
        <v>2</v>
      </c>
      <c r="Y149" s="23">
        <v>4</v>
      </c>
      <c r="Z149" s="25">
        <f t="shared" si="19"/>
        <v>2</v>
      </c>
      <c r="AA149" s="25" t="str">
        <f t="shared" si="20"/>
        <v>是</v>
      </c>
      <c r="AB149" t="s">
        <v>148</v>
      </c>
      <c r="AC149" t="e">
        <f>VLOOKUP(C149,[1]Sheet1!$C:$O,13,FALSE)</f>
        <v>#N/A</v>
      </c>
      <c r="AD149" t="str">
        <f>VLOOKUP($H149,'[3]0509人员排班情况 副本'!$G:$U,12,FALSE)</f>
        <v>Natalia (Natalia Padilla),孙婕 Jasmine（Sunjie）</v>
      </c>
      <c r="AE149" t="str">
        <f>VLOOKUP($H149,'[3]0509人员排班情况 副本'!$G:$U,13,FALSE)</f>
        <v>贺子强Jeff (Ziqiang He)</v>
      </c>
      <c r="AF149" t="str">
        <f>VLOOKUP($H149,'[3]0509人员排班情况 副本'!$G:$U,14,FALSE)</f>
        <v>吴欣玥 Destinee (Xinyue Wu)</v>
      </c>
      <c r="AG149">
        <f>VLOOKUP($H149,'[3]0509人员排班情况 副本'!$G:$U,15,FALSE)</f>
        <v>0</v>
      </c>
    </row>
    <row r="150" customHeight="1" spans="1:33">
      <c r="A150" t="s">
        <v>202</v>
      </c>
      <c r="B150" t="s">
        <v>643</v>
      </c>
      <c r="C150" t="s">
        <v>644</v>
      </c>
      <c r="D150" t="s">
        <v>14</v>
      </c>
      <c r="E150" t="s">
        <v>645</v>
      </c>
      <c r="F150" t="s">
        <v>148</v>
      </c>
      <c r="H150" t="str">
        <f t="shared" si="14"/>
        <v>DO 数字运营部美国技术支持组</v>
      </c>
      <c r="I150" t="s">
        <v>646</v>
      </c>
      <c r="J150" t="s">
        <v>343</v>
      </c>
      <c r="K150" s="15">
        <v>0.25</v>
      </c>
      <c r="L150" s="15" t="s">
        <v>344</v>
      </c>
      <c r="M150" s="15">
        <v>0.25</v>
      </c>
      <c r="N150" t="s">
        <v>647</v>
      </c>
      <c r="O150" s="20" t="str">
        <f t="shared" si="15"/>
        <v>正确</v>
      </c>
      <c r="P150" s="21">
        <v>0</v>
      </c>
      <c r="Q150" s="21">
        <v>11.32</v>
      </c>
      <c r="R150" s="21">
        <v>0</v>
      </c>
      <c r="S150" s="21">
        <f t="shared" si="16"/>
        <v>11.32</v>
      </c>
      <c r="T150" s="21">
        <f t="shared" si="17"/>
        <v>3.32</v>
      </c>
      <c r="U150" s="21" t="str">
        <f t="shared" si="18"/>
        <v>是</v>
      </c>
      <c r="V150" s="21">
        <f>VLOOKUP($C150,[4]Sheet1!$B:$AN,39,FALSE)</f>
        <v>22.82</v>
      </c>
      <c r="W150" s="21">
        <v>0</v>
      </c>
      <c r="X150" s="23">
        <v>2</v>
      </c>
      <c r="Y150" s="23">
        <v>4</v>
      </c>
      <c r="Z150" s="25">
        <f t="shared" si="19"/>
        <v>2</v>
      </c>
      <c r="AA150" s="25" t="str">
        <f t="shared" si="20"/>
        <v>是</v>
      </c>
      <c r="AB150" t="s">
        <v>148</v>
      </c>
      <c r="AC150" t="e">
        <f>VLOOKUP(C150,[1]Sheet1!$C:$O,13,FALSE)</f>
        <v>#N/A</v>
      </c>
      <c r="AD150" t="str">
        <f>VLOOKUP($H150,'[3]0509人员排班情况 副本'!$G:$U,12,FALSE)</f>
        <v>袁博闻(Bowen Yuan)</v>
      </c>
      <c r="AE150">
        <f>VLOOKUP($H150,'[3]0509人员排班情况 副本'!$G:$U,13,FALSE)</f>
        <v>0</v>
      </c>
      <c r="AF150">
        <f>VLOOKUP($H150,'[3]0509人员排班情况 副本'!$G:$U,14,FALSE)</f>
        <v>0</v>
      </c>
      <c r="AG150">
        <f>VLOOKUP($H150,'[3]0509人员排班情况 副本'!$G:$U,15,FALSE)</f>
        <v>0</v>
      </c>
    </row>
    <row r="151" customHeight="1" spans="1:33">
      <c r="A151" t="s">
        <v>202</v>
      </c>
      <c r="B151" t="s">
        <v>648</v>
      </c>
      <c r="C151" t="s">
        <v>649</v>
      </c>
      <c r="D151" t="s">
        <v>100</v>
      </c>
      <c r="E151" t="s">
        <v>101</v>
      </c>
      <c r="F151" t="s">
        <v>210</v>
      </c>
      <c r="G151" t="s">
        <v>112</v>
      </c>
      <c r="H151" t="str">
        <f t="shared" si="14"/>
        <v>WE 美西大区CNO.H操作组</v>
      </c>
      <c r="I151" t="s">
        <v>156</v>
      </c>
      <c r="J151" t="s">
        <v>421</v>
      </c>
      <c r="K151" s="15">
        <v>0.708333333333333</v>
      </c>
      <c r="L151" s="15" t="s">
        <v>422</v>
      </c>
      <c r="M151" s="15">
        <v>0.658333333333333</v>
      </c>
      <c r="N151" t="s">
        <v>148</v>
      </c>
      <c r="O151" s="20" t="str">
        <f t="shared" si="15"/>
        <v>不正确</v>
      </c>
      <c r="P151" s="21">
        <v>0</v>
      </c>
      <c r="Q151" s="21">
        <v>0</v>
      </c>
      <c r="R151" s="21">
        <v>0</v>
      </c>
      <c r="S151" s="21">
        <f t="shared" si="16"/>
        <v>0</v>
      </c>
      <c r="T151" s="21">
        <f t="shared" si="17"/>
        <v>0</v>
      </c>
      <c r="U151" s="21" t="str">
        <f t="shared" si="18"/>
        <v>否</v>
      </c>
      <c r="V151" s="21">
        <f>VLOOKUP($C151,[4]Sheet1!$B:$AN,39,FALSE)</f>
        <v>13.43</v>
      </c>
      <c r="W151" s="21">
        <v>0</v>
      </c>
      <c r="X151" s="23">
        <v>1</v>
      </c>
      <c r="Y151" s="23">
        <v>4</v>
      </c>
      <c r="Z151" s="25">
        <f t="shared" si="19"/>
        <v>3</v>
      </c>
      <c r="AA151" s="25" t="str">
        <f t="shared" si="20"/>
        <v>是</v>
      </c>
      <c r="AB151" t="s">
        <v>148</v>
      </c>
      <c r="AC151" t="e">
        <f>VLOOKUP(C151,[1]Sheet1!$C:$O,13,FALSE)</f>
        <v>#N/A</v>
      </c>
      <c r="AD151" t="str">
        <f>VLOOKUP($H151,'[3]0509人员排班情况 副本'!$G:$U,12,FALSE)</f>
        <v>王骞Ariel（Qian Wang）,叶秀芳Freya (Xiufang Ye)</v>
      </c>
      <c r="AE151" t="str">
        <f>VLOOKUP($H151,'[3]0509人员排班情况 副本'!$G:$U,13,FALSE)</f>
        <v>常哲</v>
      </c>
      <c r="AF151" t="str">
        <f>VLOOKUP($H151,'[3]0509人员排班情况 副本'!$G:$U,14,FALSE)</f>
        <v>Minqing (Minqing Xu),罗煜雄 Mike (Yuxiong Luo)</v>
      </c>
      <c r="AG151">
        <f>VLOOKUP($H151,'[3]0509人员排班情况 副本'!$G:$U,15,FALSE)</f>
        <v>0</v>
      </c>
    </row>
    <row r="152" customHeight="1" spans="1:33">
      <c r="A152" t="s">
        <v>202</v>
      </c>
      <c r="B152" t="s">
        <v>650</v>
      </c>
      <c r="C152" t="s">
        <v>651</v>
      </c>
      <c r="D152" t="s">
        <v>58</v>
      </c>
      <c r="E152" t="s">
        <v>61</v>
      </c>
      <c r="F152" t="s">
        <v>210</v>
      </c>
      <c r="G152" t="s">
        <v>112</v>
      </c>
      <c r="H152" t="str">
        <f t="shared" si="14"/>
        <v>MS 中南大区ATL.H操作组</v>
      </c>
      <c r="I152" t="s">
        <v>156</v>
      </c>
      <c r="J152" t="s">
        <v>282</v>
      </c>
      <c r="K152" s="15">
        <v>0.416666666666667</v>
      </c>
      <c r="L152" s="15" t="s">
        <v>283</v>
      </c>
      <c r="M152" s="15"/>
      <c r="N152" t="s">
        <v>148</v>
      </c>
      <c r="O152" s="20" t="str">
        <f t="shared" si="15"/>
        <v>不正确</v>
      </c>
      <c r="P152" s="21">
        <v>0</v>
      </c>
      <c r="Q152" s="21">
        <v>0</v>
      </c>
      <c r="R152" s="21">
        <v>0</v>
      </c>
      <c r="S152" s="21">
        <f t="shared" si="16"/>
        <v>0</v>
      </c>
      <c r="T152" s="21">
        <f t="shared" si="17"/>
        <v>0</v>
      </c>
      <c r="U152" s="21" t="str">
        <f t="shared" si="18"/>
        <v>否</v>
      </c>
      <c r="V152" s="21">
        <f>VLOOKUP($C152,[4]Sheet1!$B:$AN,39,FALSE)</f>
        <v>6.7</v>
      </c>
      <c r="W152" s="21">
        <v>0</v>
      </c>
      <c r="X152" s="23">
        <v>0</v>
      </c>
      <c r="Y152" s="23">
        <v>4</v>
      </c>
      <c r="Z152" s="25">
        <f t="shared" si="19"/>
        <v>4</v>
      </c>
      <c r="AA152" s="25" t="str">
        <f t="shared" si="20"/>
        <v>是</v>
      </c>
      <c r="AB152" t="s">
        <v>148</v>
      </c>
      <c r="AC152" t="e">
        <f>VLOOKUP(C152,[1]Sheet1!$C:$O,13,FALSE)</f>
        <v>#N/A</v>
      </c>
      <c r="AD152" t="str">
        <f>VLOOKUP($H152,'[3]0509人员排班情况 副本'!$G:$U,12,FALSE)</f>
        <v>欧阳迎春Flower（Yingchun Ouyang）</v>
      </c>
      <c r="AE152" t="str">
        <f>VLOOKUP($H152,'[3]0509人员排班情况 副本'!$G:$U,13,FALSE)</f>
        <v>杨云飞</v>
      </c>
      <c r="AF152" t="str">
        <f>VLOOKUP($H152,'[3]0509人员排班情况 副本'!$G:$U,14,FALSE)</f>
        <v>Minqing (Minqing Xu),罗煜雄 Mike (Yuxiong Luo),明杰麟Jennie (Jielin Ming)</v>
      </c>
      <c r="AG152" t="str">
        <f>VLOOKUP($H152,'[3]0509人员排班情况 副本'!$G:$U,15,FALSE)</f>
        <v>文艳平</v>
      </c>
    </row>
    <row r="153" customHeight="1" spans="1:33">
      <c r="A153" t="s">
        <v>202</v>
      </c>
      <c r="B153" t="s">
        <v>652</v>
      </c>
      <c r="C153" t="s">
        <v>653</v>
      </c>
      <c r="D153" t="s">
        <v>100</v>
      </c>
      <c r="E153" t="s">
        <v>101</v>
      </c>
      <c r="F153" t="s">
        <v>148</v>
      </c>
      <c r="G153" t="s">
        <v>112</v>
      </c>
      <c r="H153" t="str">
        <f t="shared" si="14"/>
        <v>WE 美西大区CNO.H</v>
      </c>
      <c r="I153" t="s">
        <v>654</v>
      </c>
      <c r="J153" t="s">
        <v>655</v>
      </c>
      <c r="K153" s="15">
        <v>0.583333333333333</v>
      </c>
      <c r="L153" s="15" t="s">
        <v>656</v>
      </c>
      <c r="M153" s="15"/>
      <c r="N153" t="s">
        <v>148</v>
      </c>
      <c r="O153" s="20" t="str">
        <f t="shared" si="15"/>
        <v>不正确</v>
      </c>
      <c r="P153" s="21">
        <v>0</v>
      </c>
      <c r="Q153" s="21">
        <v>0</v>
      </c>
      <c r="R153" s="21">
        <v>0</v>
      </c>
      <c r="S153" s="21">
        <f t="shared" si="16"/>
        <v>0</v>
      </c>
      <c r="T153" s="21">
        <f t="shared" si="17"/>
        <v>0</v>
      </c>
      <c r="U153" s="21" t="str">
        <f t="shared" si="18"/>
        <v>否</v>
      </c>
      <c r="V153" s="21">
        <f>VLOOKUP($C153,[4]Sheet1!$B:$AN,39,FALSE)</f>
        <v>9.6</v>
      </c>
      <c r="W153" s="21">
        <v>0</v>
      </c>
      <c r="X153" s="23">
        <v>0</v>
      </c>
      <c r="Y153" s="23">
        <v>4</v>
      </c>
      <c r="Z153" s="25">
        <f t="shared" si="19"/>
        <v>4</v>
      </c>
      <c r="AA153" s="25" t="str">
        <f t="shared" si="20"/>
        <v>是</v>
      </c>
      <c r="AB153" t="s">
        <v>148</v>
      </c>
      <c r="AC153" t="e">
        <f>VLOOKUP(C153,[1]Sheet1!$C:$O,13,FALSE)</f>
        <v>#N/A</v>
      </c>
      <c r="AD153" t="str">
        <f>VLOOKUP($H153,'[3]0509人员排班情况 副本'!$G:$U,12,FALSE)</f>
        <v>王骞Ariel（Qian Wang）,叶秀芳Freya (Xiufang Ye)</v>
      </c>
      <c r="AE153" t="str">
        <f>VLOOKUP($H153,'[3]0509人员排班情况 副本'!$G:$U,13,FALSE)</f>
        <v>常哲</v>
      </c>
      <c r="AF153">
        <f>VLOOKUP($H153,'[3]0509人员排班情况 副本'!$G:$U,14,FALSE)</f>
        <v>0</v>
      </c>
      <c r="AG153">
        <f>VLOOKUP($H153,'[3]0509人员排班情况 副本'!$G:$U,15,FALSE)</f>
        <v>0</v>
      </c>
    </row>
    <row r="154" customHeight="1" spans="1:33">
      <c r="A154" t="s">
        <v>202</v>
      </c>
      <c r="B154" t="s">
        <v>657</v>
      </c>
      <c r="C154" t="s">
        <v>658</v>
      </c>
      <c r="D154" t="s">
        <v>15</v>
      </c>
      <c r="E154" t="s">
        <v>20</v>
      </c>
      <c r="F154" t="s">
        <v>243</v>
      </c>
      <c r="G154" t="s">
        <v>112</v>
      </c>
      <c r="H154" t="str">
        <f t="shared" si="14"/>
        <v>FL 佛州大区MIA.H调度组</v>
      </c>
      <c r="I154" t="s">
        <v>160</v>
      </c>
      <c r="J154" t="s">
        <v>304</v>
      </c>
      <c r="K154" s="15">
        <v>0.666666666666667</v>
      </c>
      <c r="L154" s="15" t="s">
        <v>305</v>
      </c>
      <c r="M154" s="15"/>
      <c r="N154" t="s">
        <v>148</v>
      </c>
      <c r="O154" s="20" t="str">
        <f t="shared" si="15"/>
        <v>不正确</v>
      </c>
      <c r="P154" s="21">
        <v>0</v>
      </c>
      <c r="Q154" s="21">
        <v>0</v>
      </c>
      <c r="R154" s="21">
        <v>0</v>
      </c>
      <c r="S154" s="21">
        <f t="shared" si="16"/>
        <v>0</v>
      </c>
      <c r="T154" s="21">
        <f t="shared" si="17"/>
        <v>0</v>
      </c>
      <c r="U154" s="21" t="str">
        <f t="shared" si="18"/>
        <v>否</v>
      </c>
      <c r="V154" s="21">
        <f>VLOOKUP($C154,[4]Sheet1!$B:$AN,39,FALSE)</f>
        <v>0</v>
      </c>
      <c r="W154" s="21">
        <v>0</v>
      </c>
      <c r="X154" s="23">
        <v>0</v>
      </c>
      <c r="Y154" s="23">
        <v>4</v>
      </c>
      <c r="Z154" s="25">
        <f t="shared" si="19"/>
        <v>4</v>
      </c>
      <c r="AA154" s="25" t="str">
        <f t="shared" si="20"/>
        <v>是</v>
      </c>
      <c r="AB154" t="s">
        <v>148</v>
      </c>
      <c r="AC154" t="e">
        <f>VLOOKUP(C154,[1]Sheet1!$C:$O,13,FALSE)</f>
        <v>#N/A</v>
      </c>
      <c r="AD154" t="str">
        <f>VLOOKUP($H154,'[3]0509人员排班情况 副本'!$G:$U,12,FALSE)</f>
        <v>Natalia (Natalia Padilla),孙婕 Jasmine（Sunjie）</v>
      </c>
      <c r="AE154" t="str">
        <f>VLOOKUP($H154,'[3]0509人员排班情况 副本'!$G:$U,13,FALSE)</f>
        <v>贺子强Jeff (Ziqiang He)</v>
      </c>
      <c r="AF154" t="str">
        <f>VLOOKUP($H154,'[3]0509人员排班情况 副本'!$G:$U,14,FALSE)</f>
        <v>Minqing (Minqing Xu),罗煜雄 Mike (Yuxiong Luo)</v>
      </c>
      <c r="AG154">
        <f>VLOOKUP($H154,'[3]0509人员排班情况 副本'!$G:$U,15,FALSE)</f>
        <v>0</v>
      </c>
    </row>
    <row r="155" customHeight="1" spans="1:33">
      <c r="A155" t="s">
        <v>202</v>
      </c>
      <c r="B155" t="s">
        <v>659</v>
      </c>
      <c r="C155" t="s">
        <v>660</v>
      </c>
      <c r="D155" t="s">
        <v>68</v>
      </c>
      <c r="E155" t="s">
        <v>78</v>
      </c>
      <c r="F155" t="s">
        <v>210</v>
      </c>
      <c r="G155" t="s">
        <v>112</v>
      </c>
      <c r="H155" t="str">
        <f t="shared" si="14"/>
        <v>NE 东北大区JFK.H操作组</v>
      </c>
      <c r="I155" t="s">
        <v>156</v>
      </c>
      <c r="J155" t="s">
        <v>282</v>
      </c>
      <c r="K155" s="15">
        <v>0.416666666666667</v>
      </c>
      <c r="L155" s="15" t="s">
        <v>283</v>
      </c>
      <c r="M155" s="15">
        <v>0.416666666666667</v>
      </c>
      <c r="N155" t="s">
        <v>661</v>
      </c>
      <c r="O155" s="20" t="str">
        <f t="shared" si="15"/>
        <v>正确</v>
      </c>
      <c r="P155" s="21">
        <v>0</v>
      </c>
      <c r="Q155" s="21">
        <v>8.6</v>
      </c>
      <c r="R155" s="21">
        <v>0</v>
      </c>
      <c r="S155" s="21">
        <f t="shared" si="16"/>
        <v>8.6</v>
      </c>
      <c r="T155" s="21">
        <f t="shared" si="17"/>
        <v>0.6</v>
      </c>
      <c r="U155" s="21" t="str">
        <f t="shared" si="18"/>
        <v>是</v>
      </c>
      <c r="V155" s="21">
        <f>VLOOKUP($C155,[4]Sheet1!$B:$AN,39,FALSE)</f>
        <v>17.27</v>
      </c>
      <c r="W155" s="21">
        <v>0</v>
      </c>
      <c r="X155" s="23">
        <v>4</v>
      </c>
      <c r="Y155" s="23">
        <v>4</v>
      </c>
      <c r="Z155" s="25">
        <f t="shared" si="19"/>
        <v>0</v>
      </c>
      <c r="AA155" s="25" t="str">
        <f t="shared" si="20"/>
        <v>是</v>
      </c>
      <c r="AB155" t="s">
        <v>148</v>
      </c>
      <c r="AC155" t="e">
        <f>VLOOKUP(C155,[1]Sheet1!$C:$O,13,FALSE)</f>
        <v>#N/A</v>
      </c>
      <c r="AD155" t="str">
        <f>VLOOKUP($H155,'[3]0509人员排班情况 副本'!$G:$U,12,FALSE)</f>
        <v>孙可君Monica（Kejun Sun）</v>
      </c>
      <c r="AE155" t="str">
        <f>VLOOKUP($H155,'[3]0509人员排班情况 副本'!$G:$U,13,FALSE)</f>
        <v>马聪Cong (Cong Ma)</v>
      </c>
      <c r="AF155" t="str">
        <f>VLOOKUP($H155,'[3]0509人员排班情况 副本'!$G:$U,14,FALSE)</f>
        <v>Minqing (Minqing Xu),罗煜雄 Mike (Yuxiong Luo)</v>
      </c>
      <c r="AG155">
        <f>VLOOKUP($H155,'[3]0509人员排班情况 副本'!$G:$U,15,FALSE)</f>
        <v>0</v>
      </c>
    </row>
    <row r="156" customHeight="1" spans="1:33">
      <c r="A156" t="s">
        <v>202</v>
      </c>
      <c r="B156" t="s">
        <v>662</v>
      </c>
      <c r="C156" t="s">
        <v>663</v>
      </c>
      <c r="D156" t="s">
        <v>68</v>
      </c>
      <c r="E156" t="s">
        <v>76</v>
      </c>
      <c r="F156" t="s">
        <v>166</v>
      </c>
      <c r="G156" t="s">
        <v>112</v>
      </c>
      <c r="H156" t="str">
        <f t="shared" si="14"/>
        <v>NE 东北大区EWR.H综办组</v>
      </c>
      <c r="I156" t="s">
        <v>664</v>
      </c>
      <c r="J156" t="s">
        <v>400</v>
      </c>
      <c r="K156" s="15">
        <v>0.5</v>
      </c>
      <c r="L156" s="15" t="s">
        <v>401</v>
      </c>
      <c r="M156" s="15">
        <v>0.495138888888889</v>
      </c>
      <c r="N156" t="s">
        <v>665</v>
      </c>
      <c r="O156" s="20" t="str">
        <f t="shared" si="15"/>
        <v>正确</v>
      </c>
      <c r="P156" s="21">
        <v>0</v>
      </c>
      <c r="Q156" s="21">
        <v>9.83</v>
      </c>
      <c r="R156" s="21">
        <v>0</v>
      </c>
      <c r="S156" s="21">
        <f t="shared" si="16"/>
        <v>9.83</v>
      </c>
      <c r="T156" s="21">
        <f t="shared" si="17"/>
        <v>1.83</v>
      </c>
      <c r="U156" s="21" t="str">
        <f t="shared" si="18"/>
        <v>是</v>
      </c>
      <c r="V156" s="21">
        <f>VLOOKUP($C156,[4]Sheet1!$B:$AN,39,FALSE)</f>
        <v>19.8</v>
      </c>
      <c r="W156" s="21">
        <v>0</v>
      </c>
      <c r="X156" s="23">
        <v>3</v>
      </c>
      <c r="Y156" s="23">
        <v>4</v>
      </c>
      <c r="Z156" s="25">
        <f t="shared" si="19"/>
        <v>1</v>
      </c>
      <c r="AA156" s="25" t="str">
        <f t="shared" si="20"/>
        <v>是</v>
      </c>
      <c r="AB156" t="s">
        <v>148</v>
      </c>
      <c r="AC156" t="e">
        <f>VLOOKUP(C156,[1]Sheet1!$C:$O,13,FALSE)</f>
        <v>#N/A</v>
      </c>
      <c r="AD156" t="str">
        <f>VLOOKUP($H156,'[3]0509人员排班情况 副本'!$G:$U,12,FALSE)</f>
        <v>孙可君Monica（Kejun Sun）</v>
      </c>
      <c r="AE156" t="str">
        <f>VLOOKUP($H156,'[3]0509人员排班情况 副本'!$G:$U,13,FALSE)</f>
        <v>马聪Cong (Cong Ma)</v>
      </c>
      <c r="AF156" t="str">
        <f>VLOOKUP($H156,'[3]0509人员排班情况 副本'!$G:$U,14,FALSE)</f>
        <v>Minqing (Minqing Xu),罗煜雄 Mike (Yuxiong Luo)</v>
      </c>
      <c r="AG156">
        <f>VLOOKUP($H156,'[3]0509人员排班情况 副本'!$G:$U,15,FALSE)</f>
        <v>0</v>
      </c>
    </row>
    <row r="157" customHeight="1" spans="1:33">
      <c r="A157" t="s">
        <v>202</v>
      </c>
      <c r="B157" t="s">
        <v>666</v>
      </c>
      <c r="C157" t="s">
        <v>667</v>
      </c>
      <c r="D157" t="s">
        <v>15</v>
      </c>
      <c r="E157" t="s">
        <v>20</v>
      </c>
      <c r="F157" t="s">
        <v>275</v>
      </c>
      <c r="G157" t="s">
        <v>112</v>
      </c>
      <c r="H157" t="str">
        <f t="shared" si="14"/>
        <v>FL 佛州大区MIA.H分拣组</v>
      </c>
      <c r="I157" t="s">
        <v>276</v>
      </c>
      <c r="J157" t="s">
        <v>373</v>
      </c>
      <c r="K157" s="15">
        <v>0.291666666666667</v>
      </c>
      <c r="L157" s="15" t="s">
        <v>374</v>
      </c>
      <c r="M157" s="15">
        <v>0.293055555555556</v>
      </c>
      <c r="N157" t="s">
        <v>668</v>
      </c>
      <c r="O157" s="20" t="str">
        <f t="shared" si="15"/>
        <v>正确</v>
      </c>
      <c r="P157" s="21">
        <v>0</v>
      </c>
      <c r="Q157" s="21">
        <v>8.5</v>
      </c>
      <c r="R157" s="21">
        <v>0</v>
      </c>
      <c r="S157" s="21">
        <f t="shared" si="16"/>
        <v>8.5</v>
      </c>
      <c r="T157" s="21">
        <f t="shared" si="17"/>
        <v>0.5</v>
      </c>
      <c r="U157" s="21" t="str">
        <f t="shared" si="18"/>
        <v>是</v>
      </c>
      <c r="V157" s="21">
        <f>VLOOKUP($C157,[4]Sheet1!$B:$AN,39,FALSE)</f>
        <v>16.97</v>
      </c>
      <c r="W157" s="21">
        <v>0</v>
      </c>
      <c r="X157" s="23">
        <v>4</v>
      </c>
      <c r="Y157" s="23">
        <v>4</v>
      </c>
      <c r="Z157" s="25">
        <f t="shared" si="19"/>
        <v>0</v>
      </c>
      <c r="AA157" s="25" t="str">
        <f t="shared" si="20"/>
        <v>是</v>
      </c>
      <c r="AB157" t="s">
        <v>148</v>
      </c>
      <c r="AC157" t="e">
        <f>VLOOKUP(C157,[1]Sheet1!$C:$O,13,FALSE)</f>
        <v>#N/A</v>
      </c>
      <c r="AD157" t="str">
        <f>VLOOKUP($H157,'[3]0509人员排班情况 副本'!$G:$U,12,FALSE)</f>
        <v>Natalia (Natalia Padilla),孙婕 Jasmine（Sunjie）</v>
      </c>
      <c r="AE157" t="str">
        <f>VLOOKUP($H157,'[3]0509人员排班情况 副本'!$G:$U,13,FALSE)</f>
        <v>贺子强Jeff (Ziqiang He)</v>
      </c>
      <c r="AF157" t="str">
        <f>VLOOKUP($H157,'[3]0509人员排班情况 副本'!$G:$U,14,FALSE)</f>
        <v>张双甫(Shuangfu Zhang)</v>
      </c>
      <c r="AG157">
        <f>VLOOKUP($H157,'[3]0509人员排班情况 副本'!$G:$U,15,FALSE)</f>
        <v>0</v>
      </c>
    </row>
    <row r="158" customHeight="1" spans="1:33">
      <c r="A158" t="s">
        <v>202</v>
      </c>
      <c r="B158" t="s">
        <v>669</v>
      </c>
      <c r="C158" t="s">
        <v>670</v>
      </c>
      <c r="D158" t="s">
        <v>15</v>
      </c>
      <c r="E158" t="s">
        <v>17</v>
      </c>
      <c r="F158" t="s">
        <v>275</v>
      </c>
      <c r="G158" t="s">
        <v>112</v>
      </c>
      <c r="H158" t="str">
        <f t="shared" si="14"/>
        <v>FL 佛州大区MCO.H分拣组</v>
      </c>
      <c r="I158" t="s">
        <v>303</v>
      </c>
      <c r="J158" t="s">
        <v>295</v>
      </c>
      <c r="K158" s="15">
        <v>0.375</v>
      </c>
      <c r="L158" s="15" t="s">
        <v>296</v>
      </c>
      <c r="M158" s="15"/>
      <c r="N158" t="s">
        <v>148</v>
      </c>
      <c r="O158" s="20" t="str">
        <f t="shared" si="15"/>
        <v>不正确</v>
      </c>
      <c r="P158" s="21">
        <v>0</v>
      </c>
      <c r="Q158" s="21">
        <v>0</v>
      </c>
      <c r="R158" s="21">
        <v>0</v>
      </c>
      <c r="S158" s="21">
        <f t="shared" si="16"/>
        <v>0</v>
      </c>
      <c r="T158" s="21">
        <f t="shared" si="17"/>
        <v>0</v>
      </c>
      <c r="U158" s="21" t="str">
        <f t="shared" si="18"/>
        <v>否</v>
      </c>
      <c r="V158" s="21">
        <f>VLOOKUP($C158,[4]Sheet1!$B:$AN,39,FALSE)</f>
        <v>7.97</v>
      </c>
      <c r="W158" s="21">
        <v>0</v>
      </c>
      <c r="X158" s="23">
        <v>0</v>
      </c>
      <c r="Y158" s="23">
        <v>4</v>
      </c>
      <c r="Z158" s="25">
        <f t="shared" si="19"/>
        <v>4</v>
      </c>
      <c r="AA158" s="25" t="str">
        <f t="shared" si="20"/>
        <v>是</v>
      </c>
      <c r="AB158" t="s">
        <v>148</v>
      </c>
      <c r="AC158" t="e">
        <f>VLOOKUP(C158,[1]Sheet1!$C:$O,13,FALSE)</f>
        <v>#N/A</v>
      </c>
      <c r="AD158" t="str">
        <f>VLOOKUP($H158,'[3]0509人员排班情况 副本'!$G:$U,12,FALSE)</f>
        <v>Natalia (Natalia Padilla),孙婕 Jasmine（Sunjie）</v>
      </c>
      <c r="AE158" t="str">
        <f>VLOOKUP($H158,'[3]0509人员排班情况 副本'!$G:$U,13,FALSE)</f>
        <v>贺子强Jeff (Ziqiang He)</v>
      </c>
      <c r="AF158" t="str">
        <f>VLOOKUP($H158,'[3]0509人员排班情况 副本'!$G:$U,14,FALSE)</f>
        <v>张双甫(Shuangfu Zhang)</v>
      </c>
      <c r="AG158">
        <f>VLOOKUP($H158,'[3]0509人员排班情况 副本'!$G:$U,15,FALSE)</f>
        <v>0</v>
      </c>
    </row>
    <row r="159" customHeight="1" spans="1:33">
      <c r="A159" t="s">
        <v>202</v>
      </c>
      <c r="B159" t="s">
        <v>671</v>
      </c>
      <c r="C159" t="s">
        <v>672</v>
      </c>
      <c r="D159" t="s">
        <v>68</v>
      </c>
      <c r="E159" t="s">
        <v>78</v>
      </c>
      <c r="F159" t="s">
        <v>210</v>
      </c>
      <c r="G159" t="s">
        <v>112</v>
      </c>
      <c r="H159" t="str">
        <f t="shared" si="14"/>
        <v>NE 东北大区JFK.H操作组</v>
      </c>
      <c r="I159" t="s">
        <v>156</v>
      </c>
      <c r="J159" t="s">
        <v>217</v>
      </c>
      <c r="K159" s="15">
        <v>0.395833333333333</v>
      </c>
      <c r="L159" s="15" t="s">
        <v>218</v>
      </c>
      <c r="M159" s="15"/>
      <c r="N159" t="s">
        <v>148</v>
      </c>
      <c r="O159" s="20" t="s">
        <v>116</v>
      </c>
      <c r="P159" s="21">
        <v>0</v>
      </c>
      <c r="Q159" s="21">
        <v>0</v>
      </c>
      <c r="R159" s="21">
        <v>0</v>
      </c>
      <c r="S159" s="21">
        <f t="shared" si="16"/>
        <v>0</v>
      </c>
      <c r="T159" s="21">
        <f t="shared" si="17"/>
        <v>0</v>
      </c>
      <c r="U159" s="21" t="str">
        <f t="shared" si="18"/>
        <v>否</v>
      </c>
      <c r="V159" s="21">
        <f>VLOOKUP($C159,[4]Sheet1!$B:$AN,39,FALSE)</f>
        <v>0</v>
      </c>
      <c r="W159" s="21">
        <v>0</v>
      </c>
      <c r="X159" s="23">
        <v>0</v>
      </c>
      <c r="Y159" s="23">
        <v>0</v>
      </c>
      <c r="Z159" s="25">
        <f t="shared" si="19"/>
        <v>0</v>
      </c>
      <c r="AA159" s="25" t="str">
        <f t="shared" si="20"/>
        <v>是</v>
      </c>
      <c r="AB159" t="s">
        <v>148</v>
      </c>
      <c r="AC159" t="e">
        <f>VLOOKUP(C159,[1]Sheet1!$C:$O,13,FALSE)</f>
        <v>#N/A</v>
      </c>
      <c r="AD159" t="str">
        <f>VLOOKUP($H159,'[3]0509人员排班情况 副本'!$G:$U,12,FALSE)</f>
        <v>孙可君Monica（Kejun Sun）</v>
      </c>
      <c r="AE159" t="str">
        <f>VLOOKUP($H159,'[3]0509人员排班情况 副本'!$G:$U,13,FALSE)</f>
        <v>马聪Cong (Cong Ma)</v>
      </c>
      <c r="AF159" t="str">
        <f>VLOOKUP($H159,'[3]0509人员排班情况 副本'!$G:$U,14,FALSE)</f>
        <v>Minqing (Minqing Xu),罗煜雄 Mike (Yuxiong Luo)</v>
      </c>
      <c r="AG159">
        <f>VLOOKUP($H159,'[3]0509人员排班情况 副本'!$G:$U,15,FALSE)</f>
        <v>0</v>
      </c>
    </row>
    <row r="160" customHeight="1" spans="1:33">
      <c r="A160" t="s">
        <v>202</v>
      </c>
      <c r="B160" t="s">
        <v>673</v>
      </c>
      <c r="C160" t="s">
        <v>674</v>
      </c>
      <c r="D160" t="s">
        <v>68</v>
      </c>
      <c r="E160" t="s">
        <v>82</v>
      </c>
      <c r="F160" t="s">
        <v>84</v>
      </c>
      <c r="H160" t="str">
        <f t="shared" si="14"/>
        <v>NE 东北大区PA 宾州片区PIT01</v>
      </c>
      <c r="I160" t="s">
        <v>406</v>
      </c>
      <c r="J160" t="s">
        <v>217</v>
      </c>
      <c r="K160" s="15">
        <v>0.395833333333333</v>
      </c>
      <c r="L160" s="15" t="s">
        <v>218</v>
      </c>
      <c r="M160" s="15"/>
      <c r="N160" t="s">
        <v>148</v>
      </c>
      <c r="O160" s="20" t="s">
        <v>116</v>
      </c>
      <c r="P160" s="21">
        <v>0</v>
      </c>
      <c r="Q160" s="21">
        <v>0</v>
      </c>
      <c r="R160" s="21">
        <v>0</v>
      </c>
      <c r="S160" s="21">
        <f t="shared" si="16"/>
        <v>0</v>
      </c>
      <c r="T160" s="21">
        <f t="shared" si="17"/>
        <v>0</v>
      </c>
      <c r="U160" s="21" t="str">
        <f t="shared" si="18"/>
        <v>否</v>
      </c>
      <c r="V160" s="21">
        <f>VLOOKUP($C160,[4]Sheet1!$B:$AN,39,FALSE)</f>
        <v>8.12</v>
      </c>
      <c r="W160" s="21">
        <v>0</v>
      </c>
      <c r="X160" s="23">
        <v>0</v>
      </c>
      <c r="Y160" s="23">
        <v>0</v>
      </c>
      <c r="Z160" s="25">
        <f t="shared" si="19"/>
        <v>0</v>
      </c>
      <c r="AA160" s="25" t="str">
        <f t="shared" si="20"/>
        <v>是</v>
      </c>
      <c r="AB160" t="s">
        <v>148</v>
      </c>
      <c r="AC160" t="e">
        <f>VLOOKUP(C160,[1]Sheet1!$C:$O,13,FALSE)</f>
        <v>#N/A</v>
      </c>
      <c r="AD160" t="str">
        <f>VLOOKUP($H160,'[3]0509人员排班情况 副本'!$G:$U,12,FALSE)</f>
        <v>孙可君Monica（Kejun Sun）</v>
      </c>
      <c r="AE160" t="str">
        <f>VLOOKUP($H160,'[3]0509人员排班情况 副本'!$G:$U,13,FALSE)</f>
        <v>马聪Cong (Cong Ma)</v>
      </c>
      <c r="AF160" t="str">
        <f>VLOOKUP($H160,'[3]0509人员排班情况 副本'!$G:$U,14,FALSE)</f>
        <v>朱晗宇 Peter (Hanyu Zhu)</v>
      </c>
      <c r="AG160">
        <f>VLOOKUP($H160,'[3]0509人员排班情况 副本'!$G:$U,15,FALSE)</f>
        <v>0</v>
      </c>
    </row>
    <row r="161" customHeight="1" spans="1:33">
      <c r="A161" t="s">
        <v>202</v>
      </c>
      <c r="B161" t="s">
        <v>675</v>
      </c>
      <c r="C161" t="s">
        <v>676</v>
      </c>
      <c r="D161" t="s">
        <v>99</v>
      </c>
      <c r="E161" t="s">
        <v>677</v>
      </c>
      <c r="F161" t="s">
        <v>678</v>
      </c>
      <c r="H161" t="str">
        <f t="shared" si="14"/>
        <v>US人力资源部美洲HRBP组德州区HR组</v>
      </c>
      <c r="I161" t="s">
        <v>679</v>
      </c>
      <c r="J161" t="s">
        <v>236</v>
      </c>
      <c r="K161" s="15">
        <v>0.395833333333333</v>
      </c>
      <c r="L161" s="15" t="s">
        <v>218</v>
      </c>
      <c r="M161" s="15">
        <v>0.396527777777778</v>
      </c>
      <c r="N161" t="s">
        <v>148</v>
      </c>
      <c r="O161" s="20" t="str">
        <f t="shared" si="15"/>
        <v>正确</v>
      </c>
      <c r="P161" s="21">
        <v>0</v>
      </c>
      <c r="Q161" s="21">
        <v>0</v>
      </c>
      <c r="R161" s="21">
        <v>0</v>
      </c>
      <c r="S161" s="21">
        <f t="shared" si="16"/>
        <v>0</v>
      </c>
      <c r="T161" s="21">
        <f t="shared" si="17"/>
        <v>0</v>
      </c>
      <c r="U161" s="21" t="str">
        <f t="shared" si="18"/>
        <v>否</v>
      </c>
      <c r="V161" s="21">
        <f>VLOOKUP($C161,[4]Sheet1!$B:$AN,39,FALSE)</f>
        <v>7.88</v>
      </c>
      <c r="W161" s="21">
        <v>0</v>
      </c>
      <c r="X161" s="23">
        <v>1</v>
      </c>
      <c r="Y161" s="23">
        <v>4</v>
      </c>
      <c r="Z161" s="25">
        <f t="shared" si="19"/>
        <v>3</v>
      </c>
      <c r="AA161" s="25" t="str">
        <f t="shared" si="20"/>
        <v>是</v>
      </c>
      <c r="AB161" t="s">
        <v>148</v>
      </c>
      <c r="AC161" t="e">
        <f>VLOOKUP(C161,[1]Sheet1!$C:$O,13,FALSE)</f>
        <v>#N/A</v>
      </c>
      <c r="AD161" t="str">
        <f>VLOOKUP($H161,'[3]0509人员排班情况 副本'!$G:$U,12,FALSE)</f>
        <v>袁博闻(Bowen Yuan)</v>
      </c>
      <c r="AE161">
        <f>VLOOKUP($H161,'[3]0509人员排班情况 副本'!$G:$U,13,FALSE)</f>
        <v>0</v>
      </c>
      <c r="AF161">
        <f>VLOOKUP($H161,'[3]0509人员排班情况 副本'!$G:$U,14,FALSE)</f>
        <v>0</v>
      </c>
      <c r="AG161">
        <f>VLOOKUP($H161,'[3]0509人员排班情况 副本'!$G:$U,15,FALSE)</f>
        <v>0</v>
      </c>
    </row>
    <row r="162" customHeight="1" spans="1:33">
      <c r="A162" t="s">
        <v>202</v>
      </c>
      <c r="B162" t="s">
        <v>680</v>
      </c>
      <c r="C162" t="s">
        <v>681</v>
      </c>
      <c r="D162" t="s">
        <v>100</v>
      </c>
      <c r="E162" t="s">
        <v>106</v>
      </c>
      <c r="F162" t="s">
        <v>148</v>
      </c>
      <c r="H162" t="str">
        <f t="shared" si="14"/>
        <v>WE 美西大区SC 南加片区</v>
      </c>
      <c r="I162" t="s">
        <v>682</v>
      </c>
      <c r="J162" t="s">
        <v>295</v>
      </c>
      <c r="K162" s="15">
        <v>0.375</v>
      </c>
      <c r="L162" s="15" t="s">
        <v>296</v>
      </c>
      <c r="M162" s="15"/>
      <c r="N162" t="s">
        <v>683</v>
      </c>
      <c r="O162" s="20" t="str">
        <f t="shared" si="15"/>
        <v>不正确</v>
      </c>
      <c r="P162" s="21">
        <v>0</v>
      </c>
      <c r="Q162" s="21">
        <v>0</v>
      </c>
      <c r="R162" s="21">
        <v>0</v>
      </c>
      <c r="S162" s="21">
        <f t="shared" si="16"/>
        <v>0</v>
      </c>
      <c r="T162" s="21">
        <f t="shared" si="17"/>
        <v>0</v>
      </c>
      <c r="U162" s="21" t="str">
        <f t="shared" si="18"/>
        <v>否</v>
      </c>
      <c r="V162" s="21">
        <f>VLOOKUP($C162,[4]Sheet1!$B:$AN,39,FALSE)</f>
        <v>8.3</v>
      </c>
      <c r="W162" s="21">
        <v>0</v>
      </c>
      <c r="X162" s="23">
        <v>1</v>
      </c>
      <c r="Y162" s="23">
        <v>4</v>
      </c>
      <c r="Z162" s="25">
        <f t="shared" si="19"/>
        <v>3</v>
      </c>
      <c r="AA162" s="25" t="str">
        <f t="shared" si="20"/>
        <v>是</v>
      </c>
      <c r="AB162" t="s">
        <v>148</v>
      </c>
      <c r="AC162" t="e">
        <f>VLOOKUP(C162,[1]Sheet1!$C:$O,13,FALSE)</f>
        <v>#N/A</v>
      </c>
      <c r="AD162" t="str">
        <f>VLOOKUP($H162,'[3]0509人员排班情况 副本'!$G:$U,12,FALSE)</f>
        <v>王骞Ariel（Qian Wang）,叶秀芳Freya (Xiufang Ye)</v>
      </c>
      <c r="AE162" t="str">
        <f>VLOOKUP($H162,'[3]0509人员排班情况 副本'!$G:$U,13,FALSE)</f>
        <v>常哲</v>
      </c>
      <c r="AF162">
        <f>VLOOKUP($H162,'[3]0509人员排班情况 副本'!$G:$U,14,FALSE)</f>
        <v>0</v>
      </c>
      <c r="AG162">
        <f>VLOOKUP($H162,'[3]0509人员排班情况 副本'!$G:$U,15,FALSE)</f>
        <v>0</v>
      </c>
    </row>
    <row r="163" customHeight="1" spans="1:33">
      <c r="A163" t="s">
        <v>202</v>
      </c>
      <c r="B163" t="s">
        <v>684</v>
      </c>
      <c r="C163" t="s">
        <v>685</v>
      </c>
      <c r="D163" t="s">
        <v>48</v>
      </c>
      <c r="E163" t="s">
        <v>49</v>
      </c>
      <c r="F163" t="s">
        <v>686</v>
      </c>
      <c r="H163" t="str">
        <f t="shared" si="14"/>
        <v>Ground项目部OG 美东区BA210</v>
      </c>
      <c r="I163" t="s">
        <v>687</v>
      </c>
      <c r="J163" t="s">
        <v>295</v>
      </c>
      <c r="K163" s="15">
        <v>0.375</v>
      </c>
      <c r="L163" s="15" t="s">
        <v>296</v>
      </c>
      <c r="M163" s="15">
        <v>0.363194444444444</v>
      </c>
      <c r="N163" t="s">
        <v>428</v>
      </c>
      <c r="O163" s="20" t="str">
        <f t="shared" si="15"/>
        <v>正确</v>
      </c>
      <c r="P163" s="21">
        <v>0</v>
      </c>
      <c r="Q163" s="21">
        <v>8.42</v>
      </c>
      <c r="R163" s="21">
        <v>0</v>
      </c>
      <c r="S163" s="21">
        <f t="shared" si="16"/>
        <v>8.42</v>
      </c>
      <c r="T163" s="21">
        <f t="shared" si="17"/>
        <v>0.42</v>
      </c>
      <c r="U163" s="21" t="str">
        <f t="shared" si="18"/>
        <v>是</v>
      </c>
      <c r="V163" s="21">
        <f>VLOOKUP($C163,[4]Sheet1!$B:$AN,39,FALSE)</f>
        <v>16.94</v>
      </c>
      <c r="W163" s="21">
        <v>0</v>
      </c>
      <c r="X163" s="23">
        <v>3</v>
      </c>
      <c r="Y163" s="23">
        <v>4</v>
      </c>
      <c r="Z163" s="25">
        <f t="shared" si="19"/>
        <v>1</v>
      </c>
      <c r="AA163" s="25" t="str">
        <f t="shared" si="20"/>
        <v>是</v>
      </c>
      <c r="AB163" t="s">
        <v>148</v>
      </c>
      <c r="AC163" t="e">
        <f>VLOOKUP(C163,[1]Sheet1!$C:$O,13,FALSE)</f>
        <v>#N/A</v>
      </c>
      <c r="AD163" t="str">
        <f>VLOOKUP($H163,'[3]0509人员排班情况 副本'!$G:$U,12,FALSE)</f>
        <v>王安琪 (Anqi Wang),张朱同 Thomson（Zhutong Zhang）</v>
      </c>
      <c r="AE163" t="str">
        <f>VLOOKUP($H163,'[3]0509人员排班情况 副本'!$G:$U,13,FALSE)</f>
        <v>陈锦昭</v>
      </c>
      <c r="AF163" t="str">
        <f>VLOOKUP($H163,'[3]0509人员排班情况 副本'!$G:$U,14,FALSE)</f>
        <v>欧和枫 Henry (HeFeng Ou)</v>
      </c>
      <c r="AG163">
        <f>VLOOKUP($H163,'[3]0509人员排班情况 副本'!$G:$U,15,FALSE)</f>
        <v>0</v>
      </c>
    </row>
    <row r="164" customHeight="1" spans="1:33">
      <c r="A164" t="s">
        <v>202</v>
      </c>
      <c r="B164" t="s">
        <v>688</v>
      </c>
      <c r="C164" t="s">
        <v>689</v>
      </c>
      <c r="D164" t="s">
        <v>100</v>
      </c>
      <c r="E164" t="s">
        <v>103</v>
      </c>
      <c r="F164" t="s">
        <v>243</v>
      </c>
      <c r="G164" t="s">
        <v>112</v>
      </c>
      <c r="H164" t="str">
        <f t="shared" si="14"/>
        <v>WE 美西大区LAV.H调度组</v>
      </c>
      <c r="I164" t="s">
        <v>160</v>
      </c>
      <c r="J164" t="s">
        <v>295</v>
      </c>
      <c r="K164" s="15">
        <v>0.375</v>
      </c>
      <c r="L164" s="15" t="s">
        <v>296</v>
      </c>
      <c r="M164" s="15"/>
      <c r="N164" t="s">
        <v>148</v>
      </c>
      <c r="O164" s="20" t="str">
        <f t="shared" si="15"/>
        <v>不正确</v>
      </c>
      <c r="P164" s="21">
        <v>0</v>
      </c>
      <c r="Q164" s="21">
        <v>0</v>
      </c>
      <c r="R164" s="21">
        <v>0</v>
      </c>
      <c r="S164" s="21">
        <f t="shared" si="16"/>
        <v>0</v>
      </c>
      <c r="T164" s="21">
        <f t="shared" si="17"/>
        <v>0</v>
      </c>
      <c r="U164" s="21" t="str">
        <f t="shared" si="18"/>
        <v>否</v>
      </c>
      <c r="V164" s="21">
        <f>VLOOKUP($C164,[4]Sheet1!$B:$AN,39,FALSE)</f>
        <v>0</v>
      </c>
      <c r="W164" s="21">
        <v>0</v>
      </c>
      <c r="X164" s="23">
        <v>0</v>
      </c>
      <c r="Y164" s="23">
        <v>0</v>
      </c>
      <c r="Z164" s="25">
        <f t="shared" si="19"/>
        <v>0</v>
      </c>
      <c r="AA164" s="25" t="str">
        <f t="shared" si="20"/>
        <v>是</v>
      </c>
      <c r="AB164" t="s">
        <v>690</v>
      </c>
      <c r="AC164" t="e">
        <f>VLOOKUP(C164,[1]Sheet1!$C:$O,13,FALSE)</f>
        <v>#N/A</v>
      </c>
      <c r="AD164" t="str">
        <f>VLOOKUP($H164,'[3]0509人员排班情况 副本'!$G:$U,12,FALSE)</f>
        <v>王骞Ariel（Qian Wang）,叶秀芳Freya (Xiufang Ye)</v>
      </c>
      <c r="AE164" t="str">
        <f>VLOOKUP($H164,'[3]0509人员排班情况 副本'!$G:$U,13,FALSE)</f>
        <v>常哲</v>
      </c>
      <c r="AF164" t="str">
        <f>VLOOKUP($H164,'[3]0509人员排班情况 副本'!$G:$U,14,FALSE)</f>
        <v>Minqing (Minqing Xu),罗煜雄 Mike (Yuxiong Luo)</v>
      </c>
      <c r="AG164">
        <f>VLOOKUP($H164,'[3]0509人员排班情况 副本'!$G:$U,15,FALSE)</f>
        <v>0</v>
      </c>
    </row>
    <row r="165" customHeight="1" spans="1:33">
      <c r="A165" t="s">
        <v>202</v>
      </c>
      <c r="B165" t="s">
        <v>691</v>
      </c>
      <c r="C165" t="s">
        <v>692</v>
      </c>
      <c r="D165" t="s">
        <v>15</v>
      </c>
      <c r="E165" t="s">
        <v>27</v>
      </c>
      <c r="F165" t="s">
        <v>148</v>
      </c>
      <c r="H165" t="str">
        <f t="shared" si="14"/>
        <v>FL 佛州大区WF 西佛片区</v>
      </c>
      <c r="I165" t="s">
        <v>173</v>
      </c>
      <c r="J165" t="s">
        <v>205</v>
      </c>
      <c r="K165" s="15">
        <v>0.166666666666667</v>
      </c>
      <c r="L165" s="15" t="s">
        <v>206</v>
      </c>
      <c r="M165" s="15"/>
      <c r="N165" t="s">
        <v>148</v>
      </c>
      <c r="O165" s="20" t="str">
        <f t="shared" si="15"/>
        <v>不正确</v>
      </c>
      <c r="P165" s="21">
        <v>0</v>
      </c>
      <c r="Q165" s="21">
        <v>0</v>
      </c>
      <c r="R165" s="21">
        <v>0</v>
      </c>
      <c r="S165" s="21">
        <f t="shared" si="16"/>
        <v>0</v>
      </c>
      <c r="T165" s="21">
        <f t="shared" si="17"/>
        <v>0</v>
      </c>
      <c r="U165" s="21" t="str">
        <f t="shared" si="18"/>
        <v>否</v>
      </c>
      <c r="V165" s="21">
        <f>VLOOKUP($C165,[4]Sheet1!$B:$AN,39,FALSE)</f>
        <v>0</v>
      </c>
      <c r="W165" s="21">
        <v>0</v>
      </c>
      <c r="X165" s="23">
        <v>0</v>
      </c>
      <c r="Y165" s="23">
        <v>0</v>
      </c>
      <c r="Z165" s="25">
        <f t="shared" si="19"/>
        <v>0</v>
      </c>
      <c r="AA165" s="25" t="str">
        <f t="shared" si="20"/>
        <v>是</v>
      </c>
      <c r="AB165" t="s">
        <v>693</v>
      </c>
      <c r="AC165" t="e">
        <f>VLOOKUP(C165,[1]Sheet1!$C:$O,13,FALSE)</f>
        <v>#N/A</v>
      </c>
      <c r="AD165" t="str">
        <f>VLOOKUP($H165,'[3]0509人员排班情况 副本'!$G:$U,12,FALSE)</f>
        <v>Natalia (Natalia Padilla),孙婕 Jasmine（Sunjie）</v>
      </c>
      <c r="AE165" t="str">
        <f>VLOOKUP($H165,'[3]0509人员排班情况 副本'!$G:$U,13,FALSE)</f>
        <v>贺子强Jeff (Ziqiang He)</v>
      </c>
      <c r="AF165">
        <f>VLOOKUP($H165,'[3]0509人员排班情况 副本'!$G:$U,14,FALSE)</f>
        <v>0</v>
      </c>
      <c r="AG165">
        <f>VLOOKUP($H165,'[3]0509人员排班情况 副本'!$G:$U,15,FALSE)</f>
        <v>0</v>
      </c>
    </row>
    <row r="166" customHeight="1" spans="1:33">
      <c r="A166" t="s">
        <v>202</v>
      </c>
      <c r="B166" t="s">
        <v>694</v>
      </c>
      <c r="C166" t="s">
        <v>695</v>
      </c>
      <c r="D166" t="s">
        <v>15</v>
      </c>
      <c r="E166" t="s">
        <v>24</v>
      </c>
      <c r="F166" t="s">
        <v>21</v>
      </c>
      <c r="H166" t="str">
        <f t="shared" si="14"/>
        <v>FL 佛州大区SF 南佛片区MIA01</v>
      </c>
      <c r="I166" t="s">
        <v>177</v>
      </c>
      <c r="J166" t="s">
        <v>229</v>
      </c>
      <c r="K166" s="15">
        <v>0.270833333333333</v>
      </c>
      <c r="L166" s="15" t="s">
        <v>230</v>
      </c>
      <c r="M166" s="15">
        <v>0.278472222222222</v>
      </c>
      <c r="N166" t="s">
        <v>696</v>
      </c>
      <c r="O166" s="20" t="str">
        <f t="shared" si="15"/>
        <v>正确</v>
      </c>
      <c r="P166" s="21">
        <v>0</v>
      </c>
      <c r="Q166" s="21">
        <v>8.05</v>
      </c>
      <c r="R166" s="21">
        <v>0</v>
      </c>
      <c r="S166" s="21">
        <f t="shared" si="16"/>
        <v>8.05</v>
      </c>
      <c r="T166" s="21">
        <f t="shared" si="17"/>
        <v>0.0500000000000007</v>
      </c>
      <c r="U166" s="21" t="str">
        <f t="shared" si="18"/>
        <v>是</v>
      </c>
      <c r="V166" s="21">
        <f>VLOOKUP($C166,[4]Sheet1!$B:$AN,39,FALSE)</f>
        <v>16.02</v>
      </c>
      <c r="W166" s="21">
        <v>0</v>
      </c>
      <c r="X166" s="23">
        <v>3</v>
      </c>
      <c r="Y166" s="23">
        <v>4</v>
      </c>
      <c r="Z166" s="25">
        <f t="shared" si="19"/>
        <v>1</v>
      </c>
      <c r="AA166" s="25" t="str">
        <f t="shared" si="20"/>
        <v>是</v>
      </c>
      <c r="AB166" t="s">
        <v>148</v>
      </c>
      <c r="AC166" t="e">
        <f>VLOOKUP(C166,[1]Sheet1!$C:$O,13,FALSE)</f>
        <v>#N/A</v>
      </c>
      <c r="AD166" t="str">
        <f>VLOOKUP($H166,'[3]0509人员排班情况 副本'!$G:$U,12,FALSE)</f>
        <v>Natalia (Natalia Padilla),孙婕 Jasmine（Sunjie）</v>
      </c>
      <c r="AE166" t="str">
        <f>VLOOKUP($H166,'[3]0509人员排班情况 副本'!$G:$U,13,FALSE)</f>
        <v>贺子强Jeff (Ziqiang He)</v>
      </c>
      <c r="AF166" t="str">
        <f>VLOOKUP($H166,'[3]0509人员排班情况 副本'!$G:$U,14,FALSE)</f>
        <v>王航 Hang (Hang Wang)</v>
      </c>
      <c r="AG166">
        <f>VLOOKUP($H166,'[3]0509人员排班情况 副本'!$G:$U,15,FALSE)</f>
        <v>0</v>
      </c>
    </row>
    <row r="167" customHeight="1" spans="1:33">
      <c r="A167" t="s">
        <v>202</v>
      </c>
      <c r="B167" t="s">
        <v>697</v>
      </c>
      <c r="C167" t="s">
        <v>698</v>
      </c>
      <c r="D167" t="s">
        <v>100</v>
      </c>
      <c r="E167" t="s">
        <v>101</v>
      </c>
      <c r="F167" t="s">
        <v>148</v>
      </c>
      <c r="G167" t="s">
        <v>112</v>
      </c>
      <c r="H167" t="str">
        <f t="shared" si="14"/>
        <v>WE 美西大区CNO.H</v>
      </c>
      <c r="I167" t="s">
        <v>654</v>
      </c>
      <c r="J167" t="s">
        <v>407</v>
      </c>
      <c r="K167" s="15">
        <v>0.354166666666667</v>
      </c>
      <c r="L167" s="15" t="s">
        <v>254</v>
      </c>
      <c r="M167" s="15">
        <v>0.3875</v>
      </c>
      <c r="N167" t="s">
        <v>699</v>
      </c>
      <c r="O167" s="20" t="str">
        <f t="shared" si="15"/>
        <v>正确</v>
      </c>
      <c r="P167" s="21">
        <v>0</v>
      </c>
      <c r="Q167" s="21">
        <v>8.22</v>
      </c>
      <c r="R167" s="21">
        <v>0</v>
      </c>
      <c r="S167" s="21">
        <f t="shared" si="16"/>
        <v>8.22</v>
      </c>
      <c r="T167" s="21">
        <f t="shared" si="17"/>
        <v>0.220000000000001</v>
      </c>
      <c r="U167" s="21" t="str">
        <f t="shared" si="18"/>
        <v>是</v>
      </c>
      <c r="V167" s="21">
        <f>VLOOKUP($C167,[4]Sheet1!$B:$AN,39,FALSE)</f>
        <v>17.77</v>
      </c>
      <c r="W167" s="21">
        <v>0</v>
      </c>
      <c r="X167" s="23">
        <v>2</v>
      </c>
      <c r="Y167" s="23">
        <v>4</v>
      </c>
      <c r="Z167" s="25">
        <f t="shared" si="19"/>
        <v>2</v>
      </c>
      <c r="AA167" s="25" t="str">
        <f t="shared" si="20"/>
        <v>是</v>
      </c>
      <c r="AB167" t="s">
        <v>148</v>
      </c>
      <c r="AC167" t="e">
        <f>VLOOKUP(C167,[1]Sheet1!$C:$O,13,FALSE)</f>
        <v>#N/A</v>
      </c>
      <c r="AD167" t="str">
        <f>VLOOKUP($H167,'[3]0509人员排班情况 副本'!$G:$U,12,FALSE)</f>
        <v>王骞Ariel（Qian Wang）,叶秀芳Freya (Xiufang Ye)</v>
      </c>
      <c r="AE167" t="str">
        <f>VLOOKUP($H167,'[3]0509人员排班情况 副本'!$G:$U,13,FALSE)</f>
        <v>常哲</v>
      </c>
      <c r="AF167">
        <f>VLOOKUP($H167,'[3]0509人员排班情况 副本'!$G:$U,14,FALSE)</f>
        <v>0</v>
      </c>
      <c r="AG167">
        <f>VLOOKUP($H167,'[3]0509人员排班情况 副本'!$G:$U,15,FALSE)</f>
        <v>0</v>
      </c>
    </row>
    <row r="168" customHeight="1" spans="1:33">
      <c r="A168" t="s">
        <v>202</v>
      </c>
      <c r="B168" t="s">
        <v>700</v>
      </c>
      <c r="C168" t="s">
        <v>701</v>
      </c>
      <c r="D168" t="s">
        <v>68</v>
      </c>
      <c r="E168" t="s">
        <v>73</v>
      </c>
      <c r="F168" t="s">
        <v>166</v>
      </c>
      <c r="G168" t="s">
        <v>112</v>
      </c>
      <c r="H168" t="str">
        <f t="shared" si="14"/>
        <v>NE 东北大区BWI.H综办组</v>
      </c>
      <c r="I168" t="s">
        <v>167</v>
      </c>
      <c r="J168" t="s">
        <v>217</v>
      </c>
      <c r="K168" s="15">
        <v>0.395833333333333</v>
      </c>
      <c r="L168" s="15" t="s">
        <v>218</v>
      </c>
      <c r="M168" s="15"/>
      <c r="N168" t="s">
        <v>148</v>
      </c>
      <c r="O168" s="20" t="s">
        <v>116</v>
      </c>
      <c r="P168" s="21">
        <v>0</v>
      </c>
      <c r="Q168" s="21">
        <v>0</v>
      </c>
      <c r="R168" s="21">
        <v>0</v>
      </c>
      <c r="S168" s="21">
        <f t="shared" si="16"/>
        <v>0</v>
      </c>
      <c r="T168" s="21">
        <f t="shared" si="17"/>
        <v>0</v>
      </c>
      <c r="U168" s="21" t="str">
        <f t="shared" si="18"/>
        <v>否</v>
      </c>
      <c r="V168" s="21">
        <f>VLOOKUP($C168,[4]Sheet1!$B:$AN,39,FALSE)</f>
        <v>0</v>
      </c>
      <c r="W168" s="21">
        <v>0</v>
      </c>
      <c r="X168" s="23">
        <v>0</v>
      </c>
      <c r="Y168" s="23">
        <v>0</v>
      </c>
      <c r="Z168" s="25">
        <f t="shared" si="19"/>
        <v>0</v>
      </c>
      <c r="AA168" s="25" t="str">
        <f t="shared" si="20"/>
        <v>是</v>
      </c>
      <c r="AB168" t="s">
        <v>148</v>
      </c>
      <c r="AC168" t="e">
        <f>VLOOKUP(C168,[1]Sheet1!$C:$O,13,FALSE)</f>
        <v>#N/A</v>
      </c>
      <c r="AD168" t="str">
        <f>VLOOKUP($H168,'[3]0509人员排班情况 副本'!$G:$U,12,FALSE)</f>
        <v>孙可君Monica（Kejun Sun）</v>
      </c>
      <c r="AE168" t="str">
        <f>VLOOKUP($H168,'[3]0509人员排班情况 副本'!$G:$U,13,FALSE)</f>
        <v>马聪Cong (Cong Ma)</v>
      </c>
      <c r="AF168" t="str">
        <f>VLOOKUP($H168,'[3]0509人员排班情况 副本'!$G:$U,14,FALSE)</f>
        <v>Minqing (Minqing Xu),罗煜雄 Mike (Yuxiong Luo)</v>
      </c>
      <c r="AG168">
        <f>VLOOKUP($H168,'[3]0509人员排班情况 副本'!$G:$U,15,FALSE)</f>
        <v>0</v>
      </c>
    </row>
    <row r="169" customHeight="1" spans="1:33">
      <c r="A169" t="s">
        <v>202</v>
      </c>
      <c r="B169" t="s">
        <v>702</v>
      </c>
      <c r="C169" t="s">
        <v>703</v>
      </c>
      <c r="D169" t="s">
        <v>68</v>
      </c>
      <c r="E169" t="s">
        <v>76</v>
      </c>
      <c r="F169" t="s">
        <v>243</v>
      </c>
      <c r="G169" t="s">
        <v>112</v>
      </c>
      <c r="H169" t="str">
        <f t="shared" si="14"/>
        <v>NE 东北大区EWR.H调度组</v>
      </c>
      <c r="I169" t="s">
        <v>160</v>
      </c>
      <c r="J169" t="s">
        <v>249</v>
      </c>
      <c r="K169" s="15">
        <v>0.458333333333333</v>
      </c>
      <c r="L169" s="15" t="s">
        <v>250</v>
      </c>
      <c r="M169" s="15">
        <v>0.454861111111111</v>
      </c>
      <c r="N169" t="s">
        <v>148</v>
      </c>
      <c r="O169" s="20" t="str">
        <f t="shared" si="15"/>
        <v>正确</v>
      </c>
      <c r="P169" s="21">
        <v>0</v>
      </c>
      <c r="Q169" s="21">
        <v>0</v>
      </c>
      <c r="R169" s="21">
        <v>0</v>
      </c>
      <c r="S169" s="21">
        <f t="shared" si="16"/>
        <v>0</v>
      </c>
      <c r="T169" s="21">
        <f t="shared" si="17"/>
        <v>0</v>
      </c>
      <c r="U169" s="21" t="str">
        <f t="shared" si="18"/>
        <v>否</v>
      </c>
      <c r="V169" s="21">
        <f>VLOOKUP($C169,[4]Sheet1!$B:$AN,39,FALSE)</f>
        <v>8.12</v>
      </c>
      <c r="W169" s="21">
        <v>0</v>
      </c>
      <c r="X169" s="23">
        <v>1</v>
      </c>
      <c r="Y169" s="23">
        <v>4</v>
      </c>
      <c r="Z169" s="25">
        <f t="shared" si="19"/>
        <v>3</v>
      </c>
      <c r="AA169" s="25" t="str">
        <f t="shared" si="20"/>
        <v>是</v>
      </c>
      <c r="AB169" t="s">
        <v>148</v>
      </c>
      <c r="AC169" t="e">
        <f>VLOOKUP(C169,[1]Sheet1!$C:$O,13,FALSE)</f>
        <v>#N/A</v>
      </c>
      <c r="AD169" t="str">
        <f>VLOOKUP($H169,'[3]0509人员排班情况 副本'!$G:$U,12,FALSE)</f>
        <v>孙可君Monica（Kejun Sun）</v>
      </c>
      <c r="AE169" t="str">
        <f>VLOOKUP($H169,'[3]0509人员排班情况 副本'!$G:$U,13,FALSE)</f>
        <v>马聪Cong (Cong Ma)</v>
      </c>
      <c r="AF169" t="str">
        <f>VLOOKUP($H169,'[3]0509人员排班情况 副本'!$G:$U,14,FALSE)</f>
        <v>Minqing (Minqing Xu),罗煜雄 Mike (Yuxiong Luo)</v>
      </c>
      <c r="AG169">
        <f>VLOOKUP($H169,'[3]0509人员排班情况 副本'!$G:$U,15,FALSE)</f>
        <v>0</v>
      </c>
    </row>
    <row r="170" customHeight="1" spans="1:33">
      <c r="A170" t="s">
        <v>202</v>
      </c>
      <c r="B170" t="s">
        <v>704</v>
      </c>
      <c r="C170" t="s">
        <v>705</v>
      </c>
      <c r="D170" t="s">
        <v>100</v>
      </c>
      <c r="E170" t="s">
        <v>107</v>
      </c>
      <c r="F170" t="s">
        <v>706</v>
      </c>
      <c r="H170" t="str">
        <f t="shared" si="14"/>
        <v>WE 美西大区SP 西雅图·波特兰片区PDX01</v>
      </c>
      <c r="I170" t="s">
        <v>156</v>
      </c>
      <c r="J170" t="s">
        <v>343</v>
      </c>
      <c r="K170" s="15">
        <v>0.25</v>
      </c>
      <c r="L170" s="15" t="s">
        <v>344</v>
      </c>
      <c r="M170" s="15">
        <v>0.177777777777778</v>
      </c>
      <c r="N170" t="s">
        <v>148</v>
      </c>
      <c r="O170" s="20" t="str">
        <f t="shared" si="15"/>
        <v>不正确</v>
      </c>
      <c r="P170" s="21">
        <v>0</v>
      </c>
      <c r="Q170" s="21">
        <v>0</v>
      </c>
      <c r="R170" s="21">
        <v>0</v>
      </c>
      <c r="S170" s="21">
        <f t="shared" si="16"/>
        <v>0</v>
      </c>
      <c r="T170" s="21">
        <f t="shared" si="17"/>
        <v>0</v>
      </c>
      <c r="U170" s="21" t="str">
        <f t="shared" si="18"/>
        <v>否</v>
      </c>
      <c r="V170" s="21">
        <f>VLOOKUP($C170,[4]Sheet1!$B:$AN,39,FALSE)</f>
        <v>0</v>
      </c>
      <c r="W170" s="21">
        <v>0</v>
      </c>
      <c r="X170" s="23">
        <v>2</v>
      </c>
      <c r="Y170" s="23">
        <v>4</v>
      </c>
      <c r="Z170" s="25">
        <f t="shared" si="19"/>
        <v>2</v>
      </c>
      <c r="AA170" s="25" t="str">
        <f t="shared" si="20"/>
        <v>是</v>
      </c>
      <c r="AB170" t="s">
        <v>148</v>
      </c>
      <c r="AC170" t="e">
        <f>VLOOKUP(C170,[1]Sheet1!$C:$O,13,FALSE)</f>
        <v>#N/A</v>
      </c>
      <c r="AD170" t="str">
        <f>VLOOKUP($H170,'[3]0509人员排班情况 副本'!$G:$U,12,FALSE)</f>
        <v>王骞Ariel（Qian Wang）,叶秀芳Freya (Xiufang Ye)</v>
      </c>
      <c r="AE170" t="str">
        <f>VLOOKUP($H170,'[3]0509人员排班情况 副本'!$G:$U,13,FALSE)</f>
        <v>常哲</v>
      </c>
      <c r="AF170" t="str">
        <f>VLOOKUP($H170,'[3]0509人员排班情况 副本'!$G:$U,14,FALSE)</f>
        <v>尤梦楠Yuko（Mengnan You）</v>
      </c>
      <c r="AG170">
        <f>VLOOKUP($H170,'[3]0509人员排班情况 副本'!$G:$U,15,FALSE)</f>
        <v>0</v>
      </c>
    </row>
    <row r="171" customHeight="1" spans="1:33">
      <c r="A171" t="s">
        <v>202</v>
      </c>
      <c r="B171" t="s">
        <v>707</v>
      </c>
      <c r="C171" t="s">
        <v>708</v>
      </c>
      <c r="D171" t="s">
        <v>99</v>
      </c>
      <c r="E171" t="s">
        <v>677</v>
      </c>
      <c r="F171" t="s">
        <v>709</v>
      </c>
      <c r="H171" t="str">
        <f t="shared" si="14"/>
        <v>US人力资源部美洲HRBP组加拿大HR组</v>
      </c>
      <c r="I171" t="s">
        <v>710</v>
      </c>
      <c r="J171" t="s">
        <v>295</v>
      </c>
      <c r="K171" s="15">
        <v>0.375</v>
      </c>
      <c r="L171" s="15" t="s">
        <v>296</v>
      </c>
      <c r="M171" s="15"/>
      <c r="N171" t="s">
        <v>148</v>
      </c>
      <c r="O171" s="20" t="str">
        <f t="shared" si="15"/>
        <v>不正确</v>
      </c>
      <c r="P171" s="21">
        <v>0</v>
      </c>
      <c r="Q171" s="21">
        <v>0</v>
      </c>
      <c r="R171" s="21">
        <v>0</v>
      </c>
      <c r="S171" s="21">
        <f t="shared" si="16"/>
        <v>0</v>
      </c>
      <c r="T171" s="21">
        <f t="shared" si="17"/>
        <v>0</v>
      </c>
      <c r="U171" s="21" t="str">
        <f t="shared" si="18"/>
        <v>否</v>
      </c>
      <c r="V171" s="21">
        <f>VLOOKUP($C171,[4]Sheet1!$B:$AN,39,FALSE)</f>
        <v>0</v>
      </c>
      <c r="W171" s="21">
        <v>0</v>
      </c>
      <c r="X171" s="23">
        <v>0</v>
      </c>
      <c r="Y171" s="23">
        <v>4</v>
      </c>
      <c r="Z171" s="25">
        <f t="shared" si="19"/>
        <v>4</v>
      </c>
      <c r="AA171" s="25" t="str">
        <f t="shared" si="20"/>
        <v>是</v>
      </c>
      <c r="AB171" t="s">
        <v>148</v>
      </c>
      <c r="AC171" t="s">
        <v>711</v>
      </c>
      <c r="AD171" t="s">
        <v>712</v>
      </c>
      <c r="AE171" t="e">
        <f>VLOOKUP($H171,'[3]0509人员排班情况 副本'!$G:$U,13,FALSE)</f>
        <v>#N/A</v>
      </c>
      <c r="AF171" t="e">
        <f>VLOOKUP($H171,'[3]0509人员排班情况 副本'!$G:$U,14,FALSE)</f>
        <v>#N/A</v>
      </c>
      <c r="AG171" t="e">
        <f>VLOOKUP($H171,'[3]0509人员排班情况 副本'!$G:$U,15,FALSE)</f>
        <v>#N/A</v>
      </c>
    </row>
    <row r="172" customHeight="1" spans="1:33">
      <c r="A172" t="s">
        <v>202</v>
      </c>
      <c r="B172" t="s">
        <v>713</v>
      </c>
      <c r="C172" t="s">
        <v>714</v>
      </c>
      <c r="D172" t="s">
        <v>15</v>
      </c>
      <c r="E172" t="s">
        <v>20</v>
      </c>
      <c r="F172" t="s">
        <v>166</v>
      </c>
      <c r="G172" t="s">
        <v>112</v>
      </c>
      <c r="H172" t="str">
        <f t="shared" si="14"/>
        <v>FL 佛州大区MIA.H综办组</v>
      </c>
      <c r="I172" t="s">
        <v>167</v>
      </c>
      <c r="J172" t="s">
        <v>229</v>
      </c>
      <c r="K172" s="15">
        <v>0.270833333333333</v>
      </c>
      <c r="L172" s="15" t="s">
        <v>230</v>
      </c>
      <c r="M172" s="15">
        <v>0.290972222222222</v>
      </c>
      <c r="N172" t="s">
        <v>715</v>
      </c>
      <c r="O172" s="20" t="str">
        <f t="shared" si="15"/>
        <v>正确</v>
      </c>
      <c r="P172" s="21">
        <v>0</v>
      </c>
      <c r="Q172" s="21">
        <v>8.67</v>
      </c>
      <c r="R172" s="21">
        <v>0</v>
      </c>
      <c r="S172" s="21">
        <f t="shared" si="16"/>
        <v>8.67</v>
      </c>
      <c r="T172" s="21">
        <f t="shared" si="17"/>
        <v>0.67</v>
      </c>
      <c r="U172" s="21" t="str">
        <f t="shared" si="18"/>
        <v>是</v>
      </c>
      <c r="V172" s="21">
        <f>VLOOKUP($C172,[4]Sheet1!$B:$AN,39,FALSE)</f>
        <v>8.67</v>
      </c>
      <c r="W172" s="21">
        <v>0</v>
      </c>
      <c r="X172" s="23">
        <v>4</v>
      </c>
      <c r="Y172" s="23">
        <v>4</v>
      </c>
      <c r="Z172" s="25">
        <f t="shared" si="19"/>
        <v>0</v>
      </c>
      <c r="AA172" s="25" t="str">
        <f t="shared" si="20"/>
        <v>是</v>
      </c>
      <c r="AB172" t="s">
        <v>148</v>
      </c>
      <c r="AC172" t="e">
        <f>VLOOKUP(C172,[1]Sheet1!$C:$O,13,FALSE)</f>
        <v>#N/A</v>
      </c>
      <c r="AD172" t="str">
        <f>VLOOKUP($H172,'[3]0509人员排班情况 副本'!$G:$U,12,FALSE)</f>
        <v>Natalia (Natalia Padilla),孙婕 Jasmine（Sunjie）</v>
      </c>
      <c r="AE172" t="str">
        <f>VLOOKUP($H172,'[3]0509人员排班情况 副本'!$G:$U,13,FALSE)</f>
        <v>贺子强Jeff (Ziqiang He)</v>
      </c>
      <c r="AF172" t="str">
        <f>VLOOKUP($H172,'[3]0509人员排班情况 副本'!$G:$U,14,FALSE)</f>
        <v>Minqing (Minqing Xu),罗煜雄 Mike (Yuxiong Luo)</v>
      </c>
      <c r="AG172">
        <f>VLOOKUP($H172,'[3]0509人员排班情况 副本'!$G:$U,15,FALSE)</f>
        <v>0</v>
      </c>
    </row>
    <row r="173" customHeight="1" spans="1:33">
      <c r="A173" t="s">
        <v>202</v>
      </c>
      <c r="B173" t="s">
        <v>716</v>
      </c>
      <c r="C173" t="s">
        <v>717</v>
      </c>
      <c r="D173" t="s">
        <v>58</v>
      </c>
      <c r="E173" t="s">
        <v>59</v>
      </c>
      <c r="F173" t="s">
        <v>718</v>
      </c>
      <c r="H173" t="str">
        <f t="shared" si="14"/>
        <v>MS 中南大区AS 奥萨查沿海片区AGS01</v>
      </c>
      <c r="I173" t="s">
        <v>177</v>
      </c>
      <c r="J173" t="s">
        <v>229</v>
      </c>
      <c r="K173" s="15">
        <v>0.270833333333333</v>
      </c>
      <c r="L173" s="15" t="s">
        <v>230</v>
      </c>
      <c r="M173" s="15">
        <v>0.261111111111111</v>
      </c>
      <c r="N173" t="s">
        <v>719</v>
      </c>
      <c r="O173" s="20" t="str">
        <f t="shared" si="15"/>
        <v>正确</v>
      </c>
      <c r="P173" s="21">
        <v>0</v>
      </c>
      <c r="Q173" s="21">
        <v>14.42</v>
      </c>
      <c r="R173" s="21">
        <v>0</v>
      </c>
      <c r="S173" s="21">
        <f t="shared" si="16"/>
        <v>14.42</v>
      </c>
      <c r="T173" s="21">
        <f t="shared" si="17"/>
        <v>6.42</v>
      </c>
      <c r="U173" s="21" t="str">
        <f t="shared" si="18"/>
        <v>是</v>
      </c>
      <c r="V173" s="21">
        <f>VLOOKUP($C173,[4]Sheet1!$B:$AN,39,FALSE)</f>
        <v>26.25</v>
      </c>
      <c r="W173" s="21">
        <v>0</v>
      </c>
      <c r="X173" s="23">
        <v>4</v>
      </c>
      <c r="Y173" s="23">
        <v>4</v>
      </c>
      <c r="Z173" s="25">
        <f t="shared" si="19"/>
        <v>0</v>
      </c>
      <c r="AA173" s="25" t="str">
        <f t="shared" si="20"/>
        <v>是</v>
      </c>
      <c r="AB173" t="s">
        <v>148</v>
      </c>
      <c r="AC173" t="e">
        <f>VLOOKUP(C173,[1]Sheet1!$C:$O,13,FALSE)</f>
        <v>#N/A</v>
      </c>
      <c r="AD173" t="str">
        <f>VLOOKUP($H173,'[3]0509人员排班情况 副本'!$G:$U,12,FALSE)</f>
        <v>欧阳迎春Flower（Yingchun Ouyang）</v>
      </c>
      <c r="AE173" t="str">
        <f>VLOOKUP($H173,'[3]0509人员排班情况 副本'!$G:$U,13,FALSE)</f>
        <v>杨云飞</v>
      </c>
      <c r="AF173" t="str">
        <f>VLOOKUP($H173,'[3]0509人员排班情况 副本'!$G:$U,14,FALSE)</f>
        <v>任洁琼Rachel（Jieqiong Ren）</v>
      </c>
      <c r="AG173">
        <f>VLOOKUP($H173,'[3]0509人员排班情况 副本'!$G:$U,15,FALSE)</f>
        <v>0</v>
      </c>
    </row>
    <row r="174" customHeight="1" spans="1:33">
      <c r="A174" t="s">
        <v>202</v>
      </c>
      <c r="B174" t="s">
        <v>720</v>
      </c>
      <c r="C174" t="s">
        <v>721</v>
      </c>
      <c r="D174" t="s">
        <v>68</v>
      </c>
      <c r="E174" t="s">
        <v>75</v>
      </c>
      <c r="F174" t="s">
        <v>722</v>
      </c>
      <c r="H174" t="str">
        <f t="shared" si="14"/>
        <v>NE 东北大区DC 华盛顿片区DCA01</v>
      </c>
      <c r="I174" t="s">
        <v>177</v>
      </c>
      <c r="J174" t="s">
        <v>217</v>
      </c>
      <c r="K174" s="15">
        <v>0.395833333333333</v>
      </c>
      <c r="L174" s="15" t="s">
        <v>218</v>
      </c>
      <c r="M174" s="15"/>
      <c r="N174" t="s">
        <v>148</v>
      </c>
      <c r="O174" s="20" t="s">
        <v>116</v>
      </c>
      <c r="P174" s="21">
        <v>0</v>
      </c>
      <c r="Q174" s="21">
        <v>0</v>
      </c>
      <c r="R174" s="21">
        <v>0</v>
      </c>
      <c r="S174" s="21">
        <f t="shared" si="16"/>
        <v>0</v>
      </c>
      <c r="T174" s="21">
        <f t="shared" si="17"/>
        <v>0</v>
      </c>
      <c r="U174" s="21" t="str">
        <f t="shared" si="18"/>
        <v>否</v>
      </c>
      <c r="V174" s="21">
        <f>VLOOKUP($C174,[4]Sheet1!$B:$AN,39,FALSE)</f>
        <v>8.07</v>
      </c>
      <c r="W174" s="21">
        <v>0</v>
      </c>
      <c r="X174" s="23">
        <v>0</v>
      </c>
      <c r="Y174" s="23">
        <v>0</v>
      </c>
      <c r="Z174" s="25">
        <f t="shared" si="19"/>
        <v>0</v>
      </c>
      <c r="AA174" s="25" t="str">
        <f t="shared" si="20"/>
        <v>是</v>
      </c>
      <c r="AB174" t="s">
        <v>148</v>
      </c>
      <c r="AC174" t="e">
        <f>VLOOKUP(C174,[1]Sheet1!$C:$O,13,FALSE)</f>
        <v>#N/A</v>
      </c>
      <c r="AD174" t="str">
        <f>VLOOKUP($H174,'[3]0509人员排班情况 副本'!$G:$U,12,FALSE)</f>
        <v>孙可君Monica（Kejun Sun）</v>
      </c>
      <c r="AE174" t="str">
        <f>VLOOKUP($H174,'[3]0509人员排班情况 副本'!$G:$U,13,FALSE)</f>
        <v>马聪Cong (Cong Ma)</v>
      </c>
      <c r="AF174" t="str">
        <f>VLOOKUP($H174,'[3]0509人员排班情况 副本'!$G:$U,14,FALSE)</f>
        <v>朱晗宇 Peter (Hanyu Zhu)</v>
      </c>
      <c r="AG174">
        <f>VLOOKUP($H174,'[3]0509人员排班情况 副本'!$G:$U,15,FALSE)</f>
        <v>0</v>
      </c>
    </row>
    <row r="175" customHeight="1" spans="1:33">
      <c r="A175" t="s">
        <v>202</v>
      </c>
      <c r="B175" t="s">
        <v>723</v>
      </c>
      <c r="C175" t="s">
        <v>724</v>
      </c>
      <c r="D175" t="s">
        <v>100</v>
      </c>
      <c r="E175" t="s">
        <v>107</v>
      </c>
      <c r="F175" t="s">
        <v>706</v>
      </c>
      <c r="H175" t="str">
        <f t="shared" si="14"/>
        <v>WE 美西大区SP 西雅图·波特兰片区PDX01</v>
      </c>
      <c r="I175" t="s">
        <v>156</v>
      </c>
      <c r="J175" t="s">
        <v>725</v>
      </c>
      <c r="K175" s="15">
        <v>0.125</v>
      </c>
      <c r="L175" s="15" t="s">
        <v>642</v>
      </c>
      <c r="M175" s="15">
        <v>0.0645833333333333</v>
      </c>
      <c r="N175" t="s">
        <v>726</v>
      </c>
      <c r="O175" s="20" t="str">
        <f t="shared" si="15"/>
        <v>不正确</v>
      </c>
      <c r="P175" s="21">
        <v>0</v>
      </c>
      <c r="Q175" s="21">
        <v>12.32</v>
      </c>
      <c r="R175" s="21">
        <v>0</v>
      </c>
      <c r="S175" s="21">
        <f t="shared" si="16"/>
        <v>12.32</v>
      </c>
      <c r="T175" s="21">
        <f t="shared" si="17"/>
        <v>4.32</v>
      </c>
      <c r="U175" s="21" t="str">
        <f t="shared" si="18"/>
        <v>是</v>
      </c>
      <c r="V175" s="21">
        <f>VLOOKUP($C175,[4]Sheet1!$B:$AN,39,FALSE)</f>
        <v>21.19</v>
      </c>
      <c r="W175" s="21">
        <v>0</v>
      </c>
      <c r="X175" s="23">
        <v>4</v>
      </c>
      <c r="Y175" s="23">
        <v>4</v>
      </c>
      <c r="Z175" s="25">
        <f t="shared" si="19"/>
        <v>0</v>
      </c>
      <c r="AA175" s="25" t="str">
        <f t="shared" si="20"/>
        <v>是</v>
      </c>
      <c r="AB175" t="s">
        <v>148</v>
      </c>
      <c r="AC175" t="e">
        <f>VLOOKUP(C175,[1]Sheet1!$C:$O,13,FALSE)</f>
        <v>#N/A</v>
      </c>
      <c r="AD175" t="str">
        <f>VLOOKUP($H175,'[3]0509人员排班情况 副本'!$G:$U,12,FALSE)</f>
        <v>王骞Ariel（Qian Wang）,叶秀芳Freya (Xiufang Ye)</v>
      </c>
      <c r="AE175" t="str">
        <f>VLOOKUP($H175,'[3]0509人员排班情况 副本'!$G:$U,13,FALSE)</f>
        <v>常哲</v>
      </c>
      <c r="AF175" t="str">
        <f>VLOOKUP($H175,'[3]0509人员排班情况 副本'!$G:$U,14,FALSE)</f>
        <v>尤梦楠Yuko（Mengnan You）</v>
      </c>
      <c r="AG175">
        <f>VLOOKUP($H175,'[3]0509人员排班情况 副本'!$G:$U,15,FALSE)</f>
        <v>0</v>
      </c>
    </row>
    <row r="176" customHeight="1" spans="1:33">
      <c r="A176" t="s">
        <v>202</v>
      </c>
      <c r="B176" t="s">
        <v>727</v>
      </c>
      <c r="C176" t="s">
        <v>728</v>
      </c>
      <c r="D176" t="s">
        <v>100</v>
      </c>
      <c r="E176" t="s">
        <v>102</v>
      </c>
      <c r="F176" t="s">
        <v>729</v>
      </c>
      <c r="H176" t="str">
        <f t="shared" si="14"/>
        <v>WE 美西大区DS 丹佛·盐湖城片区DEN01</v>
      </c>
      <c r="I176" t="s">
        <v>406</v>
      </c>
      <c r="J176" t="s">
        <v>655</v>
      </c>
      <c r="K176" s="15">
        <v>0.583333333333333</v>
      </c>
      <c r="L176" s="15" t="s">
        <v>656</v>
      </c>
      <c r="M176" s="15">
        <v>0.61875</v>
      </c>
      <c r="N176" t="s">
        <v>730</v>
      </c>
      <c r="O176" s="20" t="str">
        <f t="shared" si="15"/>
        <v>正确</v>
      </c>
      <c r="P176" s="21">
        <v>0</v>
      </c>
      <c r="Q176" s="21">
        <v>6.48</v>
      </c>
      <c r="R176" s="21">
        <v>0</v>
      </c>
      <c r="S176" s="21">
        <f t="shared" si="16"/>
        <v>6.48</v>
      </c>
      <c r="T176" s="21">
        <f t="shared" si="17"/>
        <v>0</v>
      </c>
      <c r="U176" s="21" t="str">
        <f t="shared" si="18"/>
        <v>否</v>
      </c>
      <c r="V176" s="21">
        <f>VLOOKUP($C176,[4]Sheet1!$B:$AN,39,FALSE)</f>
        <v>6.48</v>
      </c>
      <c r="W176" s="21">
        <v>17.07</v>
      </c>
      <c r="X176" s="23">
        <v>2</v>
      </c>
      <c r="Y176" s="23">
        <v>4</v>
      </c>
      <c r="Z176" s="25">
        <f t="shared" si="19"/>
        <v>2</v>
      </c>
      <c r="AA176" s="25" t="str">
        <f t="shared" si="20"/>
        <v>是</v>
      </c>
      <c r="AB176" t="s">
        <v>148</v>
      </c>
      <c r="AC176" t="e">
        <f>VLOOKUP(C176,[1]Sheet1!$C:$O,13,FALSE)</f>
        <v>#N/A</v>
      </c>
      <c r="AD176" t="str">
        <f>VLOOKUP($H176,'[3]0509人员排班情况 副本'!$G:$U,12,FALSE)</f>
        <v>王骞Ariel（Qian Wang）,叶秀芳Freya (Xiufang Ye)</v>
      </c>
      <c r="AE176" t="str">
        <f>VLOOKUP($H176,'[3]0509人员排班情况 副本'!$G:$U,13,FALSE)</f>
        <v>常哲</v>
      </c>
      <c r="AF176" t="str">
        <f>VLOOKUP($H176,'[3]0509人员排班情况 副本'!$G:$U,14,FALSE)</f>
        <v>兰鹏Peng（Peng Lan）</v>
      </c>
      <c r="AG176">
        <f>VLOOKUP($H176,'[3]0509人员排班情况 副本'!$G:$U,15,FALSE)</f>
        <v>0</v>
      </c>
    </row>
    <row r="177" customHeight="1" spans="1:33">
      <c r="A177" t="s">
        <v>202</v>
      </c>
      <c r="B177" t="s">
        <v>731</v>
      </c>
      <c r="C177" t="s">
        <v>732</v>
      </c>
      <c r="D177" t="s">
        <v>68</v>
      </c>
      <c r="E177" t="s">
        <v>78</v>
      </c>
      <c r="F177" t="s">
        <v>148</v>
      </c>
      <c r="G177" t="s">
        <v>112</v>
      </c>
      <c r="H177" t="str">
        <f t="shared" si="14"/>
        <v>NE 东北大区JFK.H</v>
      </c>
      <c r="I177" t="s">
        <v>733</v>
      </c>
      <c r="J177" t="s">
        <v>217</v>
      </c>
      <c r="K177" s="15">
        <v>0.395833333333333</v>
      </c>
      <c r="L177" s="15" t="s">
        <v>218</v>
      </c>
      <c r="M177" s="15"/>
      <c r="N177" t="s">
        <v>148</v>
      </c>
      <c r="O177" s="20" t="s">
        <v>116</v>
      </c>
      <c r="P177" s="21">
        <v>0</v>
      </c>
      <c r="Q177" s="21">
        <v>0</v>
      </c>
      <c r="R177" s="21">
        <v>0</v>
      </c>
      <c r="S177" s="21">
        <f t="shared" si="16"/>
        <v>0</v>
      </c>
      <c r="T177" s="21">
        <f t="shared" si="17"/>
        <v>0</v>
      </c>
      <c r="U177" s="21" t="str">
        <f t="shared" si="18"/>
        <v>否</v>
      </c>
      <c r="V177" s="21">
        <f>VLOOKUP($C177,[4]Sheet1!$B:$AN,39,FALSE)</f>
        <v>0</v>
      </c>
      <c r="W177" s="21">
        <v>0</v>
      </c>
      <c r="X177" s="23">
        <v>0</v>
      </c>
      <c r="Y177" s="23">
        <v>0</v>
      </c>
      <c r="Z177" s="25">
        <f t="shared" si="19"/>
        <v>0</v>
      </c>
      <c r="AA177" s="25" t="str">
        <f t="shared" si="20"/>
        <v>是</v>
      </c>
      <c r="AB177" t="s">
        <v>148</v>
      </c>
      <c r="AC177" t="e">
        <f>VLOOKUP(C177,[1]Sheet1!$C:$O,13,FALSE)</f>
        <v>#N/A</v>
      </c>
      <c r="AD177" t="str">
        <f>VLOOKUP($H177,'[3]0509人员排班情况 副本'!$G:$U,12,FALSE)</f>
        <v>孙可君Monica（Kejun Sun）</v>
      </c>
      <c r="AE177" t="str">
        <f>VLOOKUP($H177,'[3]0509人员排班情况 副本'!$G:$U,13,FALSE)</f>
        <v>马聪Cong (Cong Ma)</v>
      </c>
      <c r="AF177">
        <f>VLOOKUP($H177,'[3]0509人员排班情况 副本'!$G:$U,14,FALSE)</f>
        <v>0</v>
      </c>
      <c r="AG177">
        <f>VLOOKUP($H177,'[3]0509人员排班情况 副本'!$G:$U,15,FALSE)</f>
        <v>0</v>
      </c>
    </row>
    <row r="178" customHeight="1" spans="1:33">
      <c r="A178" t="s">
        <v>202</v>
      </c>
      <c r="B178" t="s">
        <v>734</v>
      </c>
      <c r="C178" t="s">
        <v>735</v>
      </c>
      <c r="D178" t="s">
        <v>89</v>
      </c>
      <c r="E178" t="s">
        <v>736</v>
      </c>
      <c r="F178" t="s">
        <v>148</v>
      </c>
      <c r="H178" t="str">
        <f t="shared" si="14"/>
        <v>QC 质量控制部质量改善组</v>
      </c>
      <c r="I178" t="s">
        <v>737</v>
      </c>
      <c r="J178" t="s">
        <v>236</v>
      </c>
      <c r="K178" s="15">
        <v>0.395833333333333</v>
      </c>
      <c r="L178" s="15" t="s">
        <v>218</v>
      </c>
      <c r="M178" s="15">
        <v>0.317361111111111</v>
      </c>
      <c r="N178" t="s">
        <v>738</v>
      </c>
      <c r="O178" s="20" t="str">
        <f t="shared" si="15"/>
        <v>不正确</v>
      </c>
      <c r="P178" s="21">
        <v>0</v>
      </c>
      <c r="Q178" s="21">
        <v>8.5</v>
      </c>
      <c r="R178" s="21">
        <v>0</v>
      </c>
      <c r="S178" s="21">
        <f t="shared" si="16"/>
        <v>8.5</v>
      </c>
      <c r="T178" s="21">
        <f t="shared" si="17"/>
        <v>0.5</v>
      </c>
      <c r="U178" s="21" t="str">
        <f t="shared" si="18"/>
        <v>是</v>
      </c>
      <c r="V178" s="21">
        <f>VLOOKUP($C178,[4]Sheet1!$B:$AN,39,FALSE)</f>
        <v>17.18</v>
      </c>
      <c r="W178" s="21">
        <v>0</v>
      </c>
      <c r="X178" s="23">
        <v>2</v>
      </c>
      <c r="Y178" s="23">
        <v>4</v>
      </c>
      <c r="Z178" s="25">
        <f t="shared" si="19"/>
        <v>2</v>
      </c>
      <c r="AA178" s="25" t="str">
        <f t="shared" si="20"/>
        <v>是</v>
      </c>
      <c r="AB178" t="s">
        <v>148</v>
      </c>
      <c r="AC178" t="e">
        <f>VLOOKUP(C178,[1]Sheet1!$C:$O,13,FALSE)</f>
        <v>#N/A</v>
      </c>
      <c r="AD178" t="str">
        <f>VLOOKUP($H178,'[3]0509人员排班情况 副本'!$G:$U,12,FALSE)</f>
        <v>袁博闻(Bowen Yuan)</v>
      </c>
      <c r="AE178">
        <f>VLOOKUP($H178,'[3]0509人员排班情况 副本'!$G:$U,13,FALSE)</f>
        <v>0</v>
      </c>
      <c r="AF178">
        <f>VLOOKUP($H178,'[3]0509人员排班情况 副本'!$G:$U,14,FALSE)</f>
        <v>0</v>
      </c>
      <c r="AG178">
        <f>VLOOKUP($H178,'[3]0509人员排班情况 副本'!$G:$U,15,FALSE)</f>
        <v>0</v>
      </c>
    </row>
    <row r="179" customHeight="1" spans="1:33">
      <c r="A179" t="s">
        <v>202</v>
      </c>
      <c r="B179" t="s">
        <v>739</v>
      </c>
      <c r="C179" t="s">
        <v>740</v>
      </c>
      <c r="D179" t="s">
        <v>68</v>
      </c>
      <c r="E179" t="s">
        <v>70</v>
      </c>
      <c r="F179" t="s">
        <v>741</v>
      </c>
      <c r="H179" t="str">
        <f t="shared" si="14"/>
        <v>NE 东北大区BN 布法罗片区SYR01</v>
      </c>
      <c r="I179" t="s">
        <v>177</v>
      </c>
      <c r="J179" t="s">
        <v>217</v>
      </c>
      <c r="K179" s="15">
        <v>0.395833333333333</v>
      </c>
      <c r="L179" s="15" t="s">
        <v>218</v>
      </c>
      <c r="M179" s="15"/>
      <c r="N179" t="s">
        <v>148</v>
      </c>
      <c r="O179" s="20" t="s">
        <v>116</v>
      </c>
      <c r="P179" s="21">
        <v>0</v>
      </c>
      <c r="Q179" s="21">
        <v>0</v>
      </c>
      <c r="R179" s="21">
        <v>0</v>
      </c>
      <c r="S179" s="21">
        <f t="shared" si="16"/>
        <v>0</v>
      </c>
      <c r="T179" s="21">
        <f t="shared" si="17"/>
        <v>0</v>
      </c>
      <c r="U179" s="21" t="str">
        <f t="shared" si="18"/>
        <v>否</v>
      </c>
      <c r="V179" s="21">
        <f>VLOOKUP($C179,[4]Sheet1!$B:$AN,39,FALSE)</f>
        <v>10.93</v>
      </c>
      <c r="W179" s="21">
        <v>0</v>
      </c>
      <c r="X179" s="23">
        <v>0</v>
      </c>
      <c r="Y179" s="23">
        <v>0</v>
      </c>
      <c r="Z179" s="25">
        <f t="shared" si="19"/>
        <v>0</v>
      </c>
      <c r="AA179" s="25" t="str">
        <f t="shared" si="20"/>
        <v>是</v>
      </c>
      <c r="AB179" t="s">
        <v>148</v>
      </c>
      <c r="AC179" t="e">
        <f>VLOOKUP(C179,[1]Sheet1!$C:$O,13,FALSE)</f>
        <v>#N/A</v>
      </c>
      <c r="AD179" t="str">
        <f>VLOOKUP($H179,'[3]0509人员排班情况 副本'!$G:$U,12,FALSE)</f>
        <v>孙可君Monica（Kejun Sun）</v>
      </c>
      <c r="AE179" t="str">
        <f>VLOOKUP($H179,'[3]0509人员排班情况 副本'!$G:$U,13,FALSE)</f>
        <v>马聪Cong (Cong Ma)</v>
      </c>
      <c r="AF179" t="str">
        <f>VLOOKUP($H179,'[3]0509人员排班情况 副本'!$G:$U,14,FALSE)</f>
        <v>朱晗宇 Peter (Hanyu Zhu)</v>
      </c>
      <c r="AG179">
        <f>VLOOKUP($H179,'[3]0509人员排班情况 副本'!$G:$U,15,FALSE)</f>
        <v>0</v>
      </c>
    </row>
    <row r="180" customHeight="1" spans="1:33">
      <c r="A180" t="s">
        <v>202</v>
      </c>
      <c r="B180" t="s">
        <v>742</v>
      </c>
      <c r="C180" t="s">
        <v>743</v>
      </c>
      <c r="D180" t="s">
        <v>100</v>
      </c>
      <c r="E180" t="s">
        <v>104</v>
      </c>
      <c r="F180" t="s">
        <v>744</v>
      </c>
      <c r="H180" t="str">
        <f t="shared" si="14"/>
        <v>WE 美西大区LA揽收部揽收调度组</v>
      </c>
      <c r="I180" t="s">
        <v>745</v>
      </c>
      <c r="J180" t="s">
        <v>746</v>
      </c>
      <c r="K180" s="15">
        <v>0.4375</v>
      </c>
      <c r="L180" s="15" t="s">
        <v>491</v>
      </c>
      <c r="M180" s="15">
        <v>0.442361111111111</v>
      </c>
      <c r="N180" t="s">
        <v>747</v>
      </c>
      <c r="O180" s="20" t="str">
        <f t="shared" si="15"/>
        <v>正确</v>
      </c>
      <c r="P180" s="21">
        <v>0</v>
      </c>
      <c r="Q180" s="21">
        <v>9.68</v>
      </c>
      <c r="R180" s="21">
        <v>0</v>
      </c>
      <c r="S180" s="21">
        <f t="shared" si="16"/>
        <v>9.68</v>
      </c>
      <c r="T180" s="21">
        <f t="shared" si="17"/>
        <v>1.68</v>
      </c>
      <c r="U180" s="21" t="str">
        <f t="shared" si="18"/>
        <v>是</v>
      </c>
      <c r="V180" s="21">
        <f>VLOOKUP($C180,[4]Sheet1!$B:$AN,39,FALSE)</f>
        <v>21.55</v>
      </c>
      <c r="W180" s="21">
        <v>0</v>
      </c>
      <c r="X180" s="23">
        <v>4</v>
      </c>
      <c r="Y180" s="23">
        <v>4</v>
      </c>
      <c r="Z180" s="25">
        <f t="shared" si="19"/>
        <v>0</v>
      </c>
      <c r="AA180" s="25" t="str">
        <f t="shared" si="20"/>
        <v>是</v>
      </c>
      <c r="AB180" t="s">
        <v>148</v>
      </c>
      <c r="AC180" t="e">
        <f>VLOOKUP(C180,[1]Sheet1!$C:$O,13,FALSE)</f>
        <v>#N/A</v>
      </c>
      <c r="AD180" t="str">
        <f>VLOOKUP($H180,'[3]0509人员排班情况 副本'!$G:$U,12,FALSE)</f>
        <v>王骞Ariel（Qian Wang）,叶秀芳Freya (Xiufang Ye)</v>
      </c>
      <c r="AE180" t="str">
        <f>VLOOKUP($H180,'[3]0509人员排班情况 副本'!$G:$U,13,FALSE)</f>
        <v>常哲</v>
      </c>
      <c r="AF180">
        <f>VLOOKUP($H180,'[3]0509人员排班情况 副本'!$G:$U,14,FALSE)</f>
        <v>0</v>
      </c>
      <c r="AG180">
        <f>VLOOKUP($H180,'[3]0509人员排班情况 副本'!$G:$U,15,FALSE)</f>
        <v>0</v>
      </c>
    </row>
    <row r="181" customHeight="1" spans="1:33">
      <c r="A181" t="s">
        <v>202</v>
      </c>
      <c r="B181" t="s">
        <v>748</v>
      </c>
      <c r="C181" t="s">
        <v>749</v>
      </c>
      <c r="D181" t="s">
        <v>100</v>
      </c>
      <c r="E181" t="s">
        <v>105</v>
      </c>
      <c r="F181" t="s">
        <v>750</v>
      </c>
      <c r="H181" t="str">
        <f t="shared" si="14"/>
        <v>WE 美西大区NC 北加片区SFO.H</v>
      </c>
      <c r="I181" t="s">
        <v>303</v>
      </c>
      <c r="J181" t="s">
        <v>343</v>
      </c>
      <c r="K181" s="15">
        <v>0.25</v>
      </c>
      <c r="L181" s="15" t="s">
        <v>344</v>
      </c>
      <c r="M181" s="15">
        <v>0.247222222222222</v>
      </c>
      <c r="N181" t="s">
        <v>751</v>
      </c>
      <c r="O181" s="20" t="str">
        <f t="shared" si="15"/>
        <v>正确</v>
      </c>
      <c r="P181" s="21">
        <v>0</v>
      </c>
      <c r="Q181" s="21">
        <v>10.02</v>
      </c>
      <c r="R181" s="21">
        <v>0</v>
      </c>
      <c r="S181" s="21">
        <f t="shared" si="16"/>
        <v>10.02</v>
      </c>
      <c r="T181" s="21">
        <f t="shared" si="17"/>
        <v>2.02</v>
      </c>
      <c r="U181" s="21" t="str">
        <f t="shared" si="18"/>
        <v>是</v>
      </c>
      <c r="V181" s="21">
        <f>VLOOKUP($C181,[4]Sheet1!$B:$AN,39,FALSE)</f>
        <v>19.57</v>
      </c>
      <c r="W181" s="21">
        <v>0</v>
      </c>
      <c r="X181" s="23">
        <v>4</v>
      </c>
      <c r="Y181" s="23">
        <v>4</v>
      </c>
      <c r="Z181" s="25">
        <f t="shared" si="19"/>
        <v>0</v>
      </c>
      <c r="AA181" s="25" t="str">
        <f t="shared" si="20"/>
        <v>是</v>
      </c>
      <c r="AB181" t="s">
        <v>148</v>
      </c>
      <c r="AC181" t="e">
        <f>VLOOKUP(C181,[1]Sheet1!$C:$O,13,FALSE)</f>
        <v>#N/A</v>
      </c>
      <c r="AD181" t="str">
        <f>VLOOKUP($H181,'[3]0509人员排班情况 副本'!$G:$U,12,FALSE)</f>
        <v>王骞Ariel（Qian Wang）,叶秀芳Freya (Xiufang Ye)</v>
      </c>
      <c r="AE181" t="str">
        <f>VLOOKUP($H181,'[3]0509人员排班情况 副本'!$G:$U,13,FALSE)</f>
        <v>常哲</v>
      </c>
      <c r="AF181" t="str">
        <f>VLOOKUP($H181,'[3]0509人员排班情况 副本'!$G:$U,14,FALSE)</f>
        <v>林美浚（Meijun Lin）</v>
      </c>
      <c r="AG181">
        <f>VLOOKUP($H181,'[3]0509人员排班情况 副本'!$G:$U,15,FALSE)</f>
        <v>0</v>
      </c>
    </row>
    <row r="182" customHeight="1" spans="1:33">
      <c r="A182" t="s">
        <v>202</v>
      </c>
      <c r="B182" t="s">
        <v>752</v>
      </c>
      <c r="C182" t="s">
        <v>753</v>
      </c>
      <c r="D182" t="s">
        <v>92</v>
      </c>
      <c r="E182" t="s">
        <v>97</v>
      </c>
      <c r="F182" t="s">
        <v>148</v>
      </c>
      <c r="H182" t="str">
        <f t="shared" si="14"/>
        <v>TX 德州大区NT 北德州片区</v>
      </c>
      <c r="I182" t="s">
        <v>173</v>
      </c>
      <c r="J182" t="s">
        <v>229</v>
      </c>
      <c r="K182" s="15">
        <v>0.270833333333333</v>
      </c>
      <c r="L182" s="15" t="s">
        <v>230</v>
      </c>
      <c r="M182" s="15"/>
      <c r="N182" t="s">
        <v>148</v>
      </c>
      <c r="O182" s="20" t="str">
        <f t="shared" si="15"/>
        <v>不正确</v>
      </c>
      <c r="P182" s="21">
        <v>0</v>
      </c>
      <c r="Q182" s="21">
        <v>0</v>
      </c>
      <c r="R182" s="21">
        <v>0</v>
      </c>
      <c r="S182" s="21">
        <f t="shared" si="16"/>
        <v>0</v>
      </c>
      <c r="T182" s="21">
        <f t="shared" si="17"/>
        <v>0</v>
      </c>
      <c r="U182" s="21" t="str">
        <f t="shared" si="18"/>
        <v>否</v>
      </c>
      <c r="V182" s="21">
        <f>VLOOKUP($C182,[4]Sheet1!$B:$AN,39,FALSE)</f>
        <v>0</v>
      </c>
      <c r="W182" s="21">
        <v>0</v>
      </c>
      <c r="X182" s="23">
        <v>0</v>
      </c>
      <c r="Y182" s="23">
        <v>0</v>
      </c>
      <c r="Z182" s="25">
        <f t="shared" si="19"/>
        <v>0</v>
      </c>
      <c r="AA182" s="25" t="str">
        <f t="shared" si="20"/>
        <v>是</v>
      </c>
      <c r="AB182" t="s">
        <v>754</v>
      </c>
      <c r="AC182" t="e">
        <f>VLOOKUP(C182,[1]Sheet1!$C:$O,13,FALSE)</f>
        <v>#N/A</v>
      </c>
      <c r="AD182" t="str">
        <f>VLOOKUP($H182,'[3]0509人员排班情况 副本'!$G:$U,12,FALSE)</f>
        <v>肖芦莉Lily (Luli Xiao)</v>
      </c>
      <c r="AE182" t="str">
        <f>VLOOKUP($H182,'[3]0509人员排班情况 副本'!$G:$U,13,FALSE)</f>
        <v>张骥Ji Zhang (Ji Zhang)</v>
      </c>
      <c r="AF182">
        <f>VLOOKUP($H182,'[3]0509人员排班情况 副本'!$G:$U,14,FALSE)</f>
        <v>0</v>
      </c>
      <c r="AG182">
        <f>VLOOKUP($H182,'[3]0509人员排班情况 副本'!$G:$U,15,FALSE)</f>
        <v>0</v>
      </c>
    </row>
    <row r="183" customHeight="1" spans="1:33">
      <c r="A183" t="s">
        <v>202</v>
      </c>
      <c r="B183" t="s">
        <v>755</v>
      </c>
      <c r="C183" t="s">
        <v>756</v>
      </c>
      <c r="D183" t="s">
        <v>68</v>
      </c>
      <c r="E183" t="s">
        <v>70</v>
      </c>
      <c r="F183" t="s">
        <v>72</v>
      </c>
      <c r="H183" t="str">
        <f t="shared" si="14"/>
        <v>NE 东北大区BN 布法罗片区BUF01</v>
      </c>
      <c r="I183" t="s">
        <v>177</v>
      </c>
      <c r="J183" t="s">
        <v>343</v>
      </c>
      <c r="K183" s="15">
        <v>0.25</v>
      </c>
      <c r="L183" s="15" t="s">
        <v>344</v>
      </c>
      <c r="M183" s="15">
        <v>0.252083333333333</v>
      </c>
      <c r="N183" t="s">
        <v>757</v>
      </c>
      <c r="O183" s="20" t="str">
        <f t="shared" si="15"/>
        <v>正确</v>
      </c>
      <c r="P183" s="21">
        <v>0</v>
      </c>
      <c r="Q183" s="21">
        <v>12.43</v>
      </c>
      <c r="R183" s="21">
        <v>0</v>
      </c>
      <c r="S183" s="21">
        <f t="shared" si="16"/>
        <v>12.43</v>
      </c>
      <c r="T183" s="21">
        <f t="shared" si="17"/>
        <v>4.43</v>
      </c>
      <c r="U183" s="21" t="str">
        <f t="shared" si="18"/>
        <v>是</v>
      </c>
      <c r="V183" s="21">
        <f>VLOOKUP($C183,[4]Sheet1!$B:$AN,39,FALSE)</f>
        <v>20.76</v>
      </c>
      <c r="W183" s="21">
        <v>0</v>
      </c>
      <c r="X183" s="23">
        <v>5</v>
      </c>
      <c r="Y183" s="23">
        <v>4</v>
      </c>
      <c r="Z183" s="25">
        <f t="shared" si="19"/>
        <v>0</v>
      </c>
      <c r="AA183" s="25" t="str">
        <f t="shared" si="20"/>
        <v>是</v>
      </c>
      <c r="AB183" t="s">
        <v>148</v>
      </c>
      <c r="AC183" t="e">
        <f>VLOOKUP(C183,[1]Sheet1!$C:$O,13,FALSE)</f>
        <v>#N/A</v>
      </c>
      <c r="AD183" t="str">
        <f>VLOOKUP($H183,'[3]0509人员排班情况 副本'!$G:$U,12,FALSE)</f>
        <v>孙可君Monica（Kejun Sun）</v>
      </c>
      <c r="AE183" t="str">
        <f>VLOOKUP($H183,'[3]0509人员排班情况 副本'!$G:$U,13,FALSE)</f>
        <v>马聪Cong (Cong Ma)</v>
      </c>
      <c r="AF183" t="str">
        <f>VLOOKUP($H183,'[3]0509人员排班情况 副本'!$G:$U,14,FALSE)</f>
        <v>朱晗宇 Peter (Hanyu Zhu)</v>
      </c>
      <c r="AG183">
        <f>VLOOKUP($H183,'[3]0509人员排班情况 副本'!$G:$U,15,FALSE)</f>
        <v>0</v>
      </c>
    </row>
    <row r="184" customHeight="1" spans="1:33">
      <c r="A184" t="s">
        <v>202</v>
      </c>
      <c r="B184" t="s">
        <v>758</v>
      </c>
      <c r="C184" t="s">
        <v>759</v>
      </c>
      <c r="D184" t="s">
        <v>100</v>
      </c>
      <c r="E184" t="s">
        <v>105</v>
      </c>
      <c r="F184" t="s">
        <v>760</v>
      </c>
      <c r="H184" t="str">
        <f t="shared" si="14"/>
        <v>WE 美西大区NC 北加片区SFO01</v>
      </c>
      <c r="I184" t="s">
        <v>177</v>
      </c>
      <c r="J184" t="s">
        <v>217</v>
      </c>
      <c r="K184" s="15">
        <v>0.395833333333333</v>
      </c>
      <c r="L184" s="15" t="s">
        <v>218</v>
      </c>
      <c r="M184" s="15"/>
      <c r="N184" t="s">
        <v>148</v>
      </c>
      <c r="O184" s="20" t="s">
        <v>116</v>
      </c>
      <c r="P184" s="21">
        <v>0</v>
      </c>
      <c r="Q184" s="21">
        <v>0</v>
      </c>
      <c r="R184" s="21">
        <v>0</v>
      </c>
      <c r="S184" s="21">
        <f t="shared" si="16"/>
        <v>0</v>
      </c>
      <c r="T184" s="21">
        <f t="shared" si="17"/>
        <v>0</v>
      </c>
      <c r="U184" s="21" t="str">
        <f t="shared" si="18"/>
        <v>否</v>
      </c>
      <c r="V184" s="21">
        <f>VLOOKUP($C184,[4]Sheet1!$B:$AN,39,FALSE)</f>
        <v>7.92</v>
      </c>
      <c r="W184" s="21">
        <v>0</v>
      </c>
      <c r="X184" s="23">
        <v>0</v>
      </c>
      <c r="Y184" s="23">
        <v>0</v>
      </c>
      <c r="Z184" s="25">
        <f t="shared" si="19"/>
        <v>0</v>
      </c>
      <c r="AA184" s="25" t="str">
        <f t="shared" si="20"/>
        <v>是</v>
      </c>
      <c r="AB184" t="s">
        <v>148</v>
      </c>
      <c r="AC184" t="e">
        <f>VLOOKUP(C184,[1]Sheet1!$C:$O,13,FALSE)</f>
        <v>#N/A</v>
      </c>
      <c r="AD184" t="str">
        <f>VLOOKUP($H184,'[3]0509人员排班情况 副本'!$G:$U,12,FALSE)</f>
        <v>王骞Ariel（Qian Wang）,叶秀芳Freya (Xiufang Ye)</v>
      </c>
      <c r="AE184" t="str">
        <f>VLOOKUP($H184,'[3]0509人员排班情况 副本'!$G:$U,13,FALSE)</f>
        <v>常哲</v>
      </c>
      <c r="AF184" t="str">
        <f>VLOOKUP($H184,'[3]0509人员排班情况 副本'!$G:$U,14,FALSE)</f>
        <v>林美浚（Meijun Lin）</v>
      </c>
      <c r="AG184">
        <f>VLOOKUP($H184,'[3]0509人员排班情况 副本'!$G:$U,15,FALSE)</f>
        <v>0</v>
      </c>
    </row>
    <row r="185" customHeight="1" spans="1:33">
      <c r="A185" t="s">
        <v>202</v>
      </c>
      <c r="B185" t="s">
        <v>761</v>
      </c>
      <c r="C185" t="s">
        <v>762</v>
      </c>
      <c r="D185" t="s">
        <v>100</v>
      </c>
      <c r="E185" t="s">
        <v>105</v>
      </c>
      <c r="F185" t="s">
        <v>763</v>
      </c>
      <c r="H185" t="str">
        <f t="shared" si="14"/>
        <v>WE 美西大区NC 北加片区SMF01</v>
      </c>
      <c r="I185" t="s">
        <v>156</v>
      </c>
      <c r="J185" t="s">
        <v>217</v>
      </c>
      <c r="K185" s="15">
        <v>0.395833333333333</v>
      </c>
      <c r="L185" s="15" t="s">
        <v>218</v>
      </c>
      <c r="M185" s="15"/>
      <c r="N185" t="s">
        <v>148</v>
      </c>
      <c r="O185" s="20" t="s">
        <v>116</v>
      </c>
      <c r="P185" s="21">
        <v>0</v>
      </c>
      <c r="Q185" s="21">
        <v>0</v>
      </c>
      <c r="R185" s="21">
        <v>0</v>
      </c>
      <c r="S185" s="21">
        <f t="shared" si="16"/>
        <v>0</v>
      </c>
      <c r="T185" s="21">
        <f t="shared" si="17"/>
        <v>0</v>
      </c>
      <c r="U185" s="21" t="str">
        <f t="shared" si="18"/>
        <v>否</v>
      </c>
      <c r="V185" s="21">
        <f>VLOOKUP($C185,[4]Sheet1!$B:$AN,39,FALSE)</f>
        <v>8.6</v>
      </c>
      <c r="W185" s="21">
        <v>0</v>
      </c>
      <c r="X185" s="23">
        <v>0</v>
      </c>
      <c r="Y185" s="23">
        <v>0</v>
      </c>
      <c r="Z185" s="25">
        <f t="shared" si="19"/>
        <v>0</v>
      </c>
      <c r="AA185" s="25" t="str">
        <f t="shared" si="20"/>
        <v>是</v>
      </c>
      <c r="AB185" t="s">
        <v>148</v>
      </c>
      <c r="AC185" t="e">
        <f>VLOOKUP(C185,[1]Sheet1!$C:$O,13,FALSE)</f>
        <v>#N/A</v>
      </c>
      <c r="AD185" t="str">
        <f>VLOOKUP($H185,'[3]0509人员排班情况 副本'!$G:$U,12,FALSE)</f>
        <v>王骞Ariel（Qian Wang）,叶秀芳Freya (Xiufang Ye)</v>
      </c>
      <c r="AE185" t="str">
        <f>VLOOKUP($H185,'[3]0509人员排班情况 副本'!$G:$U,13,FALSE)</f>
        <v>常哲</v>
      </c>
      <c r="AF185" t="str">
        <f>VLOOKUP($H185,'[3]0509人员排班情况 副本'!$G:$U,14,FALSE)</f>
        <v>林美浚（Meijun Lin）</v>
      </c>
      <c r="AG185">
        <f>VLOOKUP($H185,'[3]0509人员排班情况 副本'!$G:$U,15,FALSE)</f>
        <v>0</v>
      </c>
    </row>
    <row r="186" customHeight="1" spans="1:33">
      <c r="A186" t="s">
        <v>202</v>
      </c>
      <c r="B186" t="s">
        <v>764</v>
      </c>
      <c r="C186" t="s">
        <v>765</v>
      </c>
      <c r="D186" t="s">
        <v>15</v>
      </c>
      <c r="E186" t="s">
        <v>20</v>
      </c>
      <c r="F186" t="s">
        <v>166</v>
      </c>
      <c r="G186" t="s">
        <v>112</v>
      </c>
      <c r="H186" t="str">
        <f t="shared" si="14"/>
        <v>FL 佛州大区MIA.H综办组</v>
      </c>
      <c r="I186" t="s">
        <v>167</v>
      </c>
      <c r="J186" t="s">
        <v>249</v>
      </c>
      <c r="K186" s="15">
        <v>0.458333333333333</v>
      </c>
      <c r="L186" s="15" t="s">
        <v>250</v>
      </c>
      <c r="M186" s="15">
        <v>0.472916666666667</v>
      </c>
      <c r="N186" t="s">
        <v>766</v>
      </c>
      <c r="O186" s="20" t="str">
        <f t="shared" si="15"/>
        <v>正确</v>
      </c>
      <c r="P186" s="21">
        <v>0</v>
      </c>
      <c r="Q186" s="21">
        <v>8.78</v>
      </c>
      <c r="R186" s="21">
        <v>0</v>
      </c>
      <c r="S186" s="21">
        <f t="shared" si="16"/>
        <v>8.78</v>
      </c>
      <c r="T186" s="21">
        <f t="shared" si="17"/>
        <v>0.779999999999999</v>
      </c>
      <c r="U186" s="21" t="str">
        <f t="shared" si="18"/>
        <v>是</v>
      </c>
      <c r="V186" s="21">
        <f>VLOOKUP($C186,[4]Sheet1!$B:$AN,39,FALSE)</f>
        <v>8.78</v>
      </c>
      <c r="W186" s="21">
        <v>0</v>
      </c>
      <c r="X186" s="23">
        <v>2</v>
      </c>
      <c r="Y186" s="23">
        <v>4</v>
      </c>
      <c r="Z186" s="25">
        <f t="shared" si="19"/>
        <v>2</v>
      </c>
      <c r="AA186" s="25" t="str">
        <f t="shared" si="20"/>
        <v>是</v>
      </c>
      <c r="AB186" t="s">
        <v>148</v>
      </c>
      <c r="AC186" t="e">
        <f>VLOOKUP(C186,[1]Sheet1!$C:$O,13,FALSE)</f>
        <v>#N/A</v>
      </c>
      <c r="AD186" t="str">
        <f>VLOOKUP($H186,'[3]0509人员排班情况 副本'!$G:$U,12,FALSE)</f>
        <v>Natalia (Natalia Padilla),孙婕 Jasmine（Sunjie）</v>
      </c>
      <c r="AE186" t="str">
        <f>VLOOKUP($H186,'[3]0509人员排班情况 副本'!$G:$U,13,FALSE)</f>
        <v>贺子强Jeff (Ziqiang He)</v>
      </c>
      <c r="AF186" t="str">
        <f>VLOOKUP($H186,'[3]0509人员排班情况 副本'!$G:$U,14,FALSE)</f>
        <v>Minqing (Minqing Xu),罗煜雄 Mike (Yuxiong Luo)</v>
      </c>
      <c r="AG186">
        <f>VLOOKUP($H186,'[3]0509人员排班情况 副本'!$G:$U,15,FALSE)</f>
        <v>0</v>
      </c>
    </row>
    <row r="187" customHeight="1" spans="1:33">
      <c r="A187" t="s">
        <v>202</v>
      </c>
      <c r="B187" t="s">
        <v>767</v>
      </c>
      <c r="C187" t="s">
        <v>768</v>
      </c>
      <c r="D187" t="s">
        <v>58</v>
      </c>
      <c r="E187" t="s">
        <v>44</v>
      </c>
      <c r="F187" t="s">
        <v>148</v>
      </c>
      <c r="H187" t="str">
        <f t="shared" si="14"/>
        <v>MS 中南大区车辆管理部</v>
      </c>
      <c r="I187" t="s">
        <v>769</v>
      </c>
      <c r="J187" t="s">
        <v>282</v>
      </c>
      <c r="K187" s="15">
        <v>0.416666666666667</v>
      </c>
      <c r="L187" s="15" t="s">
        <v>283</v>
      </c>
      <c r="M187" s="15">
        <v>0.406944444444444</v>
      </c>
      <c r="N187" t="s">
        <v>148</v>
      </c>
      <c r="O187" s="20" t="str">
        <f t="shared" si="15"/>
        <v>正确</v>
      </c>
      <c r="P187" s="21">
        <v>0</v>
      </c>
      <c r="Q187" s="21">
        <v>0</v>
      </c>
      <c r="R187" s="21">
        <v>0</v>
      </c>
      <c r="S187" s="21">
        <f t="shared" si="16"/>
        <v>0</v>
      </c>
      <c r="T187" s="21">
        <f t="shared" si="17"/>
        <v>0</v>
      </c>
      <c r="U187" s="21" t="str">
        <f t="shared" si="18"/>
        <v>否</v>
      </c>
      <c r="V187" s="21">
        <f>VLOOKUP($C187,[4]Sheet1!$B:$AN,39,FALSE)</f>
        <v>11.05</v>
      </c>
      <c r="W187" s="21">
        <v>0</v>
      </c>
      <c r="X187" s="23">
        <v>1</v>
      </c>
      <c r="Y187" s="23">
        <v>4</v>
      </c>
      <c r="Z187" s="25">
        <f t="shared" si="19"/>
        <v>3</v>
      </c>
      <c r="AA187" s="25" t="str">
        <f t="shared" si="20"/>
        <v>是</v>
      </c>
      <c r="AB187" t="s">
        <v>148</v>
      </c>
      <c r="AC187" t="e">
        <f>VLOOKUP(C187,[1]Sheet1!$C:$O,13,FALSE)</f>
        <v>#N/A</v>
      </c>
      <c r="AD187" t="str">
        <f>VLOOKUP($H187,'[3]0509人员排班情况 副本'!$G:$U,12,FALSE)</f>
        <v>欧阳迎春Flower（Yingchun Ouyang）</v>
      </c>
      <c r="AE187" t="str">
        <f>VLOOKUP($H187,'[3]0509人员排班情况 副本'!$G:$U,13,FALSE)</f>
        <v>杨云飞</v>
      </c>
      <c r="AF187">
        <f>VLOOKUP($H187,'[3]0509人员排班情况 副本'!$G:$U,14,FALSE)</f>
        <v>0</v>
      </c>
      <c r="AG187">
        <f>VLOOKUP($H187,'[3]0509人员排班情况 副本'!$G:$U,15,FALSE)</f>
        <v>0</v>
      </c>
    </row>
    <row r="188" customHeight="1" spans="1:33">
      <c r="A188" t="s">
        <v>202</v>
      </c>
      <c r="B188" t="s">
        <v>770</v>
      </c>
      <c r="C188" t="s">
        <v>771</v>
      </c>
      <c r="D188" t="s">
        <v>48</v>
      </c>
      <c r="E188" t="s">
        <v>51</v>
      </c>
      <c r="F188" t="s">
        <v>772</v>
      </c>
      <c r="H188" t="str">
        <f t="shared" si="14"/>
        <v>Ground项目部OG 美西区LA917</v>
      </c>
      <c r="I188" t="s">
        <v>177</v>
      </c>
      <c r="J188" t="s">
        <v>221</v>
      </c>
      <c r="K188" s="15">
        <v>0.208333333333333</v>
      </c>
      <c r="L188" s="15" t="s">
        <v>222</v>
      </c>
      <c r="M188" s="15">
        <v>0.274305555555556</v>
      </c>
      <c r="N188" t="s">
        <v>773</v>
      </c>
      <c r="O188" s="20" t="str">
        <f t="shared" si="15"/>
        <v>不正确</v>
      </c>
      <c r="P188" s="21">
        <v>0</v>
      </c>
      <c r="Q188" s="21">
        <v>8.23</v>
      </c>
      <c r="R188" s="21">
        <v>0</v>
      </c>
      <c r="S188" s="21">
        <f t="shared" si="16"/>
        <v>8.23</v>
      </c>
      <c r="T188" s="21">
        <f t="shared" si="17"/>
        <v>0.23</v>
      </c>
      <c r="U188" s="21" t="str">
        <f t="shared" si="18"/>
        <v>是</v>
      </c>
      <c r="V188" s="21">
        <f>VLOOKUP($C188,[4]Sheet1!$B:$AN,39,FALSE)</f>
        <v>16.31</v>
      </c>
      <c r="W188" s="21">
        <v>0</v>
      </c>
      <c r="X188" s="23">
        <v>2</v>
      </c>
      <c r="Y188" s="23">
        <v>4</v>
      </c>
      <c r="Z188" s="25">
        <f t="shared" si="19"/>
        <v>2</v>
      </c>
      <c r="AA188" s="25" t="str">
        <f t="shared" si="20"/>
        <v>是</v>
      </c>
      <c r="AB188" t="s">
        <v>148</v>
      </c>
      <c r="AC188" t="e">
        <f>VLOOKUP(C188,[1]Sheet1!$C:$O,13,FALSE)</f>
        <v>#N/A</v>
      </c>
      <c r="AD188" t="str">
        <f>VLOOKUP($H188,'[3]0509人员排班情况 副本'!$G:$U,12,FALSE)</f>
        <v>王安琪 (Anqi Wang),张朱同 Thomson（Zhutong Zhang）</v>
      </c>
      <c r="AE188" t="str">
        <f>VLOOKUP($H188,'[3]0509人员排班情况 副本'!$G:$U,13,FALSE)</f>
        <v>陈锦昭</v>
      </c>
      <c r="AF188" t="str">
        <f>VLOOKUP($H188,'[3]0509人员排班情况 副本'!$G:$U,14,FALSE)</f>
        <v>宋佳牧 Dorian (Jiamu Song)</v>
      </c>
      <c r="AG188">
        <f>VLOOKUP($H188,'[3]0509人员排班情况 副本'!$G:$U,15,FALSE)</f>
        <v>0</v>
      </c>
    </row>
    <row r="189" customHeight="1" spans="1:33">
      <c r="A189" t="s">
        <v>202</v>
      </c>
      <c r="B189" t="s">
        <v>774</v>
      </c>
      <c r="C189" t="s">
        <v>775</v>
      </c>
      <c r="D189" t="s">
        <v>68</v>
      </c>
      <c r="E189" t="s">
        <v>76</v>
      </c>
      <c r="F189" t="s">
        <v>148</v>
      </c>
      <c r="G189" t="s">
        <v>112</v>
      </c>
      <c r="H189" t="str">
        <f t="shared" si="14"/>
        <v>NE 东北大区EWR.H</v>
      </c>
      <c r="I189" t="s">
        <v>733</v>
      </c>
      <c r="J189" t="s">
        <v>282</v>
      </c>
      <c r="K189" s="15">
        <v>0.416666666666667</v>
      </c>
      <c r="L189" s="15" t="s">
        <v>283</v>
      </c>
      <c r="M189" s="15"/>
      <c r="N189" t="s">
        <v>148</v>
      </c>
      <c r="O189" s="20" t="str">
        <f t="shared" si="15"/>
        <v>不正确</v>
      </c>
      <c r="P189" s="21">
        <v>0</v>
      </c>
      <c r="Q189" s="21">
        <v>0</v>
      </c>
      <c r="R189" s="21">
        <v>0</v>
      </c>
      <c r="S189" s="21">
        <f t="shared" si="16"/>
        <v>0</v>
      </c>
      <c r="T189" s="21">
        <f t="shared" si="17"/>
        <v>0</v>
      </c>
      <c r="U189" s="21" t="str">
        <f t="shared" si="18"/>
        <v>否</v>
      </c>
      <c r="V189" s="21">
        <f>VLOOKUP($C189,[4]Sheet1!$B:$AN,39,FALSE)</f>
        <v>0</v>
      </c>
      <c r="W189" s="21">
        <v>0</v>
      </c>
      <c r="X189" s="23">
        <v>0</v>
      </c>
      <c r="Y189" s="23">
        <v>4</v>
      </c>
      <c r="Z189" s="25">
        <f t="shared" si="19"/>
        <v>4</v>
      </c>
      <c r="AA189" s="25" t="str">
        <f t="shared" si="20"/>
        <v>是</v>
      </c>
      <c r="AB189" t="s">
        <v>148</v>
      </c>
      <c r="AC189" t="e">
        <f>VLOOKUP(C189,[1]Sheet1!$C:$O,13,FALSE)</f>
        <v>#N/A</v>
      </c>
      <c r="AD189" t="str">
        <f>VLOOKUP($H189,'[3]0509人员排班情况 副本'!$G:$U,12,FALSE)</f>
        <v>孙可君Monica（Kejun Sun）</v>
      </c>
      <c r="AE189" t="str">
        <f>VLOOKUP($H189,'[3]0509人员排班情况 副本'!$G:$U,13,FALSE)</f>
        <v>马聪Cong (Cong Ma)</v>
      </c>
      <c r="AF189">
        <f>VLOOKUP($H189,'[3]0509人员排班情况 副本'!$G:$U,14,FALSE)</f>
        <v>0</v>
      </c>
      <c r="AG189">
        <f>VLOOKUP($H189,'[3]0509人员排班情况 副本'!$G:$U,15,FALSE)</f>
        <v>0</v>
      </c>
    </row>
    <row r="190" customHeight="1" spans="1:33">
      <c r="A190" t="s">
        <v>202</v>
      </c>
      <c r="B190" t="s">
        <v>776</v>
      </c>
      <c r="C190" t="s">
        <v>777</v>
      </c>
      <c r="D190" t="s">
        <v>15</v>
      </c>
      <c r="E190" t="s">
        <v>17</v>
      </c>
      <c r="F190" t="s">
        <v>312</v>
      </c>
      <c r="G190" t="s">
        <v>112</v>
      </c>
      <c r="H190" t="str">
        <f t="shared" si="14"/>
        <v>FL 佛州大区MCO.H异常处理组</v>
      </c>
      <c r="I190" t="s">
        <v>778</v>
      </c>
      <c r="J190" t="s">
        <v>217</v>
      </c>
      <c r="K190" s="15">
        <v>0.395833333333333</v>
      </c>
      <c r="L190" s="15" t="s">
        <v>218</v>
      </c>
      <c r="M190" s="15"/>
      <c r="N190" t="s">
        <v>148</v>
      </c>
      <c r="O190" s="20" t="s">
        <v>116</v>
      </c>
      <c r="P190" s="21">
        <v>0</v>
      </c>
      <c r="Q190" s="21">
        <v>0</v>
      </c>
      <c r="R190" s="21">
        <v>0</v>
      </c>
      <c r="S190" s="21">
        <f t="shared" si="16"/>
        <v>0</v>
      </c>
      <c r="T190" s="21">
        <f t="shared" si="17"/>
        <v>0</v>
      </c>
      <c r="U190" s="21" t="str">
        <f t="shared" si="18"/>
        <v>否</v>
      </c>
      <c r="V190" s="21">
        <f>VLOOKUP($C190,[4]Sheet1!$B:$AN,39,FALSE)</f>
        <v>0</v>
      </c>
      <c r="W190" s="21">
        <v>0</v>
      </c>
      <c r="X190" s="23">
        <v>0</v>
      </c>
      <c r="Y190" s="23">
        <v>0</v>
      </c>
      <c r="Z190" s="25">
        <f t="shared" si="19"/>
        <v>0</v>
      </c>
      <c r="AA190" s="25" t="str">
        <f t="shared" si="20"/>
        <v>是</v>
      </c>
      <c r="AB190" t="s">
        <v>148</v>
      </c>
      <c r="AC190" t="e">
        <f>VLOOKUP(C190,[1]Sheet1!$C:$O,13,FALSE)</f>
        <v>#N/A</v>
      </c>
      <c r="AD190" t="str">
        <f>VLOOKUP($H190,'[3]0509人员排班情况 副本'!$G:$U,12,FALSE)</f>
        <v>Natalia (Natalia Padilla),孙婕 Jasmine（Sunjie）</v>
      </c>
      <c r="AE190" t="str">
        <f>VLOOKUP($H190,'[3]0509人员排班情况 副本'!$G:$U,13,FALSE)</f>
        <v>贺子强Jeff (Ziqiang He)</v>
      </c>
      <c r="AF190" t="str">
        <f>VLOOKUP($H190,'[3]0509人员排班情况 副本'!$G:$U,14,FALSE)</f>
        <v>Minqing (Minqing Xu),罗煜雄 Mike (Yuxiong Luo)</v>
      </c>
      <c r="AG190">
        <f>VLOOKUP($H190,'[3]0509人员排班情况 副本'!$G:$U,15,FALSE)</f>
        <v>0</v>
      </c>
    </row>
    <row r="191" customHeight="1" spans="1:33">
      <c r="A191" t="s">
        <v>202</v>
      </c>
      <c r="B191" t="s">
        <v>779</v>
      </c>
      <c r="C191" t="s">
        <v>780</v>
      </c>
      <c r="D191" t="s">
        <v>58</v>
      </c>
      <c r="E191" t="s">
        <v>45</v>
      </c>
      <c r="F191" t="s">
        <v>781</v>
      </c>
      <c r="H191" t="str">
        <f t="shared" si="14"/>
        <v>MS 中南大区揽收部ATL揽收组</v>
      </c>
      <c r="I191" t="s">
        <v>782</v>
      </c>
      <c r="J191" t="s">
        <v>217</v>
      </c>
      <c r="K191" s="15">
        <v>0.395833333333333</v>
      </c>
      <c r="L191" s="15" t="s">
        <v>218</v>
      </c>
      <c r="M191" s="15"/>
      <c r="N191" t="s">
        <v>402</v>
      </c>
      <c r="O191" s="20" t="str">
        <f t="shared" si="15"/>
        <v>不正确</v>
      </c>
      <c r="P191" s="21">
        <v>0</v>
      </c>
      <c r="Q191" s="21">
        <v>0</v>
      </c>
      <c r="R191" s="21">
        <v>0</v>
      </c>
      <c r="S191" s="21">
        <f t="shared" si="16"/>
        <v>0</v>
      </c>
      <c r="T191" s="21">
        <f t="shared" si="17"/>
        <v>0</v>
      </c>
      <c r="U191" s="21" t="str">
        <f t="shared" si="18"/>
        <v>否</v>
      </c>
      <c r="V191" s="21">
        <f>VLOOKUP($C191,[4]Sheet1!$B:$AN,39,FALSE)</f>
        <v>11.07</v>
      </c>
      <c r="W191" s="21">
        <v>0</v>
      </c>
      <c r="X191" s="23">
        <v>2</v>
      </c>
      <c r="Y191" s="23">
        <v>0</v>
      </c>
      <c r="Z191" s="25">
        <f t="shared" si="19"/>
        <v>0</v>
      </c>
      <c r="AA191" s="25" t="str">
        <f t="shared" si="20"/>
        <v>是</v>
      </c>
      <c r="AB191" t="s">
        <v>148</v>
      </c>
      <c r="AC191" t="e">
        <f>VLOOKUP(C191,[1]Sheet1!$C:$O,13,FALSE)</f>
        <v>#N/A</v>
      </c>
      <c r="AD191" t="str">
        <f>VLOOKUP($H191,'[3]0509人员排班情况 副本'!$G:$U,12,FALSE)</f>
        <v>欧阳迎春Flower（Yingchun Ouyang）</v>
      </c>
      <c r="AE191" t="str">
        <f>VLOOKUP($H191,'[3]0509人员排班情况 副本'!$G:$U,13,FALSE)</f>
        <v>杨云飞</v>
      </c>
      <c r="AF191" t="str">
        <f>VLOOKUP($H191,'[3]0509人员排班情况 副本'!$G:$U,14,FALSE)</f>
        <v>依丽旦娜·依明江Dana （Yilidanna Yimingjiang）</v>
      </c>
      <c r="AG191">
        <f>VLOOKUP($H191,'[3]0509人员排班情况 副本'!$G:$U,15,FALSE)</f>
        <v>0</v>
      </c>
    </row>
    <row r="192" customHeight="1" spans="1:33">
      <c r="A192" t="s">
        <v>202</v>
      </c>
      <c r="B192" t="s">
        <v>783</v>
      </c>
      <c r="C192" t="s">
        <v>784</v>
      </c>
      <c r="D192" t="s">
        <v>100</v>
      </c>
      <c r="E192" t="s">
        <v>103</v>
      </c>
      <c r="F192" t="s">
        <v>312</v>
      </c>
      <c r="G192" t="s">
        <v>112</v>
      </c>
      <c r="H192" t="str">
        <f t="shared" si="14"/>
        <v>WE 美西大区LAV.H异常处理组</v>
      </c>
      <c r="I192" t="s">
        <v>313</v>
      </c>
      <c r="J192" t="s">
        <v>347</v>
      </c>
      <c r="K192" s="15">
        <v>0.541666666666667</v>
      </c>
      <c r="L192" s="15" t="s">
        <v>348</v>
      </c>
      <c r="M192" s="15">
        <v>0.535416666666667</v>
      </c>
      <c r="N192" t="s">
        <v>785</v>
      </c>
      <c r="O192" s="20" t="str">
        <f t="shared" si="15"/>
        <v>正确</v>
      </c>
      <c r="P192" s="21">
        <v>0</v>
      </c>
      <c r="Q192" s="21">
        <v>8.37</v>
      </c>
      <c r="R192" s="21">
        <v>0</v>
      </c>
      <c r="S192" s="21">
        <f t="shared" si="16"/>
        <v>8.37</v>
      </c>
      <c r="T192" s="21">
        <f t="shared" si="17"/>
        <v>0.369999999999999</v>
      </c>
      <c r="U192" s="21" t="str">
        <f t="shared" si="18"/>
        <v>是</v>
      </c>
      <c r="V192" s="21">
        <f>VLOOKUP($C192,[4]Sheet1!$B:$AN,39,FALSE)</f>
        <v>17.87</v>
      </c>
      <c r="W192" s="21">
        <v>0</v>
      </c>
      <c r="X192" s="23">
        <v>4</v>
      </c>
      <c r="Y192" s="23">
        <v>4</v>
      </c>
      <c r="Z192" s="25">
        <f t="shared" si="19"/>
        <v>0</v>
      </c>
      <c r="AA192" s="25" t="str">
        <f t="shared" si="20"/>
        <v>是</v>
      </c>
      <c r="AB192" t="s">
        <v>148</v>
      </c>
      <c r="AC192" t="e">
        <f>VLOOKUP(C192,[1]Sheet1!$C:$O,13,FALSE)</f>
        <v>#N/A</v>
      </c>
      <c r="AD192" t="str">
        <f>VLOOKUP($H192,'[3]0509人员排班情况 副本'!$G:$U,12,FALSE)</f>
        <v>王骞Ariel（Qian Wang）,叶秀芳Freya (Xiufang Ye)</v>
      </c>
      <c r="AE192" t="str">
        <f>VLOOKUP($H192,'[3]0509人员排班情况 副本'!$G:$U,13,FALSE)</f>
        <v>常哲</v>
      </c>
      <c r="AF192" t="str">
        <f>VLOOKUP($H192,'[3]0509人员排班情况 副本'!$G:$U,14,FALSE)</f>
        <v>Minqing (Minqing Xu),罗煜雄 Mike (Yuxiong Luo)</v>
      </c>
      <c r="AG192">
        <f>VLOOKUP($H192,'[3]0509人员排班情况 副本'!$G:$U,15,FALSE)</f>
        <v>0</v>
      </c>
    </row>
    <row r="193" customHeight="1" spans="1:33">
      <c r="A193" t="s">
        <v>202</v>
      </c>
      <c r="B193" t="s">
        <v>786</v>
      </c>
      <c r="C193" t="s">
        <v>787</v>
      </c>
      <c r="D193" t="s">
        <v>31</v>
      </c>
      <c r="E193" t="s">
        <v>41</v>
      </c>
      <c r="F193" t="s">
        <v>275</v>
      </c>
      <c r="G193" t="s">
        <v>112</v>
      </c>
      <c r="H193" t="str">
        <f t="shared" si="14"/>
        <v>GL 大湖大区ORD.H分拣组</v>
      </c>
      <c r="I193" t="s">
        <v>303</v>
      </c>
      <c r="J193" t="s">
        <v>413</v>
      </c>
      <c r="K193" s="15">
        <v>0.9375</v>
      </c>
      <c r="L193" s="15" t="s">
        <v>414</v>
      </c>
      <c r="M193" s="15">
        <v>0.927777777777778</v>
      </c>
      <c r="N193" t="s">
        <v>148</v>
      </c>
      <c r="O193" s="20" t="str">
        <f t="shared" si="15"/>
        <v>正确</v>
      </c>
      <c r="P193" s="21">
        <v>0</v>
      </c>
      <c r="Q193" s="21">
        <v>0</v>
      </c>
      <c r="R193" s="21">
        <v>0</v>
      </c>
      <c r="S193" s="21">
        <f t="shared" si="16"/>
        <v>0</v>
      </c>
      <c r="T193" s="21">
        <f t="shared" si="17"/>
        <v>0</v>
      </c>
      <c r="U193" s="21" t="str">
        <f t="shared" si="18"/>
        <v>否</v>
      </c>
      <c r="V193" s="21">
        <f>VLOOKUP($C193,[4]Sheet1!$B:$AN,39,FALSE)</f>
        <v>0</v>
      </c>
      <c r="W193" s="21">
        <v>9.85</v>
      </c>
      <c r="X193" s="23">
        <v>1</v>
      </c>
      <c r="Y193" s="23">
        <v>4</v>
      </c>
      <c r="Z193" s="25">
        <f t="shared" si="19"/>
        <v>3</v>
      </c>
      <c r="AA193" s="25" t="str">
        <f t="shared" si="20"/>
        <v>是</v>
      </c>
      <c r="AB193" t="s">
        <v>148</v>
      </c>
      <c r="AC193" t="e">
        <f>VLOOKUP(C193,[1]Sheet1!$C:$O,13,FALSE)</f>
        <v>#N/A</v>
      </c>
      <c r="AD193" t="str">
        <f>VLOOKUP($H193,'[3]0509人员排班情况 副本'!$G:$U,12,FALSE)</f>
        <v>王晓丹 Jasmine（Xiaodan Wang）,周延舒Isabel（Yanshu Zhou）</v>
      </c>
      <c r="AE193" t="str">
        <f>VLOOKUP($H193,'[3]0509人员排班情况 副本'!$G:$U,13,FALSE)</f>
        <v>张骥Ji Zhang (Ji Zhang)</v>
      </c>
      <c r="AF193" t="str">
        <f>VLOOKUP($H193,'[3]0509人员排班情况 副本'!$G:$U,14,FALSE)</f>
        <v>张双甫(Shuangfu Zhang)</v>
      </c>
      <c r="AG193">
        <f>VLOOKUP($H193,'[3]0509人员排班情况 副本'!$G:$U,15,FALSE)</f>
        <v>0</v>
      </c>
    </row>
    <row r="194" customHeight="1" spans="1:33">
      <c r="A194" t="s">
        <v>202</v>
      </c>
      <c r="B194" t="s">
        <v>788</v>
      </c>
      <c r="C194" t="s">
        <v>789</v>
      </c>
      <c r="D194" t="s">
        <v>100</v>
      </c>
      <c r="E194" t="s">
        <v>103</v>
      </c>
      <c r="F194" t="s">
        <v>275</v>
      </c>
      <c r="G194" t="s">
        <v>112</v>
      </c>
      <c r="H194" t="str">
        <f t="shared" si="14"/>
        <v>WE 美西大区LAV.H分拣组</v>
      </c>
      <c r="I194" t="s">
        <v>276</v>
      </c>
      <c r="J194" t="s">
        <v>221</v>
      </c>
      <c r="K194" s="15">
        <v>0.208333333333333</v>
      </c>
      <c r="L194" s="15" t="s">
        <v>222</v>
      </c>
      <c r="M194" s="15">
        <v>0.213194444444444</v>
      </c>
      <c r="N194" t="s">
        <v>790</v>
      </c>
      <c r="O194" s="20" t="str">
        <f t="shared" si="15"/>
        <v>正确</v>
      </c>
      <c r="P194" s="21">
        <v>0</v>
      </c>
      <c r="Q194" s="21">
        <v>10.92</v>
      </c>
      <c r="R194" s="21">
        <v>0</v>
      </c>
      <c r="S194" s="21">
        <f t="shared" si="16"/>
        <v>10.92</v>
      </c>
      <c r="T194" s="21">
        <f t="shared" si="17"/>
        <v>2.92</v>
      </c>
      <c r="U194" s="21" t="str">
        <f t="shared" si="18"/>
        <v>是</v>
      </c>
      <c r="V194" s="21">
        <f>VLOOKUP($C194,[4]Sheet1!$B:$AN,39,FALSE)</f>
        <v>10.92</v>
      </c>
      <c r="W194" s="21">
        <v>0</v>
      </c>
      <c r="X194" s="23">
        <v>4</v>
      </c>
      <c r="Y194" s="23">
        <v>4</v>
      </c>
      <c r="Z194" s="25">
        <f t="shared" si="19"/>
        <v>0</v>
      </c>
      <c r="AA194" s="25" t="str">
        <f t="shared" si="20"/>
        <v>是</v>
      </c>
      <c r="AB194" t="s">
        <v>148</v>
      </c>
      <c r="AC194" t="e">
        <f>VLOOKUP(C194,[1]Sheet1!$C:$O,13,FALSE)</f>
        <v>#N/A</v>
      </c>
      <c r="AD194" t="str">
        <f>VLOOKUP($H194,'[3]0509人员排班情况 副本'!$G:$U,12,FALSE)</f>
        <v>王骞Ariel（Qian Wang）,叶秀芳Freya (Xiufang Ye)</v>
      </c>
      <c r="AE194" t="str">
        <f>VLOOKUP($H194,'[3]0509人员排班情况 副本'!$G:$U,13,FALSE)</f>
        <v>常哲</v>
      </c>
      <c r="AF194" t="str">
        <f>VLOOKUP($H194,'[3]0509人员排班情况 副本'!$G:$U,14,FALSE)</f>
        <v>张双甫(Shuangfu Zhang)</v>
      </c>
      <c r="AG194">
        <f>VLOOKUP($H194,'[3]0509人员排班情况 副本'!$G:$U,15,FALSE)</f>
        <v>0</v>
      </c>
    </row>
    <row r="195" customHeight="1" spans="1:33">
      <c r="A195" t="s">
        <v>202</v>
      </c>
      <c r="B195" t="s">
        <v>791</v>
      </c>
      <c r="C195" t="s">
        <v>792</v>
      </c>
      <c r="D195" t="s">
        <v>68</v>
      </c>
      <c r="E195" t="s">
        <v>81</v>
      </c>
      <c r="F195" t="s">
        <v>79</v>
      </c>
      <c r="H195" t="str">
        <f t="shared" si="14"/>
        <v>NE 东北大区NY 纽约片区JFK01</v>
      </c>
      <c r="I195" t="s">
        <v>406</v>
      </c>
      <c r="J195" t="s">
        <v>217</v>
      </c>
      <c r="K195" s="15">
        <v>0.395833333333333</v>
      </c>
      <c r="L195" s="15" t="s">
        <v>218</v>
      </c>
      <c r="M195" s="15">
        <v>0.65</v>
      </c>
      <c r="N195" t="s">
        <v>148</v>
      </c>
      <c r="O195" s="20" t="str">
        <f t="shared" si="15"/>
        <v>不正确</v>
      </c>
      <c r="P195" s="21">
        <v>0</v>
      </c>
      <c r="Q195" s="21">
        <v>0</v>
      </c>
      <c r="R195" s="21">
        <v>0</v>
      </c>
      <c r="S195" s="21">
        <f t="shared" si="16"/>
        <v>0</v>
      </c>
      <c r="T195" s="21">
        <f t="shared" si="17"/>
        <v>0</v>
      </c>
      <c r="U195" s="21" t="str">
        <f t="shared" si="18"/>
        <v>否</v>
      </c>
      <c r="V195" s="21">
        <f>VLOOKUP($C195,[4]Sheet1!$B:$AN,39,FALSE)</f>
        <v>0</v>
      </c>
      <c r="W195" s="21">
        <v>0</v>
      </c>
      <c r="X195" s="23">
        <v>1</v>
      </c>
      <c r="Y195" s="23">
        <v>0</v>
      </c>
      <c r="Z195" s="25">
        <f t="shared" si="19"/>
        <v>0</v>
      </c>
      <c r="AA195" s="25" t="str">
        <f t="shared" si="20"/>
        <v>是</v>
      </c>
      <c r="AB195" t="s">
        <v>148</v>
      </c>
      <c r="AC195" t="e">
        <f>VLOOKUP(C195,[1]Sheet1!$C:$O,13,FALSE)</f>
        <v>#N/A</v>
      </c>
      <c r="AD195" t="str">
        <f>VLOOKUP($H195,'[3]0509人员排班情况 副本'!$G:$U,12,FALSE)</f>
        <v>孙可君Monica（Kejun Sun）</v>
      </c>
      <c r="AE195" t="str">
        <f>VLOOKUP($H195,'[3]0509人员排班情况 副本'!$G:$U,13,FALSE)</f>
        <v>马聪Cong (Cong Ma)</v>
      </c>
      <c r="AF195" t="str">
        <f>VLOOKUP($H195,'[3]0509人员排班情况 副本'!$G:$U,14,FALSE)</f>
        <v>朱晗宇 Peter (Hanyu Zhu)</v>
      </c>
      <c r="AG195">
        <f>VLOOKUP($H195,'[3]0509人员排班情况 副本'!$G:$U,15,FALSE)</f>
        <v>0</v>
      </c>
    </row>
    <row r="196" customHeight="1" spans="1:33">
      <c r="A196" t="s">
        <v>202</v>
      </c>
      <c r="B196" t="s">
        <v>793</v>
      </c>
      <c r="C196" t="s">
        <v>794</v>
      </c>
      <c r="D196" t="s">
        <v>100</v>
      </c>
      <c r="E196" t="s">
        <v>102</v>
      </c>
      <c r="F196" t="s">
        <v>358</v>
      </c>
      <c r="H196" t="str">
        <f t="shared" ref="H196:H259" si="21">D196&amp;E196&amp;F196</f>
        <v>WE 美西大区DS 丹佛·盐湖城片区DEN.H</v>
      </c>
      <c r="I196" t="s">
        <v>156</v>
      </c>
      <c r="J196" t="s">
        <v>343</v>
      </c>
      <c r="K196" s="15">
        <v>0.25</v>
      </c>
      <c r="L196" s="15" t="s">
        <v>344</v>
      </c>
      <c r="M196" s="15">
        <v>0.280555555555556</v>
      </c>
      <c r="N196" t="s">
        <v>795</v>
      </c>
      <c r="O196" s="20" t="str">
        <f t="shared" ref="O196:O259" si="22">IFERROR(IF(ABS(M196-K196)&lt;=1/24,"正确","不正确"),"/")</f>
        <v>正确</v>
      </c>
      <c r="P196" s="21">
        <v>0</v>
      </c>
      <c r="Q196" s="21">
        <v>7.4</v>
      </c>
      <c r="R196" s="21">
        <v>0</v>
      </c>
      <c r="S196" s="21">
        <f t="shared" ref="S196:S259" si="23">Q196+R196</f>
        <v>7.4</v>
      </c>
      <c r="T196" s="21">
        <f t="shared" ref="T196:T259" si="24">IF(S196-8&gt;0,S196-8,0)</f>
        <v>0</v>
      </c>
      <c r="U196" s="21" t="str">
        <f t="shared" ref="U196:U259" si="25">IF(T196=0,"否","是")</f>
        <v>否</v>
      </c>
      <c r="V196" s="21">
        <f>VLOOKUP($C196,[4]Sheet1!$B:$AN,39,FALSE)</f>
        <v>18.35</v>
      </c>
      <c r="W196" s="21">
        <v>28.99</v>
      </c>
      <c r="X196" s="23">
        <v>4</v>
      </c>
      <c r="Y196" s="23">
        <v>4</v>
      </c>
      <c r="Z196" s="25">
        <f t="shared" ref="Z196:Z259" si="26">IF(Y196-X196&gt;=0,Y196-X196,0)</f>
        <v>0</v>
      </c>
      <c r="AA196" s="25" t="str">
        <f t="shared" ref="AA196:AA259" si="27">IF(J196="","否","是")</f>
        <v>是</v>
      </c>
      <c r="AB196" t="s">
        <v>148</v>
      </c>
      <c r="AC196" t="e">
        <f>VLOOKUP(C196,[1]Sheet1!$C:$O,13,FALSE)</f>
        <v>#N/A</v>
      </c>
      <c r="AD196" t="str">
        <f>VLOOKUP($H196,'[3]0509人员排班情况 副本'!$G:$U,12,FALSE)</f>
        <v>王骞Ariel（Qian Wang）,叶秀芳Freya (Xiufang Ye)</v>
      </c>
      <c r="AE196" t="str">
        <f>VLOOKUP($H196,'[3]0509人员排班情况 副本'!$G:$U,13,FALSE)</f>
        <v>常哲</v>
      </c>
      <c r="AF196" t="str">
        <f>VLOOKUP($H196,'[3]0509人员排班情况 副本'!$G:$U,14,FALSE)</f>
        <v>兰鹏Peng（Peng Lan）</v>
      </c>
      <c r="AG196">
        <f>VLOOKUP($H196,'[3]0509人员排班情况 副本'!$G:$U,15,FALSE)</f>
        <v>0</v>
      </c>
    </row>
    <row r="197" customHeight="1" spans="1:33">
      <c r="A197" t="s">
        <v>202</v>
      </c>
      <c r="B197" t="s">
        <v>796</v>
      </c>
      <c r="C197" t="s">
        <v>797</v>
      </c>
      <c r="D197" t="s">
        <v>92</v>
      </c>
      <c r="E197" t="s">
        <v>95</v>
      </c>
      <c r="F197" t="s">
        <v>798</v>
      </c>
      <c r="H197" t="str">
        <f t="shared" si="21"/>
        <v>TX 德州大区GC 墨湾片区IAH01</v>
      </c>
      <c r="I197" t="s">
        <v>177</v>
      </c>
      <c r="J197" t="s">
        <v>437</v>
      </c>
      <c r="K197" s="15">
        <v>0.229166666666667</v>
      </c>
      <c r="L197" s="15" t="s">
        <v>438</v>
      </c>
      <c r="M197" s="15">
        <v>0.283333333333333</v>
      </c>
      <c r="N197" t="s">
        <v>799</v>
      </c>
      <c r="O197" s="20" t="str">
        <f t="shared" si="22"/>
        <v>不正确</v>
      </c>
      <c r="P197" s="21">
        <v>0</v>
      </c>
      <c r="Q197" s="21">
        <v>4.38</v>
      </c>
      <c r="R197" s="21">
        <v>0</v>
      </c>
      <c r="S197" s="21">
        <f t="shared" si="23"/>
        <v>4.38</v>
      </c>
      <c r="T197" s="21">
        <f t="shared" si="24"/>
        <v>0</v>
      </c>
      <c r="U197" s="21" t="str">
        <f t="shared" si="25"/>
        <v>否</v>
      </c>
      <c r="V197" s="21">
        <f>VLOOKUP($C197,[4]Sheet1!$B:$AN,39,FALSE)</f>
        <v>4.38</v>
      </c>
      <c r="W197" s="21">
        <v>0</v>
      </c>
      <c r="X197" s="23">
        <v>2</v>
      </c>
      <c r="Y197" s="23">
        <v>4</v>
      </c>
      <c r="Z197" s="25">
        <f t="shared" si="26"/>
        <v>2</v>
      </c>
      <c r="AA197" s="25" t="str">
        <f t="shared" si="27"/>
        <v>是</v>
      </c>
      <c r="AB197" t="s">
        <v>148</v>
      </c>
      <c r="AC197" t="e">
        <f>VLOOKUP(C197,[1]Sheet1!$C:$O,13,FALSE)</f>
        <v>#N/A</v>
      </c>
      <c r="AD197" t="str">
        <f>VLOOKUP($H197,'[3]0509人员排班情况 副本'!$G:$U,12,FALSE)</f>
        <v>肖芦莉Lily (Luli Xiao)</v>
      </c>
      <c r="AE197" t="str">
        <f>VLOOKUP($H197,'[3]0509人员排班情况 副本'!$G:$U,13,FALSE)</f>
        <v>张骥Ji Zhang (Ji Zhang)</v>
      </c>
      <c r="AF197" t="str">
        <f>VLOOKUP($H197,'[3]0509人员排班情况 副本'!$G:$U,14,FALSE)</f>
        <v>金磊Brian（LEI JIN）</v>
      </c>
      <c r="AG197">
        <f>VLOOKUP($H197,'[3]0509人员排班情况 副本'!$G:$U,15,FALSE)</f>
        <v>0</v>
      </c>
    </row>
    <row r="198" customHeight="1" spans="1:33">
      <c r="A198" t="s">
        <v>202</v>
      </c>
      <c r="B198" t="s">
        <v>800</v>
      </c>
      <c r="C198" t="s">
        <v>801</v>
      </c>
      <c r="D198" t="s">
        <v>48</v>
      </c>
      <c r="E198" t="s">
        <v>49</v>
      </c>
      <c r="F198" t="s">
        <v>802</v>
      </c>
      <c r="H198" t="str">
        <f t="shared" si="21"/>
        <v>Ground项目部OG 美东区BO021</v>
      </c>
      <c r="I198" t="s">
        <v>177</v>
      </c>
      <c r="J198" t="s">
        <v>211</v>
      </c>
      <c r="K198" s="15">
        <v>0.333333333333333</v>
      </c>
      <c r="L198" s="15" t="s">
        <v>212</v>
      </c>
      <c r="M198" s="15">
        <v>0.330555555555556</v>
      </c>
      <c r="N198" t="s">
        <v>803</v>
      </c>
      <c r="O198" s="20" t="str">
        <f t="shared" si="22"/>
        <v>正确</v>
      </c>
      <c r="P198" s="21">
        <v>0</v>
      </c>
      <c r="Q198" s="21">
        <v>8.37</v>
      </c>
      <c r="R198" s="21">
        <v>0</v>
      </c>
      <c r="S198" s="21">
        <f t="shared" si="23"/>
        <v>8.37</v>
      </c>
      <c r="T198" s="21">
        <f t="shared" si="24"/>
        <v>0.369999999999999</v>
      </c>
      <c r="U198" s="21" t="str">
        <f t="shared" si="25"/>
        <v>是</v>
      </c>
      <c r="V198" s="21">
        <f>VLOOKUP($C198,[4]Sheet1!$B:$AN,39,FALSE)</f>
        <v>8.37</v>
      </c>
      <c r="W198" s="21">
        <v>0</v>
      </c>
      <c r="X198" s="23">
        <v>4</v>
      </c>
      <c r="Y198" s="23">
        <v>4</v>
      </c>
      <c r="Z198" s="25">
        <f t="shared" si="26"/>
        <v>0</v>
      </c>
      <c r="AA198" s="25" t="str">
        <f t="shared" si="27"/>
        <v>是</v>
      </c>
      <c r="AB198" t="s">
        <v>148</v>
      </c>
      <c r="AC198" t="e">
        <f>VLOOKUP(C198,[1]Sheet1!$C:$O,13,FALSE)</f>
        <v>#N/A</v>
      </c>
      <c r="AD198" t="str">
        <f>VLOOKUP($H198,'[3]0509人员排班情况 副本'!$G:$U,12,FALSE)</f>
        <v>王安琪 (Anqi Wang),张朱同 Thomson（Zhutong Zhang）</v>
      </c>
      <c r="AE198" t="str">
        <f>VLOOKUP($H198,'[3]0509人员排班情况 副本'!$G:$U,13,FALSE)</f>
        <v>陈锦昭</v>
      </c>
      <c r="AF198" t="str">
        <f>VLOOKUP($H198,'[3]0509人员排班情况 副本'!$G:$U,14,FALSE)</f>
        <v>欧和枫 Henry (HeFeng Ou)</v>
      </c>
      <c r="AG198">
        <f>VLOOKUP($H198,'[3]0509人员排班情况 副本'!$G:$U,15,FALSE)</f>
        <v>0</v>
      </c>
    </row>
    <row r="199" customHeight="1" spans="1:33">
      <c r="A199" t="s">
        <v>202</v>
      </c>
      <c r="B199" t="s">
        <v>804</v>
      </c>
      <c r="C199" t="s">
        <v>805</v>
      </c>
      <c r="D199" t="s">
        <v>48</v>
      </c>
      <c r="E199" t="s">
        <v>51</v>
      </c>
      <c r="F199" t="s">
        <v>806</v>
      </c>
      <c r="H199" t="str">
        <f t="shared" si="21"/>
        <v>Ground项目部OG 美西区LA900</v>
      </c>
      <c r="I199" t="s">
        <v>177</v>
      </c>
      <c r="J199" t="s">
        <v>437</v>
      </c>
      <c r="K199" s="15">
        <v>0.229166666666667</v>
      </c>
      <c r="L199" s="15" t="s">
        <v>438</v>
      </c>
      <c r="M199" s="15">
        <v>0.230555555555556</v>
      </c>
      <c r="N199" t="s">
        <v>392</v>
      </c>
      <c r="O199" s="20" t="str">
        <f t="shared" si="22"/>
        <v>正确</v>
      </c>
      <c r="P199" s="21">
        <v>0</v>
      </c>
      <c r="Q199" s="21">
        <v>8</v>
      </c>
      <c r="R199" s="21">
        <v>0</v>
      </c>
      <c r="S199" s="21">
        <f t="shared" si="23"/>
        <v>8</v>
      </c>
      <c r="T199" s="21">
        <f t="shared" si="24"/>
        <v>0</v>
      </c>
      <c r="U199" s="21" t="str">
        <f t="shared" si="25"/>
        <v>否</v>
      </c>
      <c r="V199" s="21">
        <f>VLOOKUP($C199,[4]Sheet1!$B:$AN,39,FALSE)</f>
        <v>16.72</v>
      </c>
      <c r="W199" s="21">
        <v>17.8</v>
      </c>
      <c r="X199" s="23">
        <v>4</v>
      </c>
      <c r="Y199" s="23">
        <v>4</v>
      </c>
      <c r="Z199" s="25">
        <f t="shared" si="26"/>
        <v>0</v>
      </c>
      <c r="AA199" s="25" t="str">
        <f t="shared" si="27"/>
        <v>是</v>
      </c>
      <c r="AB199" t="s">
        <v>148</v>
      </c>
      <c r="AC199" t="e">
        <f>VLOOKUP(C199,[1]Sheet1!$C:$O,13,FALSE)</f>
        <v>#N/A</v>
      </c>
      <c r="AD199" t="str">
        <f>VLOOKUP($H199,'[3]0509人员排班情况 副本'!$G:$U,12,FALSE)</f>
        <v>王安琪 (Anqi Wang),张朱同 Thomson（Zhutong Zhang）</v>
      </c>
      <c r="AE199" t="str">
        <f>VLOOKUP($H199,'[3]0509人员排班情况 副本'!$G:$U,13,FALSE)</f>
        <v>陈锦昭</v>
      </c>
      <c r="AF199" t="str">
        <f>VLOOKUP($H199,'[3]0509人员排班情况 副本'!$G:$U,14,FALSE)</f>
        <v>刘俊甜Verity（Juntian Liu）</v>
      </c>
      <c r="AG199">
        <f>VLOOKUP($H199,'[3]0509人员排班情况 副本'!$G:$U,15,FALSE)</f>
        <v>0</v>
      </c>
    </row>
    <row r="200" customHeight="1" spans="1:33">
      <c r="A200" t="s">
        <v>202</v>
      </c>
      <c r="B200" t="s">
        <v>807</v>
      </c>
      <c r="C200" t="s">
        <v>808</v>
      </c>
      <c r="D200" t="s">
        <v>58</v>
      </c>
      <c r="E200" t="s">
        <v>60</v>
      </c>
      <c r="F200" t="s">
        <v>148</v>
      </c>
      <c r="H200" t="str">
        <f t="shared" si="21"/>
        <v>MS 中南大区AS 亚特兰大和南阿拉巴马片区</v>
      </c>
      <c r="I200" t="s">
        <v>173</v>
      </c>
      <c r="J200" t="s">
        <v>295</v>
      </c>
      <c r="K200" s="15">
        <v>0.375</v>
      </c>
      <c r="L200" s="15" t="s">
        <v>296</v>
      </c>
      <c r="M200" s="15">
        <v>0.375</v>
      </c>
      <c r="N200" t="s">
        <v>296</v>
      </c>
      <c r="O200" s="20" t="str">
        <f t="shared" si="22"/>
        <v>正确</v>
      </c>
      <c r="P200" s="21">
        <v>0</v>
      </c>
      <c r="Q200" s="21">
        <v>8</v>
      </c>
      <c r="R200" s="21">
        <v>0</v>
      </c>
      <c r="S200" s="21">
        <f t="shared" si="23"/>
        <v>8</v>
      </c>
      <c r="T200" s="21">
        <f t="shared" si="24"/>
        <v>0</v>
      </c>
      <c r="U200" s="21" t="str">
        <f t="shared" si="25"/>
        <v>否</v>
      </c>
      <c r="V200" s="21">
        <f>VLOOKUP($C200,[4]Sheet1!$B:$AN,39,FALSE)</f>
        <v>16</v>
      </c>
      <c r="W200" s="21">
        <v>8</v>
      </c>
      <c r="X200" s="23">
        <v>2</v>
      </c>
      <c r="Y200" s="23">
        <v>4</v>
      </c>
      <c r="Z200" s="25">
        <f t="shared" si="26"/>
        <v>2</v>
      </c>
      <c r="AA200" s="25" t="str">
        <f t="shared" si="27"/>
        <v>是</v>
      </c>
      <c r="AB200" t="s">
        <v>148</v>
      </c>
      <c r="AC200" t="e">
        <f>VLOOKUP(C200,[1]Sheet1!$C:$O,13,FALSE)</f>
        <v>#N/A</v>
      </c>
      <c r="AD200" t="str">
        <f>VLOOKUP($H200,'[3]0509人员排班情况 副本'!$G:$U,12,FALSE)</f>
        <v>欧阳迎春Flower（Yingchun Ouyang）</v>
      </c>
      <c r="AE200" t="str">
        <f>VLOOKUP($H200,'[3]0509人员排班情况 副本'!$G:$U,13,FALSE)</f>
        <v>杨云飞</v>
      </c>
      <c r="AF200">
        <f>VLOOKUP($H200,'[3]0509人员排班情况 副本'!$G:$U,14,FALSE)</f>
        <v>0</v>
      </c>
      <c r="AG200">
        <f>VLOOKUP($H200,'[3]0509人员排班情况 副本'!$G:$U,15,FALSE)</f>
        <v>0</v>
      </c>
    </row>
    <row r="201" customHeight="1" spans="1:33">
      <c r="A201" t="s">
        <v>202</v>
      </c>
      <c r="B201" t="s">
        <v>809</v>
      </c>
      <c r="C201" t="s">
        <v>810</v>
      </c>
      <c r="D201" t="s">
        <v>15</v>
      </c>
      <c r="E201" t="s">
        <v>22</v>
      </c>
      <c r="F201" t="s">
        <v>811</v>
      </c>
      <c r="H201" t="str">
        <f t="shared" si="21"/>
        <v>FL 佛州大区NF 北佛片区JAX01</v>
      </c>
      <c r="I201" t="s">
        <v>177</v>
      </c>
      <c r="J201" t="s">
        <v>221</v>
      </c>
      <c r="K201" s="15">
        <v>0.208333333333333</v>
      </c>
      <c r="L201" s="15" t="s">
        <v>222</v>
      </c>
      <c r="M201" s="15">
        <v>0.220138888888889</v>
      </c>
      <c r="N201" t="s">
        <v>507</v>
      </c>
      <c r="O201" s="20" t="str">
        <f t="shared" si="22"/>
        <v>正确</v>
      </c>
      <c r="P201" s="21">
        <v>0</v>
      </c>
      <c r="Q201" s="21">
        <v>7.23</v>
      </c>
      <c r="R201" s="21">
        <v>0</v>
      </c>
      <c r="S201" s="21">
        <f t="shared" si="23"/>
        <v>7.23</v>
      </c>
      <c r="T201" s="21">
        <f t="shared" si="24"/>
        <v>0</v>
      </c>
      <c r="U201" s="21" t="str">
        <f t="shared" si="25"/>
        <v>否</v>
      </c>
      <c r="V201" s="21">
        <f>VLOOKUP($C201,[4]Sheet1!$B:$AN,39,FALSE)</f>
        <v>12.13</v>
      </c>
      <c r="W201" s="21">
        <v>0</v>
      </c>
      <c r="X201" s="23">
        <v>4</v>
      </c>
      <c r="Y201" s="23">
        <v>4</v>
      </c>
      <c r="Z201" s="25">
        <f t="shared" si="26"/>
        <v>0</v>
      </c>
      <c r="AA201" s="25" t="str">
        <f t="shared" si="27"/>
        <v>是</v>
      </c>
      <c r="AB201" t="s">
        <v>148</v>
      </c>
      <c r="AC201" t="e">
        <f>VLOOKUP(C201,[1]Sheet1!$C:$O,13,FALSE)</f>
        <v>#N/A</v>
      </c>
      <c r="AD201" t="str">
        <f>VLOOKUP($H201,'[3]0509人员排班情况 副本'!$G:$U,12,FALSE)</f>
        <v>Natalia (Natalia Padilla),孙婕 Jasmine（Sunjie）</v>
      </c>
      <c r="AE201" t="str">
        <f>VLOOKUP($H201,'[3]0509人员排班情况 副本'!$G:$U,13,FALSE)</f>
        <v>贺子强Jeff (Ziqiang He)</v>
      </c>
      <c r="AF201" t="str">
        <f>VLOOKUP($H201,'[3]0509人员排班情况 副本'!$G:$U,14,FALSE)</f>
        <v>黄燕娜 Nana (Yanna Huang)</v>
      </c>
      <c r="AG201">
        <f>VLOOKUP($H201,'[3]0509人员排班情况 副本'!$G:$U,15,FALSE)</f>
        <v>0</v>
      </c>
    </row>
    <row r="202" customHeight="1" spans="1:33">
      <c r="A202" t="s">
        <v>202</v>
      </c>
      <c r="B202" t="s">
        <v>812</v>
      </c>
      <c r="C202" t="s">
        <v>813</v>
      </c>
      <c r="D202" t="s">
        <v>58</v>
      </c>
      <c r="E202" t="s">
        <v>61</v>
      </c>
      <c r="F202" t="s">
        <v>210</v>
      </c>
      <c r="G202" t="s">
        <v>112</v>
      </c>
      <c r="H202" t="str">
        <f t="shared" si="21"/>
        <v>MS 中南大区ATL.H操作组</v>
      </c>
      <c r="I202" t="s">
        <v>281</v>
      </c>
      <c r="J202" t="s">
        <v>407</v>
      </c>
      <c r="K202" s="15">
        <v>0.354166666666667</v>
      </c>
      <c r="L202" s="15" t="s">
        <v>254</v>
      </c>
      <c r="M202" s="15">
        <v>0.372222222222222</v>
      </c>
      <c r="N202" t="s">
        <v>814</v>
      </c>
      <c r="O202" s="20" t="str">
        <f t="shared" si="22"/>
        <v>正确</v>
      </c>
      <c r="P202" s="21">
        <v>0</v>
      </c>
      <c r="Q202" s="21">
        <v>10.33</v>
      </c>
      <c r="R202" s="21">
        <v>0</v>
      </c>
      <c r="S202" s="21">
        <f t="shared" si="23"/>
        <v>10.33</v>
      </c>
      <c r="T202" s="21">
        <f t="shared" si="24"/>
        <v>2.33</v>
      </c>
      <c r="U202" s="21" t="str">
        <f t="shared" si="25"/>
        <v>是</v>
      </c>
      <c r="V202" s="21">
        <f>VLOOKUP($C202,[4]Sheet1!$B:$AN,39,FALSE)</f>
        <v>20.35</v>
      </c>
      <c r="W202" s="21">
        <v>0</v>
      </c>
      <c r="X202" s="23">
        <v>4</v>
      </c>
      <c r="Y202" s="23">
        <v>4</v>
      </c>
      <c r="Z202" s="25">
        <f t="shared" si="26"/>
        <v>0</v>
      </c>
      <c r="AA202" s="25" t="str">
        <f t="shared" si="27"/>
        <v>是</v>
      </c>
      <c r="AB202" t="s">
        <v>148</v>
      </c>
      <c r="AC202" t="e">
        <f>VLOOKUP(C202,[1]Sheet1!$C:$O,13,FALSE)</f>
        <v>#N/A</v>
      </c>
      <c r="AD202" t="str">
        <f>VLOOKUP($H202,'[3]0509人员排班情况 副本'!$G:$U,12,FALSE)</f>
        <v>欧阳迎春Flower（Yingchun Ouyang）</v>
      </c>
      <c r="AE202" t="str">
        <f>VLOOKUP($H202,'[3]0509人员排班情况 副本'!$G:$U,13,FALSE)</f>
        <v>杨云飞</v>
      </c>
      <c r="AF202" t="str">
        <f>VLOOKUP($H202,'[3]0509人员排班情况 副本'!$G:$U,14,FALSE)</f>
        <v>Minqing (Minqing Xu),罗煜雄 Mike (Yuxiong Luo),明杰麟Jennie (Jielin Ming)</v>
      </c>
      <c r="AG202" t="str">
        <f>VLOOKUP($H202,'[3]0509人员排班情况 副本'!$G:$U,15,FALSE)</f>
        <v>文艳平</v>
      </c>
    </row>
    <row r="203" customHeight="1" spans="1:33">
      <c r="A203" t="s">
        <v>202</v>
      </c>
      <c r="B203" t="s">
        <v>815</v>
      </c>
      <c r="C203" t="s">
        <v>816</v>
      </c>
      <c r="D203" t="s">
        <v>58</v>
      </c>
      <c r="E203" t="s">
        <v>29</v>
      </c>
      <c r="F203" t="s">
        <v>200</v>
      </c>
      <c r="H203" t="str">
        <f t="shared" si="21"/>
        <v>MS 中南大区运营支持部区域支持组</v>
      </c>
      <c r="I203" t="s">
        <v>201</v>
      </c>
      <c r="J203" t="s">
        <v>295</v>
      </c>
      <c r="K203" s="15">
        <v>0.375</v>
      </c>
      <c r="L203" s="15" t="s">
        <v>296</v>
      </c>
      <c r="M203" s="15"/>
      <c r="N203" t="s">
        <v>148</v>
      </c>
      <c r="O203" s="20" t="str">
        <f t="shared" si="22"/>
        <v>不正确</v>
      </c>
      <c r="P203" s="21">
        <v>0</v>
      </c>
      <c r="Q203" s="21">
        <v>0</v>
      </c>
      <c r="R203" s="21">
        <v>0</v>
      </c>
      <c r="S203" s="21">
        <f t="shared" si="23"/>
        <v>0</v>
      </c>
      <c r="T203" s="21">
        <f t="shared" si="24"/>
        <v>0</v>
      </c>
      <c r="U203" s="21" t="str">
        <f t="shared" si="25"/>
        <v>否</v>
      </c>
      <c r="V203" s="21">
        <f>VLOOKUP($C203,[4]Sheet1!$B:$AN,39,FALSE)</f>
        <v>0</v>
      </c>
      <c r="W203" s="21">
        <v>0</v>
      </c>
      <c r="X203" s="23">
        <v>0</v>
      </c>
      <c r="Y203" s="23">
        <v>0</v>
      </c>
      <c r="Z203" s="25">
        <f t="shared" si="26"/>
        <v>0</v>
      </c>
      <c r="AA203" s="25" t="str">
        <f t="shared" si="27"/>
        <v>是</v>
      </c>
      <c r="AB203" t="s">
        <v>690</v>
      </c>
      <c r="AC203" t="e">
        <f>VLOOKUP(C203,[1]Sheet1!$C:$O,13,FALSE)</f>
        <v>#N/A</v>
      </c>
      <c r="AD203" t="str">
        <f>VLOOKUP($H203,'[3]0509人员排班情况 副本'!$G:$U,12,FALSE)</f>
        <v>欧阳迎春Flower（Yingchun Ouyang）</v>
      </c>
      <c r="AE203" t="str">
        <f>VLOOKUP($H203,'[3]0509人员排班情况 副本'!$G:$U,13,FALSE)</f>
        <v>杨云飞</v>
      </c>
      <c r="AF203">
        <f>VLOOKUP($H203,'[3]0509人员排班情况 副本'!$G:$U,14,FALSE)</f>
        <v>0</v>
      </c>
      <c r="AG203">
        <f>VLOOKUP($H203,'[3]0509人员排班情况 副本'!$G:$U,15,FALSE)</f>
        <v>0</v>
      </c>
    </row>
    <row r="204" customHeight="1" spans="1:33">
      <c r="A204" t="s">
        <v>202</v>
      </c>
      <c r="B204" t="s">
        <v>817</v>
      </c>
      <c r="C204" t="s">
        <v>818</v>
      </c>
      <c r="D204" t="s">
        <v>15</v>
      </c>
      <c r="E204" t="s">
        <v>28</v>
      </c>
      <c r="F204" t="s">
        <v>148</v>
      </c>
      <c r="H204" t="str">
        <f t="shared" si="21"/>
        <v>FL 佛州大区WPB01</v>
      </c>
      <c r="I204" t="s">
        <v>177</v>
      </c>
      <c r="J204" t="s">
        <v>217</v>
      </c>
      <c r="K204" s="15">
        <v>0.395833333333333</v>
      </c>
      <c r="L204" s="15" t="s">
        <v>218</v>
      </c>
      <c r="M204" s="15"/>
      <c r="N204" t="s">
        <v>148</v>
      </c>
      <c r="O204" s="20" t="s">
        <v>116</v>
      </c>
      <c r="P204" s="21">
        <v>0</v>
      </c>
      <c r="Q204" s="21">
        <v>0</v>
      </c>
      <c r="R204" s="21">
        <v>0</v>
      </c>
      <c r="S204" s="21">
        <f t="shared" si="23"/>
        <v>0</v>
      </c>
      <c r="T204" s="21">
        <f t="shared" si="24"/>
        <v>0</v>
      </c>
      <c r="U204" s="21" t="str">
        <f t="shared" si="25"/>
        <v>否</v>
      </c>
      <c r="V204" s="21">
        <f>VLOOKUP($C204,[4]Sheet1!$B:$AN,39,FALSE)</f>
        <v>0</v>
      </c>
      <c r="W204" s="21">
        <v>11.89</v>
      </c>
      <c r="X204" s="23">
        <v>0</v>
      </c>
      <c r="Y204" s="23">
        <v>0</v>
      </c>
      <c r="Z204" s="25">
        <f t="shared" si="26"/>
        <v>0</v>
      </c>
      <c r="AA204" s="25" t="str">
        <f t="shared" si="27"/>
        <v>是</v>
      </c>
      <c r="AB204" t="s">
        <v>148</v>
      </c>
      <c r="AC204" t="e">
        <f>VLOOKUP(C204,[1]Sheet1!$C:$O,13,FALSE)</f>
        <v>#N/A</v>
      </c>
      <c r="AD204" t="str">
        <f>VLOOKUP($H204,'[3]0509人员排班情况 副本'!$G:$U,12,FALSE)</f>
        <v>Natalia (Natalia Padilla),孙婕 Jasmine（Sunjie）</v>
      </c>
      <c r="AE204" t="str">
        <f>VLOOKUP($H204,'[3]0509人员排班情况 副本'!$G:$U,13,FALSE)</f>
        <v>贺子强Jeff (Ziqiang He)</v>
      </c>
      <c r="AF204">
        <f>VLOOKUP($H204,'[3]0509人员排班情况 副本'!$G:$U,14,FALSE)</f>
        <v>0</v>
      </c>
      <c r="AG204">
        <f>VLOOKUP($H204,'[3]0509人员排班情况 副本'!$G:$U,15,FALSE)</f>
        <v>0</v>
      </c>
    </row>
    <row r="205" customHeight="1" spans="1:33">
      <c r="A205" t="s">
        <v>202</v>
      </c>
      <c r="B205" t="s">
        <v>819</v>
      </c>
      <c r="C205" t="s">
        <v>820</v>
      </c>
      <c r="D205" t="s">
        <v>15</v>
      </c>
      <c r="E205" t="s">
        <v>17</v>
      </c>
      <c r="F205" t="s">
        <v>275</v>
      </c>
      <c r="G205" t="s">
        <v>112</v>
      </c>
      <c r="H205" t="str">
        <f t="shared" si="21"/>
        <v>FL 佛州大区MCO.H分拣组</v>
      </c>
      <c r="I205" t="s">
        <v>303</v>
      </c>
      <c r="J205" t="s">
        <v>295</v>
      </c>
      <c r="K205" s="15">
        <v>0.375</v>
      </c>
      <c r="L205" s="15" t="s">
        <v>296</v>
      </c>
      <c r="M205" s="15">
        <v>0.368055555555556</v>
      </c>
      <c r="N205" t="s">
        <v>296</v>
      </c>
      <c r="O205" s="20" t="str">
        <f t="shared" si="22"/>
        <v>正确</v>
      </c>
      <c r="P205" s="21">
        <v>0</v>
      </c>
      <c r="Q205" s="21">
        <v>8.17</v>
      </c>
      <c r="R205" s="21">
        <v>0</v>
      </c>
      <c r="S205" s="21">
        <f t="shared" si="23"/>
        <v>8.17</v>
      </c>
      <c r="T205" s="21">
        <f t="shared" si="24"/>
        <v>0.17</v>
      </c>
      <c r="U205" s="21" t="str">
        <f t="shared" si="25"/>
        <v>是</v>
      </c>
      <c r="V205" s="21">
        <f>VLOOKUP($C205,[4]Sheet1!$B:$AN,39,FALSE)</f>
        <v>16.35</v>
      </c>
      <c r="W205" s="21">
        <v>0</v>
      </c>
      <c r="X205" s="23">
        <v>4</v>
      </c>
      <c r="Y205" s="23">
        <v>4</v>
      </c>
      <c r="Z205" s="25">
        <f t="shared" si="26"/>
        <v>0</v>
      </c>
      <c r="AA205" s="25" t="str">
        <f t="shared" si="27"/>
        <v>是</v>
      </c>
      <c r="AB205" t="s">
        <v>148</v>
      </c>
      <c r="AC205" t="e">
        <f>VLOOKUP(C205,[1]Sheet1!$C:$O,13,FALSE)</f>
        <v>#N/A</v>
      </c>
      <c r="AD205" t="str">
        <f>VLOOKUP($H205,'[3]0509人员排班情况 副本'!$G:$U,12,FALSE)</f>
        <v>Natalia (Natalia Padilla),孙婕 Jasmine（Sunjie）</v>
      </c>
      <c r="AE205" t="str">
        <f>VLOOKUP($H205,'[3]0509人员排班情况 副本'!$G:$U,13,FALSE)</f>
        <v>贺子强Jeff (Ziqiang He)</v>
      </c>
      <c r="AF205" t="str">
        <f>VLOOKUP($H205,'[3]0509人员排班情况 副本'!$G:$U,14,FALSE)</f>
        <v>张双甫(Shuangfu Zhang)</v>
      </c>
      <c r="AG205">
        <f>VLOOKUP($H205,'[3]0509人员排班情况 副本'!$G:$U,15,FALSE)</f>
        <v>0</v>
      </c>
    </row>
    <row r="206" customHeight="1" spans="1:33">
      <c r="A206" t="s">
        <v>202</v>
      </c>
      <c r="B206" t="s">
        <v>821</v>
      </c>
      <c r="C206" t="s">
        <v>822</v>
      </c>
      <c r="D206" t="s">
        <v>48</v>
      </c>
      <c r="E206" t="s">
        <v>49</v>
      </c>
      <c r="F206" t="s">
        <v>525</v>
      </c>
      <c r="G206" t="s">
        <v>112</v>
      </c>
      <c r="H206" t="str">
        <f t="shared" si="21"/>
        <v>Ground项目部OG 美东区EWR.G</v>
      </c>
      <c r="I206" t="s">
        <v>281</v>
      </c>
      <c r="J206" t="s">
        <v>384</v>
      </c>
      <c r="K206" s="15">
        <v>0.6875</v>
      </c>
      <c r="L206" s="15" t="s">
        <v>385</v>
      </c>
      <c r="M206" s="15">
        <v>0.642361111111111</v>
      </c>
      <c r="N206" t="s">
        <v>823</v>
      </c>
      <c r="O206" s="20" t="str">
        <f t="shared" si="22"/>
        <v>不正确</v>
      </c>
      <c r="P206" s="21">
        <v>0</v>
      </c>
      <c r="Q206" s="21">
        <v>9.82</v>
      </c>
      <c r="R206" s="21">
        <v>0</v>
      </c>
      <c r="S206" s="21">
        <f t="shared" si="23"/>
        <v>9.82</v>
      </c>
      <c r="T206" s="21">
        <f t="shared" si="24"/>
        <v>1.82</v>
      </c>
      <c r="U206" s="21" t="str">
        <f t="shared" si="25"/>
        <v>是</v>
      </c>
      <c r="V206" s="21">
        <f>VLOOKUP($C206,[4]Sheet1!$B:$AN,39,FALSE)</f>
        <v>19.92</v>
      </c>
      <c r="W206" s="21">
        <v>0</v>
      </c>
      <c r="X206" s="23">
        <v>4</v>
      </c>
      <c r="Y206" s="23">
        <v>4</v>
      </c>
      <c r="Z206" s="25">
        <f t="shared" si="26"/>
        <v>0</v>
      </c>
      <c r="AA206" s="25" t="str">
        <f t="shared" si="27"/>
        <v>是</v>
      </c>
      <c r="AB206" t="s">
        <v>148</v>
      </c>
      <c r="AC206" t="e">
        <f>VLOOKUP(C206,[1]Sheet1!$C:$O,13,FALSE)</f>
        <v>#N/A</v>
      </c>
      <c r="AD206" t="str">
        <f>VLOOKUP($H206,'[3]0509人员排班情况 副本'!$G:$U,12,FALSE)</f>
        <v>王安琪 (Anqi Wang),张朱同 Thomson（Zhutong Zhang）</v>
      </c>
      <c r="AE206" t="str">
        <f>VLOOKUP($H206,'[3]0509人员排班情况 副本'!$G:$U,13,FALSE)</f>
        <v>陈锦昭</v>
      </c>
      <c r="AF206" t="str">
        <f>VLOOKUP($H206,'[3]0509人员排班情况 副本'!$G:$U,14,FALSE)</f>
        <v>王兵 Allen (Bing Wang)</v>
      </c>
      <c r="AG206">
        <f>VLOOKUP($H206,'[3]0509人员排班情况 副本'!$G:$U,15,FALSE)</f>
        <v>0</v>
      </c>
    </row>
    <row r="207" customHeight="1" spans="1:33">
      <c r="A207" t="s">
        <v>202</v>
      </c>
      <c r="B207" t="s">
        <v>824</v>
      </c>
      <c r="C207" t="s">
        <v>825</v>
      </c>
      <c r="D207" t="s">
        <v>48</v>
      </c>
      <c r="E207" t="s">
        <v>51</v>
      </c>
      <c r="F207" t="s">
        <v>563</v>
      </c>
      <c r="G207" t="s">
        <v>112</v>
      </c>
      <c r="H207" t="str">
        <f t="shared" si="21"/>
        <v>Ground项目部OG 美西区CNO.G</v>
      </c>
      <c r="I207" t="s">
        <v>276</v>
      </c>
      <c r="J207" t="s">
        <v>655</v>
      </c>
      <c r="K207" s="15">
        <v>0.583333333333333</v>
      </c>
      <c r="L207" s="15" t="s">
        <v>656</v>
      </c>
      <c r="M207" s="15"/>
      <c r="N207" t="s">
        <v>148</v>
      </c>
      <c r="O207" s="20" t="str">
        <f t="shared" si="22"/>
        <v>不正确</v>
      </c>
      <c r="P207" s="21">
        <v>0</v>
      </c>
      <c r="Q207" s="21">
        <v>0</v>
      </c>
      <c r="R207" s="21">
        <v>0</v>
      </c>
      <c r="S207" s="21">
        <f t="shared" si="23"/>
        <v>0</v>
      </c>
      <c r="T207" s="21">
        <f t="shared" si="24"/>
        <v>0</v>
      </c>
      <c r="U207" s="21" t="str">
        <f t="shared" si="25"/>
        <v>否</v>
      </c>
      <c r="V207" s="21">
        <f>VLOOKUP($C207,[4]Sheet1!$B:$AN,39,FALSE)</f>
        <v>0</v>
      </c>
      <c r="W207" s="21">
        <v>0</v>
      </c>
      <c r="X207" s="23">
        <v>1</v>
      </c>
      <c r="Y207" s="23">
        <v>4</v>
      </c>
      <c r="Z207" s="25">
        <f t="shared" si="26"/>
        <v>3</v>
      </c>
      <c r="AA207" s="25" t="str">
        <f t="shared" si="27"/>
        <v>是</v>
      </c>
      <c r="AB207" t="s">
        <v>148</v>
      </c>
      <c r="AC207" t="e">
        <f>VLOOKUP(C207,[1]Sheet1!$C:$O,13,FALSE)</f>
        <v>#N/A</v>
      </c>
      <c r="AD207" t="str">
        <f>VLOOKUP($H207,'[3]0509人员排班情况 副本'!$G:$U,12,FALSE)</f>
        <v>王安琪 (Anqi Wang),张朱同 Thomson（Zhutong Zhang）</v>
      </c>
      <c r="AE207" t="str">
        <f>VLOOKUP($H207,'[3]0509人员排班情况 副本'!$G:$U,13,FALSE)</f>
        <v>陈锦昭</v>
      </c>
      <c r="AF207" t="str">
        <f>VLOOKUP($H207,'[3]0509人员排班情况 副本'!$G:$U,14,FALSE)</f>
        <v>张弘毅 Hongyi （Hongyi Zhang）</v>
      </c>
      <c r="AG207">
        <f>VLOOKUP($H207,'[3]0509人员排班情况 副本'!$G:$U,15,FALSE)</f>
        <v>0</v>
      </c>
    </row>
    <row r="208" customHeight="1" spans="1:33">
      <c r="A208" t="s">
        <v>202</v>
      </c>
      <c r="B208" t="s">
        <v>826</v>
      </c>
      <c r="C208" t="s">
        <v>827</v>
      </c>
      <c r="D208" t="s">
        <v>100</v>
      </c>
      <c r="E208" t="s">
        <v>103</v>
      </c>
      <c r="F208" t="s">
        <v>275</v>
      </c>
      <c r="G208" t="s">
        <v>112</v>
      </c>
      <c r="H208" t="str">
        <f t="shared" si="21"/>
        <v>WE 美西大区LAV.H分拣组</v>
      </c>
      <c r="I208" t="s">
        <v>276</v>
      </c>
      <c r="J208" t="s">
        <v>384</v>
      </c>
      <c r="K208" s="15">
        <v>0.6875</v>
      </c>
      <c r="L208" s="15" t="s">
        <v>385</v>
      </c>
      <c r="M208" s="15">
        <v>0.670833333333333</v>
      </c>
      <c r="N208" t="s">
        <v>148</v>
      </c>
      <c r="O208" s="20" t="str">
        <f t="shared" si="22"/>
        <v>正确</v>
      </c>
      <c r="P208" s="21">
        <v>0</v>
      </c>
      <c r="Q208" s="21">
        <v>0</v>
      </c>
      <c r="R208" s="21">
        <v>0</v>
      </c>
      <c r="S208" s="21">
        <f t="shared" si="23"/>
        <v>0</v>
      </c>
      <c r="T208" s="21">
        <f t="shared" si="24"/>
        <v>0</v>
      </c>
      <c r="U208" s="21" t="str">
        <f t="shared" si="25"/>
        <v>否</v>
      </c>
      <c r="V208" s="21">
        <f>VLOOKUP($C208,[4]Sheet1!$B:$AN,39,FALSE)</f>
        <v>12</v>
      </c>
      <c r="W208" s="21">
        <v>0</v>
      </c>
      <c r="X208" s="23">
        <v>3</v>
      </c>
      <c r="Y208" s="23">
        <v>4</v>
      </c>
      <c r="Z208" s="25">
        <f t="shared" si="26"/>
        <v>1</v>
      </c>
      <c r="AA208" s="25" t="str">
        <f t="shared" si="27"/>
        <v>是</v>
      </c>
      <c r="AB208" t="s">
        <v>148</v>
      </c>
      <c r="AC208" t="e">
        <f>VLOOKUP(C208,[1]Sheet1!$C:$O,13,FALSE)</f>
        <v>#N/A</v>
      </c>
      <c r="AD208" t="str">
        <f>VLOOKUP($H208,'[3]0509人员排班情况 副本'!$G:$U,12,FALSE)</f>
        <v>王骞Ariel（Qian Wang）,叶秀芳Freya (Xiufang Ye)</v>
      </c>
      <c r="AE208" t="str">
        <f>VLOOKUP($H208,'[3]0509人员排班情况 副本'!$G:$U,13,FALSE)</f>
        <v>常哲</v>
      </c>
      <c r="AF208" t="str">
        <f>VLOOKUP($H208,'[3]0509人员排班情况 副本'!$G:$U,14,FALSE)</f>
        <v>张双甫(Shuangfu Zhang)</v>
      </c>
      <c r="AG208">
        <f>VLOOKUP($H208,'[3]0509人员排班情况 副本'!$G:$U,15,FALSE)</f>
        <v>0</v>
      </c>
    </row>
    <row r="209" customHeight="1" spans="1:33">
      <c r="A209" t="s">
        <v>202</v>
      </c>
      <c r="B209" t="s">
        <v>828</v>
      </c>
      <c r="C209" t="s">
        <v>829</v>
      </c>
      <c r="D209" t="s">
        <v>15</v>
      </c>
      <c r="E209" t="s">
        <v>17</v>
      </c>
      <c r="F209" t="s">
        <v>148</v>
      </c>
      <c r="G209" t="s">
        <v>112</v>
      </c>
      <c r="H209" t="str">
        <f t="shared" si="21"/>
        <v>FL 佛州大区MCO.H</v>
      </c>
      <c r="I209" t="s">
        <v>654</v>
      </c>
      <c r="J209" t="s">
        <v>295</v>
      </c>
      <c r="K209" s="15">
        <v>0.375</v>
      </c>
      <c r="L209" s="15" t="s">
        <v>296</v>
      </c>
      <c r="M209" s="15">
        <v>0.367361111111111</v>
      </c>
      <c r="N209" t="s">
        <v>830</v>
      </c>
      <c r="O209" s="20" t="str">
        <f t="shared" si="22"/>
        <v>正确</v>
      </c>
      <c r="P209" s="21">
        <v>0</v>
      </c>
      <c r="Q209" s="21">
        <v>11.8</v>
      </c>
      <c r="R209" s="21">
        <v>0</v>
      </c>
      <c r="S209" s="21">
        <f t="shared" si="23"/>
        <v>11.8</v>
      </c>
      <c r="T209" s="21">
        <f t="shared" si="24"/>
        <v>3.8</v>
      </c>
      <c r="U209" s="21" t="str">
        <f t="shared" si="25"/>
        <v>是</v>
      </c>
      <c r="V209" s="21">
        <f>VLOOKUP($C209,[4]Sheet1!$B:$AN,39,FALSE)</f>
        <v>22.77</v>
      </c>
      <c r="W209" s="21">
        <v>0</v>
      </c>
      <c r="X209" s="23">
        <v>4</v>
      </c>
      <c r="Y209" s="23">
        <v>4</v>
      </c>
      <c r="Z209" s="25">
        <f t="shared" si="26"/>
        <v>0</v>
      </c>
      <c r="AA209" s="25" t="str">
        <f t="shared" si="27"/>
        <v>是</v>
      </c>
      <c r="AB209" t="s">
        <v>148</v>
      </c>
      <c r="AC209" t="e">
        <f>VLOOKUP(C209,[1]Sheet1!$C:$O,13,FALSE)</f>
        <v>#N/A</v>
      </c>
      <c r="AD209" t="str">
        <f>VLOOKUP($H209,'[3]0509人员排班情况 副本'!$G:$U,12,FALSE)</f>
        <v>Natalia (Natalia Padilla),孙婕 Jasmine（Sunjie）</v>
      </c>
      <c r="AE209" t="str">
        <f>VLOOKUP($H209,'[3]0509人员排班情况 副本'!$G:$U,13,FALSE)</f>
        <v>贺子强Jeff (Ziqiang He)</v>
      </c>
      <c r="AF209">
        <f>VLOOKUP($H209,'[3]0509人员排班情况 副本'!$G:$U,14,FALSE)</f>
        <v>0</v>
      </c>
      <c r="AG209">
        <f>VLOOKUP($H209,'[3]0509人员排班情况 副本'!$G:$U,15,FALSE)</f>
        <v>0</v>
      </c>
    </row>
    <row r="210" customHeight="1" spans="1:33">
      <c r="A210" t="s">
        <v>202</v>
      </c>
      <c r="B210" t="s">
        <v>831</v>
      </c>
      <c r="C210" t="s">
        <v>832</v>
      </c>
      <c r="D210" t="s">
        <v>92</v>
      </c>
      <c r="E210" t="s">
        <v>97</v>
      </c>
      <c r="F210" t="s">
        <v>833</v>
      </c>
      <c r="H210" t="str">
        <f t="shared" si="21"/>
        <v>TX 德州大区NT 北德州片区ELP01</v>
      </c>
      <c r="I210" t="s">
        <v>406</v>
      </c>
      <c r="J210" t="s">
        <v>229</v>
      </c>
      <c r="K210" s="15">
        <v>0.270833333333333</v>
      </c>
      <c r="L210" s="15" t="s">
        <v>230</v>
      </c>
      <c r="M210" s="15">
        <v>0.229166666666667</v>
      </c>
      <c r="N210" t="s">
        <v>230</v>
      </c>
      <c r="O210" s="20" t="str">
        <f t="shared" si="22"/>
        <v>正确</v>
      </c>
      <c r="P210" s="21">
        <v>0</v>
      </c>
      <c r="Q210" s="21">
        <v>9</v>
      </c>
      <c r="R210" s="21">
        <v>0</v>
      </c>
      <c r="S210" s="21">
        <f t="shared" si="23"/>
        <v>9</v>
      </c>
      <c r="T210" s="21">
        <f t="shared" si="24"/>
        <v>1</v>
      </c>
      <c r="U210" s="21" t="str">
        <f t="shared" si="25"/>
        <v>是</v>
      </c>
      <c r="V210" s="21">
        <f>VLOOKUP($C210,[4]Sheet1!$B:$AN,39,FALSE)</f>
        <v>18</v>
      </c>
      <c r="W210" s="21">
        <v>0</v>
      </c>
      <c r="X210" s="23">
        <v>2</v>
      </c>
      <c r="Y210" s="23">
        <v>4</v>
      </c>
      <c r="Z210" s="25">
        <f t="shared" si="26"/>
        <v>2</v>
      </c>
      <c r="AA210" s="25" t="str">
        <f t="shared" si="27"/>
        <v>是</v>
      </c>
      <c r="AB210" t="s">
        <v>148</v>
      </c>
      <c r="AC210" t="e">
        <f>VLOOKUP(C210,[1]Sheet1!$C:$O,13,FALSE)</f>
        <v>#N/A</v>
      </c>
      <c r="AD210" t="str">
        <f>VLOOKUP($H210,'[3]0509人员排班情况 副本'!$G:$U,12,FALSE)</f>
        <v>肖芦莉Lily (Luli Xiao)</v>
      </c>
      <c r="AE210" t="str">
        <f>VLOOKUP($H210,'[3]0509人员排班情况 副本'!$G:$U,13,FALSE)</f>
        <v>张骥Ji Zhang (Ji Zhang)</v>
      </c>
      <c r="AF210" t="str">
        <f>VLOOKUP($H210,'[3]0509人员排班情况 副本'!$G:$U,14,FALSE)</f>
        <v>何琼joan(Qiong He)</v>
      </c>
      <c r="AG210">
        <f>VLOOKUP($H210,'[3]0509人员排班情况 副本'!$G:$U,15,FALSE)</f>
        <v>0</v>
      </c>
    </row>
    <row r="211" customHeight="1" spans="1:33">
      <c r="A211" t="s">
        <v>202</v>
      </c>
      <c r="B211" t="s">
        <v>834</v>
      </c>
      <c r="C211" t="s">
        <v>835</v>
      </c>
      <c r="D211" t="s">
        <v>31</v>
      </c>
      <c r="E211" t="s">
        <v>29</v>
      </c>
      <c r="F211" t="s">
        <v>200</v>
      </c>
      <c r="H211" t="str">
        <f t="shared" si="21"/>
        <v>GL 大湖大区运营支持部区域支持组</v>
      </c>
      <c r="I211" t="s">
        <v>201</v>
      </c>
      <c r="J211" t="s">
        <v>347</v>
      </c>
      <c r="K211" s="15">
        <v>0.541666666666667</v>
      </c>
      <c r="L211" s="15" t="s">
        <v>348</v>
      </c>
      <c r="M211" s="15">
        <v>0.543055555555556</v>
      </c>
      <c r="N211" t="s">
        <v>836</v>
      </c>
      <c r="O211" s="20" t="str">
        <f t="shared" si="22"/>
        <v>正确</v>
      </c>
      <c r="P211" s="21">
        <v>0</v>
      </c>
      <c r="Q211" s="21">
        <v>8.47</v>
      </c>
      <c r="R211" s="21">
        <v>0</v>
      </c>
      <c r="S211" s="21">
        <f t="shared" si="23"/>
        <v>8.47</v>
      </c>
      <c r="T211" s="21">
        <f t="shared" si="24"/>
        <v>0.470000000000001</v>
      </c>
      <c r="U211" s="21" t="str">
        <f t="shared" si="25"/>
        <v>是</v>
      </c>
      <c r="V211" s="21">
        <f>VLOOKUP($C211,[4]Sheet1!$B:$AN,39,FALSE)</f>
        <v>17.99</v>
      </c>
      <c r="W211" s="21">
        <v>0</v>
      </c>
      <c r="X211" s="23">
        <v>2</v>
      </c>
      <c r="Y211" s="23">
        <v>4</v>
      </c>
      <c r="Z211" s="25">
        <f t="shared" si="26"/>
        <v>2</v>
      </c>
      <c r="AA211" s="25" t="str">
        <f t="shared" si="27"/>
        <v>是</v>
      </c>
      <c r="AB211" t="s">
        <v>148</v>
      </c>
      <c r="AC211" t="e">
        <f>VLOOKUP(C211,[1]Sheet1!$C:$O,13,FALSE)</f>
        <v>#N/A</v>
      </c>
      <c r="AD211" t="str">
        <f>VLOOKUP($H211,'[3]0509人员排班情况 副本'!$G:$U,12,FALSE)</f>
        <v>王晓丹 Jasmine（Xiaodan Wang）,周延舒Isabel（Yanshu Zhou）</v>
      </c>
      <c r="AE211" t="str">
        <f>VLOOKUP($H211,'[3]0509人员排班情况 副本'!$G:$U,13,FALSE)</f>
        <v>张骥Ji Zhang (Ji Zhang)</v>
      </c>
      <c r="AF211">
        <f>VLOOKUP($H211,'[3]0509人员排班情况 副本'!$G:$U,14,FALSE)</f>
        <v>0</v>
      </c>
      <c r="AG211">
        <f>VLOOKUP($H211,'[3]0509人员排班情况 副本'!$G:$U,15,FALSE)</f>
        <v>0</v>
      </c>
    </row>
    <row r="212" customHeight="1" spans="1:33">
      <c r="A212" t="s">
        <v>202</v>
      </c>
      <c r="B212" t="s">
        <v>837</v>
      </c>
      <c r="C212" t="s">
        <v>838</v>
      </c>
      <c r="D212" t="s">
        <v>48</v>
      </c>
      <c r="E212" t="s">
        <v>51</v>
      </c>
      <c r="F212" t="s">
        <v>839</v>
      </c>
      <c r="H212" t="str">
        <f t="shared" si="21"/>
        <v>Ground项目部OG 美西区运营支持组</v>
      </c>
      <c r="I212" t="s">
        <v>326</v>
      </c>
      <c r="J212" t="s">
        <v>295</v>
      </c>
      <c r="K212" s="15">
        <v>0.375</v>
      </c>
      <c r="L212" s="15" t="s">
        <v>296</v>
      </c>
      <c r="M212" s="15">
        <v>0.425694444444444</v>
      </c>
      <c r="N212" t="s">
        <v>840</v>
      </c>
      <c r="O212" s="20" t="str">
        <f t="shared" si="22"/>
        <v>不正确</v>
      </c>
      <c r="P212" s="21">
        <v>0</v>
      </c>
      <c r="Q212" s="21">
        <v>8.37</v>
      </c>
      <c r="R212" s="21">
        <v>0</v>
      </c>
      <c r="S212" s="21">
        <f t="shared" si="23"/>
        <v>8.37</v>
      </c>
      <c r="T212" s="21">
        <f t="shared" si="24"/>
        <v>0.369999999999999</v>
      </c>
      <c r="U212" s="21" t="str">
        <f t="shared" si="25"/>
        <v>是</v>
      </c>
      <c r="V212" s="21">
        <f>VLOOKUP($C212,[4]Sheet1!$B:$AN,39,FALSE)</f>
        <v>16.97</v>
      </c>
      <c r="W212" s="21">
        <v>0</v>
      </c>
      <c r="X212" s="23">
        <v>3</v>
      </c>
      <c r="Y212" s="23">
        <v>4</v>
      </c>
      <c r="Z212" s="25">
        <f t="shared" si="26"/>
        <v>1</v>
      </c>
      <c r="AA212" s="25" t="str">
        <f t="shared" si="27"/>
        <v>是</v>
      </c>
      <c r="AB212" t="s">
        <v>148</v>
      </c>
      <c r="AC212" t="e">
        <f>VLOOKUP(C212,[1]Sheet1!$C:$O,13,FALSE)</f>
        <v>#N/A</v>
      </c>
      <c r="AD212" t="str">
        <f>VLOOKUP($H212,'[3]0509人员排班情况 副本'!$G:$U,12,FALSE)</f>
        <v>王安琪 (Anqi Wang),张朱同 Thomson（Zhutong Zhang）</v>
      </c>
      <c r="AE212" t="str">
        <f>VLOOKUP($H212,'[3]0509人员排班情况 副本'!$G:$U,13,FALSE)</f>
        <v>陈锦昭</v>
      </c>
      <c r="AF212">
        <f>VLOOKUP($H212,'[3]0509人员排班情况 副本'!$G:$U,14,FALSE)</f>
        <v>0</v>
      </c>
      <c r="AG212">
        <f>VLOOKUP($H212,'[3]0509人员排班情况 副本'!$G:$U,15,FALSE)</f>
        <v>0</v>
      </c>
    </row>
    <row r="213" customHeight="1" spans="1:33">
      <c r="A213" t="s">
        <v>202</v>
      </c>
      <c r="B213" t="s">
        <v>841</v>
      </c>
      <c r="C213" t="s">
        <v>842</v>
      </c>
      <c r="D213" t="s">
        <v>13</v>
      </c>
      <c r="E213" t="s">
        <v>614</v>
      </c>
      <c r="F213" t="s">
        <v>615</v>
      </c>
      <c r="H213" t="str">
        <f t="shared" si="21"/>
        <v>CS 客户服务部消费者客服组海外客服组</v>
      </c>
      <c r="I213" t="s">
        <v>616</v>
      </c>
      <c r="J213" t="s">
        <v>236</v>
      </c>
      <c r="K213" s="15">
        <v>0.395833333333333</v>
      </c>
      <c r="L213" s="15" t="s">
        <v>218</v>
      </c>
      <c r="M213" s="15">
        <v>0.395138888888889</v>
      </c>
      <c r="N213" t="s">
        <v>843</v>
      </c>
      <c r="O213" s="20" t="str">
        <f t="shared" si="22"/>
        <v>正确</v>
      </c>
      <c r="P213" s="21">
        <v>0</v>
      </c>
      <c r="Q213" s="21">
        <v>8.07</v>
      </c>
      <c r="R213" s="21">
        <v>0</v>
      </c>
      <c r="S213" s="21">
        <f t="shared" si="23"/>
        <v>8.07</v>
      </c>
      <c r="T213" s="21">
        <f t="shared" si="24"/>
        <v>0.0700000000000003</v>
      </c>
      <c r="U213" s="21" t="str">
        <f t="shared" si="25"/>
        <v>是</v>
      </c>
      <c r="V213" s="21">
        <f>VLOOKUP($C213,[4]Sheet1!$B:$AN,39,FALSE)</f>
        <v>16.24</v>
      </c>
      <c r="W213" s="21">
        <v>0</v>
      </c>
      <c r="X213" s="23">
        <v>4</v>
      </c>
      <c r="Y213" s="23">
        <v>4</v>
      </c>
      <c r="Z213" s="25">
        <f t="shared" si="26"/>
        <v>0</v>
      </c>
      <c r="AA213" s="25" t="str">
        <f t="shared" si="27"/>
        <v>是</v>
      </c>
      <c r="AB213" t="s">
        <v>148</v>
      </c>
      <c r="AC213" t="e">
        <f>VLOOKUP(C213,[1]Sheet1!$C:$O,13,FALSE)</f>
        <v>#N/A</v>
      </c>
      <c r="AD213" t="str">
        <f>VLOOKUP($H213,'[3]0509人员排班情况 副本'!$G:$U,12,FALSE)</f>
        <v>袁博闻(Bowen Yuan)</v>
      </c>
      <c r="AE213">
        <f>VLOOKUP($H213,'[3]0509人员排班情况 副本'!$G:$U,13,FALSE)</f>
        <v>0</v>
      </c>
      <c r="AF213">
        <f>VLOOKUP($H213,'[3]0509人员排班情况 副本'!$G:$U,14,FALSE)</f>
        <v>0</v>
      </c>
      <c r="AG213">
        <f>VLOOKUP($H213,'[3]0509人员排班情况 副本'!$G:$U,15,FALSE)</f>
        <v>0</v>
      </c>
    </row>
    <row r="214" customHeight="1" spans="1:33">
      <c r="A214" t="s">
        <v>202</v>
      </c>
      <c r="B214" t="s">
        <v>844</v>
      </c>
      <c r="C214" t="s">
        <v>845</v>
      </c>
      <c r="D214" t="s">
        <v>88</v>
      </c>
      <c r="E214" t="s">
        <v>846</v>
      </c>
      <c r="F214" t="s">
        <v>148</v>
      </c>
      <c r="H214" t="str">
        <f t="shared" si="21"/>
        <v>OM 操作管理部仓库租赁组</v>
      </c>
      <c r="I214" t="s">
        <v>847</v>
      </c>
      <c r="J214" t="s">
        <v>236</v>
      </c>
      <c r="K214" s="15">
        <v>0.395833333333333</v>
      </c>
      <c r="L214" s="15" t="s">
        <v>218</v>
      </c>
      <c r="M214" s="15">
        <v>0.370138888888889</v>
      </c>
      <c r="N214" t="s">
        <v>803</v>
      </c>
      <c r="O214" s="20" t="str">
        <f t="shared" si="22"/>
        <v>正确</v>
      </c>
      <c r="P214" s="21">
        <v>0</v>
      </c>
      <c r="Q214" s="21">
        <v>7.42</v>
      </c>
      <c r="R214" s="21">
        <v>0</v>
      </c>
      <c r="S214" s="21">
        <f t="shared" si="23"/>
        <v>7.42</v>
      </c>
      <c r="T214" s="21">
        <f t="shared" si="24"/>
        <v>0</v>
      </c>
      <c r="U214" s="21" t="str">
        <f t="shared" si="25"/>
        <v>否</v>
      </c>
      <c r="V214" s="21">
        <f>VLOOKUP($C214,[4]Sheet1!$B:$AN,39,FALSE)</f>
        <v>7.42</v>
      </c>
      <c r="W214" s="21">
        <v>0</v>
      </c>
      <c r="X214" s="23">
        <v>2</v>
      </c>
      <c r="Y214" s="23">
        <v>4</v>
      </c>
      <c r="Z214" s="25">
        <f t="shared" si="26"/>
        <v>2</v>
      </c>
      <c r="AA214" s="25" t="str">
        <f t="shared" si="27"/>
        <v>是</v>
      </c>
      <c r="AB214" t="s">
        <v>148</v>
      </c>
      <c r="AC214" t="e">
        <f>VLOOKUP(C214,[1]Sheet1!$C:$O,13,FALSE)</f>
        <v>#N/A</v>
      </c>
      <c r="AD214" t="str">
        <f>VLOOKUP($H214,'[3]0509人员排班情况 副本'!$G:$U,12,FALSE)</f>
        <v>袁博闻(Bowen Yuan)</v>
      </c>
      <c r="AE214">
        <f>VLOOKUP($H214,'[3]0509人员排班情况 副本'!$G:$U,13,FALSE)</f>
        <v>0</v>
      </c>
      <c r="AF214">
        <f>VLOOKUP($H214,'[3]0509人员排班情况 副本'!$G:$U,14,FALSE)</f>
        <v>0</v>
      </c>
      <c r="AG214">
        <f>VLOOKUP($H214,'[3]0509人员排班情况 副本'!$G:$U,15,FALSE)</f>
        <v>0</v>
      </c>
    </row>
    <row r="215" customHeight="1" spans="1:33">
      <c r="A215" t="s">
        <v>202</v>
      </c>
      <c r="B215" t="s">
        <v>848</v>
      </c>
      <c r="C215" t="s">
        <v>849</v>
      </c>
      <c r="D215" t="s">
        <v>92</v>
      </c>
      <c r="E215" t="s">
        <v>96</v>
      </c>
      <c r="F215" t="s">
        <v>850</v>
      </c>
      <c r="G215" t="s">
        <v>112</v>
      </c>
      <c r="H215" t="str">
        <f t="shared" si="21"/>
        <v>TX 德州大区IAH.H维保组</v>
      </c>
      <c r="I215" t="s">
        <v>851</v>
      </c>
      <c r="J215" t="s">
        <v>282</v>
      </c>
      <c r="K215" s="15">
        <v>0.416666666666667</v>
      </c>
      <c r="L215" s="15" t="s">
        <v>283</v>
      </c>
      <c r="M215" s="15">
        <v>0.419444444444444</v>
      </c>
      <c r="N215" t="s">
        <v>852</v>
      </c>
      <c r="O215" s="20" t="str">
        <f t="shared" si="22"/>
        <v>正确</v>
      </c>
      <c r="P215" s="21">
        <v>0</v>
      </c>
      <c r="Q215" s="21">
        <v>8.05</v>
      </c>
      <c r="R215" s="21">
        <v>0</v>
      </c>
      <c r="S215" s="21">
        <f t="shared" si="23"/>
        <v>8.05</v>
      </c>
      <c r="T215" s="21">
        <f t="shared" si="24"/>
        <v>0.0500000000000007</v>
      </c>
      <c r="U215" s="21" t="str">
        <f t="shared" si="25"/>
        <v>是</v>
      </c>
      <c r="V215" s="21">
        <f>VLOOKUP($C215,[4]Sheet1!$B:$AN,39,FALSE)</f>
        <v>16.77</v>
      </c>
      <c r="W215" s="21">
        <v>0</v>
      </c>
      <c r="X215" s="23">
        <v>4</v>
      </c>
      <c r="Y215" s="23">
        <v>4</v>
      </c>
      <c r="Z215" s="25">
        <f t="shared" si="26"/>
        <v>0</v>
      </c>
      <c r="AA215" s="25" t="str">
        <f t="shared" si="27"/>
        <v>是</v>
      </c>
      <c r="AB215" t="s">
        <v>148</v>
      </c>
      <c r="AC215" t="e">
        <f>VLOOKUP(C215,[1]Sheet1!$C:$O,13,FALSE)</f>
        <v>#N/A</v>
      </c>
      <c r="AD215" t="str">
        <f>VLOOKUP($H215,'[3]0509人员排班情况 副本'!$G:$U,12,FALSE)</f>
        <v>肖芦莉Lily (Luli Xiao)</v>
      </c>
      <c r="AE215" t="str">
        <f>VLOOKUP($H215,'[3]0509人员排班情况 副本'!$G:$U,13,FALSE)</f>
        <v>张骥Ji Zhang (Ji Zhang)</v>
      </c>
      <c r="AF215" t="str">
        <f>VLOOKUP($H215,'[3]0509人员排班情况 副本'!$G:$U,14,FALSE)</f>
        <v>章峻铭 J (Junming Zhang)</v>
      </c>
      <c r="AG215">
        <f>VLOOKUP($H215,'[3]0509人员排班情况 副本'!$G:$U,15,FALSE)</f>
        <v>0</v>
      </c>
    </row>
    <row r="216" customHeight="1" spans="1:33">
      <c r="A216" t="s">
        <v>202</v>
      </c>
      <c r="B216" t="s">
        <v>853</v>
      </c>
      <c r="C216" t="s">
        <v>854</v>
      </c>
      <c r="D216" t="s">
        <v>99</v>
      </c>
      <c r="E216" t="s">
        <v>677</v>
      </c>
      <c r="F216" t="s">
        <v>148</v>
      </c>
      <c r="H216" t="str">
        <f t="shared" si="21"/>
        <v>US人力资源部美洲HRBP组</v>
      </c>
      <c r="I216" t="s">
        <v>855</v>
      </c>
      <c r="J216" t="s">
        <v>236</v>
      </c>
      <c r="K216" s="15">
        <v>0.395833333333333</v>
      </c>
      <c r="L216" s="15" t="s">
        <v>218</v>
      </c>
      <c r="M216" s="15">
        <v>0.395833333333333</v>
      </c>
      <c r="N216" t="s">
        <v>218</v>
      </c>
      <c r="O216" s="20" t="str">
        <f t="shared" si="22"/>
        <v>正确</v>
      </c>
      <c r="P216" s="21">
        <v>0</v>
      </c>
      <c r="Q216" s="21">
        <v>8</v>
      </c>
      <c r="R216" s="21">
        <v>0</v>
      </c>
      <c r="S216" s="21">
        <f t="shared" si="23"/>
        <v>8</v>
      </c>
      <c r="T216" s="21">
        <f t="shared" si="24"/>
        <v>0</v>
      </c>
      <c r="U216" s="21" t="str">
        <f t="shared" si="25"/>
        <v>否</v>
      </c>
      <c r="V216" s="21">
        <f>VLOOKUP($C216,[4]Sheet1!$B:$AN,39,FALSE)</f>
        <v>16</v>
      </c>
      <c r="W216" s="21">
        <v>24</v>
      </c>
      <c r="X216" s="23">
        <v>2</v>
      </c>
      <c r="Y216" s="23">
        <v>0</v>
      </c>
      <c r="Z216" s="25">
        <f t="shared" si="26"/>
        <v>0</v>
      </c>
      <c r="AA216" s="25" t="str">
        <f t="shared" si="27"/>
        <v>是</v>
      </c>
      <c r="AB216" t="s">
        <v>856</v>
      </c>
      <c r="AC216" t="e">
        <f>VLOOKUP(C216,[1]Sheet1!$C:$O,13,FALSE)</f>
        <v>#N/A</v>
      </c>
      <c r="AD216" t="str">
        <f>VLOOKUP($H216,'[3]0509人员排班情况 副本'!$G:$U,12,FALSE)</f>
        <v>袁博闻(Bowen Yuan)</v>
      </c>
      <c r="AE216">
        <f>VLOOKUP($H216,'[3]0509人员排班情况 副本'!$G:$U,13,FALSE)</f>
        <v>0</v>
      </c>
      <c r="AF216">
        <f>VLOOKUP($H216,'[3]0509人员排班情况 副本'!$G:$U,14,FALSE)</f>
        <v>0</v>
      </c>
      <c r="AG216">
        <f>VLOOKUP($H216,'[3]0509人员排班情况 副本'!$G:$U,15,FALSE)</f>
        <v>0</v>
      </c>
    </row>
    <row r="217" customHeight="1" spans="1:33">
      <c r="A217" t="s">
        <v>202</v>
      </c>
      <c r="B217" t="s">
        <v>857</v>
      </c>
      <c r="C217" t="s">
        <v>858</v>
      </c>
      <c r="D217" t="s">
        <v>68</v>
      </c>
      <c r="E217" t="s">
        <v>81</v>
      </c>
      <c r="F217" t="s">
        <v>186</v>
      </c>
      <c r="H217" t="str">
        <f t="shared" si="21"/>
        <v>NE 东北大区NY 纽约片区LGA01</v>
      </c>
      <c r="I217" t="s">
        <v>177</v>
      </c>
      <c r="J217" t="s">
        <v>217</v>
      </c>
      <c r="K217" s="15">
        <v>0.395833333333333</v>
      </c>
      <c r="L217" s="15" t="s">
        <v>218</v>
      </c>
      <c r="M217" s="15"/>
      <c r="N217" t="s">
        <v>148</v>
      </c>
      <c r="O217" s="20" t="s">
        <v>116</v>
      </c>
      <c r="P217" s="21">
        <v>0</v>
      </c>
      <c r="Q217" s="21">
        <v>0</v>
      </c>
      <c r="R217" s="21">
        <v>0</v>
      </c>
      <c r="S217" s="21">
        <f t="shared" si="23"/>
        <v>0</v>
      </c>
      <c r="T217" s="21">
        <f t="shared" si="24"/>
        <v>0</v>
      </c>
      <c r="U217" s="21" t="str">
        <f t="shared" si="25"/>
        <v>否</v>
      </c>
      <c r="V217" s="21">
        <f>VLOOKUP($C217,[4]Sheet1!$B:$AN,39,FALSE)</f>
        <v>8.73</v>
      </c>
      <c r="W217" s="21">
        <v>0</v>
      </c>
      <c r="X217" s="23">
        <v>0</v>
      </c>
      <c r="Y217" s="23">
        <v>0</v>
      </c>
      <c r="Z217" s="25">
        <f t="shared" si="26"/>
        <v>0</v>
      </c>
      <c r="AA217" s="25" t="str">
        <f t="shared" si="27"/>
        <v>是</v>
      </c>
      <c r="AB217" t="s">
        <v>148</v>
      </c>
      <c r="AC217" t="e">
        <f>VLOOKUP(C217,[1]Sheet1!$C:$O,13,FALSE)</f>
        <v>#N/A</v>
      </c>
      <c r="AD217" t="str">
        <f>VLOOKUP($H217,'[3]0509人员排班情况 副本'!$G:$U,12,FALSE)</f>
        <v>孙可君Monica（Kejun Sun）</v>
      </c>
      <c r="AE217" t="str">
        <f>VLOOKUP($H217,'[3]0509人员排班情况 副本'!$G:$U,13,FALSE)</f>
        <v>马聪Cong (Cong Ma)</v>
      </c>
      <c r="AF217" t="str">
        <f>VLOOKUP($H217,'[3]0509人员排班情况 副本'!$G:$U,14,FALSE)</f>
        <v>朱晗宇 Peter (Hanyu Zhu)</v>
      </c>
      <c r="AG217">
        <f>VLOOKUP($H217,'[3]0509人员排班情况 副本'!$G:$U,15,FALSE)</f>
        <v>0</v>
      </c>
    </row>
    <row r="218" customHeight="1" spans="1:33">
      <c r="A218" t="s">
        <v>202</v>
      </c>
      <c r="B218" t="s">
        <v>859</v>
      </c>
      <c r="C218" t="s">
        <v>860</v>
      </c>
      <c r="D218" t="s">
        <v>48</v>
      </c>
      <c r="E218" t="s">
        <v>49</v>
      </c>
      <c r="F218" t="s">
        <v>525</v>
      </c>
      <c r="G218" t="s">
        <v>112</v>
      </c>
      <c r="H218" t="str">
        <f t="shared" si="21"/>
        <v>Ground项目部OG 美东区EWR.G</v>
      </c>
      <c r="I218" t="s">
        <v>195</v>
      </c>
      <c r="J218" t="s">
        <v>373</v>
      </c>
      <c r="K218" s="15">
        <v>0.291666666666667</v>
      </c>
      <c r="L218" s="15" t="s">
        <v>374</v>
      </c>
      <c r="M218" s="15">
        <v>0.286805555555556</v>
      </c>
      <c r="N218" t="s">
        <v>861</v>
      </c>
      <c r="O218" s="20" t="str">
        <f t="shared" si="22"/>
        <v>正确</v>
      </c>
      <c r="P218" s="21">
        <v>0</v>
      </c>
      <c r="Q218" s="21">
        <v>8.27</v>
      </c>
      <c r="R218" s="21">
        <v>0</v>
      </c>
      <c r="S218" s="21">
        <f t="shared" si="23"/>
        <v>8.27</v>
      </c>
      <c r="T218" s="21">
        <f t="shared" si="24"/>
        <v>0.27</v>
      </c>
      <c r="U218" s="21" t="str">
        <f t="shared" si="25"/>
        <v>是</v>
      </c>
      <c r="V218" s="21">
        <f>VLOOKUP($C218,[4]Sheet1!$B:$AN,39,FALSE)</f>
        <v>16.35</v>
      </c>
      <c r="W218" s="21">
        <v>0</v>
      </c>
      <c r="X218" s="23">
        <v>4</v>
      </c>
      <c r="Y218" s="23">
        <v>4</v>
      </c>
      <c r="Z218" s="25">
        <f t="shared" si="26"/>
        <v>0</v>
      </c>
      <c r="AA218" s="25" t="str">
        <f t="shared" si="27"/>
        <v>是</v>
      </c>
      <c r="AB218" t="s">
        <v>148</v>
      </c>
      <c r="AC218" t="e">
        <f>VLOOKUP(C218,[1]Sheet1!$C:$O,13,FALSE)</f>
        <v>#N/A</v>
      </c>
      <c r="AD218" t="str">
        <f>VLOOKUP($H218,'[3]0509人员排班情况 副本'!$G:$U,12,FALSE)</f>
        <v>王安琪 (Anqi Wang),张朱同 Thomson（Zhutong Zhang）</v>
      </c>
      <c r="AE218" t="str">
        <f>VLOOKUP($H218,'[3]0509人员排班情况 副本'!$G:$U,13,FALSE)</f>
        <v>陈锦昭</v>
      </c>
      <c r="AF218" t="str">
        <f>VLOOKUP($H218,'[3]0509人员排班情况 副本'!$G:$U,14,FALSE)</f>
        <v>王兵 Allen (Bing Wang)</v>
      </c>
      <c r="AG218">
        <f>VLOOKUP($H218,'[3]0509人员排班情况 副本'!$G:$U,15,FALSE)</f>
        <v>0</v>
      </c>
    </row>
    <row r="219" customHeight="1" spans="1:33">
      <c r="A219" t="s">
        <v>202</v>
      </c>
      <c r="B219" t="s">
        <v>862</v>
      </c>
      <c r="C219" t="s">
        <v>863</v>
      </c>
      <c r="D219" t="s">
        <v>99</v>
      </c>
      <c r="E219" t="s">
        <v>677</v>
      </c>
      <c r="F219" t="s">
        <v>864</v>
      </c>
      <c r="H219" t="str">
        <f t="shared" si="21"/>
        <v>US人力资源部美洲HRBP组招聘组</v>
      </c>
      <c r="I219" t="s">
        <v>865</v>
      </c>
      <c r="J219" t="s">
        <v>236</v>
      </c>
      <c r="K219" s="15">
        <v>0.395833333333333</v>
      </c>
      <c r="L219" s="15" t="s">
        <v>218</v>
      </c>
      <c r="M219" s="15">
        <v>0.38125</v>
      </c>
      <c r="N219" t="s">
        <v>866</v>
      </c>
      <c r="O219" s="20" t="str">
        <f t="shared" si="22"/>
        <v>正确</v>
      </c>
      <c r="P219" s="21">
        <v>0</v>
      </c>
      <c r="Q219" s="21">
        <v>7.97</v>
      </c>
      <c r="R219" s="21">
        <v>0</v>
      </c>
      <c r="S219" s="21">
        <f t="shared" si="23"/>
        <v>7.97</v>
      </c>
      <c r="T219" s="21">
        <f t="shared" si="24"/>
        <v>0</v>
      </c>
      <c r="U219" s="21" t="str">
        <f t="shared" si="25"/>
        <v>否</v>
      </c>
      <c r="V219" s="21">
        <f>VLOOKUP($C219,[4]Sheet1!$B:$AN,39,FALSE)</f>
        <v>16.49</v>
      </c>
      <c r="W219" s="21">
        <v>0</v>
      </c>
      <c r="X219" s="23">
        <v>4</v>
      </c>
      <c r="Y219" s="23">
        <v>4</v>
      </c>
      <c r="Z219" s="25">
        <f t="shared" si="26"/>
        <v>0</v>
      </c>
      <c r="AA219" s="25" t="str">
        <f t="shared" si="27"/>
        <v>是</v>
      </c>
      <c r="AB219" t="s">
        <v>148</v>
      </c>
      <c r="AC219" t="e">
        <f>VLOOKUP(C219,[1]Sheet1!$C:$O,13,FALSE)</f>
        <v>#N/A</v>
      </c>
      <c r="AD219" t="str">
        <f>VLOOKUP($H219,'[3]0509人员排班情况 副本'!$G:$U,12,FALSE)</f>
        <v>袁博闻(Bowen Yuan)</v>
      </c>
      <c r="AE219">
        <f>VLOOKUP($H219,'[3]0509人员排班情况 副本'!$G:$U,13,FALSE)</f>
        <v>0</v>
      </c>
      <c r="AF219">
        <f>VLOOKUP($H219,'[3]0509人员排班情况 副本'!$G:$U,14,FALSE)</f>
        <v>0</v>
      </c>
      <c r="AG219">
        <f>VLOOKUP($H219,'[3]0509人员排班情况 副本'!$G:$U,15,FALSE)</f>
        <v>0</v>
      </c>
    </row>
    <row r="220" customHeight="1" spans="1:33">
      <c r="A220" t="s">
        <v>202</v>
      </c>
      <c r="B220" t="s">
        <v>867</v>
      </c>
      <c r="C220" t="s">
        <v>868</v>
      </c>
      <c r="D220" t="s">
        <v>100</v>
      </c>
      <c r="E220" t="s">
        <v>106</v>
      </c>
      <c r="F220" t="s">
        <v>104</v>
      </c>
      <c r="H220" t="str">
        <f t="shared" si="21"/>
        <v>WE 美西大区SC 南加片区LA揽收部</v>
      </c>
      <c r="I220" t="s">
        <v>869</v>
      </c>
      <c r="J220" t="s">
        <v>282</v>
      </c>
      <c r="K220" s="15">
        <v>0.416666666666667</v>
      </c>
      <c r="L220" s="15" t="s">
        <v>283</v>
      </c>
      <c r="M220" s="15">
        <v>0.419444444444444</v>
      </c>
      <c r="N220" t="s">
        <v>148</v>
      </c>
      <c r="O220" s="20" t="str">
        <f t="shared" si="22"/>
        <v>正确</v>
      </c>
      <c r="P220" s="21">
        <v>0</v>
      </c>
      <c r="Q220" s="21">
        <v>0</v>
      </c>
      <c r="R220" s="21">
        <v>0</v>
      </c>
      <c r="S220" s="21">
        <f t="shared" si="23"/>
        <v>0</v>
      </c>
      <c r="T220" s="21">
        <f t="shared" si="24"/>
        <v>0</v>
      </c>
      <c r="U220" s="21" t="str">
        <f t="shared" si="25"/>
        <v>否</v>
      </c>
      <c r="V220" s="21">
        <f>VLOOKUP($C220,[4]Sheet1!$B:$AN,39,FALSE)</f>
        <v>13.75</v>
      </c>
      <c r="W220" s="21">
        <v>0</v>
      </c>
      <c r="X220" s="23">
        <v>1</v>
      </c>
      <c r="Y220" s="23">
        <v>4</v>
      </c>
      <c r="Z220" s="25">
        <f t="shared" si="26"/>
        <v>3</v>
      </c>
      <c r="AA220" s="25" t="str">
        <f t="shared" si="27"/>
        <v>是</v>
      </c>
      <c r="AB220" t="s">
        <v>148</v>
      </c>
      <c r="AC220" t="e">
        <f>VLOOKUP(C220,[1]Sheet1!$C:$O,13,FALSE)</f>
        <v>#N/A</v>
      </c>
      <c r="AD220" t="str">
        <f>VLOOKUP($H220,'[3]0509人员排班情况 副本'!$G:$U,12,FALSE)</f>
        <v>王骞Ariel（Qian Wang）,叶秀芳Freya (Xiufang Ye)</v>
      </c>
      <c r="AE220" t="str">
        <f>VLOOKUP($H220,'[3]0509人员排班情况 副本'!$G:$U,13,FALSE)</f>
        <v>常哲</v>
      </c>
      <c r="AF220" t="str">
        <f>VLOOKUP($H220,'[3]0509人员排班情况 副本'!$G:$U,14,FALSE)</f>
        <v>尤梦楠Yuko（Mengnan You）</v>
      </c>
      <c r="AG220">
        <f>VLOOKUP($H220,'[3]0509人员排班情况 副本'!$G:$U,15,FALSE)</f>
        <v>0</v>
      </c>
    </row>
    <row r="221" customHeight="1" spans="1:33">
      <c r="A221" t="s">
        <v>202</v>
      </c>
      <c r="B221" t="s">
        <v>870</v>
      </c>
      <c r="C221" t="s">
        <v>871</v>
      </c>
      <c r="D221" t="s">
        <v>58</v>
      </c>
      <c r="E221" t="s">
        <v>62</v>
      </c>
      <c r="F221" t="s">
        <v>578</v>
      </c>
      <c r="H221" t="str">
        <f t="shared" si="21"/>
        <v>MS 中南大区BN 田纳西和北阿拉巴马片区HSV01</v>
      </c>
      <c r="I221" t="s">
        <v>687</v>
      </c>
      <c r="J221" t="s">
        <v>221</v>
      </c>
      <c r="K221" s="15">
        <v>0.208333333333333</v>
      </c>
      <c r="L221" s="15" t="s">
        <v>222</v>
      </c>
      <c r="M221" s="15">
        <v>0.205555555555556</v>
      </c>
      <c r="N221" t="s">
        <v>579</v>
      </c>
      <c r="O221" s="20" t="str">
        <f t="shared" si="22"/>
        <v>正确</v>
      </c>
      <c r="P221" s="21">
        <v>0</v>
      </c>
      <c r="Q221" s="21">
        <v>6.2</v>
      </c>
      <c r="R221" s="21">
        <v>0</v>
      </c>
      <c r="S221" s="21">
        <f t="shared" si="23"/>
        <v>6.2</v>
      </c>
      <c r="T221" s="21">
        <f t="shared" si="24"/>
        <v>0</v>
      </c>
      <c r="U221" s="21" t="str">
        <f t="shared" si="25"/>
        <v>否</v>
      </c>
      <c r="V221" s="21">
        <f>VLOOKUP($C221,[4]Sheet1!$B:$AN,39,FALSE)</f>
        <v>12.55</v>
      </c>
      <c r="W221" s="21">
        <v>0</v>
      </c>
      <c r="X221" s="23">
        <v>4</v>
      </c>
      <c r="Y221" s="23">
        <v>4</v>
      </c>
      <c r="Z221" s="25">
        <f t="shared" si="26"/>
        <v>0</v>
      </c>
      <c r="AA221" s="25" t="str">
        <f t="shared" si="27"/>
        <v>是</v>
      </c>
      <c r="AB221" t="s">
        <v>148</v>
      </c>
      <c r="AC221" t="e">
        <f>VLOOKUP(C221,[1]Sheet1!$C:$O,13,FALSE)</f>
        <v>#N/A</v>
      </c>
      <c r="AD221" t="str">
        <f>VLOOKUP($H221,'[3]0509人员排班情况 副本'!$G:$U,12,FALSE)</f>
        <v>欧阳迎春Flower（Yingchun Ouyang）</v>
      </c>
      <c r="AE221" t="str">
        <f>VLOOKUP($H221,'[3]0509人员排班情况 副本'!$G:$U,13,FALSE)</f>
        <v>杨云飞</v>
      </c>
      <c r="AF221" t="str">
        <f>VLOOKUP($H221,'[3]0509人员排班情况 副本'!$G:$U,14,FALSE)</f>
        <v>刘宏果（Hongguo Liu）</v>
      </c>
      <c r="AG221">
        <f>VLOOKUP($H221,'[3]0509人员排班情况 副本'!$G:$U,15,FALSE)</f>
        <v>0</v>
      </c>
    </row>
    <row r="222" customHeight="1" spans="1:33">
      <c r="A222" t="s">
        <v>202</v>
      </c>
      <c r="B222" t="s">
        <v>872</v>
      </c>
      <c r="C222" t="s">
        <v>873</v>
      </c>
      <c r="D222" t="s">
        <v>92</v>
      </c>
      <c r="E222" t="s">
        <v>96</v>
      </c>
      <c r="F222" t="s">
        <v>243</v>
      </c>
      <c r="G222" t="s">
        <v>112</v>
      </c>
      <c r="H222" t="str">
        <f t="shared" si="21"/>
        <v>TX 德州大区IAH.H调度组</v>
      </c>
      <c r="I222" t="s">
        <v>160</v>
      </c>
      <c r="J222" t="s">
        <v>330</v>
      </c>
      <c r="K222" s="15">
        <v>0.625</v>
      </c>
      <c r="L222" s="15" t="s">
        <v>331</v>
      </c>
      <c r="M222" s="15">
        <v>0.614583333333333</v>
      </c>
      <c r="N222" t="s">
        <v>148</v>
      </c>
      <c r="O222" s="20" t="str">
        <f t="shared" si="22"/>
        <v>正确</v>
      </c>
      <c r="P222" s="21">
        <v>0</v>
      </c>
      <c r="Q222" s="21">
        <v>0</v>
      </c>
      <c r="R222" s="21">
        <v>0</v>
      </c>
      <c r="S222" s="21">
        <f t="shared" si="23"/>
        <v>0</v>
      </c>
      <c r="T222" s="21">
        <f t="shared" si="24"/>
        <v>0</v>
      </c>
      <c r="U222" s="21" t="str">
        <f t="shared" si="25"/>
        <v>否</v>
      </c>
      <c r="V222" s="21">
        <f>VLOOKUP($C222,[4]Sheet1!$B:$AN,39,FALSE)</f>
        <v>12.97</v>
      </c>
      <c r="W222" s="21">
        <v>32.74</v>
      </c>
      <c r="X222" s="23">
        <v>3</v>
      </c>
      <c r="Y222" s="23">
        <v>4</v>
      </c>
      <c r="Z222" s="25">
        <f t="shared" si="26"/>
        <v>1</v>
      </c>
      <c r="AA222" s="25" t="str">
        <f t="shared" si="27"/>
        <v>是</v>
      </c>
      <c r="AB222" t="s">
        <v>148</v>
      </c>
      <c r="AC222" t="e">
        <f>VLOOKUP(C222,[1]Sheet1!$C:$O,13,FALSE)</f>
        <v>#N/A</v>
      </c>
      <c r="AD222" t="str">
        <f>VLOOKUP($H222,'[3]0509人员排班情况 副本'!$G:$U,12,FALSE)</f>
        <v>肖芦莉Lily (Luli Xiao)</v>
      </c>
      <c r="AE222" t="str">
        <f>VLOOKUP($H222,'[3]0509人员排班情况 副本'!$G:$U,13,FALSE)</f>
        <v>张骥Ji Zhang (Ji Zhang)</v>
      </c>
      <c r="AF222" t="str">
        <f>VLOOKUP($H222,'[3]0509人员排班情况 副本'!$G:$U,14,FALSE)</f>
        <v>Minqing (Minqing Xu),罗煜雄 Mike (Yuxiong Luo)</v>
      </c>
      <c r="AG222">
        <f>VLOOKUP($H222,'[3]0509人员排班情况 副本'!$G:$U,15,FALSE)</f>
        <v>0</v>
      </c>
    </row>
    <row r="223" customHeight="1" spans="1:33">
      <c r="A223" t="s">
        <v>202</v>
      </c>
      <c r="B223" t="s">
        <v>874</v>
      </c>
      <c r="C223" t="s">
        <v>875</v>
      </c>
      <c r="D223" t="s">
        <v>48</v>
      </c>
      <c r="E223" t="s">
        <v>51</v>
      </c>
      <c r="F223" t="s">
        <v>563</v>
      </c>
      <c r="G223" t="s">
        <v>112</v>
      </c>
      <c r="H223" t="str">
        <f t="shared" si="21"/>
        <v>Ground项目部OG 美西区CNO.G</v>
      </c>
      <c r="I223" t="s">
        <v>156</v>
      </c>
      <c r="J223" t="s">
        <v>221</v>
      </c>
      <c r="K223" s="15">
        <v>0.208333333333333</v>
      </c>
      <c r="L223" s="15" t="s">
        <v>222</v>
      </c>
      <c r="M223" s="15">
        <v>0.2</v>
      </c>
      <c r="N223" t="s">
        <v>876</v>
      </c>
      <c r="O223" s="20" t="str">
        <f t="shared" si="22"/>
        <v>正确</v>
      </c>
      <c r="P223" s="21">
        <v>0</v>
      </c>
      <c r="Q223" s="21">
        <v>8.58</v>
      </c>
      <c r="R223" s="21">
        <v>0</v>
      </c>
      <c r="S223" s="21">
        <f t="shared" si="23"/>
        <v>8.58</v>
      </c>
      <c r="T223" s="21">
        <f t="shared" si="24"/>
        <v>0.58</v>
      </c>
      <c r="U223" s="21" t="str">
        <f t="shared" si="25"/>
        <v>是</v>
      </c>
      <c r="V223" s="21">
        <f>VLOOKUP($C223,[4]Sheet1!$B:$AN,39,FALSE)</f>
        <v>16.51</v>
      </c>
      <c r="W223" s="21">
        <v>0</v>
      </c>
      <c r="X223" s="23">
        <v>4</v>
      </c>
      <c r="Y223" s="23">
        <v>4</v>
      </c>
      <c r="Z223" s="25">
        <f t="shared" si="26"/>
        <v>0</v>
      </c>
      <c r="AA223" s="25" t="str">
        <f t="shared" si="27"/>
        <v>是</v>
      </c>
      <c r="AB223" t="s">
        <v>148</v>
      </c>
      <c r="AC223" t="e">
        <f>VLOOKUP(C223,[1]Sheet1!$C:$O,13,FALSE)</f>
        <v>#N/A</v>
      </c>
      <c r="AD223" t="str">
        <f>VLOOKUP($H223,'[3]0509人员排班情况 副本'!$G:$U,12,FALSE)</f>
        <v>王安琪 (Anqi Wang),张朱同 Thomson（Zhutong Zhang）</v>
      </c>
      <c r="AE223" t="str">
        <f>VLOOKUP($H223,'[3]0509人员排班情况 副本'!$G:$U,13,FALSE)</f>
        <v>陈锦昭</v>
      </c>
      <c r="AF223" t="str">
        <f>VLOOKUP($H223,'[3]0509人员排班情况 副本'!$G:$U,14,FALSE)</f>
        <v>张弘毅 Hongyi （Hongyi Zhang）</v>
      </c>
      <c r="AG223">
        <f>VLOOKUP($H223,'[3]0509人员排班情况 副本'!$G:$U,15,FALSE)</f>
        <v>0</v>
      </c>
    </row>
    <row r="224" customHeight="1" spans="1:33">
      <c r="A224" t="s">
        <v>202</v>
      </c>
      <c r="B224" t="s">
        <v>877</v>
      </c>
      <c r="C224" t="s">
        <v>878</v>
      </c>
      <c r="D224" t="s">
        <v>100</v>
      </c>
      <c r="E224" t="s">
        <v>106</v>
      </c>
      <c r="F224" t="s">
        <v>879</v>
      </c>
      <c r="H224" t="str">
        <f t="shared" si="21"/>
        <v>WE 美西大区SC 南加片区LAX01</v>
      </c>
      <c r="I224" t="s">
        <v>156</v>
      </c>
      <c r="J224" t="s">
        <v>221</v>
      </c>
      <c r="K224" s="15">
        <v>0.208333333333333</v>
      </c>
      <c r="L224" s="15" t="s">
        <v>222</v>
      </c>
      <c r="M224" s="15">
        <v>0.201388888888889</v>
      </c>
      <c r="N224" t="s">
        <v>148</v>
      </c>
      <c r="O224" s="20" t="str">
        <f t="shared" si="22"/>
        <v>正确</v>
      </c>
      <c r="P224" s="21">
        <v>0</v>
      </c>
      <c r="Q224" s="21">
        <v>0</v>
      </c>
      <c r="R224" s="21">
        <v>0</v>
      </c>
      <c r="S224" s="21">
        <f t="shared" si="23"/>
        <v>0</v>
      </c>
      <c r="T224" s="21">
        <f t="shared" si="24"/>
        <v>0</v>
      </c>
      <c r="U224" s="21" t="str">
        <f t="shared" si="25"/>
        <v>否</v>
      </c>
      <c r="V224" s="21">
        <f>VLOOKUP($C224,[4]Sheet1!$B:$AN,39,FALSE)</f>
        <v>0</v>
      </c>
      <c r="W224" s="21">
        <v>0</v>
      </c>
      <c r="X224" s="23">
        <v>2</v>
      </c>
      <c r="Y224" s="23">
        <v>4</v>
      </c>
      <c r="Z224" s="25">
        <f t="shared" si="26"/>
        <v>2</v>
      </c>
      <c r="AA224" s="25" t="str">
        <f t="shared" si="27"/>
        <v>是</v>
      </c>
      <c r="AB224" t="s">
        <v>148</v>
      </c>
      <c r="AC224" t="e">
        <f>VLOOKUP(C224,[1]Sheet1!$C:$O,13,FALSE)</f>
        <v>#N/A</v>
      </c>
      <c r="AD224" t="str">
        <f>VLOOKUP($H224,'[3]0509人员排班情况 副本'!$G:$U,12,FALSE)</f>
        <v>王骞Ariel（Qian Wang）,叶秀芳Freya (Xiufang Ye)</v>
      </c>
      <c r="AE224" t="str">
        <f>VLOOKUP($H224,'[3]0509人员排班情况 副本'!$G:$U,13,FALSE)</f>
        <v>常哲</v>
      </c>
      <c r="AF224" t="str">
        <f>VLOOKUP($H224,'[3]0509人员排班情况 副本'!$G:$U,14,FALSE)</f>
        <v>尤梦楠Yuko（Mengnan You）</v>
      </c>
      <c r="AG224">
        <f>VLOOKUP($H224,'[3]0509人员排班情况 副本'!$G:$U,15,FALSE)</f>
        <v>0</v>
      </c>
    </row>
    <row r="225" customHeight="1" spans="1:33">
      <c r="A225" t="s">
        <v>202</v>
      </c>
      <c r="B225" t="s">
        <v>880</v>
      </c>
      <c r="C225" t="s">
        <v>881</v>
      </c>
      <c r="D225" t="s">
        <v>58</v>
      </c>
      <c r="E225" t="s">
        <v>63</v>
      </c>
      <c r="F225" t="s">
        <v>243</v>
      </c>
      <c r="G225" t="s">
        <v>112</v>
      </c>
      <c r="H225" t="str">
        <f t="shared" si="21"/>
        <v>MS 中南大区CLT.H调度组</v>
      </c>
      <c r="I225" t="s">
        <v>160</v>
      </c>
      <c r="J225" t="s">
        <v>882</v>
      </c>
      <c r="K225" s="15">
        <v>0.5625</v>
      </c>
      <c r="L225" s="15" t="s">
        <v>836</v>
      </c>
      <c r="M225" s="15">
        <v>0.574305555555556</v>
      </c>
      <c r="N225" t="s">
        <v>883</v>
      </c>
      <c r="O225" s="20" t="str">
        <f t="shared" si="22"/>
        <v>正确</v>
      </c>
      <c r="P225" s="21">
        <v>0</v>
      </c>
      <c r="Q225" s="21">
        <v>7.88</v>
      </c>
      <c r="R225" s="21">
        <v>0</v>
      </c>
      <c r="S225" s="21">
        <f t="shared" si="23"/>
        <v>7.88</v>
      </c>
      <c r="T225" s="21">
        <f t="shared" si="24"/>
        <v>0</v>
      </c>
      <c r="U225" s="21" t="str">
        <f t="shared" si="25"/>
        <v>否</v>
      </c>
      <c r="V225" s="21">
        <f>VLOOKUP($C225,[4]Sheet1!$B:$AN,39,FALSE)</f>
        <v>17.2</v>
      </c>
      <c r="W225" s="21">
        <v>0</v>
      </c>
      <c r="X225" s="23">
        <v>4</v>
      </c>
      <c r="Y225" s="23">
        <v>4</v>
      </c>
      <c r="Z225" s="25">
        <f t="shared" si="26"/>
        <v>0</v>
      </c>
      <c r="AA225" s="25" t="str">
        <f t="shared" si="27"/>
        <v>是</v>
      </c>
      <c r="AB225" t="s">
        <v>148</v>
      </c>
      <c r="AC225" t="e">
        <f>VLOOKUP(C225,[1]Sheet1!$C:$O,13,FALSE)</f>
        <v>#N/A</v>
      </c>
      <c r="AD225" t="str">
        <f>VLOOKUP($H225,'[3]0509人员排班情况 副本'!$G:$U,12,FALSE)</f>
        <v>欧阳迎春Flower（Yingchun Ouyang）</v>
      </c>
      <c r="AE225" t="str">
        <f>VLOOKUP($H225,'[3]0509人员排班情况 副本'!$G:$U,13,FALSE)</f>
        <v>杨云飞</v>
      </c>
      <c r="AF225" t="str">
        <f>VLOOKUP($H225,'[3]0509人员排班情况 副本'!$G:$U,14,FALSE)</f>
        <v>Minqing (Minqing Xu),罗煜雄 Mike (Yuxiong Luo)</v>
      </c>
      <c r="AG225">
        <f>VLOOKUP($H225,'[3]0509人员排班情况 副本'!$G:$U,15,FALSE)</f>
        <v>0</v>
      </c>
    </row>
    <row r="226" customHeight="1" spans="1:33">
      <c r="A226" t="s">
        <v>202</v>
      </c>
      <c r="B226" t="s">
        <v>884</v>
      </c>
      <c r="C226" t="s">
        <v>885</v>
      </c>
      <c r="D226" t="s">
        <v>31</v>
      </c>
      <c r="E226" t="s">
        <v>40</v>
      </c>
      <c r="F226" t="s">
        <v>886</v>
      </c>
      <c r="H226" t="str">
        <f t="shared" si="21"/>
        <v>GL 大湖大区NM 中西部北片区OMA01</v>
      </c>
      <c r="I226" t="s">
        <v>887</v>
      </c>
      <c r="J226" t="s">
        <v>221</v>
      </c>
      <c r="K226" s="15">
        <v>0.208333333333333</v>
      </c>
      <c r="L226" s="15" t="s">
        <v>222</v>
      </c>
      <c r="M226" s="15"/>
      <c r="N226" t="s">
        <v>148</v>
      </c>
      <c r="O226" s="20" t="str">
        <f t="shared" si="22"/>
        <v>不正确</v>
      </c>
      <c r="P226" s="21">
        <v>0</v>
      </c>
      <c r="Q226" s="21">
        <v>0</v>
      </c>
      <c r="R226" s="21">
        <v>0</v>
      </c>
      <c r="S226" s="21">
        <f t="shared" si="23"/>
        <v>0</v>
      </c>
      <c r="T226" s="21">
        <f t="shared" si="24"/>
        <v>0</v>
      </c>
      <c r="U226" s="21" t="str">
        <f t="shared" si="25"/>
        <v>否</v>
      </c>
      <c r="V226" s="21">
        <f>VLOOKUP($C226,[4]Sheet1!$B:$AN,39,FALSE)</f>
        <v>0</v>
      </c>
      <c r="W226" s="21">
        <v>0</v>
      </c>
      <c r="X226" s="23">
        <v>0</v>
      </c>
      <c r="Y226" s="23">
        <v>4</v>
      </c>
      <c r="Z226" s="25">
        <f t="shared" si="26"/>
        <v>4</v>
      </c>
      <c r="AA226" s="25" t="str">
        <f t="shared" si="27"/>
        <v>是</v>
      </c>
      <c r="AB226" t="s">
        <v>148</v>
      </c>
      <c r="AC226" t="e">
        <f>VLOOKUP(C226,[1]Sheet1!$C:$O,13,FALSE)</f>
        <v>#N/A</v>
      </c>
      <c r="AD226" t="str">
        <f>VLOOKUP($H226,'[3]0509人员排班情况 副本'!$G:$U,12,FALSE)</f>
        <v>王晓丹 Jasmine（Xiaodan Wang）,周延舒Isabel（Yanshu Zhou）</v>
      </c>
      <c r="AE226" t="str">
        <f>VLOOKUP($H226,'[3]0509人员排班情况 副本'!$G:$U,13,FALSE)</f>
        <v>张骥Ji Zhang (Ji Zhang)</v>
      </c>
      <c r="AF226">
        <f>VLOOKUP($H226,'[3]0509人员排班情况 副本'!$G:$U,14,FALSE)</f>
        <v>0</v>
      </c>
      <c r="AG226">
        <f>VLOOKUP($H226,'[3]0509人员排班情况 副本'!$G:$U,15,FALSE)</f>
        <v>0</v>
      </c>
    </row>
    <row r="227" customHeight="1" spans="1:33">
      <c r="A227" t="s">
        <v>202</v>
      </c>
      <c r="B227" t="s">
        <v>888</v>
      </c>
      <c r="C227" t="s">
        <v>889</v>
      </c>
      <c r="D227" t="s">
        <v>68</v>
      </c>
      <c r="E227" t="s">
        <v>75</v>
      </c>
      <c r="F227" t="s">
        <v>890</v>
      </c>
      <c r="H227" t="str">
        <f t="shared" si="21"/>
        <v>NE 东北大区DC 华盛顿片区ORF01</v>
      </c>
      <c r="I227" t="s">
        <v>406</v>
      </c>
      <c r="J227" t="s">
        <v>343</v>
      </c>
      <c r="K227" s="15">
        <v>0.25</v>
      </c>
      <c r="L227" s="15" t="s">
        <v>344</v>
      </c>
      <c r="M227" s="15">
        <v>0.252777777777778</v>
      </c>
      <c r="N227" t="s">
        <v>891</v>
      </c>
      <c r="O227" s="20" t="str">
        <f t="shared" si="22"/>
        <v>正确</v>
      </c>
      <c r="P227" s="21">
        <v>0</v>
      </c>
      <c r="Q227" s="21">
        <v>10.2</v>
      </c>
      <c r="R227" s="21">
        <v>0</v>
      </c>
      <c r="S227" s="21">
        <f t="shared" si="23"/>
        <v>10.2</v>
      </c>
      <c r="T227" s="21">
        <f t="shared" si="24"/>
        <v>2.2</v>
      </c>
      <c r="U227" s="21" t="str">
        <f t="shared" si="25"/>
        <v>是</v>
      </c>
      <c r="V227" s="21">
        <f>VLOOKUP($C227,[4]Sheet1!$B:$AN,39,FALSE)</f>
        <v>10.2</v>
      </c>
      <c r="W227" s="21">
        <v>0</v>
      </c>
      <c r="X227" s="23">
        <v>2</v>
      </c>
      <c r="Y227" s="23">
        <v>4</v>
      </c>
      <c r="Z227" s="25">
        <f t="shared" si="26"/>
        <v>2</v>
      </c>
      <c r="AA227" s="25" t="str">
        <f t="shared" si="27"/>
        <v>是</v>
      </c>
      <c r="AB227" t="s">
        <v>148</v>
      </c>
      <c r="AC227" t="e">
        <f>VLOOKUP(C227,[1]Sheet1!$C:$O,13,FALSE)</f>
        <v>#N/A</v>
      </c>
      <c r="AD227" t="str">
        <f>VLOOKUP($H227,'[3]0509人员排班情况 副本'!$G:$U,12,FALSE)</f>
        <v>孙可君Monica（Kejun Sun）</v>
      </c>
      <c r="AE227" t="str">
        <f>VLOOKUP($H227,'[3]0509人员排班情况 副本'!$G:$U,13,FALSE)</f>
        <v>马聪Cong (Cong Ma)</v>
      </c>
      <c r="AF227" t="str">
        <f>VLOOKUP($H227,'[3]0509人员排班情况 副本'!$G:$U,14,FALSE)</f>
        <v>朱晗宇 Peter (Hanyu Zhu)</v>
      </c>
      <c r="AG227">
        <f>VLOOKUP($H227,'[3]0509人员排班情况 副本'!$G:$U,15,FALSE)</f>
        <v>0</v>
      </c>
    </row>
    <row r="228" customHeight="1" spans="1:33">
      <c r="A228" t="s">
        <v>202</v>
      </c>
      <c r="B228" t="s">
        <v>892</v>
      </c>
      <c r="C228" t="s">
        <v>893</v>
      </c>
      <c r="D228" t="s">
        <v>99</v>
      </c>
      <c r="E228" t="s">
        <v>677</v>
      </c>
      <c r="F228" t="s">
        <v>894</v>
      </c>
      <c r="H228" t="str">
        <f t="shared" si="21"/>
        <v>US人力资源部美洲HRBP组美西区HR组</v>
      </c>
      <c r="I228" t="s">
        <v>865</v>
      </c>
      <c r="J228" t="s">
        <v>236</v>
      </c>
      <c r="K228" s="15">
        <v>0.395833333333333</v>
      </c>
      <c r="L228" s="15" t="s">
        <v>218</v>
      </c>
      <c r="M228" s="15">
        <v>0.391666666666667</v>
      </c>
      <c r="N228" t="s">
        <v>895</v>
      </c>
      <c r="O228" s="20" t="str">
        <f t="shared" si="22"/>
        <v>正确</v>
      </c>
      <c r="P228" s="21">
        <v>0</v>
      </c>
      <c r="Q228" s="21">
        <v>8.85</v>
      </c>
      <c r="R228" s="21">
        <v>0</v>
      </c>
      <c r="S228" s="21">
        <f t="shared" si="23"/>
        <v>8.85</v>
      </c>
      <c r="T228" s="21">
        <f t="shared" si="24"/>
        <v>0.85</v>
      </c>
      <c r="U228" s="21" t="str">
        <f t="shared" si="25"/>
        <v>是</v>
      </c>
      <c r="V228" s="21">
        <f>VLOOKUP($C228,[4]Sheet1!$B:$AN,39,FALSE)</f>
        <v>17.17</v>
      </c>
      <c r="W228" s="21">
        <v>0</v>
      </c>
      <c r="X228" s="23">
        <v>2</v>
      </c>
      <c r="Y228" s="23">
        <v>4</v>
      </c>
      <c r="Z228" s="25">
        <f t="shared" si="26"/>
        <v>2</v>
      </c>
      <c r="AA228" s="25" t="str">
        <f t="shared" si="27"/>
        <v>是</v>
      </c>
      <c r="AB228" t="s">
        <v>148</v>
      </c>
      <c r="AC228" t="e">
        <f>VLOOKUP(C228,[1]Sheet1!$C:$O,13,FALSE)</f>
        <v>#N/A</v>
      </c>
      <c r="AD228" t="str">
        <f>VLOOKUP($H228,'[3]0509人员排班情况 副本'!$G:$U,12,FALSE)</f>
        <v>袁博闻(Bowen Yuan)</v>
      </c>
      <c r="AE228">
        <f>VLOOKUP($H228,'[3]0509人员排班情况 副本'!$G:$U,13,FALSE)</f>
        <v>0</v>
      </c>
      <c r="AF228">
        <f>VLOOKUP($H228,'[3]0509人员排班情况 副本'!$G:$U,14,FALSE)</f>
        <v>0</v>
      </c>
      <c r="AG228">
        <f>VLOOKUP($H228,'[3]0509人员排班情况 副本'!$G:$U,15,FALSE)</f>
        <v>0</v>
      </c>
    </row>
    <row r="229" customHeight="1" spans="1:33">
      <c r="A229" t="s">
        <v>202</v>
      </c>
      <c r="B229" t="s">
        <v>896</v>
      </c>
      <c r="C229" t="s">
        <v>897</v>
      </c>
      <c r="D229" t="s">
        <v>100</v>
      </c>
      <c r="E229" t="s">
        <v>101</v>
      </c>
      <c r="F229" t="s">
        <v>850</v>
      </c>
      <c r="G229" t="s">
        <v>112</v>
      </c>
      <c r="H229" t="str">
        <f t="shared" si="21"/>
        <v>WE 美西大区CNO.H维保组</v>
      </c>
      <c r="I229" t="s">
        <v>851</v>
      </c>
      <c r="J229" t="s">
        <v>304</v>
      </c>
      <c r="K229" s="15">
        <v>0.666666666666667</v>
      </c>
      <c r="L229" s="15" t="s">
        <v>305</v>
      </c>
      <c r="M229" s="15">
        <v>0.668055555555556</v>
      </c>
      <c r="N229" t="s">
        <v>148</v>
      </c>
      <c r="O229" s="20" t="str">
        <f t="shared" si="22"/>
        <v>正确</v>
      </c>
      <c r="P229" s="21">
        <v>0</v>
      </c>
      <c r="Q229" s="21">
        <v>0</v>
      </c>
      <c r="R229" s="21">
        <v>0</v>
      </c>
      <c r="S229" s="21">
        <f t="shared" si="23"/>
        <v>0</v>
      </c>
      <c r="T229" s="21">
        <f t="shared" si="24"/>
        <v>0</v>
      </c>
      <c r="U229" s="21" t="str">
        <f t="shared" si="25"/>
        <v>否</v>
      </c>
      <c r="V229" s="21">
        <f>VLOOKUP($C229,[4]Sheet1!$B:$AN,39,FALSE)</f>
        <v>8.95</v>
      </c>
      <c r="W229" s="21">
        <v>0</v>
      </c>
      <c r="X229" s="23">
        <v>3</v>
      </c>
      <c r="Y229" s="23">
        <v>4</v>
      </c>
      <c r="Z229" s="25">
        <f t="shared" si="26"/>
        <v>1</v>
      </c>
      <c r="AA229" s="25" t="str">
        <f t="shared" si="27"/>
        <v>是</v>
      </c>
      <c r="AB229" t="s">
        <v>148</v>
      </c>
      <c r="AC229" t="e">
        <f>VLOOKUP(C229,[1]Sheet1!$C:$O,13,FALSE)</f>
        <v>#N/A</v>
      </c>
      <c r="AD229" t="str">
        <f>VLOOKUP($H229,'[3]0509人员排班情况 副本'!$G:$U,12,FALSE)</f>
        <v>王骞Ariel（Qian Wang）,叶秀芳Freya (Xiufang Ye)</v>
      </c>
      <c r="AE229" t="str">
        <f>VLOOKUP($H229,'[3]0509人员排班情况 副本'!$G:$U,13,FALSE)</f>
        <v>常哲</v>
      </c>
      <c r="AF229" t="str">
        <f>VLOOKUP($H229,'[3]0509人员排班情况 副本'!$G:$U,14,FALSE)</f>
        <v>章峻铭 J (Junming Zhang)</v>
      </c>
      <c r="AG229">
        <f>VLOOKUP($H229,'[3]0509人员排班情况 副本'!$G:$U,15,FALSE)</f>
        <v>0</v>
      </c>
    </row>
    <row r="230" customHeight="1" spans="1:33">
      <c r="A230" t="s">
        <v>202</v>
      </c>
      <c r="B230" t="s">
        <v>898</v>
      </c>
      <c r="C230" t="s">
        <v>899</v>
      </c>
      <c r="D230" t="s">
        <v>92</v>
      </c>
      <c r="E230" t="s">
        <v>94</v>
      </c>
      <c r="F230" t="s">
        <v>850</v>
      </c>
      <c r="G230" t="s">
        <v>112</v>
      </c>
      <c r="H230" t="str">
        <f t="shared" si="21"/>
        <v>TX 德州大区DFW.H维保组</v>
      </c>
      <c r="I230" t="s">
        <v>851</v>
      </c>
      <c r="J230" t="s">
        <v>347</v>
      </c>
      <c r="K230" s="15">
        <v>0.541666666666667</v>
      </c>
      <c r="L230" s="15" t="s">
        <v>348</v>
      </c>
      <c r="M230" s="15">
        <v>0.53125</v>
      </c>
      <c r="N230" t="s">
        <v>900</v>
      </c>
      <c r="O230" s="20" t="str">
        <f t="shared" si="22"/>
        <v>正确</v>
      </c>
      <c r="P230" s="21">
        <v>0</v>
      </c>
      <c r="Q230" s="21">
        <v>7.8</v>
      </c>
      <c r="R230" s="21">
        <v>0</v>
      </c>
      <c r="S230" s="21">
        <f t="shared" si="23"/>
        <v>7.8</v>
      </c>
      <c r="T230" s="21">
        <f t="shared" si="24"/>
        <v>0</v>
      </c>
      <c r="U230" s="21" t="str">
        <f t="shared" si="25"/>
        <v>否</v>
      </c>
      <c r="V230" s="21">
        <f>VLOOKUP($C230,[4]Sheet1!$B:$AN,39,FALSE)</f>
        <v>15.87</v>
      </c>
      <c r="W230" s="21">
        <v>0</v>
      </c>
      <c r="X230" s="23">
        <v>3</v>
      </c>
      <c r="Y230" s="23">
        <v>4</v>
      </c>
      <c r="Z230" s="25">
        <f t="shared" si="26"/>
        <v>1</v>
      </c>
      <c r="AA230" s="25" t="str">
        <f t="shared" si="27"/>
        <v>是</v>
      </c>
      <c r="AB230" t="s">
        <v>148</v>
      </c>
      <c r="AC230" t="e">
        <f>VLOOKUP(C230,[1]Sheet1!$C:$O,13,FALSE)</f>
        <v>#N/A</v>
      </c>
      <c r="AD230" t="str">
        <f>VLOOKUP($H230,'[3]0509人员排班情况 副本'!$G:$U,12,FALSE)</f>
        <v>肖芦莉Lily (Luli Xiao)</v>
      </c>
      <c r="AE230" t="str">
        <f>VLOOKUP($H230,'[3]0509人员排班情况 副本'!$G:$U,13,FALSE)</f>
        <v>张骥Ji Zhang (Ji Zhang)</v>
      </c>
      <c r="AF230" t="str">
        <f>VLOOKUP($H230,'[3]0509人员排班情况 副本'!$G:$U,14,FALSE)</f>
        <v>章峻铭 J (Junming Zhang)</v>
      </c>
      <c r="AG230">
        <f>VLOOKUP($H230,'[3]0509人员排班情况 副本'!$G:$U,15,FALSE)</f>
        <v>0</v>
      </c>
    </row>
    <row r="231" customHeight="1" spans="1:33">
      <c r="A231" t="s">
        <v>202</v>
      </c>
      <c r="B231" t="s">
        <v>901</v>
      </c>
      <c r="C231" t="s">
        <v>902</v>
      </c>
      <c r="D231" t="s">
        <v>92</v>
      </c>
      <c r="E231" t="s">
        <v>94</v>
      </c>
      <c r="F231" t="s">
        <v>166</v>
      </c>
      <c r="G231" t="s">
        <v>112</v>
      </c>
      <c r="H231" t="str">
        <f t="shared" si="21"/>
        <v>TX 德州大区DFW.H综办组</v>
      </c>
      <c r="I231" t="s">
        <v>167</v>
      </c>
      <c r="J231" t="s">
        <v>295</v>
      </c>
      <c r="K231" s="15">
        <v>0.375</v>
      </c>
      <c r="L231" s="15" t="s">
        <v>296</v>
      </c>
      <c r="M231" s="15">
        <v>0.388888888888889</v>
      </c>
      <c r="N231" t="s">
        <v>408</v>
      </c>
      <c r="O231" s="20" t="str">
        <f t="shared" si="22"/>
        <v>正确</v>
      </c>
      <c r="P231" s="21">
        <v>0</v>
      </c>
      <c r="Q231" s="21">
        <v>8.4</v>
      </c>
      <c r="R231" s="21">
        <v>0</v>
      </c>
      <c r="S231" s="21">
        <f t="shared" si="23"/>
        <v>8.4</v>
      </c>
      <c r="T231" s="21">
        <f t="shared" si="24"/>
        <v>0.4</v>
      </c>
      <c r="U231" s="21" t="str">
        <f t="shared" si="25"/>
        <v>是</v>
      </c>
      <c r="V231" s="21">
        <f>VLOOKUP($C231,[4]Sheet1!$B:$AN,39,FALSE)</f>
        <v>17.18</v>
      </c>
      <c r="W231" s="21">
        <v>0</v>
      </c>
      <c r="X231" s="23">
        <v>4</v>
      </c>
      <c r="Y231" s="23">
        <v>4</v>
      </c>
      <c r="Z231" s="25">
        <f t="shared" si="26"/>
        <v>0</v>
      </c>
      <c r="AA231" s="25" t="str">
        <f t="shared" si="27"/>
        <v>是</v>
      </c>
      <c r="AB231" t="s">
        <v>148</v>
      </c>
      <c r="AC231" t="e">
        <f>VLOOKUP(C231,[1]Sheet1!$C:$O,13,FALSE)</f>
        <v>#N/A</v>
      </c>
      <c r="AD231" t="str">
        <f>VLOOKUP($H231,'[3]0509人员排班情况 副本'!$G:$U,12,FALSE)</f>
        <v>肖芦莉Lily (Luli Xiao)</v>
      </c>
      <c r="AE231" t="str">
        <f>VLOOKUP($H231,'[3]0509人员排班情况 副本'!$G:$U,13,FALSE)</f>
        <v>张骥Ji Zhang (Ji Zhang)</v>
      </c>
      <c r="AF231" t="str">
        <f>VLOOKUP($H231,'[3]0509人员排班情况 副本'!$G:$U,14,FALSE)</f>
        <v>Minqing (Minqing Xu),罗煜雄 Mike (Yuxiong Luo)</v>
      </c>
      <c r="AG231">
        <f>VLOOKUP($H231,'[3]0509人员排班情况 副本'!$G:$U,15,FALSE)</f>
        <v>0</v>
      </c>
    </row>
    <row r="232" customHeight="1" spans="1:33">
      <c r="A232" t="s">
        <v>202</v>
      </c>
      <c r="B232" t="s">
        <v>903</v>
      </c>
      <c r="C232" t="s">
        <v>904</v>
      </c>
      <c r="D232" t="s">
        <v>15</v>
      </c>
      <c r="E232" t="s">
        <v>27</v>
      </c>
      <c r="F232" t="s">
        <v>26</v>
      </c>
      <c r="H232" t="str">
        <f t="shared" si="21"/>
        <v>FL 佛州大区WF 西佛片区TPA01</v>
      </c>
      <c r="I232" t="s">
        <v>177</v>
      </c>
      <c r="J232" t="s">
        <v>205</v>
      </c>
      <c r="K232" s="15">
        <v>0.166666666666667</v>
      </c>
      <c r="L232" s="15" t="s">
        <v>206</v>
      </c>
      <c r="M232" s="15">
        <v>0.222222222222222</v>
      </c>
      <c r="N232" t="s">
        <v>905</v>
      </c>
      <c r="O232" s="20" t="str">
        <f t="shared" si="22"/>
        <v>不正确</v>
      </c>
      <c r="P232" s="21">
        <v>0</v>
      </c>
      <c r="Q232" s="21">
        <v>7.82</v>
      </c>
      <c r="R232" s="21">
        <v>0</v>
      </c>
      <c r="S232" s="21">
        <f t="shared" si="23"/>
        <v>7.82</v>
      </c>
      <c r="T232" s="21">
        <f t="shared" si="24"/>
        <v>0</v>
      </c>
      <c r="U232" s="21" t="str">
        <f t="shared" si="25"/>
        <v>否</v>
      </c>
      <c r="V232" s="21">
        <f>VLOOKUP($C232,[4]Sheet1!$B:$AN,39,FALSE)</f>
        <v>7.82</v>
      </c>
      <c r="W232" s="21">
        <v>0</v>
      </c>
      <c r="X232" s="23">
        <v>3</v>
      </c>
      <c r="Y232" s="23">
        <v>4</v>
      </c>
      <c r="Z232" s="25">
        <f t="shared" si="26"/>
        <v>1</v>
      </c>
      <c r="AA232" s="25" t="str">
        <f t="shared" si="27"/>
        <v>是</v>
      </c>
      <c r="AB232" t="s">
        <v>148</v>
      </c>
      <c r="AC232" t="e">
        <f>VLOOKUP(C232,[1]Sheet1!$C:$O,13,FALSE)</f>
        <v>#N/A</v>
      </c>
      <c r="AD232" t="str">
        <f>VLOOKUP($H232,'[3]0509人员排班情况 副本'!$G:$U,12,FALSE)</f>
        <v>Natalia (Natalia Padilla),孙婕 Jasmine（Sunjie）</v>
      </c>
      <c r="AE232" t="str">
        <f>VLOOKUP($H232,'[3]0509人员排班情况 副本'!$G:$U,13,FALSE)</f>
        <v>贺子强Jeff (Ziqiang He)</v>
      </c>
      <c r="AF232" t="str">
        <f>VLOOKUP($H232,'[3]0509人员排班情况 副本'!$G:$U,14,FALSE)</f>
        <v>于文康 Henry (Wenkang Yu)</v>
      </c>
      <c r="AG232">
        <f>VLOOKUP($H232,'[3]0509人员排班情况 副本'!$G:$U,15,FALSE)</f>
        <v>0</v>
      </c>
    </row>
    <row r="233" customHeight="1" spans="1:33">
      <c r="A233" t="s">
        <v>202</v>
      </c>
      <c r="B233" t="s">
        <v>906</v>
      </c>
      <c r="C233" t="s">
        <v>907</v>
      </c>
      <c r="D233" t="s">
        <v>92</v>
      </c>
      <c r="E233" t="s">
        <v>97</v>
      </c>
      <c r="F233" t="s">
        <v>908</v>
      </c>
      <c r="H233" t="str">
        <f t="shared" si="21"/>
        <v>TX 德州大区NT 北德州片区OKC01</v>
      </c>
      <c r="I233" t="s">
        <v>177</v>
      </c>
      <c r="J233" t="s">
        <v>437</v>
      </c>
      <c r="K233" s="15">
        <v>0.229166666666667</v>
      </c>
      <c r="L233" s="15" t="s">
        <v>438</v>
      </c>
      <c r="M233" s="15"/>
      <c r="N233" t="s">
        <v>148</v>
      </c>
      <c r="O233" s="20" t="str">
        <f t="shared" si="22"/>
        <v>不正确</v>
      </c>
      <c r="P233" s="21">
        <v>0</v>
      </c>
      <c r="Q233" s="21">
        <v>0</v>
      </c>
      <c r="R233" s="21">
        <v>0</v>
      </c>
      <c r="S233" s="21">
        <f t="shared" si="23"/>
        <v>0</v>
      </c>
      <c r="T233" s="21">
        <f t="shared" si="24"/>
        <v>0</v>
      </c>
      <c r="U233" s="21" t="str">
        <f t="shared" si="25"/>
        <v>否</v>
      </c>
      <c r="V233" s="21">
        <f>VLOOKUP($C233,[4]Sheet1!$B:$AN,39,FALSE)</f>
        <v>0</v>
      </c>
      <c r="W233" s="21">
        <v>0</v>
      </c>
      <c r="X233" s="23">
        <v>0</v>
      </c>
      <c r="Y233" s="23">
        <v>4</v>
      </c>
      <c r="Z233" s="25">
        <f t="shared" si="26"/>
        <v>4</v>
      </c>
      <c r="AA233" s="25" t="str">
        <f t="shared" si="27"/>
        <v>是</v>
      </c>
      <c r="AB233" t="s">
        <v>148</v>
      </c>
      <c r="AC233" t="e">
        <f>VLOOKUP(C233,[1]Sheet1!$C:$O,13,FALSE)</f>
        <v>#N/A</v>
      </c>
      <c r="AD233" t="str">
        <f>VLOOKUP($H233,'[3]0509人员排班情况 副本'!$G:$U,12,FALSE)</f>
        <v>肖芦莉Lily (Luli Xiao)</v>
      </c>
      <c r="AE233" t="str">
        <f>VLOOKUP($H233,'[3]0509人员排班情况 副本'!$G:$U,13,FALSE)</f>
        <v>张骥Ji Zhang (Ji Zhang)</v>
      </c>
      <c r="AF233" t="str">
        <f>VLOOKUP($H233,'[3]0509人员排班情况 副本'!$G:$U,14,FALSE)</f>
        <v>何琼joan(Qiong He)</v>
      </c>
      <c r="AG233">
        <f>VLOOKUP($H233,'[3]0509人员排班情况 副本'!$G:$U,15,FALSE)</f>
        <v>0</v>
      </c>
    </row>
    <row r="234" customHeight="1" spans="1:33">
      <c r="A234" t="s">
        <v>202</v>
      </c>
      <c r="B234" t="s">
        <v>909</v>
      </c>
      <c r="C234" t="s">
        <v>910</v>
      </c>
      <c r="D234" t="s">
        <v>100</v>
      </c>
      <c r="E234" t="s">
        <v>103</v>
      </c>
      <c r="F234" t="s">
        <v>850</v>
      </c>
      <c r="G234" t="s">
        <v>112</v>
      </c>
      <c r="H234" t="str">
        <f t="shared" si="21"/>
        <v>WE 美西大区LAV.H维保组</v>
      </c>
      <c r="I234" t="s">
        <v>851</v>
      </c>
      <c r="J234" t="s">
        <v>384</v>
      </c>
      <c r="K234" s="15">
        <v>0.6875</v>
      </c>
      <c r="L234" s="15" t="s">
        <v>385</v>
      </c>
      <c r="M234" s="15">
        <v>0.669444444444444</v>
      </c>
      <c r="N234" t="s">
        <v>148</v>
      </c>
      <c r="O234" s="20" t="str">
        <f t="shared" si="22"/>
        <v>正确</v>
      </c>
      <c r="P234" s="21">
        <v>0</v>
      </c>
      <c r="Q234" s="21">
        <v>0</v>
      </c>
      <c r="R234" s="21">
        <v>0</v>
      </c>
      <c r="S234" s="21">
        <f t="shared" si="23"/>
        <v>0</v>
      </c>
      <c r="T234" s="21">
        <f t="shared" si="24"/>
        <v>0</v>
      </c>
      <c r="U234" s="21" t="str">
        <f t="shared" si="25"/>
        <v>否</v>
      </c>
      <c r="V234" s="21">
        <f>VLOOKUP($C234,[4]Sheet1!$B:$AN,39,FALSE)</f>
        <v>11.93</v>
      </c>
      <c r="W234" s="21">
        <v>0</v>
      </c>
      <c r="X234" s="23">
        <v>3</v>
      </c>
      <c r="Y234" s="23">
        <v>4</v>
      </c>
      <c r="Z234" s="25">
        <f t="shared" si="26"/>
        <v>1</v>
      </c>
      <c r="AA234" s="25" t="str">
        <f t="shared" si="27"/>
        <v>是</v>
      </c>
      <c r="AB234" t="s">
        <v>148</v>
      </c>
      <c r="AC234" t="e">
        <f>VLOOKUP(C234,[1]Sheet1!$C:$O,13,FALSE)</f>
        <v>#N/A</v>
      </c>
      <c r="AD234" t="str">
        <f>VLOOKUP($H234,'[3]0509人员排班情况 副本'!$G:$U,12,FALSE)</f>
        <v>王骞Ariel（Qian Wang）,叶秀芳Freya (Xiufang Ye)</v>
      </c>
      <c r="AE234" t="str">
        <f>VLOOKUP($H234,'[3]0509人员排班情况 副本'!$G:$U,13,FALSE)</f>
        <v>常哲</v>
      </c>
      <c r="AF234" t="str">
        <f>VLOOKUP($H234,'[3]0509人员排班情况 副本'!$G:$U,14,FALSE)</f>
        <v>章峻铭 J (Junming Zhang)</v>
      </c>
      <c r="AG234">
        <f>VLOOKUP($H234,'[3]0509人员排班情况 副本'!$G:$U,15,FALSE)</f>
        <v>0</v>
      </c>
    </row>
    <row r="235" customHeight="1" spans="1:33">
      <c r="A235" t="s">
        <v>202</v>
      </c>
      <c r="B235" t="s">
        <v>911</v>
      </c>
      <c r="C235" t="s">
        <v>912</v>
      </c>
      <c r="D235" t="s">
        <v>56</v>
      </c>
      <c r="E235" t="s">
        <v>913</v>
      </c>
      <c r="F235" t="s">
        <v>148</v>
      </c>
      <c r="H235" t="str">
        <f t="shared" si="21"/>
        <v>IC 跨境客户部海外客户组</v>
      </c>
      <c r="I235" t="s">
        <v>914</v>
      </c>
      <c r="J235" t="s">
        <v>236</v>
      </c>
      <c r="K235" s="15">
        <v>0.395833333333333</v>
      </c>
      <c r="L235" s="15" t="s">
        <v>218</v>
      </c>
      <c r="M235" s="15"/>
      <c r="N235" t="s">
        <v>915</v>
      </c>
      <c r="O235" s="20" t="str">
        <f t="shared" si="22"/>
        <v>不正确</v>
      </c>
      <c r="P235" s="21">
        <v>0</v>
      </c>
      <c r="Q235" s="21">
        <v>0</v>
      </c>
      <c r="R235" s="21">
        <v>0</v>
      </c>
      <c r="S235" s="21">
        <f t="shared" si="23"/>
        <v>0</v>
      </c>
      <c r="T235" s="21">
        <f t="shared" si="24"/>
        <v>0</v>
      </c>
      <c r="U235" s="21" t="str">
        <f t="shared" si="25"/>
        <v>否</v>
      </c>
      <c r="V235" s="21">
        <f>VLOOKUP($C235,[4]Sheet1!$B:$AN,39,FALSE)</f>
        <v>8.1</v>
      </c>
      <c r="W235" s="21">
        <v>0</v>
      </c>
      <c r="X235" s="23">
        <v>1</v>
      </c>
      <c r="Y235" s="23">
        <v>4</v>
      </c>
      <c r="Z235" s="25">
        <f t="shared" si="26"/>
        <v>3</v>
      </c>
      <c r="AA235" s="25" t="str">
        <f t="shared" si="27"/>
        <v>是</v>
      </c>
      <c r="AB235" t="s">
        <v>148</v>
      </c>
      <c r="AC235" t="e">
        <f>VLOOKUP(C235,[1]Sheet1!$C:$O,13,FALSE)</f>
        <v>#N/A</v>
      </c>
      <c r="AD235" t="str">
        <f>VLOOKUP($H235,'[3]0509人员排班情况 副本'!$G:$U,12,FALSE)</f>
        <v>袁博闻(Bowen Yuan)</v>
      </c>
      <c r="AE235">
        <f>VLOOKUP($H235,'[3]0509人员排班情况 副本'!$G:$U,13,FALSE)</f>
        <v>0</v>
      </c>
      <c r="AF235">
        <f>VLOOKUP($H235,'[3]0509人员排班情况 副本'!$G:$U,14,FALSE)</f>
        <v>0</v>
      </c>
      <c r="AG235">
        <f>VLOOKUP($H235,'[3]0509人员排班情况 副本'!$G:$U,15,FALSE)</f>
        <v>0</v>
      </c>
    </row>
    <row r="236" customHeight="1" spans="1:33">
      <c r="A236" t="s">
        <v>202</v>
      </c>
      <c r="B236" t="s">
        <v>916</v>
      </c>
      <c r="C236" t="s">
        <v>917</v>
      </c>
      <c r="D236" t="s">
        <v>15</v>
      </c>
      <c r="E236" t="s">
        <v>17</v>
      </c>
      <c r="F236" t="s">
        <v>275</v>
      </c>
      <c r="G236" t="s">
        <v>112</v>
      </c>
      <c r="H236" t="str">
        <f t="shared" si="21"/>
        <v>FL 佛州大区MCO.H分拣组</v>
      </c>
      <c r="I236" t="s">
        <v>276</v>
      </c>
      <c r="J236" t="s">
        <v>295</v>
      </c>
      <c r="K236" s="15">
        <v>0.375</v>
      </c>
      <c r="L236" s="15" t="s">
        <v>296</v>
      </c>
      <c r="M236" s="15">
        <v>0.370833333333333</v>
      </c>
      <c r="N236" t="s">
        <v>918</v>
      </c>
      <c r="O236" s="20" t="str">
        <f t="shared" si="22"/>
        <v>正确</v>
      </c>
      <c r="P236" s="21">
        <v>0</v>
      </c>
      <c r="Q236" s="21">
        <v>14.05</v>
      </c>
      <c r="R236" s="21">
        <v>0</v>
      </c>
      <c r="S236" s="21">
        <f t="shared" si="23"/>
        <v>14.05</v>
      </c>
      <c r="T236" s="21">
        <f t="shared" si="24"/>
        <v>6.05</v>
      </c>
      <c r="U236" s="21" t="str">
        <f t="shared" si="25"/>
        <v>是</v>
      </c>
      <c r="V236" s="21">
        <f>VLOOKUP($C236,[4]Sheet1!$B:$AN,39,FALSE)</f>
        <v>14.05</v>
      </c>
      <c r="W236" s="21">
        <v>0</v>
      </c>
      <c r="X236" s="23">
        <v>4</v>
      </c>
      <c r="Y236" s="23">
        <v>4</v>
      </c>
      <c r="Z236" s="25">
        <f t="shared" si="26"/>
        <v>0</v>
      </c>
      <c r="AA236" s="25" t="str">
        <f t="shared" si="27"/>
        <v>是</v>
      </c>
      <c r="AB236" t="s">
        <v>148</v>
      </c>
      <c r="AC236" t="e">
        <f>VLOOKUP(C236,[1]Sheet1!$C:$O,13,FALSE)</f>
        <v>#N/A</v>
      </c>
      <c r="AD236" t="str">
        <f>VLOOKUP($H236,'[3]0509人员排班情况 副本'!$G:$U,12,FALSE)</f>
        <v>Natalia (Natalia Padilla),孙婕 Jasmine（Sunjie）</v>
      </c>
      <c r="AE236" t="str">
        <f>VLOOKUP($H236,'[3]0509人员排班情况 副本'!$G:$U,13,FALSE)</f>
        <v>贺子强Jeff (Ziqiang He)</v>
      </c>
      <c r="AF236" t="str">
        <f>VLOOKUP($H236,'[3]0509人员排班情况 副本'!$G:$U,14,FALSE)</f>
        <v>张双甫(Shuangfu Zhang)</v>
      </c>
      <c r="AG236">
        <f>VLOOKUP($H236,'[3]0509人员排班情况 副本'!$G:$U,15,FALSE)</f>
        <v>0</v>
      </c>
    </row>
    <row r="237" customHeight="1" spans="1:33">
      <c r="A237" t="s">
        <v>202</v>
      </c>
      <c r="B237" t="s">
        <v>919</v>
      </c>
      <c r="C237" t="s">
        <v>920</v>
      </c>
      <c r="D237" t="s">
        <v>92</v>
      </c>
      <c r="E237" t="s">
        <v>94</v>
      </c>
      <c r="F237" t="s">
        <v>243</v>
      </c>
      <c r="G237" t="s">
        <v>112</v>
      </c>
      <c r="H237" t="str">
        <f t="shared" si="21"/>
        <v>TX 德州大区DFW.H调度组</v>
      </c>
      <c r="I237" t="s">
        <v>160</v>
      </c>
      <c r="J237" t="s">
        <v>217</v>
      </c>
      <c r="K237" s="15">
        <v>0.395833333333333</v>
      </c>
      <c r="L237" s="15" t="s">
        <v>218</v>
      </c>
      <c r="M237" s="15"/>
      <c r="N237" t="s">
        <v>148</v>
      </c>
      <c r="O237" s="20" t="s">
        <v>116</v>
      </c>
      <c r="P237" s="21">
        <v>0</v>
      </c>
      <c r="Q237" s="21">
        <v>0</v>
      </c>
      <c r="R237" s="21">
        <v>0</v>
      </c>
      <c r="S237" s="21">
        <f t="shared" si="23"/>
        <v>0</v>
      </c>
      <c r="T237" s="21">
        <f t="shared" si="24"/>
        <v>0</v>
      </c>
      <c r="U237" s="21" t="str">
        <f t="shared" si="25"/>
        <v>否</v>
      </c>
      <c r="V237" s="21">
        <f>VLOOKUP($C237,[4]Sheet1!$B:$AN,39,FALSE)</f>
        <v>0</v>
      </c>
      <c r="W237" s="21">
        <v>0</v>
      </c>
      <c r="X237" s="23">
        <v>0</v>
      </c>
      <c r="Y237" s="23">
        <v>0</v>
      </c>
      <c r="Z237" s="25">
        <f t="shared" si="26"/>
        <v>0</v>
      </c>
      <c r="AA237" s="25" t="str">
        <f t="shared" si="27"/>
        <v>是</v>
      </c>
      <c r="AB237" t="s">
        <v>148</v>
      </c>
      <c r="AC237" t="e">
        <f>VLOOKUP(C237,[1]Sheet1!$C:$O,13,FALSE)</f>
        <v>#N/A</v>
      </c>
      <c r="AD237" t="str">
        <f>VLOOKUP($H237,'[3]0509人员排班情况 副本'!$G:$U,12,FALSE)</f>
        <v>肖芦莉Lily (Luli Xiao)</v>
      </c>
      <c r="AE237" t="str">
        <f>VLOOKUP($H237,'[3]0509人员排班情况 副本'!$G:$U,13,FALSE)</f>
        <v>张骥Ji Zhang (Ji Zhang)</v>
      </c>
      <c r="AF237" t="str">
        <f>VLOOKUP($H237,'[3]0509人员排班情况 副本'!$G:$U,14,FALSE)</f>
        <v>Minqing (Minqing Xu),罗煜雄 Mike (Yuxiong Luo)</v>
      </c>
      <c r="AG237">
        <f>VLOOKUP($H237,'[3]0509人员排班情况 副本'!$G:$U,15,FALSE)</f>
        <v>0</v>
      </c>
    </row>
    <row r="238" customHeight="1" spans="1:33">
      <c r="A238" t="s">
        <v>202</v>
      </c>
      <c r="B238" t="s">
        <v>921</v>
      </c>
      <c r="C238" t="s">
        <v>922</v>
      </c>
      <c r="D238" t="s">
        <v>92</v>
      </c>
      <c r="E238" t="s">
        <v>29</v>
      </c>
      <c r="F238" t="s">
        <v>148</v>
      </c>
      <c r="H238" t="str">
        <f t="shared" si="21"/>
        <v>TX 德州大区运营支持部</v>
      </c>
      <c r="I238" t="s">
        <v>923</v>
      </c>
      <c r="J238" t="s">
        <v>295</v>
      </c>
      <c r="K238" s="15">
        <v>0.375</v>
      </c>
      <c r="L238" s="15" t="s">
        <v>296</v>
      </c>
      <c r="M238" s="15">
        <v>0.370833333333333</v>
      </c>
      <c r="N238" t="s">
        <v>924</v>
      </c>
      <c r="O238" s="20" t="str">
        <f t="shared" si="22"/>
        <v>正确</v>
      </c>
      <c r="P238" s="21">
        <v>0</v>
      </c>
      <c r="Q238" s="21">
        <v>7.93</v>
      </c>
      <c r="R238" s="21">
        <v>0</v>
      </c>
      <c r="S238" s="21">
        <f t="shared" si="23"/>
        <v>7.93</v>
      </c>
      <c r="T238" s="21">
        <f t="shared" si="24"/>
        <v>0</v>
      </c>
      <c r="U238" s="21" t="str">
        <f t="shared" si="25"/>
        <v>否</v>
      </c>
      <c r="V238" s="21">
        <f>VLOOKUP($C238,[4]Sheet1!$B:$AN,39,FALSE)</f>
        <v>16.2</v>
      </c>
      <c r="W238" s="21">
        <v>0</v>
      </c>
      <c r="X238" s="23">
        <v>4</v>
      </c>
      <c r="Y238" s="23">
        <v>4</v>
      </c>
      <c r="Z238" s="25">
        <f t="shared" si="26"/>
        <v>0</v>
      </c>
      <c r="AA238" s="25" t="str">
        <f t="shared" si="27"/>
        <v>是</v>
      </c>
      <c r="AB238" t="s">
        <v>148</v>
      </c>
      <c r="AC238" t="e">
        <f>VLOOKUP(C238,[1]Sheet1!$C:$O,13,FALSE)</f>
        <v>#N/A</v>
      </c>
      <c r="AD238" t="str">
        <f>VLOOKUP($H238,'[3]0509人员排班情况 副本'!$G:$U,12,FALSE)</f>
        <v>肖芦莉Lily (Luli Xiao)</v>
      </c>
      <c r="AE238" t="str">
        <f>VLOOKUP($H238,'[3]0509人员排班情况 副本'!$G:$U,13,FALSE)</f>
        <v>张骥Ji Zhang (Ji Zhang)</v>
      </c>
      <c r="AF238">
        <f>VLOOKUP($H238,'[3]0509人员排班情况 副本'!$G:$U,14,FALSE)</f>
        <v>0</v>
      </c>
      <c r="AG238">
        <f>VLOOKUP($H238,'[3]0509人员排班情况 副本'!$G:$U,15,FALSE)</f>
        <v>0</v>
      </c>
    </row>
    <row r="239" customHeight="1" spans="1:33">
      <c r="A239" t="s">
        <v>202</v>
      </c>
      <c r="B239" t="s">
        <v>925</v>
      </c>
      <c r="C239" t="s">
        <v>926</v>
      </c>
      <c r="D239" t="s">
        <v>68</v>
      </c>
      <c r="E239" t="s">
        <v>45</v>
      </c>
      <c r="F239" t="s">
        <v>927</v>
      </c>
      <c r="H239" t="str">
        <f t="shared" si="21"/>
        <v>NE 东北大区揽收部揽收支持组</v>
      </c>
      <c r="I239" t="s">
        <v>928</v>
      </c>
      <c r="J239" t="s">
        <v>295</v>
      </c>
      <c r="K239" s="15">
        <v>0.375</v>
      </c>
      <c r="L239" s="15" t="s">
        <v>296</v>
      </c>
      <c r="M239" s="15">
        <v>0.378472222222222</v>
      </c>
      <c r="N239" t="s">
        <v>929</v>
      </c>
      <c r="O239" s="20" t="str">
        <f t="shared" si="22"/>
        <v>正确</v>
      </c>
      <c r="P239" s="21">
        <v>0</v>
      </c>
      <c r="Q239" s="21">
        <v>10.78</v>
      </c>
      <c r="R239" s="21">
        <v>0</v>
      </c>
      <c r="S239" s="21">
        <f t="shared" si="23"/>
        <v>10.78</v>
      </c>
      <c r="T239" s="21">
        <f t="shared" si="24"/>
        <v>2.78</v>
      </c>
      <c r="U239" s="21" t="str">
        <f t="shared" si="25"/>
        <v>是</v>
      </c>
      <c r="V239" s="21">
        <f>VLOOKUP($C239,[4]Sheet1!$B:$AN,39,FALSE)</f>
        <v>22.56</v>
      </c>
      <c r="W239" s="21">
        <v>0</v>
      </c>
      <c r="X239" s="23">
        <v>2</v>
      </c>
      <c r="Y239" s="23">
        <v>4</v>
      </c>
      <c r="Z239" s="25">
        <f t="shared" si="26"/>
        <v>2</v>
      </c>
      <c r="AA239" s="25" t="str">
        <f t="shared" si="27"/>
        <v>是</v>
      </c>
      <c r="AB239" t="s">
        <v>148</v>
      </c>
      <c r="AC239" t="e">
        <f>VLOOKUP(C239,[1]Sheet1!$C:$O,13,FALSE)</f>
        <v>#N/A</v>
      </c>
      <c r="AD239" t="str">
        <f>VLOOKUP($H239,'[3]0509人员排班情况 副本'!$G:$U,12,FALSE)</f>
        <v>孙可君Monica（Kejun Sun）</v>
      </c>
      <c r="AE239" t="str">
        <f>VLOOKUP($H239,'[3]0509人员排班情况 副本'!$G:$U,13,FALSE)</f>
        <v>马聪Cong (Cong Ma)</v>
      </c>
      <c r="AF239" t="str">
        <f>VLOOKUP($H239,'[3]0509人员排班情况 副本'!$G:$U,14,FALSE)</f>
        <v>王姝涵Function（Shuhan Wang)</v>
      </c>
      <c r="AG239">
        <f>VLOOKUP($H239,'[3]0509人员排班情况 副本'!$G:$U,15,FALSE)</f>
        <v>0</v>
      </c>
    </row>
    <row r="240" customHeight="1" spans="1:33">
      <c r="A240" t="s">
        <v>202</v>
      </c>
      <c r="B240" t="s">
        <v>930</v>
      </c>
      <c r="C240" t="s">
        <v>931</v>
      </c>
      <c r="D240" t="s">
        <v>92</v>
      </c>
      <c r="E240" t="s">
        <v>96</v>
      </c>
      <c r="F240" t="s">
        <v>243</v>
      </c>
      <c r="G240" t="s">
        <v>112</v>
      </c>
      <c r="H240" t="str">
        <f t="shared" si="21"/>
        <v>TX 德州大区IAH.H调度组</v>
      </c>
      <c r="I240" t="s">
        <v>160</v>
      </c>
      <c r="J240" t="s">
        <v>421</v>
      </c>
      <c r="K240" s="15">
        <v>0.708333333333333</v>
      </c>
      <c r="L240" s="15" t="s">
        <v>422</v>
      </c>
      <c r="M240" s="15">
        <v>0.688194444444444</v>
      </c>
      <c r="N240" t="s">
        <v>148</v>
      </c>
      <c r="O240" s="20" t="str">
        <f t="shared" si="22"/>
        <v>正确</v>
      </c>
      <c r="P240" s="21">
        <v>0</v>
      </c>
      <c r="Q240" s="21">
        <v>0</v>
      </c>
      <c r="R240" s="21">
        <v>0</v>
      </c>
      <c r="S240" s="21">
        <f t="shared" si="23"/>
        <v>0</v>
      </c>
      <c r="T240" s="21">
        <f t="shared" si="24"/>
        <v>0</v>
      </c>
      <c r="U240" s="21" t="str">
        <f t="shared" si="25"/>
        <v>否</v>
      </c>
      <c r="V240" s="21">
        <f>VLOOKUP($C240,[4]Sheet1!$B:$AN,39,FALSE)</f>
        <v>10.78</v>
      </c>
      <c r="W240" s="21">
        <v>0</v>
      </c>
      <c r="X240" s="23">
        <v>3</v>
      </c>
      <c r="Y240" s="23">
        <v>4</v>
      </c>
      <c r="Z240" s="25">
        <f t="shared" si="26"/>
        <v>1</v>
      </c>
      <c r="AA240" s="25" t="str">
        <f t="shared" si="27"/>
        <v>是</v>
      </c>
      <c r="AB240" t="s">
        <v>148</v>
      </c>
      <c r="AC240" t="e">
        <f>VLOOKUP(C240,[1]Sheet1!$C:$O,13,FALSE)</f>
        <v>#N/A</v>
      </c>
      <c r="AD240" t="str">
        <f>VLOOKUP($H240,'[3]0509人员排班情况 副本'!$G:$U,12,FALSE)</f>
        <v>肖芦莉Lily (Luli Xiao)</v>
      </c>
      <c r="AE240" t="str">
        <f>VLOOKUP($H240,'[3]0509人员排班情况 副本'!$G:$U,13,FALSE)</f>
        <v>张骥Ji Zhang (Ji Zhang)</v>
      </c>
      <c r="AF240" t="str">
        <f>VLOOKUP($H240,'[3]0509人员排班情况 副本'!$G:$U,14,FALSE)</f>
        <v>Minqing (Minqing Xu),罗煜雄 Mike (Yuxiong Luo)</v>
      </c>
      <c r="AG240">
        <f>VLOOKUP($H240,'[3]0509人员排班情况 副本'!$G:$U,15,FALSE)</f>
        <v>0</v>
      </c>
    </row>
    <row r="241" customHeight="1" spans="1:33">
      <c r="A241" t="s">
        <v>202</v>
      </c>
      <c r="B241" t="s">
        <v>932</v>
      </c>
      <c r="C241" t="s">
        <v>933</v>
      </c>
      <c r="D241" t="s">
        <v>31</v>
      </c>
      <c r="E241" t="s">
        <v>38</v>
      </c>
      <c r="F241" t="s">
        <v>148</v>
      </c>
      <c r="H241" t="str">
        <f t="shared" si="21"/>
        <v>GL 大湖大区MCI01</v>
      </c>
      <c r="I241" t="s">
        <v>177</v>
      </c>
      <c r="J241" t="s">
        <v>221</v>
      </c>
      <c r="K241" s="15">
        <v>0.208333333333333</v>
      </c>
      <c r="L241" s="15" t="s">
        <v>222</v>
      </c>
      <c r="M241" s="15">
        <v>0.225</v>
      </c>
      <c r="N241" t="s">
        <v>934</v>
      </c>
      <c r="O241" s="20" t="str">
        <f t="shared" si="22"/>
        <v>正确</v>
      </c>
      <c r="P241" s="21">
        <v>0</v>
      </c>
      <c r="Q241" s="21">
        <v>8.37</v>
      </c>
      <c r="R241" s="21">
        <v>0</v>
      </c>
      <c r="S241" s="21">
        <f t="shared" si="23"/>
        <v>8.37</v>
      </c>
      <c r="T241" s="21">
        <f t="shared" si="24"/>
        <v>0.369999999999999</v>
      </c>
      <c r="U241" s="21" t="str">
        <f t="shared" si="25"/>
        <v>是</v>
      </c>
      <c r="V241" s="21">
        <f>VLOOKUP($C241,[4]Sheet1!$B:$AN,39,FALSE)</f>
        <v>8.37</v>
      </c>
      <c r="W241" s="21">
        <v>0</v>
      </c>
      <c r="X241" s="23">
        <v>4</v>
      </c>
      <c r="Y241" s="23">
        <v>4</v>
      </c>
      <c r="Z241" s="25">
        <f t="shared" si="26"/>
        <v>0</v>
      </c>
      <c r="AA241" s="25" t="str">
        <f t="shared" si="27"/>
        <v>是</v>
      </c>
      <c r="AB241" t="s">
        <v>148</v>
      </c>
      <c r="AC241" t="e">
        <f>VLOOKUP(C241,[1]Sheet1!$C:$O,13,FALSE)</f>
        <v>#N/A</v>
      </c>
      <c r="AD241" t="str">
        <f>VLOOKUP($H241,'[3]0509人员排班情况 副本'!$G:$U,12,FALSE)</f>
        <v>王晓丹 Jasmine（Xiaodan Wang）,周延舒Isabel（Yanshu Zhou）</v>
      </c>
      <c r="AE241" t="str">
        <f>VLOOKUP($H241,'[3]0509人员排班情况 副本'!$G:$U,13,FALSE)</f>
        <v>张骥Ji Zhang (Ji Zhang)</v>
      </c>
      <c r="AF241">
        <f>VLOOKUP($H241,'[3]0509人员排班情况 副本'!$G:$U,14,FALSE)</f>
        <v>0</v>
      </c>
      <c r="AG241">
        <f>VLOOKUP($H241,'[3]0509人员排班情况 副本'!$G:$U,15,FALSE)</f>
        <v>0</v>
      </c>
    </row>
    <row r="242" customHeight="1" spans="1:33">
      <c r="A242" t="s">
        <v>202</v>
      </c>
      <c r="B242" t="s">
        <v>935</v>
      </c>
      <c r="C242" t="s">
        <v>936</v>
      </c>
      <c r="D242" t="s">
        <v>68</v>
      </c>
      <c r="E242" t="s">
        <v>29</v>
      </c>
      <c r="F242" t="s">
        <v>200</v>
      </c>
      <c r="H242" t="str">
        <f t="shared" si="21"/>
        <v>NE 东北大区运营支持部区域支持组</v>
      </c>
      <c r="I242" t="s">
        <v>201</v>
      </c>
      <c r="J242" t="s">
        <v>236</v>
      </c>
      <c r="K242" s="15">
        <v>0.395833333333333</v>
      </c>
      <c r="L242" s="15" t="s">
        <v>218</v>
      </c>
      <c r="M242" s="15"/>
      <c r="N242" t="s">
        <v>148</v>
      </c>
      <c r="O242" s="20" t="str">
        <f t="shared" si="22"/>
        <v>不正确</v>
      </c>
      <c r="P242" s="21">
        <v>0</v>
      </c>
      <c r="Q242" s="21">
        <v>0</v>
      </c>
      <c r="R242" s="21">
        <v>0</v>
      </c>
      <c r="S242" s="21">
        <f t="shared" si="23"/>
        <v>0</v>
      </c>
      <c r="T242" s="21">
        <f t="shared" si="24"/>
        <v>0</v>
      </c>
      <c r="U242" s="21" t="str">
        <f t="shared" si="25"/>
        <v>否</v>
      </c>
      <c r="V242" s="21">
        <f>VLOOKUP($C242,[4]Sheet1!$B:$AN,39,FALSE)</f>
        <v>0</v>
      </c>
      <c r="W242" s="21">
        <v>0</v>
      </c>
      <c r="X242" s="23">
        <v>0</v>
      </c>
      <c r="Y242" s="23">
        <v>4</v>
      </c>
      <c r="Z242" s="25">
        <f t="shared" si="26"/>
        <v>4</v>
      </c>
      <c r="AA242" s="25" t="str">
        <f t="shared" si="27"/>
        <v>是</v>
      </c>
      <c r="AB242" t="s">
        <v>148</v>
      </c>
      <c r="AC242" t="e">
        <f>VLOOKUP(C242,[1]Sheet1!$C:$O,13,FALSE)</f>
        <v>#N/A</v>
      </c>
      <c r="AD242" t="str">
        <f>VLOOKUP($H242,'[3]0509人员排班情况 副本'!$G:$U,12,FALSE)</f>
        <v>孙可君Monica（Kejun Sun）</v>
      </c>
      <c r="AE242" t="str">
        <f>VLOOKUP($H242,'[3]0509人员排班情况 副本'!$G:$U,13,FALSE)</f>
        <v>马聪Cong (Cong Ma)</v>
      </c>
      <c r="AF242">
        <f>VLOOKUP($H242,'[3]0509人员排班情况 副本'!$G:$U,14,FALSE)</f>
        <v>0</v>
      </c>
      <c r="AG242">
        <f>VLOOKUP($H242,'[3]0509人员排班情况 副本'!$G:$U,15,FALSE)</f>
        <v>0</v>
      </c>
    </row>
    <row r="243" customHeight="1" spans="1:33">
      <c r="A243" t="s">
        <v>202</v>
      </c>
      <c r="B243" t="s">
        <v>937</v>
      </c>
      <c r="C243" t="s">
        <v>938</v>
      </c>
      <c r="D243" t="s">
        <v>87</v>
      </c>
      <c r="E243" t="s">
        <v>148</v>
      </c>
      <c r="F243" t="s">
        <v>148</v>
      </c>
      <c r="H243" t="str">
        <f t="shared" si="21"/>
        <v>NP 网络规划部</v>
      </c>
      <c r="I243" t="s">
        <v>939</v>
      </c>
      <c r="J243" t="s">
        <v>236</v>
      </c>
      <c r="K243" s="15">
        <v>0.395833333333333</v>
      </c>
      <c r="L243" s="15" t="s">
        <v>218</v>
      </c>
      <c r="M243" s="15"/>
      <c r="N243" t="s">
        <v>148</v>
      </c>
      <c r="O243" s="20" t="str">
        <f t="shared" si="22"/>
        <v>不正确</v>
      </c>
      <c r="P243" s="21">
        <v>0</v>
      </c>
      <c r="Q243" s="21">
        <v>0</v>
      </c>
      <c r="R243" s="21">
        <v>0</v>
      </c>
      <c r="S243" s="21">
        <f t="shared" si="23"/>
        <v>0</v>
      </c>
      <c r="T243" s="21">
        <f t="shared" si="24"/>
        <v>0</v>
      </c>
      <c r="U243" s="21" t="str">
        <f t="shared" si="25"/>
        <v>否</v>
      </c>
      <c r="V243" s="21">
        <f>VLOOKUP($C243,[4]Sheet1!$B:$AN,39,FALSE)</f>
        <v>0</v>
      </c>
      <c r="W243" s="21">
        <v>0</v>
      </c>
      <c r="X243" s="23">
        <v>0</v>
      </c>
      <c r="Y243" s="23">
        <v>0</v>
      </c>
      <c r="Z243" s="25">
        <f t="shared" si="26"/>
        <v>0</v>
      </c>
      <c r="AA243" s="25" t="str">
        <f t="shared" si="27"/>
        <v>是</v>
      </c>
      <c r="AB243" t="s">
        <v>940</v>
      </c>
      <c r="AC243" t="e">
        <f>VLOOKUP(C243,[1]Sheet1!$C:$O,13,FALSE)</f>
        <v>#N/A</v>
      </c>
      <c r="AD243" t="str">
        <f>VLOOKUP($H243,'[3]0509人员排班情况 副本'!$G:$U,12,FALSE)</f>
        <v>袁博闻(Bowen Yuan)</v>
      </c>
      <c r="AE243">
        <f>VLOOKUP($H243,'[3]0509人员排班情况 副本'!$G:$U,13,FALSE)</f>
        <v>0</v>
      </c>
      <c r="AF243">
        <f>VLOOKUP($H243,'[3]0509人员排班情况 副本'!$G:$U,14,FALSE)</f>
        <v>0</v>
      </c>
      <c r="AG243">
        <f>VLOOKUP($H243,'[3]0509人员排班情况 副本'!$G:$U,15,FALSE)</f>
        <v>0</v>
      </c>
    </row>
    <row r="244" customHeight="1" spans="1:33">
      <c r="A244" t="s">
        <v>202</v>
      </c>
      <c r="B244" t="s">
        <v>941</v>
      </c>
      <c r="C244" t="s">
        <v>942</v>
      </c>
      <c r="D244" t="s">
        <v>68</v>
      </c>
      <c r="E244" t="s">
        <v>81</v>
      </c>
      <c r="F244" t="s">
        <v>943</v>
      </c>
      <c r="H244" t="str">
        <f t="shared" si="21"/>
        <v>NE 东北大区NY 纽约片区FRG01</v>
      </c>
      <c r="I244" t="s">
        <v>177</v>
      </c>
      <c r="J244" t="s">
        <v>217</v>
      </c>
      <c r="K244" s="15">
        <v>0.395833333333333</v>
      </c>
      <c r="L244" s="15" t="s">
        <v>218</v>
      </c>
      <c r="M244" s="15"/>
      <c r="N244" t="s">
        <v>148</v>
      </c>
      <c r="O244" s="20" t="s">
        <v>116</v>
      </c>
      <c r="P244" s="21">
        <v>0</v>
      </c>
      <c r="Q244" s="21">
        <v>0</v>
      </c>
      <c r="R244" s="21">
        <v>0</v>
      </c>
      <c r="S244" s="21">
        <f t="shared" si="23"/>
        <v>0</v>
      </c>
      <c r="T244" s="21">
        <f t="shared" si="24"/>
        <v>0</v>
      </c>
      <c r="U244" s="21" t="str">
        <f t="shared" si="25"/>
        <v>否</v>
      </c>
      <c r="V244" s="21">
        <f>VLOOKUP($C244,[4]Sheet1!$B:$AN,39,FALSE)</f>
        <v>0</v>
      </c>
      <c r="W244" s="21">
        <v>0</v>
      </c>
      <c r="X244" s="23">
        <v>0</v>
      </c>
      <c r="Y244" s="23">
        <v>0</v>
      </c>
      <c r="Z244" s="25">
        <f t="shared" si="26"/>
        <v>0</v>
      </c>
      <c r="AA244" s="25" t="str">
        <f t="shared" si="27"/>
        <v>是</v>
      </c>
      <c r="AB244" t="s">
        <v>148</v>
      </c>
      <c r="AC244" t="e">
        <f>VLOOKUP(C244,[1]Sheet1!$C:$O,13,FALSE)</f>
        <v>#N/A</v>
      </c>
      <c r="AD244" t="str">
        <f>VLOOKUP($H244,'[3]0509人员排班情况 副本'!$G:$U,12,FALSE)</f>
        <v>孙可君Monica（Kejun Sun）</v>
      </c>
      <c r="AE244" t="str">
        <f>VLOOKUP($H244,'[3]0509人员排班情况 副本'!$G:$U,13,FALSE)</f>
        <v>马聪Cong (Cong Ma)</v>
      </c>
      <c r="AF244" t="str">
        <f>VLOOKUP($H244,'[3]0509人员排班情况 副本'!$G:$U,14,FALSE)</f>
        <v>朱晗宇 Peter (Hanyu Zhu)</v>
      </c>
      <c r="AG244">
        <f>VLOOKUP($H244,'[3]0509人员排班情况 副本'!$G:$U,15,FALSE)</f>
        <v>0</v>
      </c>
    </row>
    <row r="245" customHeight="1" spans="1:33">
      <c r="A245" t="s">
        <v>202</v>
      </c>
      <c r="B245" t="s">
        <v>944</v>
      </c>
      <c r="C245" t="s">
        <v>945</v>
      </c>
      <c r="D245" t="s">
        <v>68</v>
      </c>
      <c r="E245" t="s">
        <v>29</v>
      </c>
      <c r="F245" t="s">
        <v>200</v>
      </c>
      <c r="H245" t="str">
        <f t="shared" si="21"/>
        <v>NE 东北大区运营支持部区域支持组</v>
      </c>
      <c r="I245" t="s">
        <v>195</v>
      </c>
      <c r="J245" t="s">
        <v>236</v>
      </c>
      <c r="K245" s="15">
        <v>0.395833333333333</v>
      </c>
      <c r="L245" s="15" t="s">
        <v>218</v>
      </c>
      <c r="M245" s="15">
        <v>0.488194444444444</v>
      </c>
      <c r="N245" t="s">
        <v>946</v>
      </c>
      <c r="O245" s="20" t="str">
        <f t="shared" si="22"/>
        <v>不正确</v>
      </c>
      <c r="P245" s="21">
        <v>0</v>
      </c>
      <c r="Q245" s="21">
        <v>6.25</v>
      </c>
      <c r="R245" s="21">
        <v>0</v>
      </c>
      <c r="S245" s="21">
        <f t="shared" si="23"/>
        <v>6.25</v>
      </c>
      <c r="T245" s="21">
        <f t="shared" si="24"/>
        <v>0</v>
      </c>
      <c r="U245" s="21" t="str">
        <f t="shared" si="25"/>
        <v>否</v>
      </c>
      <c r="V245" s="21">
        <f>VLOOKUP($C245,[4]Sheet1!$B:$AN,39,FALSE)</f>
        <v>15.88</v>
      </c>
      <c r="W245" s="21">
        <v>0</v>
      </c>
      <c r="X245" s="23">
        <v>2</v>
      </c>
      <c r="Y245" s="23">
        <v>4</v>
      </c>
      <c r="Z245" s="25">
        <f t="shared" si="26"/>
        <v>2</v>
      </c>
      <c r="AA245" s="25" t="str">
        <f t="shared" si="27"/>
        <v>是</v>
      </c>
      <c r="AB245" t="s">
        <v>148</v>
      </c>
      <c r="AC245" t="e">
        <f>VLOOKUP(C245,[1]Sheet1!$C:$O,13,FALSE)</f>
        <v>#N/A</v>
      </c>
      <c r="AD245" t="str">
        <f>VLOOKUP($H245,'[3]0509人员排班情况 副本'!$G:$U,12,FALSE)</f>
        <v>孙可君Monica（Kejun Sun）</v>
      </c>
      <c r="AE245" t="str">
        <f>VLOOKUP($H245,'[3]0509人员排班情况 副本'!$G:$U,13,FALSE)</f>
        <v>马聪Cong (Cong Ma)</v>
      </c>
      <c r="AF245">
        <f>VLOOKUP($H245,'[3]0509人员排班情况 副本'!$G:$U,14,FALSE)</f>
        <v>0</v>
      </c>
      <c r="AG245">
        <f>VLOOKUP($H245,'[3]0509人员排班情况 副本'!$G:$U,15,FALSE)</f>
        <v>0</v>
      </c>
    </row>
    <row r="246" customHeight="1" spans="1:33">
      <c r="A246" t="s">
        <v>202</v>
      </c>
      <c r="B246" t="s">
        <v>947</v>
      </c>
      <c r="C246" t="s">
        <v>948</v>
      </c>
      <c r="D246" t="s">
        <v>88</v>
      </c>
      <c r="E246" t="s">
        <v>949</v>
      </c>
      <c r="F246" t="s">
        <v>148</v>
      </c>
      <c r="H246" t="str">
        <f t="shared" si="21"/>
        <v>OM 操作管理部设备规划组</v>
      </c>
      <c r="I246" t="s">
        <v>950</v>
      </c>
      <c r="J246" t="s">
        <v>236</v>
      </c>
      <c r="K246" s="15">
        <v>0.395833333333333</v>
      </c>
      <c r="L246" s="15" t="s">
        <v>218</v>
      </c>
      <c r="M246" s="15">
        <v>0.38125</v>
      </c>
      <c r="N246" t="s">
        <v>951</v>
      </c>
      <c r="O246" s="20" t="str">
        <f t="shared" si="22"/>
        <v>正确</v>
      </c>
      <c r="P246" s="21">
        <v>0</v>
      </c>
      <c r="Q246" s="21">
        <v>10.58</v>
      </c>
      <c r="R246" s="21">
        <v>0</v>
      </c>
      <c r="S246" s="21">
        <f t="shared" si="23"/>
        <v>10.58</v>
      </c>
      <c r="T246" s="21">
        <f t="shared" si="24"/>
        <v>2.58</v>
      </c>
      <c r="U246" s="21" t="str">
        <f t="shared" si="25"/>
        <v>是</v>
      </c>
      <c r="V246" s="21">
        <f>VLOOKUP($C246,[4]Sheet1!$B:$AN,39,FALSE)</f>
        <v>16.7</v>
      </c>
      <c r="W246" s="21">
        <v>0</v>
      </c>
      <c r="X246" s="23">
        <v>4</v>
      </c>
      <c r="Y246" s="23">
        <v>4</v>
      </c>
      <c r="Z246" s="25">
        <f t="shared" si="26"/>
        <v>0</v>
      </c>
      <c r="AA246" s="25" t="str">
        <f t="shared" si="27"/>
        <v>是</v>
      </c>
      <c r="AB246" t="s">
        <v>148</v>
      </c>
      <c r="AC246" t="e">
        <f>VLOOKUP(C246,[1]Sheet1!$C:$O,13,FALSE)</f>
        <v>#N/A</v>
      </c>
      <c r="AD246" t="str">
        <f>VLOOKUP($H246,'[3]0509人员排班情况 副本'!$G:$U,12,FALSE)</f>
        <v>袁博闻(Bowen Yuan)</v>
      </c>
      <c r="AE246">
        <f>VLOOKUP($H246,'[3]0509人员排班情况 副本'!$G:$U,13,FALSE)</f>
        <v>0</v>
      </c>
      <c r="AF246">
        <f>VLOOKUP($H246,'[3]0509人员排班情况 副本'!$G:$U,14,FALSE)</f>
        <v>0</v>
      </c>
      <c r="AG246">
        <f>VLOOKUP($H246,'[3]0509人员排班情况 副本'!$G:$U,15,FALSE)</f>
        <v>0</v>
      </c>
    </row>
    <row r="247" customHeight="1" spans="1:33">
      <c r="A247" t="s">
        <v>202</v>
      </c>
      <c r="B247" t="s">
        <v>952</v>
      </c>
      <c r="C247" t="s">
        <v>953</v>
      </c>
      <c r="D247" t="s">
        <v>31</v>
      </c>
      <c r="E247" t="s">
        <v>148</v>
      </c>
      <c r="F247" t="s">
        <v>148</v>
      </c>
      <c r="H247" t="str">
        <f t="shared" si="21"/>
        <v>GL 大湖大区</v>
      </c>
      <c r="I247" t="s">
        <v>954</v>
      </c>
      <c r="J247" t="s">
        <v>347</v>
      </c>
      <c r="K247" s="15">
        <v>0.541666666666667</v>
      </c>
      <c r="L247" s="15" t="s">
        <v>348</v>
      </c>
      <c r="M247" s="15"/>
      <c r="N247" t="s">
        <v>148</v>
      </c>
      <c r="O247" s="20" t="str">
        <f t="shared" si="22"/>
        <v>不正确</v>
      </c>
      <c r="P247" s="21">
        <v>0</v>
      </c>
      <c r="Q247" s="21">
        <v>0</v>
      </c>
      <c r="R247" s="21">
        <v>0</v>
      </c>
      <c r="S247" s="21">
        <f t="shared" si="23"/>
        <v>0</v>
      </c>
      <c r="T247" s="21">
        <f t="shared" si="24"/>
        <v>0</v>
      </c>
      <c r="U247" s="21" t="str">
        <f t="shared" si="25"/>
        <v>否</v>
      </c>
      <c r="V247" s="21">
        <f>VLOOKUP($C247,[4]Sheet1!$B:$AN,39,FALSE)</f>
        <v>0</v>
      </c>
      <c r="W247" s="21">
        <v>0</v>
      </c>
      <c r="X247" s="23">
        <v>0</v>
      </c>
      <c r="Y247" s="23">
        <v>0</v>
      </c>
      <c r="Z247" s="25">
        <f t="shared" si="26"/>
        <v>0</v>
      </c>
      <c r="AA247" s="25" t="str">
        <f t="shared" si="27"/>
        <v>是</v>
      </c>
      <c r="AB247" t="s">
        <v>955</v>
      </c>
      <c r="AC247" t="e">
        <f>VLOOKUP(C247,[1]Sheet1!$C:$O,13,FALSE)</f>
        <v>#N/A</v>
      </c>
      <c r="AD247" t="str">
        <f>VLOOKUP($H247,'[3]0509人员排班情况 副本'!$G:$U,12,FALSE)</f>
        <v>王晓丹 Jasmine（Xiaodan Wang）,周延舒Isabel（Yanshu Zhou）</v>
      </c>
      <c r="AE247" t="str">
        <f>VLOOKUP($H247,'[3]0509人员排班情况 副本'!$G:$U,13,FALSE)</f>
        <v>张骥Ji Zhang (Ji Zhang)</v>
      </c>
      <c r="AF247">
        <f>VLOOKUP($H247,'[3]0509人员排班情况 副本'!$G:$U,14,FALSE)</f>
        <v>0</v>
      </c>
      <c r="AG247">
        <f>VLOOKUP($H247,'[3]0509人员排班情况 副本'!$G:$U,15,FALSE)</f>
        <v>0</v>
      </c>
    </row>
    <row r="248" customHeight="1" spans="1:33">
      <c r="A248" t="s">
        <v>202</v>
      </c>
      <c r="B248" t="s">
        <v>956</v>
      </c>
      <c r="C248" t="s">
        <v>957</v>
      </c>
      <c r="D248" t="s">
        <v>100</v>
      </c>
      <c r="E248" t="s">
        <v>101</v>
      </c>
      <c r="F248" t="s">
        <v>210</v>
      </c>
      <c r="G248" t="s">
        <v>112</v>
      </c>
      <c r="H248" t="str">
        <f t="shared" si="21"/>
        <v>WE 美西大区CNO.H操作组</v>
      </c>
      <c r="I248" t="s">
        <v>156</v>
      </c>
      <c r="J248" t="s">
        <v>384</v>
      </c>
      <c r="K248" s="15">
        <v>0.6875</v>
      </c>
      <c r="L248" s="15" t="s">
        <v>385</v>
      </c>
      <c r="M248" s="15">
        <v>0.677777777777778</v>
      </c>
      <c r="N248" t="s">
        <v>148</v>
      </c>
      <c r="O248" s="20" t="str">
        <f t="shared" si="22"/>
        <v>正确</v>
      </c>
      <c r="P248" s="21">
        <v>0</v>
      </c>
      <c r="Q248" s="21">
        <v>0</v>
      </c>
      <c r="R248" s="21">
        <v>0</v>
      </c>
      <c r="S248" s="21">
        <f t="shared" si="23"/>
        <v>0</v>
      </c>
      <c r="T248" s="21">
        <f t="shared" si="24"/>
        <v>0</v>
      </c>
      <c r="U248" s="21" t="str">
        <f t="shared" si="25"/>
        <v>否</v>
      </c>
      <c r="V248" s="21">
        <f>VLOOKUP($C248,[4]Sheet1!$B:$AN,39,FALSE)</f>
        <v>11.73</v>
      </c>
      <c r="W248" s="21">
        <v>0</v>
      </c>
      <c r="X248" s="23">
        <v>3</v>
      </c>
      <c r="Y248" s="23">
        <v>4</v>
      </c>
      <c r="Z248" s="25">
        <f t="shared" si="26"/>
        <v>1</v>
      </c>
      <c r="AA248" s="25" t="str">
        <f t="shared" si="27"/>
        <v>是</v>
      </c>
      <c r="AB248" t="s">
        <v>148</v>
      </c>
      <c r="AC248" t="e">
        <f>VLOOKUP(C248,[1]Sheet1!$C:$O,13,FALSE)</f>
        <v>#N/A</v>
      </c>
      <c r="AD248" t="str">
        <f>VLOOKUP($H248,'[3]0509人员排班情况 副本'!$G:$U,12,FALSE)</f>
        <v>王骞Ariel（Qian Wang）,叶秀芳Freya (Xiufang Ye)</v>
      </c>
      <c r="AE248" t="str">
        <f>VLOOKUP($H248,'[3]0509人员排班情况 副本'!$G:$U,13,FALSE)</f>
        <v>常哲</v>
      </c>
      <c r="AF248" t="str">
        <f>VLOOKUP($H248,'[3]0509人员排班情况 副本'!$G:$U,14,FALSE)</f>
        <v>Minqing (Minqing Xu),罗煜雄 Mike (Yuxiong Luo)</v>
      </c>
      <c r="AG248">
        <f>VLOOKUP($H248,'[3]0509人员排班情况 副本'!$G:$U,15,FALSE)</f>
        <v>0</v>
      </c>
    </row>
    <row r="249" customHeight="1" spans="1:33">
      <c r="A249" t="s">
        <v>202</v>
      </c>
      <c r="B249" t="s">
        <v>958</v>
      </c>
      <c r="C249" t="s">
        <v>959</v>
      </c>
      <c r="D249" t="s">
        <v>100</v>
      </c>
      <c r="E249" t="s">
        <v>107</v>
      </c>
      <c r="F249" t="s">
        <v>706</v>
      </c>
      <c r="H249" t="str">
        <f t="shared" si="21"/>
        <v>WE 美西大区SP 西雅图·波特兰片区PDX01</v>
      </c>
      <c r="I249" t="s">
        <v>687</v>
      </c>
      <c r="J249" t="s">
        <v>343</v>
      </c>
      <c r="K249" s="15">
        <v>0.25</v>
      </c>
      <c r="L249" s="15" t="s">
        <v>344</v>
      </c>
      <c r="M249" s="15">
        <v>0.242361111111111</v>
      </c>
      <c r="N249" t="s">
        <v>642</v>
      </c>
      <c r="O249" s="20" t="str">
        <f t="shared" si="22"/>
        <v>正确</v>
      </c>
      <c r="P249" s="21">
        <v>0</v>
      </c>
      <c r="Q249" s="21">
        <v>5.18</v>
      </c>
      <c r="R249" s="21">
        <v>0</v>
      </c>
      <c r="S249" s="21">
        <f t="shared" si="23"/>
        <v>5.18</v>
      </c>
      <c r="T249" s="21">
        <f t="shared" si="24"/>
        <v>0</v>
      </c>
      <c r="U249" s="21" t="str">
        <f t="shared" si="25"/>
        <v>否</v>
      </c>
      <c r="V249" s="21">
        <f>VLOOKUP($C249,[4]Sheet1!$B:$AN,39,FALSE)</f>
        <v>5.18</v>
      </c>
      <c r="W249" s="21">
        <v>0</v>
      </c>
      <c r="X249" s="23">
        <v>3</v>
      </c>
      <c r="Y249" s="23">
        <v>0</v>
      </c>
      <c r="Z249" s="25">
        <f t="shared" si="26"/>
        <v>0</v>
      </c>
      <c r="AA249" s="25" t="str">
        <f t="shared" si="27"/>
        <v>是</v>
      </c>
      <c r="AB249" t="s">
        <v>960</v>
      </c>
      <c r="AC249" t="e">
        <f>VLOOKUP(C249,[1]Sheet1!$C:$O,13,FALSE)</f>
        <v>#N/A</v>
      </c>
      <c r="AD249" t="str">
        <f>VLOOKUP($H249,'[3]0509人员排班情况 副本'!$G:$U,12,FALSE)</f>
        <v>王骞Ariel（Qian Wang）,叶秀芳Freya (Xiufang Ye)</v>
      </c>
      <c r="AE249" t="str">
        <f>VLOOKUP($H249,'[3]0509人员排班情况 副本'!$G:$U,13,FALSE)</f>
        <v>常哲</v>
      </c>
      <c r="AF249" t="str">
        <f>VLOOKUP($H249,'[3]0509人员排班情况 副本'!$G:$U,14,FALSE)</f>
        <v>尤梦楠Yuko（Mengnan You）</v>
      </c>
      <c r="AG249">
        <f>VLOOKUP($H249,'[3]0509人员排班情况 副本'!$G:$U,15,FALSE)</f>
        <v>0</v>
      </c>
    </row>
    <row r="250" customHeight="1" spans="1:33">
      <c r="A250" t="s">
        <v>202</v>
      </c>
      <c r="B250" t="s">
        <v>961</v>
      </c>
      <c r="C250" t="s">
        <v>962</v>
      </c>
      <c r="D250" t="s">
        <v>100</v>
      </c>
      <c r="E250" t="s">
        <v>107</v>
      </c>
      <c r="F250" t="s">
        <v>148</v>
      </c>
      <c r="H250" t="str">
        <f t="shared" si="21"/>
        <v>WE 美西大区SP 西雅图·波特兰片区</v>
      </c>
      <c r="I250" t="s">
        <v>682</v>
      </c>
      <c r="J250" t="s">
        <v>882</v>
      </c>
      <c r="K250" s="15">
        <v>0.5625</v>
      </c>
      <c r="L250" s="15" t="s">
        <v>836</v>
      </c>
      <c r="M250" s="15">
        <v>0.560416666666667</v>
      </c>
      <c r="N250" t="s">
        <v>148</v>
      </c>
      <c r="O250" s="20" t="str">
        <f t="shared" si="22"/>
        <v>正确</v>
      </c>
      <c r="P250" s="21">
        <v>0</v>
      </c>
      <c r="Q250" s="21">
        <v>0</v>
      </c>
      <c r="R250" s="21">
        <v>0</v>
      </c>
      <c r="S250" s="21">
        <f t="shared" si="23"/>
        <v>0</v>
      </c>
      <c r="T250" s="21">
        <f t="shared" si="24"/>
        <v>0</v>
      </c>
      <c r="U250" s="21" t="str">
        <f t="shared" si="25"/>
        <v>否</v>
      </c>
      <c r="V250" s="21">
        <f>VLOOKUP($C250,[4]Sheet1!$B:$AN,39,FALSE)</f>
        <v>10.57</v>
      </c>
      <c r="W250" s="21">
        <v>0</v>
      </c>
      <c r="X250" s="23">
        <v>1</v>
      </c>
      <c r="Y250" s="23">
        <v>0</v>
      </c>
      <c r="Z250" s="25">
        <f t="shared" si="26"/>
        <v>0</v>
      </c>
      <c r="AA250" s="25" t="str">
        <f t="shared" si="27"/>
        <v>是</v>
      </c>
      <c r="AB250" t="s">
        <v>690</v>
      </c>
      <c r="AC250" t="e">
        <f>VLOOKUP(C250,[1]Sheet1!$C:$O,13,FALSE)</f>
        <v>#N/A</v>
      </c>
      <c r="AD250" t="str">
        <f>VLOOKUP($H250,'[3]0509人员排班情况 副本'!$G:$U,12,FALSE)</f>
        <v>王骞Ariel（Qian Wang）,叶秀芳Freya (Xiufang Ye)</v>
      </c>
      <c r="AE250" t="str">
        <f>VLOOKUP($H250,'[3]0509人员排班情况 副本'!$G:$U,13,FALSE)</f>
        <v>常哲</v>
      </c>
      <c r="AF250">
        <f>VLOOKUP($H250,'[3]0509人员排班情况 副本'!$G:$U,14,FALSE)</f>
        <v>0</v>
      </c>
      <c r="AG250">
        <f>VLOOKUP($H250,'[3]0509人员排班情况 副本'!$G:$U,15,FALSE)</f>
        <v>0</v>
      </c>
    </row>
    <row r="251" customHeight="1" spans="1:33">
      <c r="A251" t="s">
        <v>202</v>
      </c>
      <c r="B251" t="s">
        <v>963</v>
      </c>
      <c r="C251" t="s">
        <v>964</v>
      </c>
      <c r="D251" t="s">
        <v>31</v>
      </c>
      <c r="E251" t="s">
        <v>41</v>
      </c>
      <c r="F251" t="s">
        <v>148</v>
      </c>
      <c r="G251" t="s">
        <v>112</v>
      </c>
      <c r="H251" t="str">
        <f t="shared" si="21"/>
        <v>GL 大湖大区ORD.H</v>
      </c>
      <c r="I251" t="s">
        <v>965</v>
      </c>
      <c r="J251" t="s">
        <v>295</v>
      </c>
      <c r="K251" s="15">
        <v>0.375</v>
      </c>
      <c r="L251" s="15" t="s">
        <v>296</v>
      </c>
      <c r="M251" s="15"/>
      <c r="N251" t="s">
        <v>148</v>
      </c>
      <c r="O251" s="20" t="str">
        <f t="shared" si="22"/>
        <v>不正确</v>
      </c>
      <c r="P251" s="21">
        <v>0</v>
      </c>
      <c r="Q251" s="21">
        <v>0</v>
      </c>
      <c r="R251" s="21">
        <v>0</v>
      </c>
      <c r="S251" s="21">
        <f t="shared" si="23"/>
        <v>0</v>
      </c>
      <c r="T251" s="21">
        <f t="shared" si="24"/>
        <v>0</v>
      </c>
      <c r="U251" s="21" t="str">
        <f t="shared" si="25"/>
        <v>否</v>
      </c>
      <c r="V251" s="21">
        <f>VLOOKUP($C251,[4]Sheet1!$B:$AN,39,FALSE)</f>
        <v>0</v>
      </c>
      <c r="W251" s="21">
        <v>0</v>
      </c>
      <c r="X251" s="23">
        <v>0</v>
      </c>
      <c r="Y251" s="23">
        <v>4</v>
      </c>
      <c r="Z251" s="25">
        <f t="shared" si="26"/>
        <v>4</v>
      </c>
      <c r="AA251" s="25" t="str">
        <f t="shared" si="27"/>
        <v>是</v>
      </c>
      <c r="AB251" t="s">
        <v>148</v>
      </c>
      <c r="AC251" t="e">
        <f>VLOOKUP(C251,[1]Sheet1!$C:$O,13,FALSE)</f>
        <v>#N/A</v>
      </c>
      <c r="AD251" t="str">
        <f>VLOOKUP($H251,'[3]0509人员排班情况 副本'!$G:$U,12,FALSE)</f>
        <v>王晓丹 Jasmine（Xiaodan Wang）,周延舒Isabel（Yanshu Zhou）</v>
      </c>
      <c r="AE251" t="str">
        <f>VLOOKUP($H251,'[3]0509人员排班情况 副本'!$G:$U,13,FALSE)</f>
        <v>张骥Ji Zhang (Ji Zhang)</v>
      </c>
      <c r="AF251" t="str">
        <f>VLOOKUP($H251,'[3]0509人员排班情况 副本'!$G:$U,14,FALSE)</f>
        <v>Minqing (Minqing Xu),罗煜雄 Mike (Yuxiong Luo)</v>
      </c>
      <c r="AG251">
        <f>VLOOKUP($H251,'[3]0509人员排班情况 副本'!$G:$U,15,FALSE)</f>
        <v>0</v>
      </c>
    </row>
    <row r="252" customHeight="1" spans="1:33">
      <c r="A252" t="s">
        <v>202</v>
      </c>
      <c r="B252" t="s">
        <v>966</v>
      </c>
      <c r="C252" t="s">
        <v>967</v>
      </c>
      <c r="D252" t="s">
        <v>68</v>
      </c>
      <c r="E252" t="s">
        <v>44</v>
      </c>
      <c r="F252" t="s">
        <v>148</v>
      </c>
      <c r="H252" t="str">
        <f t="shared" si="21"/>
        <v>NE 东北大区车辆管理部</v>
      </c>
      <c r="I252" t="s">
        <v>968</v>
      </c>
      <c r="J252" t="s">
        <v>295</v>
      </c>
      <c r="K252" s="15">
        <v>0.375</v>
      </c>
      <c r="L252" s="15" t="s">
        <v>296</v>
      </c>
      <c r="M252" s="15"/>
      <c r="N252" t="s">
        <v>969</v>
      </c>
      <c r="O252" s="20" t="str">
        <f t="shared" si="22"/>
        <v>不正确</v>
      </c>
      <c r="P252" s="21">
        <v>0</v>
      </c>
      <c r="Q252" s="21">
        <v>0</v>
      </c>
      <c r="R252" s="21">
        <v>0</v>
      </c>
      <c r="S252" s="21">
        <f t="shared" si="23"/>
        <v>0</v>
      </c>
      <c r="T252" s="21">
        <f t="shared" si="24"/>
        <v>0</v>
      </c>
      <c r="U252" s="21" t="str">
        <f t="shared" si="25"/>
        <v>否</v>
      </c>
      <c r="V252" s="21">
        <f>VLOOKUP($C252,[4]Sheet1!$B:$AN,39,FALSE)</f>
        <v>11.12</v>
      </c>
      <c r="W252" s="21">
        <v>0</v>
      </c>
      <c r="X252" s="23">
        <v>1</v>
      </c>
      <c r="Y252" s="23">
        <v>0</v>
      </c>
      <c r="Z252" s="25">
        <f t="shared" si="26"/>
        <v>0</v>
      </c>
      <c r="AA252" s="25" t="str">
        <f t="shared" si="27"/>
        <v>是</v>
      </c>
      <c r="AB252" t="s">
        <v>690</v>
      </c>
      <c r="AC252" t="e">
        <f>VLOOKUP(C252,[1]Sheet1!$C:$O,13,FALSE)</f>
        <v>#N/A</v>
      </c>
      <c r="AD252" t="str">
        <f>VLOOKUP($H252,'[3]0509人员排班情况 副本'!$G:$U,12,FALSE)</f>
        <v>孙可君Monica（Kejun Sun）</v>
      </c>
      <c r="AE252" t="str">
        <f>VLOOKUP($H252,'[3]0509人员排班情况 副本'!$G:$U,13,FALSE)</f>
        <v>马聪Cong (Cong Ma)</v>
      </c>
      <c r="AF252">
        <f>VLOOKUP($H252,'[3]0509人员排班情况 副本'!$G:$U,14,FALSE)</f>
        <v>0</v>
      </c>
      <c r="AG252">
        <f>VLOOKUP($H252,'[3]0509人员排班情况 副本'!$G:$U,15,FALSE)</f>
        <v>0</v>
      </c>
    </row>
    <row r="253" customHeight="1" spans="1:33">
      <c r="A253" t="s">
        <v>202</v>
      </c>
      <c r="B253" t="s">
        <v>970</v>
      </c>
      <c r="C253" t="s">
        <v>971</v>
      </c>
      <c r="D253" t="s">
        <v>68</v>
      </c>
      <c r="E253" t="s">
        <v>70</v>
      </c>
      <c r="F253" t="s">
        <v>72</v>
      </c>
      <c r="H253" t="str">
        <f t="shared" si="21"/>
        <v>NE 东北大区BN 布法罗片区BUF01</v>
      </c>
      <c r="I253" t="s">
        <v>406</v>
      </c>
      <c r="J253" t="s">
        <v>343</v>
      </c>
      <c r="K253" s="15">
        <v>0.25</v>
      </c>
      <c r="L253" s="15" t="s">
        <v>344</v>
      </c>
      <c r="M253" s="15">
        <v>0.252083333333333</v>
      </c>
      <c r="N253" t="s">
        <v>972</v>
      </c>
      <c r="O253" s="20" t="str">
        <f t="shared" si="22"/>
        <v>正确</v>
      </c>
      <c r="P253" s="21">
        <v>0</v>
      </c>
      <c r="Q253" s="21">
        <v>12.42</v>
      </c>
      <c r="R253" s="21">
        <v>0</v>
      </c>
      <c r="S253" s="21">
        <f t="shared" si="23"/>
        <v>12.42</v>
      </c>
      <c r="T253" s="21">
        <f t="shared" si="24"/>
        <v>4.42</v>
      </c>
      <c r="U253" s="21" t="str">
        <f t="shared" si="25"/>
        <v>是</v>
      </c>
      <c r="V253" s="21">
        <f>VLOOKUP($C253,[4]Sheet1!$B:$AN,39,FALSE)</f>
        <v>20.82</v>
      </c>
      <c r="W253" s="21">
        <v>0</v>
      </c>
      <c r="X253" s="23">
        <v>3</v>
      </c>
      <c r="Y253" s="23">
        <v>4</v>
      </c>
      <c r="Z253" s="25">
        <f t="shared" si="26"/>
        <v>1</v>
      </c>
      <c r="AA253" s="25" t="str">
        <f t="shared" si="27"/>
        <v>是</v>
      </c>
      <c r="AB253" t="s">
        <v>148</v>
      </c>
      <c r="AC253" t="e">
        <f>VLOOKUP(C253,[1]Sheet1!$C:$O,13,FALSE)</f>
        <v>#N/A</v>
      </c>
      <c r="AD253" t="str">
        <f>VLOOKUP($H253,'[3]0509人员排班情况 副本'!$G:$U,12,FALSE)</f>
        <v>孙可君Monica（Kejun Sun）</v>
      </c>
      <c r="AE253" t="str">
        <f>VLOOKUP($H253,'[3]0509人员排班情况 副本'!$G:$U,13,FALSE)</f>
        <v>马聪Cong (Cong Ma)</v>
      </c>
      <c r="AF253" t="str">
        <f>VLOOKUP($H253,'[3]0509人员排班情况 副本'!$G:$U,14,FALSE)</f>
        <v>朱晗宇 Peter (Hanyu Zhu)</v>
      </c>
      <c r="AG253">
        <f>VLOOKUP($H253,'[3]0509人员排班情况 副本'!$G:$U,15,FALSE)</f>
        <v>0</v>
      </c>
    </row>
    <row r="254" customHeight="1" spans="1:33">
      <c r="A254" t="s">
        <v>202</v>
      </c>
      <c r="B254" t="s">
        <v>973</v>
      </c>
      <c r="C254" t="s">
        <v>974</v>
      </c>
      <c r="D254" t="s">
        <v>58</v>
      </c>
      <c r="E254" t="s">
        <v>64</v>
      </c>
      <c r="F254" t="s">
        <v>635</v>
      </c>
      <c r="H254" t="str">
        <f t="shared" si="21"/>
        <v>MS 中南大区CS 夏洛特及周边片区CAE01</v>
      </c>
      <c r="I254" t="s">
        <v>687</v>
      </c>
      <c r="J254" t="s">
        <v>975</v>
      </c>
      <c r="K254" s="15">
        <v>0.3125</v>
      </c>
      <c r="L254" s="15" t="s">
        <v>976</v>
      </c>
      <c r="M254" s="15"/>
      <c r="N254" t="s">
        <v>148</v>
      </c>
      <c r="O254" s="20" t="str">
        <f t="shared" si="22"/>
        <v>不正确</v>
      </c>
      <c r="P254" s="21">
        <v>0</v>
      </c>
      <c r="Q254" s="21">
        <v>0</v>
      </c>
      <c r="R254" s="21">
        <v>0</v>
      </c>
      <c r="S254" s="21">
        <f t="shared" si="23"/>
        <v>0</v>
      </c>
      <c r="T254" s="21">
        <f t="shared" si="24"/>
        <v>0</v>
      </c>
      <c r="U254" s="21" t="str">
        <f t="shared" si="25"/>
        <v>否</v>
      </c>
      <c r="V254" s="21">
        <f>VLOOKUP($C254,[4]Sheet1!$B:$AN,39,FALSE)</f>
        <v>0</v>
      </c>
      <c r="W254" s="21">
        <v>0</v>
      </c>
      <c r="X254" s="23">
        <v>0</v>
      </c>
      <c r="Y254" s="23">
        <v>4</v>
      </c>
      <c r="Z254" s="25">
        <f t="shared" si="26"/>
        <v>4</v>
      </c>
      <c r="AA254" s="25" t="str">
        <f t="shared" si="27"/>
        <v>是</v>
      </c>
      <c r="AB254" t="s">
        <v>148</v>
      </c>
      <c r="AC254" t="e">
        <f>VLOOKUP(C254,[1]Sheet1!$C:$O,13,FALSE)</f>
        <v>#N/A</v>
      </c>
      <c r="AD254" t="str">
        <f>VLOOKUP($H254,'[3]0509人员排班情况 副本'!$G:$U,12,FALSE)</f>
        <v>欧阳迎春Flower（Yingchun Ouyang）</v>
      </c>
      <c r="AE254" t="str">
        <f>VLOOKUP($H254,'[3]0509人员排班情况 副本'!$G:$U,13,FALSE)</f>
        <v>杨云飞</v>
      </c>
      <c r="AF254" t="str">
        <f>VLOOKUP($H254,'[3]0509人员排班情况 副本'!$G:$U,14,FALSE)</f>
        <v>叶小菁Summer(Xiaojing Ye)</v>
      </c>
      <c r="AG254">
        <f>VLOOKUP($H254,'[3]0509人员排班情况 副本'!$G:$U,15,FALSE)</f>
        <v>0</v>
      </c>
    </row>
    <row r="255" customHeight="1" spans="1:33">
      <c r="A255" t="s">
        <v>202</v>
      </c>
      <c r="B255" t="s">
        <v>977</v>
      </c>
      <c r="C255" t="s">
        <v>978</v>
      </c>
      <c r="D255" t="s">
        <v>68</v>
      </c>
      <c r="E255" t="s">
        <v>78</v>
      </c>
      <c r="F255" t="s">
        <v>166</v>
      </c>
      <c r="G255" t="s">
        <v>112</v>
      </c>
      <c r="H255" t="str">
        <f t="shared" si="21"/>
        <v>NE 东北大区JFK.H综办组</v>
      </c>
      <c r="I255" t="s">
        <v>167</v>
      </c>
      <c r="J255" t="s">
        <v>400</v>
      </c>
      <c r="K255" s="15">
        <v>0.5</v>
      </c>
      <c r="L255" s="15" t="s">
        <v>401</v>
      </c>
      <c r="M255" s="15">
        <v>0.493055555555556</v>
      </c>
      <c r="N255" t="s">
        <v>979</v>
      </c>
      <c r="O255" s="20" t="str">
        <f t="shared" si="22"/>
        <v>正确</v>
      </c>
      <c r="P255" s="21">
        <v>0</v>
      </c>
      <c r="Q255" s="21">
        <v>10.57</v>
      </c>
      <c r="R255" s="21">
        <v>0</v>
      </c>
      <c r="S255" s="21">
        <f t="shared" si="23"/>
        <v>10.57</v>
      </c>
      <c r="T255" s="21">
        <f t="shared" si="24"/>
        <v>2.57</v>
      </c>
      <c r="U255" s="21" t="str">
        <f t="shared" si="25"/>
        <v>是</v>
      </c>
      <c r="V255" s="21">
        <f>VLOOKUP($C255,[4]Sheet1!$B:$AN,39,FALSE)</f>
        <v>10.57</v>
      </c>
      <c r="W255" s="21">
        <v>0</v>
      </c>
      <c r="X255" s="23">
        <v>4</v>
      </c>
      <c r="Y255" s="23">
        <v>4</v>
      </c>
      <c r="Z255" s="25">
        <f t="shared" si="26"/>
        <v>0</v>
      </c>
      <c r="AA255" s="25" t="str">
        <f t="shared" si="27"/>
        <v>是</v>
      </c>
      <c r="AB255" t="s">
        <v>148</v>
      </c>
      <c r="AC255" t="e">
        <f>VLOOKUP(C255,[1]Sheet1!$C:$O,13,FALSE)</f>
        <v>#N/A</v>
      </c>
      <c r="AD255" t="str">
        <f>VLOOKUP($H255,'[3]0509人员排班情况 副本'!$G:$U,12,FALSE)</f>
        <v>孙可君Monica（Kejun Sun）</v>
      </c>
      <c r="AE255" t="str">
        <f>VLOOKUP($H255,'[3]0509人员排班情况 副本'!$G:$U,13,FALSE)</f>
        <v>马聪Cong (Cong Ma)</v>
      </c>
      <c r="AF255" t="str">
        <f>VLOOKUP($H255,'[3]0509人员排班情况 副本'!$G:$U,14,FALSE)</f>
        <v>Minqing (Minqing Xu),罗煜雄 Mike (Yuxiong Luo)</v>
      </c>
      <c r="AG255">
        <f>VLOOKUP($H255,'[3]0509人员排班情况 副本'!$G:$U,15,FALSE)</f>
        <v>0</v>
      </c>
    </row>
    <row r="256" customHeight="1" spans="1:33">
      <c r="A256" t="s">
        <v>202</v>
      </c>
      <c r="B256" t="s">
        <v>980</v>
      </c>
      <c r="C256" t="s">
        <v>981</v>
      </c>
      <c r="D256" t="s">
        <v>100</v>
      </c>
      <c r="E256" t="s">
        <v>103</v>
      </c>
      <c r="F256" t="s">
        <v>243</v>
      </c>
      <c r="G256" t="s">
        <v>112</v>
      </c>
      <c r="H256" t="str">
        <f t="shared" si="21"/>
        <v>WE 美西大区LAV.H调度组</v>
      </c>
      <c r="I256" t="s">
        <v>160</v>
      </c>
      <c r="J256" t="s">
        <v>330</v>
      </c>
      <c r="K256" s="15">
        <v>0.625</v>
      </c>
      <c r="L256" s="15" t="s">
        <v>331</v>
      </c>
      <c r="M256" s="15">
        <v>0.638888888888889</v>
      </c>
      <c r="N256" t="s">
        <v>982</v>
      </c>
      <c r="O256" s="20" t="str">
        <f t="shared" si="22"/>
        <v>正确</v>
      </c>
      <c r="P256" s="21">
        <v>0</v>
      </c>
      <c r="Q256" s="21">
        <v>4.92</v>
      </c>
      <c r="R256" s="21">
        <v>0</v>
      </c>
      <c r="S256" s="21">
        <f t="shared" si="23"/>
        <v>4.92</v>
      </c>
      <c r="T256" s="21">
        <f t="shared" si="24"/>
        <v>0</v>
      </c>
      <c r="U256" s="21" t="str">
        <f t="shared" si="25"/>
        <v>否</v>
      </c>
      <c r="V256" s="21">
        <f>VLOOKUP($C256,[4]Sheet1!$B:$AN,39,FALSE)</f>
        <v>13.27</v>
      </c>
      <c r="W256" s="21">
        <v>0</v>
      </c>
      <c r="X256" s="23">
        <v>3</v>
      </c>
      <c r="Y256" s="23">
        <v>4</v>
      </c>
      <c r="Z256" s="25">
        <f t="shared" si="26"/>
        <v>1</v>
      </c>
      <c r="AA256" s="25" t="str">
        <f t="shared" si="27"/>
        <v>是</v>
      </c>
      <c r="AB256" t="s">
        <v>148</v>
      </c>
      <c r="AC256" t="e">
        <f>VLOOKUP(C256,[1]Sheet1!$C:$O,13,FALSE)</f>
        <v>#N/A</v>
      </c>
      <c r="AD256" t="str">
        <f>VLOOKUP($H256,'[3]0509人员排班情况 副本'!$G:$U,12,FALSE)</f>
        <v>王骞Ariel（Qian Wang）,叶秀芳Freya (Xiufang Ye)</v>
      </c>
      <c r="AE256" t="str">
        <f>VLOOKUP($H256,'[3]0509人员排班情况 副本'!$G:$U,13,FALSE)</f>
        <v>常哲</v>
      </c>
      <c r="AF256" t="str">
        <f>VLOOKUP($H256,'[3]0509人员排班情况 副本'!$G:$U,14,FALSE)</f>
        <v>Minqing (Minqing Xu),罗煜雄 Mike (Yuxiong Luo)</v>
      </c>
      <c r="AG256">
        <f>VLOOKUP($H256,'[3]0509人员排班情况 副本'!$G:$U,15,FALSE)</f>
        <v>0</v>
      </c>
    </row>
    <row r="257" customHeight="1" spans="1:33">
      <c r="A257" t="s">
        <v>202</v>
      </c>
      <c r="B257" t="s">
        <v>983</v>
      </c>
      <c r="C257" t="s">
        <v>984</v>
      </c>
      <c r="D257" t="s">
        <v>58</v>
      </c>
      <c r="E257" t="s">
        <v>59</v>
      </c>
      <c r="F257" t="s">
        <v>985</v>
      </c>
      <c r="H257" t="str">
        <f t="shared" si="21"/>
        <v>MS 中南大区AS 奥萨查沿海片区CHS01</v>
      </c>
      <c r="I257" t="s">
        <v>177</v>
      </c>
      <c r="J257" t="s">
        <v>229</v>
      </c>
      <c r="K257" s="15">
        <v>0.270833333333333</v>
      </c>
      <c r="L257" s="15" t="s">
        <v>230</v>
      </c>
      <c r="M257" s="15">
        <v>0.267361111111111</v>
      </c>
      <c r="N257" t="s">
        <v>715</v>
      </c>
      <c r="O257" s="20" t="str">
        <f t="shared" si="22"/>
        <v>正确</v>
      </c>
      <c r="P257" s="21">
        <v>0</v>
      </c>
      <c r="Q257" s="21">
        <v>9.23</v>
      </c>
      <c r="R257" s="21">
        <v>0</v>
      </c>
      <c r="S257" s="21">
        <f t="shared" si="23"/>
        <v>9.23</v>
      </c>
      <c r="T257" s="21">
        <f t="shared" si="24"/>
        <v>1.23</v>
      </c>
      <c r="U257" s="21" t="str">
        <f t="shared" si="25"/>
        <v>是</v>
      </c>
      <c r="V257" s="21">
        <f>VLOOKUP($C257,[4]Sheet1!$B:$AN,39,FALSE)</f>
        <v>14.66</v>
      </c>
      <c r="W257" s="21">
        <v>0</v>
      </c>
      <c r="X257" s="23">
        <v>5</v>
      </c>
      <c r="Y257" s="23">
        <v>4</v>
      </c>
      <c r="Z257" s="25">
        <f t="shared" si="26"/>
        <v>0</v>
      </c>
      <c r="AA257" s="25" t="str">
        <f t="shared" si="27"/>
        <v>是</v>
      </c>
      <c r="AB257" t="s">
        <v>148</v>
      </c>
      <c r="AC257" t="e">
        <f>VLOOKUP(C257,[1]Sheet1!$C:$O,13,FALSE)</f>
        <v>#N/A</v>
      </c>
      <c r="AD257" t="str">
        <f>VLOOKUP($H257,'[3]0509人员排班情况 副本'!$G:$U,12,FALSE)</f>
        <v>欧阳迎春Flower（Yingchun Ouyang）</v>
      </c>
      <c r="AE257" t="str">
        <f>VLOOKUP($H257,'[3]0509人员排班情况 副本'!$G:$U,13,FALSE)</f>
        <v>杨云飞</v>
      </c>
      <c r="AF257" t="str">
        <f>VLOOKUP($H257,'[3]0509人员排班情况 副本'!$G:$U,14,FALSE)</f>
        <v>叶理(Li Ye)</v>
      </c>
      <c r="AG257">
        <f>VLOOKUP($H257,'[3]0509人员排班情况 副本'!$G:$U,15,FALSE)</f>
        <v>0</v>
      </c>
    </row>
    <row r="258" customHeight="1" spans="1:33">
      <c r="A258" t="s">
        <v>202</v>
      </c>
      <c r="B258" t="s">
        <v>986</v>
      </c>
      <c r="C258" t="s">
        <v>987</v>
      </c>
      <c r="D258" t="s">
        <v>99</v>
      </c>
      <c r="E258" t="s">
        <v>677</v>
      </c>
      <c r="F258" t="s">
        <v>894</v>
      </c>
      <c r="H258" t="str">
        <f t="shared" si="21"/>
        <v>US人力资源部美洲HRBP组美西区HR组</v>
      </c>
      <c r="I258" t="s">
        <v>988</v>
      </c>
      <c r="J258" t="s">
        <v>236</v>
      </c>
      <c r="K258" s="15">
        <v>0.395833333333333</v>
      </c>
      <c r="L258" s="15" t="s">
        <v>218</v>
      </c>
      <c r="M258" s="15">
        <v>0.395833333333333</v>
      </c>
      <c r="N258" t="s">
        <v>972</v>
      </c>
      <c r="O258" s="20" t="str">
        <f t="shared" si="22"/>
        <v>正确</v>
      </c>
      <c r="P258" s="21">
        <v>0</v>
      </c>
      <c r="Q258" s="21">
        <v>8.97</v>
      </c>
      <c r="R258" s="21">
        <v>0</v>
      </c>
      <c r="S258" s="21">
        <f t="shared" si="23"/>
        <v>8.97</v>
      </c>
      <c r="T258" s="21">
        <f t="shared" si="24"/>
        <v>0.970000000000001</v>
      </c>
      <c r="U258" s="21" t="str">
        <f t="shared" si="25"/>
        <v>是</v>
      </c>
      <c r="V258" s="21">
        <f>VLOOKUP($C258,[4]Sheet1!$B:$AN,39,FALSE)</f>
        <v>17.89</v>
      </c>
      <c r="W258" s="21">
        <v>0</v>
      </c>
      <c r="X258" s="23">
        <v>3</v>
      </c>
      <c r="Y258" s="23">
        <v>4</v>
      </c>
      <c r="Z258" s="25">
        <f t="shared" si="26"/>
        <v>1</v>
      </c>
      <c r="AA258" s="25" t="str">
        <f t="shared" si="27"/>
        <v>是</v>
      </c>
      <c r="AB258" t="s">
        <v>148</v>
      </c>
      <c r="AC258" t="e">
        <f>VLOOKUP(C258,[1]Sheet1!$C:$O,13,FALSE)</f>
        <v>#N/A</v>
      </c>
      <c r="AD258" t="str">
        <f>VLOOKUP($H258,'[3]0509人员排班情况 副本'!$G:$U,12,FALSE)</f>
        <v>袁博闻(Bowen Yuan)</v>
      </c>
      <c r="AE258">
        <f>VLOOKUP($H258,'[3]0509人员排班情况 副本'!$G:$U,13,FALSE)</f>
        <v>0</v>
      </c>
      <c r="AF258">
        <f>VLOOKUP($H258,'[3]0509人员排班情况 副本'!$G:$U,14,FALSE)</f>
        <v>0</v>
      </c>
      <c r="AG258">
        <f>VLOOKUP($H258,'[3]0509人员排班情况 副本'!$G:$U,15,FALSE)</f>
        <v>0</v>
      </c>
    </row>
    <row r="259" customHeight="1" spans="1:33">
      <c r="A259" t="s">
        <v>202</v>
      </c>
      <c r="B259" t="s">
        <v>989</v>
      </c>
      <c r="C259" t="s">
        <v>990</v>
      </c>
      <c r="D259" t="s">
        <v>91</v>
      </c>
      <c r="E259" t="s">
        <v>991</v>
      </c>
      <c r="F259" t="s">
        <v>148</v>
      </c>
      <c r="H259" t="str">
        <f t="shared" si="21"/>
        <v>SM 站点管理部站点实施组</v>
      </c>
      <c r="I259" t="s">
        <v>992</v>
      </c>
      <c r="J259" t="s">
        <v>236</v>
      </c>
      <c r="K259" s="15">
        <v>0.395833333333333</v>
      </c>
      <c r="L259" s="15" t="s">
        <v>218</v>
      </c>
      <c r="M259" s="15"/>
      <c r="N259" t="s">
        <v>148</v>
      </c>
      <c r="O259" s="20" t="str">
        <f t="shared" si="22"/>
        <v>不正确</v>
      </c>
      <c r="P259" s="21">
        <v>0</v>
      </c>
      <c r="Q259" s="21">
        <v>0</v>
      </c>
      <c r="R259" s="21">
        <v>0</v>
      </c>
      <c r="S259" s="21">
        <f t="shared" si="23"/>
        <v>0</v>
      </c>
      <c r="T259" s="21">
        <f t="shared" si="24"/>
        <v>0</v>
      </c>
      <c r="U259" s="21" t="str">
        <f t="shared" si="25"/>
        <v>否</v>
      </c>
      <c r="V259" s="21">
        <f>VLOOKUP($C259,[4]Sheet1!$B:$AN,39,FALSE)</f>
        <v>0</v>
      </c>
      <c r="W259" s="21">
        <v>0</v>
      </c>
      <c r="X259" s="23">
        <v>0</v>
      </c>
      <c r="Y259" s="23">
        <v>0</v>
      </c>
      <c r="Z259" s="25">
        <f t="shared" si="26"/>
        <v>0</v>
      </c>
      <c r="AA259" s="25" t="str">
        <f t="shared" si="27"/>
        <v>是</v>
      </c>
      <c r="AB259" t="s">
        <v>339</v>
      </c>
      <c r="AC259" t="e">
        <f>VLOOKUP(C259,[1]Sheet1!$C:$O,13,FALSE)</f>
        <v>#N/A</v>
      </c>
      <c r="AD259" t="str">
        <f>VLOOKUP($H259,'[3]0509人员排班情况 副本'!$G:$U,12,FALSE)</f>
        <v>袁博闻(Bowen Yuan)</v>
      </c>
      <c r="AE259">
        <f>VLOOKUP($H259,'[3]0509人员排班情况 副本'!$G:$U,13,FALSE)</f>
        <v>0</v>
      </c>
      <c r="AF259">
        <f>VLOOKUP($H259,'[3]0509人员排班情况 副本'!$G:$U,14,FALSE)</f>
        <v>0</v>
      </c>
      <c r="AG259">
        <f>VLOOKUP($H259,'[3]0509人员排班情况 副本'!$G:$U,15,FALSE)</f>
        <v>0</v>
      </c>
    </row>
    <row r="260" customHeight="1" spans="1:33">
      <c r="A260" t="s">
        <v>202</v>
      </c>
      <c r="B260" t="s">
        <v>993</v>
      </c>
      <c r="C260" t="s">
        <v>994</v>
      </c>
      <c r="D260" t="s">
        <v>100</v>
      </c>
      <c r="E260" t="s">
        <v>103</v>
      </c>
      <c r="F260" t="s">
        <v>243</v>
      </c>
      <c r="G260" t="s">
        <v>112</v>
      </c>
      <c r="H260" t="str">
        <f t="shared" ref="H260:H323" si="28">D260&amp;E260&amp;F260</f>
        <v>WE 美西大区LAV.H调度组</v>
      </c>
      <c r="I260" t="s">
        <v>244</v>
      </c>
      <c r="J260" t="s">
        <v>400</v>
      </c>
      <c r="K260" s="15">
        <v>0.5</v>
      </c>
      <c r="L260" s="15" t="s">
        <v>401</v>
      </c>
      <c r="M260" s="15"/>
      <c r="N260" t="s">
        <v>148</v>
      </c>
      <c r="O260" s="20" t="str">
        <f t="shared" ref="O260:O323" si="29">IFERROR(IF(ABS(M260-K260)&lt;=1/24,"正确","不正确"),"/")</f>
        <v>不正确</v>
      </c>
      <c r="P260" s="21">
        <v>0</v>
      </c>
      <c r="Q260" s="21">
        <v>0</v>
      </c>
      <c r="R260" s="21">
        <v>0</v>
      </c>
      <c r="S260" s="21">
        <f t="shared" ref="S260:S323" si="30">Q260+R260</f>
        <v>0</v>
      </c>
      <c r="T260" s="21">
        <f t="shared" ref="T260:T323" si="31">IF(S260-8&gt;0,S260-8,0)</f>
        <v>0</v>
      </c>
      <c r="U260" s="21" t="str">
        <f t="shared" ref="U260:U323" si="32">IF(T260=0,"否","是")</f>
        <v>否</v>
      </c>
      <c r="V260" s="21">
        <f>VLOOKUP($C260,[4]Sheet1!$B:$AN,39,FALSE)</f>
        <v>11.62</v>
      </c>
      <c r="W260" s="21">
        <v>0</v>
      </c>
      <c r="X260" s="23">
        <v>0</v>
      </c>
      <c r="Y260" s="23">
        <v>4</v>
      </c>
      <c r="Z260" s="25">
        <f t="shared" ref="Z260:Z323" si="33">IF(Y260-X260&gt;=0,Y260-X260,0)</f>
        <v>4</v>
      </c>
      <c r="AA260" s="25" t="str">
        <f t="shared" ref="AA260:AA323" si="34">IF(J260="","否","是")</f>
        <v>是</v>
      </c>
      <c r="AB260" t="s">
        <v>148</v>
      </c>
      <c r="AC260" t="e">
        <f>VLOOKUP(C260,[1]Sheet1!$C:$O,13,FALSE)</f>
        <v>#N/A</v>
      </c>
      <c r="AD260" t="str">
        <f>VLOOKUP($H260,'[3]0509人员排班情况 副本'!$G:$U,12,FALSE)</f>
        <v>王骞Ariel（Qian Wang）,叶秀芳Freya (Xiufang Ye)</v>
      </c>
      <c r="AE260" t="str">
        <f>VLOOKUP($H260,'[3]0509人员排班情况 副本'!$G:$U,13,FALSE)</f>
        <v>常哲</v>
      </c>
      <c r="AF260" t="str">
        <f>VLOOKUP($H260,'[3]0509人员排班情况 副本'!$G:$U,14,FALSE)</f>
        <v>Minqing (Minqing Xu),罗煜雄 Mike (Yuxiong Luo)</v>
      </c>
      <c r="AG260">
        <f>VLOOKUP($H260,'[3]0509人员排班情况 副本'!$G:$U,15,FALSE)</f>
        <v>0</v>
      </c>
    </row>
    <row r="261" customHeight="1" spans="1:33">
      <c r="A261" t="s">
        <v>202</v>
      </c>
      <c r="B261" t="s">
        <v>995</v>
      </c>
      <c r="C261" t="s">
        <v>996</v>
      </c>
      <c r="D261" t="s">
        <v>92</v>
      </c>
      <c r="E261" t="s">
        <v>94</v>
      </c>
      <c r="F261" t="s">
        <v>275</v>
      </c>
      <c r="G261" t="s">
        <v>112</v>
      </c>
      <c r="H261" t="str">
        <f t="shared" si="28"/>
        <v>TX 德州大区DFW.H分拣组</v>
      </c>
      <c r="I261" t="s">
        <v>303</v>
      </c>
      <c r="J261" t="s">
        <v>211</v>
      </c>
      <c r="K261" s="15">
        <v>0.333333333333333</v>
      </c>
      <c r="L261" s="15" t="s">
        <v>212</v>
      </c>
      <c r="M261" s="15">
        <v>0.318055555555556</v>
      </c>
      <c r="N261" t="s">
        <v>428</v>
      </c>
      <c r="O261" s="20" t="str">
        <f t="shared" si="29"/>
        <v>正确</v>
      </c>
      <c r="P261" s="21">
        <v>0</v>
      </c>
      <c r="Q261" s="21">
        <v>9.5</v>
      </c>
      <c r="R261" s="21">
        <v>0</v>
      </c>
      <c r="S261" s="21">
        <f t="shared" si="30"/>
        <v>9.5</v>
      </c>
      <c r="T261" s="21">
        <f t="shared" si="31"/>
        <v>1.5</v>
      </c>
      <c r="U261" s="21" t="str">
        <f t="shared" si="32"/>
        <v>是</v>
      </c>
      <c r="V261" s="21">
        <f>VLOOKUP($C261,[4]Sheet1!$B:$AN,39,FALSE)</f>
        <v>9.5</v>
      </c>
      <c r="W261" s="21">
        <v>0</v>
      </c>
      <c r="X261" s="23">
        <v>4</v>
      </c>
      <c r="Y261" s="23">
        <v>4</v>
      </c>
      <c r="Z261" s="25">
        <f t="shared" si="33"/>
        <v>0</v>
      </c>
      <c r="AA261" s="25" t="str">
        <f t="shared" si="34"/>
        <v>是</v>
      </c>
      <c r="AB261" t="s">
        <v>148</v>
      </c>
      <c r="AC261" t="e">
        <f>VLOOKUP(C261,[1]Sheet1!$C:$O,13,FALSE)</f>
        <v>#N/A</v>
      </c>
      <c r="AD261" t="str">
        <f>VLOOKUP($H261,'[3]0509人员排班情况 副本'!$G:$U,12,FALSE)</f>
        <v>肖芦莉Lily (Luli Xiao)</v>
      </c>
      <c r="AE261" t="str">
        <f>VLOOKUP($H261,'[3]0509人员排班情况 副本'!$G:$U,13,FALSE)</f>
        <v>张骥Ji Zhang (Ji Zhang)</v>
      </c>
      <c r="AF261" t="str">
        <f>VLOOKUP($H261,'[3]0509人员排班情况 副本'!$G:$U,14,FALSE)</f>
        <v>张双甫(Shuangfu Zhang)</v>
      </c>
      <c r="AG261">
        <f>VLOOKUP($H261,'[3]0509人员排班情况 副本'!$G:$U,15,FALSE)</f>
        <v>0</v>
      </c>
    </row>
    <row r="262" customHeight="1" spans="1:33">
      <c r="A262" t="s">
        <v>202</v>
      </c>
      <c r="B262" t="s">
        <v>997</v>
      </c>
      <c r="C262" t="s">
        <v>998</v>
      </c>
      <c r="D262" t="s">
        <v>58</v>
      </c>
      <c r="E262" t="s">
        <v>61</v>
      </c>
      <c r="F262" t="s">
        <v>312</v>
      </c>
      <c r="G262" t="s">
        <v>112</v>
      </c>
      <c r="H262" t="str">
        <f t="shared" si="28"/>
        <v>MS 中南大区ATL.H异常处理组</v>
      </c>
      <c r="I262" t="s">
        <v>778</v>
      </c>
      <c r="J262" t="s">
        <v>295</v>
      </c>
      <c r="K262" s="15">
        <v>0.375</v>
      </c>
      <c r="L262" s="15" t="s">
        <v>296</v>
      </c>
      <c r="M262" s="15">
        <v>0.375694444444444</v>
      </c>
      <c r="N262" t="s">
        <v>999</v>
      </c>
      <c r="O262" s="20" t="str">
        <f t="shared" si="29"/>
        <v>正确</v>
      </c>
      <c r="P262" s="21">
        <v>0</v>
      </c>
      <c r="Q262" s="21">
        <v>11</v>
      </c>
      <c r="R262" s="21">
        <v>0</v>
      </c>
      <c r="S262" s="21">
        <f t="shared" si="30"/>
        <v>11</v>
      </c>
      <c r="T262" s="21">
        <f t="shared" si="31"/>
        <v>3</v>
      </c>
      <c r="U262" s="21" t="str">
        <f t="shared" si="32"/>
        <v>是</v>
      </c>
      <c r="V262" s="21">
        <f>VLOOKUP($C262,[4]Sheet1!$B:$AN,39,FALSE)</f>
        <v>11</v>
      </c>
      <c r="W262" s="21">
        <v>0</v>
      </c>
      <c r="X262" s="23">
        <v>4</v>
      </c>
      <c r="Y262" s="23">
        <v>4</v>
      </c>
      <c r="Z262" s="25">
        <f t="shared" si="33"/>
        <v>0</v>
      </c>
      <c r="AA262" s="25" t="str">
        <f t="shared" si="34"/>
        <v>是</v>
      </c>
      <c r="AB262" t="s">
        <v>148</v>
      </c>
      <c r="AC262" t="e">
        <f>VLOOKUP(C262,[1]Sheet1!$C:$O,13,FALSE)</f>
        <v>#N/A</v>
      </c>
      <c r="AD262" t="str">
        <f>VLOOKUP($H262,'[3]0509人员排班情况 副本'!$G:$U,12,FALSE)</f>
        <v>欧阳迎春Flower（Yingchun Ouyang）</v>
      </c>
      <c r="AE262" t="str">
        <f>VLOOKUP($H262,'[3]0509人员排班情况 副本'!$G:$U,13,FALSE)</f>
        <v>杨云飞</v>
      </c>
      <c r="AF262" t="str">
        <f>VLOOKUP($H262,'[3]0509人员排班情况 副本'!$G:$U,14,FALSE)</f>
        <v>Minqing (Minqing Xu),罗煜雄 Mike (Yuxiong Luo),明杰麟Jennie (Jielin Ming)</v>
      </c>
      <c r="AG262" t="str">
        <f>VLOOKUP($H262,'[3]0509人员排班情况 副本'!$G:$U,15,FALSE)</f>
        <v>文艳平</v>
      </c>
    </row>
    <row r="263" customHeight="1" spans="1:33">
      <c r="A263" t="s">
        <v>202</v>
      </c>
      <c r="B263" t="s">
        <v>1000</v>
      </c>
      <c r="C263" t="s">
        <v>1001</v>
      </c>
      <c r="D263" t="s">
        <v>68</v>
      </c>
      <c r="E263" t="s">
        <v>80</v>
      </c>
      <c r="F263" t="s">
        <v>1002</v>
      </c>
      <c r="H263" t="str">
        <f t="shared" si="28"/>
        <v>NE 东北大区MA 新英格兰片区PVD01</v>
      </c>
      <c r="I263" t="s">
        <v>177</v>
      </c>
      <c r="J263" t="s">
        <v>343</v>
      </c>
      <c r="K263" s="15">
        <v>0.25</v>
      </c>
      <c r="L263" s="15" t="s">
        <v>344</v>
      </c>
      <c r="M263" s="15">
        <v>0.236111111111111</v>
      </c>
      <c r="N263" t="s">
        <v>1003</v>
      </c>
      <c r="O263" s="20" t="str">
        <f t="shared" si="29"/>
        <v>正确</v>
      </c>
      <c r="P263" s="21">
        <v>0</v>
      </c>
      <c r="Q263" s="21">
        <v>8.03</v>
      </c>
      <c r="R263" s="21">
        <v>0</v>
      </c>
      <c r="S263" s="21">
        <f t="shared" si="30"/>
        <v>8.03</v>
      </c>
      <c r="T263" s="21">
        <f t="shared" si="31"/>
        <v>0.0299999999999994</v>
      </c>
      <c r="U263" s="21" t="str">
        <f t="shared" si="32"/>
        <v>是</v>
      </c>
      <c r="V263" s="21">
        <f>VLOOKUP($C263,[4]Sheet1!$B:$AN,39,FALSE)</f>
        <v>16.25</v>
      </c>
      <c r="W263" s="21">
        <v>0</v>
      </c>
      <c r="X263" s="23">
        <v>3</v>
      </c>
      <c r="Y263" s="23">
        <v>4</v>
      </c>
      <c r="Z263" s="25">
        <f t="shared" si="33"/>
        <v>1</v>
      </c>
      <c r="AA263" s="25" t="str">
        <f t="shared" si="34"/>
        <v>是</v>
      </c>
      <c r="AB263" t="s">
        <v>148</v>
      </c>
      <c r="AC263" t="e">
        <f>VLOOKUP(C263,[1]Sheet1!$C:$O,13,FALSE)</f>
        <v>#N/A</v>
      </c>
      <c r="AD263" t="str">
        <f>VLOOKUP($H263,'[3]0509人员排班情况 副本'!$G:$U,12,FALSE)</f>
        <v>孙可君Monica（Kejun Sun）</v>
      </c>
      <c r="AE263" t="str">
        <f>VLOOKUP($H263,'[3]0509人员排班情况 副本'!$G:$U,13,FALSE)</f>
        <v>马聪Cong (Cong Ma)</v>
      </c>
      <c r="AF263" t="str">
        <f>VLOOKUP($H263,'[3]0509人员排班情况 副本'!$G:$U,14,FALSE)</f>
        <v>朱晗宇 Peter (Hanyu Zhu)</v>
      </c>
      <c r="AG263">
        <f>VLOOKUP($H263,'[3]0509人员排班情况 副本'!$G:$U,15,FALSE)</f>
        <v>0</v>
      </c>
    </row>
    <row r="264" customHeight="1" spans="1:33">
      <c r="A264" t="s">
        <v>202</v>
      </c>
      <c r="B264" t="s">
        <v>1004</v>
      </c>
      <c r="C264" t="s">
        <v>1005</v>
      </c>
      <c r="D264" t="s">
        <v>100</v>
      </c>
      <c r="E264" t="s">
        <v>107</v>
      </c>
      <c r="F264" t="s">
        <v>1006</v>
      </c>
      <c r="H264" t="str">
        <f t="shared" si="28"/>
        <v>WE 美西大区SP 西雅图·波特兰片区SEA.H</v>
      </c>
      <c r="I264" t="s">
        <v>156</v>
      </c>
      <c r="J264" t="s">
        <v>343</v>
      </c>
      <c r="K264" s="15">
        <v>0.25</v>
      </c>
      <c r="L264" s="15" t="s">
        <v>344</v>
      </c>
      <c r="M264" s="15">
        <v>0.240972222222222</v>
      </c>
      <c r="N264" t="s">
        <v>1007</v>
      </c>
      <c r="O264" s="20" t="str">
        <f t="shared" si="29"/>
        <v>正确</v>
      </c>
      <c r="P264" s="21">
        <v>0</v>
      </c>
      <c r="Q264" s="21">
        <v>9.93</v>
      </c>
      <c r="R264" s="21">
        <v>0</v>
      </c>
      <c r="S264" s="21">
        <f t="shared" si="30"/>
        <v>9.93</v>
      </c>
      <c r="T264" s="21">
        <f t="shared" si="31"/>
        <v>1.93</v>
      </c>
      <c r="U264" s="21" t="str">
        <f t="shared" si="32"/>
        <v>是</v>
      </c>
      <c r="V264" s="21">
        <f>VLOOKUP($C264,[4]Sheet1!$B:$AN,39,FALSE)</f>
        <v>17.75</v>
      </c>
      <c r="W264" s="21">
        <v>0</v>
      </c>
      <c r="X264" s="23">
        <v>4</v>
      </c>
      <c r="Y264" s="23">
        <v>4</v>
      </c>
      <c r="Z264" s="25">
        <f t="shared" si="33"/>
        <v>0</v>
      </c>
      <c r="AA264" s="25" t="str">
        <f t="shared" si="34"/>
        <v>是</v>
      </c>
      <c r="AB264" t="s">
        <v>148</v>
      </c>
      <c r="AC264" t="e">
        <f>VLOOKUP(C264,[1]Sheet1!$C:$O,13,FALSE)</f>
        <v>#N/A</v>
      </c>
      <c r="AD264" t="str">
        <f>VLOOKUP($H264,'[3]0509人员排班情况 副本'!$G:$U,12,FALSE)</f>
        <v>王骞Ariel（Qian Wang）,叶秀芳Freya (Xiufang Ye)</v>
      </c>
      <c r="AE264" t="str">
        <f>VLOOKUP($H264,'[3]0509人员排班情况 副本'!$G:$U,13,FALSE)</f>
        <v>常哲</v>
      </c>
      <c r="AF264" t="str">
        <f>VLOOKUP($H264,'[3]0509人员排班情况 副本'!$G:$U,14,FALSE)</f>
        <v>尤梦楠Yuko（Mengnan You）</v>
      </c>
      <c r="AG264">
        <f>VLOOKUP($H264,'[3]0509人员排班情况 副本'!$G:$U,15,FALSE)</f>
        <v>0</v>
      </c>
    </row>
    <row r="265" customHeight="1" spans="1:33">
      <c r="A265" t="s">
        <v>202</v>
      </c>
      <c r="B265" t="s">
        <v>1008</v>
      </c>
      <c r="C265" t="s">
        <v>1009</v>
      </c>
      <c r="D265" t="s">
        <v>68</v>
      </c>
      <c r="E265" t="s">
        <v>45</v>
      </c>
      <c r="F265" t="s">
        <v>927</v>
      </c>
      <c r="H265" t="str">
        <f t="shared" si="28"/>
        <v>NE 东北大区揽收部揽收支持组</v>
      </c>
      <c r="I265" t="s">
        <v>928</v>
      </c>
      <c r="J265" t="s">
        <v>295</v>
      </c>
      <c r="K265" s="15">
        <v>0.375</v>
      </c>
      <c r="L265" s="15" t="s">
        <v>296</v>
      </c>
      <c r="M265" s="15">
        <v>0.425694444444444</v>
      </c>
      <c r="N265" t="s">
        <v>1010</v>
      </c>
      <c r="O265" s="20" t="str">
        <f t="shared" si="29"/>
        <v>不正确</v>
      </c>
      <c r="P265" s="21">
        <v>0</v>
      </c>
      <c r="Q265" s="21">
        <v>7.72</v>
      </c>
      <c r="R265" s="21">
        <v>0</v>
      </c>
      <c r="S265" s="21">
        <f t="shared" si="30"/>
        <v>7.72</v>
      </c>
      <c r="T265" s="21">
        <f t="shared" si="31"/>
        <v>0</v>
      </c>
      <c r="U265" s="21" t="str">
        <f t="shared" si="32"/>
        <v>否</v>
      </c>
      <c r="V265" s="21">
        <f>VLOOKUP($C265,[4]Sheet1!$B:$AN,39,FALSE)</f>
        <v>17.64</v>
      </c>
      <c r="W265" s="21">
        <v>18.4</v>
      </c>
      <c r="X265" s="23">
        <v>2</v>
      </c>
      <c r="Y265" s="23">
        <v>0</v>
      </c>
      <c r="Z265" s="25">
        <f t="shared" si="33"/>
        <v>0</v>
      </c>
      <c r="AA265" s="25" t="str">
        <f t="shared" si="34"/>
        <v>是</v>
      </c>
      <c r="AB265" t="s">
        <v>1011</v>
      </c>
      <c r="AC265" t="e">
        <f>VLOOKUP(C265,[1]Sheet1!$C:$O,13,FALSE)</f>
        <v>#N/A</v>
      </c>
      <c r="AD265" t="str">
        <f>VLOOKUP($H265,'[3]0509人员排班情况 副本'!$G:$U,12,FALSE)</f>
        <v>孙可君Monica（Kejun Sun）</v>
      </c>
      <c r="AE265" t="str">
        <f>VLOOKUP($H265,'[3]0509人员排班情况 副本'!$G:$U,13,FALSE)</f>
        <v>马聪Cong (Cong Ma)</v>
      </c>
      <c r="AF265" t="str">
        <f>VLOOKUP($H265,'[3]0509人员排班情况 副本'!$G:$U,14,FALSE)</f>
        <v>王姝涵Function（Shuhan Wang)</v>
      </c>
      <c r="AG265">
        <f>VLOOKUP($H265,'[3]0509人员排班情况 副本'!$G:$U,15,FALSE)</f>
        <v>0</v>
      </c>
    </row>
    <row r="266" customHeight="1" spans="1:33">
      <c r="A266" t="s">
        <v>202</v>
      </c>
      <c r="B266" t="s">
        <v>1012</v>
      </c>
      <c r="C266" t="s">
        <v>1013</v>
      </c>
      <c r="D266" t="s">
        <v>12</v>
      </c>
      <c r="E266" t="s">
        <v>1014</v>
      </c>
      <c r="F266" t="s">
        <v>148</v>
      </c>
      <c r="H266" t="str">
        <f t="shared" si="28"/>
        <v>CM 运力管理部美西运力组</v>
      </c>
      <c r="I266" t="s">
        <v>1015</v>
      </c>
      <c r="J266" t="s">
        <v>236</v>
      </c>
      <c r="K266" s="15">
        <v>0.395833333333333</v>
      </c>
      <c r="L266" s="15" t="s">
        <v>218</v>
      </c>
      <c r="M266" s="15"/>
      <c r="N266" t="s">
        <v>1016</v>
      </c>
      <c r="O266" s="20" t="str">
        <f t="shared" si="29"/>
        <v>不正确</v>
      </c>
      <c r="P266" s="21">
        <v>0</v>
      </c>
      <c r="Q266" s="21">
        <v>0</v>
      </c>
      <c r="R266" s="21">
        <v>0</v>
      </c>
      <c r="S266" s="21">
        <f t="shared" si="30"/>
        <v>0</v>
      </c>
      <c r="T266" s="21">
        <f t="shared" si="31"/>
        <v>0</v>
      </c>
      <c r="U266" s="21" t="str">
        <f t="shared" si="32"/>
        <v>否</v>
      </c>
      <c r="V266" s="21">
        <f>VLOOKUP($C266,[4]Sheet1!$B:$AN,39,FALSE)</f>
        <v>0</v>
      </c>
      <c r="W266" s="21">
        <v>0</v>
      </c>
      <c r="X266" s="23">
        <v>1</v>
      </c>
      <c r="Y266" s="23">
        <v>4</v>
      </c>
      <c r="Z266" s="25">
        <f t="shared" si="33"/>
        <v>3</v>
      </c>
      <c r="AA266" s="25" t="str">
        <f t="shared" si="34"/>
        <v>是</v>
      </c>
      <c r="AB266" t="s">
        <v>148</v>
      </c>
      <c r="AC266" t="e">
        <f>VLOOKUP(C266,[1]Sheet1!$C:$O,13,FALSE)</f>
        <v>#N/A</v>
      </c>
      <c r="AD266" t="str">
        <f>VLOOKUP($H266,'[3]0509人员排班情况 副本'!$G:$U,12,FALSE)</f>
        <v>袁博闻(Bowen Yuan)</v>
      </c>
      <c r="AE266">
        <f>VLOOKUP($H266,'[3]0509人员排班情况 副本'!$G:$U,13,FALSE)</f>
        <v>0</v>
      </c>
      <c r="AF266">
        <f>VLOOKUP($H266,'[3]0509人员排班情况 副本'!$G:$U,14,FALSE)</f>
        <v>0</v>
      </c>
      <c r="AG266">
        <f>VLOOKUP($H266,'[3]0509人员排班情况 副本'!$G:$U,15,FALSE)</f>
        <v>0</v>
      </c>
    </row>
    <row r="267" customHeight="1" spans="1:33">
      <c r="A267" t="s">
        <v>202</v>
      </c>
      <c r="B267" t="s">
        <v>1017</v>
      </c>
      <c r="C267" t="s">
        <v>1018</v>
      </c>
      <c r="D267" t="s">
        <v>48</v>
      </c>
      <c r="E267" t="s">
        <v>51</v>
      </c>
      <c r="F267" t="s">
        <v>772</v>
      </c>
      <c r="H267" t="str">
        <f t="shared" si="28"/>
        <v>Ground项目部OG 美西区LA917</v>
      </c>
      <c r="I267" t="s">
        <v>177</v>
      </c>
      <c r="J267" t="s">
        <v>221</v>
      </c>
      <c r="K267" s="15">
        <v>0.208333333333333</v>
      </c>
      <c r="L267" s="15" t="s">
        <v>222</v>
      </c>
      <c r="M267" s="15">
        <v>0.278472222222222</v>
      </c>
      <c r="N267" t="s">
        <v>374</v>
      </c>
      <c r="O267" s="20" t="str">
        <f t="shared" si="29"/>
        <v>不正确</v>
      </c>
      <c r="P267" s="21">
        <v>0</v>
      </c>
      <c r="Q267" s="21">
        <v>8.32</v>
      </c>
      <c r="R267" s="21">
        <v>0</v>
      </c>
      <c r="S267" s="21">
        <f t="shared" si="30"/>
        <v>8.32</v>
      </c>
      <c r="T267" s="21">
        <f t="shared" si="31"/>
        <v>0.32</v>
      </c>
      <c r="U267" s="21" t="str">
        <f t="shared" si="32"/>
        <v>是</v>
      </c>
      <c r="V267" s="21">
        <f>VLOOKUP($C267,[4]Sheet1!$B:$AN,39,FALSE)</f>
        <v>8.32</v>
      </c>
      <c r="W267" s="21">
        <v>0</v>
      </c>
      <c r="X267" s="23">
        <v>2</v>
      </c>
      <c r="Y267" s="23">
        <v>4</v>
      </c>
      <c r="Z267" s="25">
        <f t="shared" si="33"/>
        <v>2</v>
      </c>
      <c r="AA267" s="25" t="str">
        <f t="shared" si="34"/>
        <v>是</v>
      </c>
      <c r="AB267" t="s">
        <v>148</v>
      </c>
      <c r="AC267" t="e">
        <f>VLOOKUP(C267,[1]Sheet1!$C:$O,13,FALSE)</f>
        <v>#N/A</v>
      </c>
      <c r="AD267" t="str">
        <f>VLOOKUP($H267,'[3]0509人员排班情况 副本'!$G:$U,12,FALSE)</f>
        <v>王安琪 (Anqi Wang),张朱同 Thomson（Zhutong Zhang）</v>
      </c>
      <c r="AE267" t="str">
        <f>VLOOKUP($H267,'[3]0509人员排班情况 副本'!$G:$U,13,FALSE)</f>
        <v>陈锦昭</v>
      </c>
      <c r="AF267" t="str">
        <f>VLOOKUP($H267,'[3]0509人员排班情况 副本'!$G:$U,14,FALSE)</f>
        <v>宋佳牧 Dorian (Jiamu Song)</v>
      </c>
      <c r="AG267">
        <f>VLOOKUP($H267,'[3]0509人员排班情况 副本'!$G:$U,15,FALSE)</f>
        <v>0</v>
      </c>
    </row>
    <row r="268" customHeight="1" spans="1:33">
      <c r="A268" t="s">
        <v>202</v>
      </c>
      <c r="B268" t="s">
        <v>1019</v>
      </c>
      <c r="C268" t="s">
        <v>1020</v>
      </c>
      <c r="D268" t="s">
        <v>15</v>
      </c>
      <c r="E268" t="s">
        <v>16</v>
      </c>
      <c r="F268" t="s">
        <v>148</v>
      </c>
      <c r="H268" t="str">
        <f t="shared" si="28"/>
        <v>FL 佛州大区FTM01</v>
      </c>
      <c r="I268" t="s">
        <v>406</v>
      </c>
      <c r="J268" t="s">
        <v>343</v>
      </c>
      <c r="K268" s="15">
        <v>0.25</v>
      </c>
      <c r="L268" s="15" t="s">
        <v>344</v>
      </c>
      <c r="M268" s="15"/>
      <c r="N268" t="s">
        <v>148</v>
      </c>
      <c r="O268" s="20" t="str">
        <f t="shared" si="29"/>
        <v>不正确</v>
      </c>
      <c r="P268" s="21">
        <v>0</v>
      </c>
      <c r="Q268" s="21">
        <v>0</v>
      </c>
      <c r="R268" s="21">
        <v>0</v>
      </c>
      <c r="S268" s="21">
        <f t="shared" si="30"/>
        <v>0</v>
      </c>
      <c r="T268" s="21">
        <f t="shared" si="31"/>
        <v>0</v>
      </c>
      <c r="U268" s="21" t="str">
        <f t="shared" si="32"/>
        <v>否</v>
      </c>
      <c r="V268" s="21">
        <f>VLOOKUP($C268,[4]Sheet1!$B:$AN,39,FALSE)</f>
        <v>0</v>
      </c>
      <c r="W268" s="21">
        <v>0</v>
      </c>
      <c r="X268" s="23">
        <v>0</v>
      </c>
      <c r="Y268" s="23">
        <v>4</v>
      </c>
      <c r="Z268" s="25">
        <f t="shared" si="33"/>
        <v>4</v>
      </c>
      <c r="AA268" s="25" t="str">
        <f t="shared" si="34"/>
        <v>是</v>
      </c>
      <c r="AB268" t="s">
        <v>148</v>
      </c>
      <c r="AC268" t="e">
        <f>VLOOKUP(C268,[1]Sheet1!$C:$O,13,FALSE)</f>
        <v>#N/A</v>
      </c>
      <c r="AD268" t="str">
        <f>VLOOKUP($H268,'[3]0509人员排班情况 副本'!$G:$U,12,FALSE)</f>
        <v>Natalia (Natalia Padilla),孙婕 Jasmine（Sunjie）</v>
      </c>
      <c r="AE268" t="str">
        <f>VLOOKUP($H268,'[3]0509人员排班情况 副本'!$G:$U,13,FALSE)</f>
        <v>贺子强Jeff (Ziqiang He)</v>
      </c>
      <c r="AF268">
        <f>VLOOKUP($H268,'[3]0509人员排班情况 副本'!$G:$U,14,FALSE)</f>
        <v>0</v>
      </c>
      <c r="AG268">
        <f>VLOOKUP($H268,'[3]0509人员排班情况 副本'!$G:$U,15,FALSE)</f>
        <v>0</v>
      </c>
    </row>
    <row r="269" customHeight="1" spans="1:33">
      <c r="A269" t="s">
        <v>202</v>
      </c>
      <c r="B269" t="s">
        <v>1021</v>
      </c>
      <c r="C269" t="s">
        <v>1022</v>
      </c>
      <c r="D269" t="s">
        <v>100</v>
      </c>
      <c r="E269" t="s">
        <v>107</v>
      </c>
      <c r="F269" t="s">
        <v>1006</v>
      </c>
      <c r="H269" t="str">
        <f t="shared" si="28"/>
        <v>WE 美西大区SP 西雅图·波特兰片区SEA.H</v>
      </c>
      <c r="I269" t="s">
        <v>303</v>
      </c>
      <c r="J269" t="s">
        <v>343</v>
      </c>
      <c r="K269" s="15">
        <v>0.25</v>
      </c>
      <c r="L269" s="15" t="s">
        <v>344</v>
      </c>
      <c r="M269" s="15">
        <v>0.226388888888889</v>
      </c>
      <c r="N269" t="s">
        <v>1007</v>
      </c>
      <c r="O269" s="20" t="str">
        <f t="shared" si="29"/>
        <v>正确</v>
      </c>
      <c r="P269" s="21">
        <v>0</v>
      </c>
      <c r="Q269" s="21">
        <v>10.28</v>
      </c>
      <c r="R269" s="21">
        <v>0</v>
      </c>
      <c r="S269" s="21">
        <f t="shared" si="30"/>
        <v>10.28</v>
      </c>
      <c r="T269" s="21">
        <f t="shared" si="31"/>
        <v>2.28</v>
      </c>
      <c r="U269" s="21" t="str">
        <f t="shared" si="32"/>
        <v>是</v>
      </c>
      <c r="V269" s="21">
        <f>VLOOKUP($C269,[4]Sheet1!$B:$AN,39,FALSE)</f>
        <v>18.13</v>
      </c>
      <c r="W269" s="21">
        <v>0</v>
      </c>
      <c r="X269" s="23">
        <v>4</v>
      </c>
      <c r="Y269" s="23">
        <v>4</v>
      </c>
      <c r="Z269" s="25">
        <f t="shared" si="33"/>
        <v>0</v>
      </c>
      <c r="AA269" s="25" t="str">
        <f t="shared" si="34"/>
        <v>是</v>
      </c>
      <c r="AB269" t="s">
        <v>148</v>
      </c>
      <c r="AC269" t="e">
        <f>VLOOKUP(C269,[1]Sheet1!$C:$O,13,FALSE)</f>
        <v>#N/A</v>
      </c>
      <c r="AD269" t="str">
        <f>VLOOKUP($H269,'[3]0509人员排班情况 副本'!$G:$U,12,FALSE)</f>
        <v>王骞Ariel（Qian Wang）,叶秀芳Freya (Xiufang Ye)</v>
      </c>
      <c r="AE269" t="str">
        <f>VLOOKUP($H269,'[3]0509人员排班情况 副本'!$G:$U,13,FALSE)</f>
        <v>常哲</v>
      </c>
      <c r="AF269" t="str">
        <f>VLOOKUP($H269,'[3]0509人员排班情况 副本'!$G:$U,14,FALSE)</f>
        <v>尤梦楠Yuko（Mengnan You）</v>
      </c>
      <c r="AG269">
        <f>VLOOKUP($H269,'[3]0509人员排班情况 副本'!$G:$U,15,FALSE)</f>
        <v>0</v>
      </c>
    </row>
    <row r="270" customHeight="1" spans="1:33">
      <c r="A270" t="s">
        <v>202</v>
      </c>
      <c r="B270" t="s">
        <v>1023</v>
      </c>
      <c r="C270" t="s">
        <v>1024</v>
      </c>
      <c r="D270" t="s">
        <v>14</v>
      </c>
      <c r="E270" t="s">
        <v>645</v>
      </c>
      <c r="F270" t="s">
        <v>148</v>
      </c>
      <c r="H270" t="str">
        <f t="shared" si="28"/>
        <v>DO 数字运营部美国技术支持组</v>
      </c>
      <c r="I270" t="s">
        <v>646</v>
      </c>
      <c r="J270" t="s">
        <v>295</v>
      </c>
      <c r="K270" s="15">
        <v>0.375</v>
      </c>
      <c r="L270" s="15" t="s">
        <v>296</v>
      </c>
      <c r="M270" s="15">
        <v>0.384027777777778</v>
      </c>
      <c r="N270" t="s">
        <v>1025</v>
      </c>
      <c r="O270" s="20" t="str">
        <f t="shared" si="29"/>
        <v>正确</v>
      </c>
      <c r="P270" s="21">
        <v>0</v>
      </c>
      <c r="Q270" s="21">
        <v>8.37</v>
      </c>
      <c r="R270" s="21">
        <v>0</v>
      </c>
      <c r="S270" s="21">
        <f t="shared" si="30"/>
        <v>8.37</v>
      </c>
      <c r="T270" s="21">
        <f t="shared" si="31"/>
        <v>0.369999999999999</v>
      </c>
      <c r="U270" s="21" t="str">
        <f t="shared" si="32"/>
        <v>是</v>
      </c>
      <c r="V270" s="21">
        <f>VLOOKUP($C270,[4]Sheet1!$B:$AN,39,FALSE)</f>
        <v>16.74</v>
      </c>
      <c r="W270" s="21">
        <v>0</v>
      </c>
      <c r="X270" s="23">
        <v>2</v>
      </c>
      <c r="Y270" s="23">
        <v>4</v>
      </c>
      <c r="Z270" s="25">
        <f t="shared" si="33"/>
        <v>2</v>
      </c>
      <c r="AA270" s="25" t="str">
        <f t="shared" si="34"/>
        <v>是</v>
      </c>
      <c r="AB270" t="s">
        <v>148</v>
      </c>
      <c r="AC270" t="e">
        <f>VLOOKUP(C270,[1]Sheet1!$C:$O,13,FALSE)</f>
        <v>#N/A</v>
      </c>
      <c r="AD270" t="str">
        <f>VLOOKUP($H270,'[3]0509人员排班情况 副本'!$G:$U,12,FALSE)</f>
        <v>袁博闻(Bowen Yuan)</v>
      </c>
      <c r="AE270">
        <f>VLOOKUP($H270,'[3]0509人员排班情况 副本'!$G:$U,13,FALSE)</f>
        <v>0</v>
      </c>
      <c r="AF270">
        <f>VLOOKUP($H270,'[3]0509人员排班情况 副本'!$G:$U,14,FALSE)</f>
        <v>0</v>
      </c>
      <c r="AG270">
        <f>VLOOKUP($H270,'[3]0509人员排班情况 副本'!$G:$U,15,FALSE)</f>
        <v>0</v>
      </c>
    </row>
    <row r="271" customHeight="1" spans="1:33">
      <c r="A271" t="s">
        <v>202</v>
      </c>
      <c r="B271" t="s">
        <v>1026</v>
      </c>
      <c r="C271" t="s">
        <v>1027</v>
      </c>
      <c r="D271" t="s">
        <v>68</v>
      </c>
      <c r="E271" t="s">
        <v>81</v>
      </c>
      <c r="F271" t="s">
        <v>506</v>
      </c>
      <c r="H271" t="str">
        <f t="shared" si="28"/>
        <v>NE 东北大区NY 纽约片区BDR01</v>
      </c>
      <c r="I271" t="s">
        <v>177</v>
      </c>
      <c r="J271" t="s">
        <v>217</v>
      </c>
      <c r="K271" s="15">
        <v>0.395833333333333</v>
      </c>
      <c r="L271" s="15" t="s">
        <v>218</v>
      </c>
      <c r="M271" s="15"/>
      <c r="N271" t="s">
        <v>148</v>
      </c>
      <c r="O271" s="20" t="s">
        <v>116</v>
      </c>
      <c r="P271" s="21">
        <v>0</v>
      </c>
      <c r="Q271" s="21">
        <v>0</v>
      </c>
      <c r="R271" s="21">
        <v>0</v>
      </c>
      <c r="S271" s="21">
        <f t="shared" si="30"/>
        <v>0</v>
      </c>
      <c r="T271" s="21">
        <f t="shared" si="31"/>
        <v>0</v>
      </c>
      <c r="U271" s="21" t="str">
        <f t="shared" si="32"/>
        <v>否</v>
      </c>
      <c r="V271" s="21">
        <f>VLOOKUP($C271,[4]Sheet1!$B:$AN,39,FALSE)</f>
        <v>0</v>
      </c>
      <c r="W271" s="21">
        <v>0</v>
      </c>
      <c r="X271" s="23">
        <v>0</v>
      </c>
      <c r="Y271" s="23">
        <v>0</v>
      </c>
      <c r="Z271" s="25">
        <f t="shared" si="33"/>
        <v>0</v>
      </c>
      <c r="AA271" s="25" t="str">
        <f t="shared" si="34"/>
        <v>是</v>
      </c>
      <c r="AB271" t="s">
        <v>148</v>
      </c>
      <c r="AC271" t="e">
        <f>VLOOKUP(C271,[1]Sheet1!$C:$O,13,FALSE)</f>
        <v>#N/A</v>
      </c>
      <c r="AD271" t="str">
        <f>VLOOKUP($H271,'[3]0509人员排班情况 副本'!$G:$U,12,FALSE)</f>
        <v>孙可君Monica（Kejun Sun）</v>
      </c>
      <c r="AE271" t="str">
        <f>VLOOKUP($H271,'[3]0509人员排班情况 副本'!$G:$U,13,FALSE)</f>
        <v>马聪Cong (Cong Ma)</v>
      </c>
      <c r="AF271" t="str">
        <f>VLOOKUP($H271,'[3]0509人员排班情况 副本'!$G:$U,14,FALSE)</f>
        <v>朱晗宇 Peter (Hanyu Zhu)</v>
      </c>
      <c r="AG271">
        <f>VLOOKUP($H271,'[3]0509人员排班情况 副本'!$G:$U,15,FALSE)</f>
        <v>0</v>
      </c>
    </row>
    <row r="272" customHeight="1" spans="1:33">
      <c r="A272" t="s">
        <v>202</v>
      </c>
      <c r="B272" t="s">
        <v>1028</v>
      </c>
      <c r="C272" t="s">
        <v>1029</v>
      </c>
      <c r="D272" t="s">
        <v>14</v>
      </c>
      <c r="E272" t="s">
        <v>645</v>
      </c>
      <c r="F272" t="s">
        <v>148</v>
      </c>
      <c r="H272" t="str">
        <f t="shared" si="28"/>
        <v>DO 数字运营部美国技术支持组</v>
      </c>
      <c r="I272" t="s">
        <v>646</v>
      </c>
      <c r="J272" t="s">
        <v>343</v>
      </c>
      <c r="K272" s="15">
        <v>0.25</v>
      </c>
      <c r="L272" s="15" t="s">
        <v>344</v>
      </c>
      <c r="M272" s="15">
        <v>0.357638888888889</v>
      </c>
      <c r="N272" t="s">
        <v>212</v>
      </c>
      <c r="O272" s="20" t="str">
        <f t="shared" si="29"/>
        <v>不正确</v>
      </c>
      <c r="P272" s="21">
        <v>0</v>
      </c>
      <c r="Q272" s="21">
        <v>7.42</v>
      </c>
      <c r="R272" s="21">
        <v>0</v>
      </c>
      <c r="S272" s="21">
        <f t="shared" si="30"/>
        <v>7.42</v>
      </c>
      <c r="T272" s="21">
        <f t="shared" si="31"/>
        <v>0</v>
      </c>
      <c r="U272" s="21" t="str">
        <f t="shared" si="32"/>
        <v>否</v>
      </c>
      <c r="V272" s="21">
        <f>VLOOKUP($C272,[4]Sheet1!$B:$AN,39,FALSE)</f>
        <v>16.42</v>
      </c>
      <c r="W272" s="21">
        <v>0</v>
      </c>
      <c r="X272" s="23">
        <v>3</v>
      </c>
      <c r="Y272" s="23">
        <v>4</v>
      </c>
      <c r="Z272" s="25">
        <f t="shared" si="33"/>
        <v>1</v>
      </c>
      <c r="AA272" s="25" t="str">
        <f t="shared" si="34"/>
        <v>是</v>
      </c>
      <c r="AB272" t="s">
        <v>148</v>
      </c>
      <c r="AC272" t="e">
        <f>VLOOKUP(C272,[1]Sheet1!$C:$O,13,FALSE)</f>
        <v>#N/A</v>
      </c>
      <c r="AD272" t="str">
        <f>VLOOKUP($H272,'[3]0509人员排班情况 副本'!$G:$U,12,FALSE)</f>
        <v>袁博闻(Bowen Yuan)</v>
      </c>
      <c r="AE272">
        <f>VLOOKUP($H272,'[3]0509人员排班情况 副本'!$G:$U,13,FALSE)</f>
        <v>0</v>
      </c>
      <c r="AF272">
        <f>VLOOKUP($H272,'[3]0509人员排班情况 副本'!$G:$U,14,FALSE)</f>
        <v>0</v>
      </c>
      <c r="AG272">
        <f>VLOOKUP($H272,'[3]0509人员排班情况 副本'!$G:$U,15,FALSE)</f>
        <v>0</v>
      </c>
    </row>
    <row r="273" customHeight="1" spans="1:33">
      <c r="A273" t="s">
        <v>202</v>
      </c>
      <c r="B273" t="s">
        <v>1030</v>
      </c>
      <c r="C273" t="s">
        <v>1031</v>
      </c>
      <c r="D273" t="s">
        <v>92</v>
      </c>
      <c r="E273" t="s">
        <v>97</v>
      </c>
      <c r="F273" t="s">
        <v>1032</v>
      </c>
      <c r="H273" t="str">
        <f t="shared" si="28"/>
        <v>TX 德州大区NT 北德州片区TUL01</v>
      </c>
      <c r="I273" t="s">
        <v>687</v>
      </c>
      <c r="J273" t="s">
        <v>343</v>
      </c>
      <c r="K273" s="15">
        <v>0.25</v>
      </c>
      <c r="L273" s="15" t="s">
        <v>344</v>
      </c>
      <c r="M273" s="15">
        <v>0.263888888888889</v>
      </c>
      <c r="N273" t="s">
        <v>1033</v>
      </c>
      <c r="O273" s="20" t="str">
        <f t="shared" si="29"/>
        <v>正确</v>
      </c>
      <c r="P273" s="21">
        <v>1</v>
      </c>
      <c r="Q273" s="21">
        <v>7</v>
      </c>
      <c r="R273" s="21">
        <v>1</v>
      </c>
      <c r="S273" s="21">
        <f t="shared" si="30"/>
        <v>8</v>
      </c>
      <c r="T273" s="21">
        <f t="shared" si="31"/>
        <v>0</v>
      </c>
      <c r="U273" s="21" t="str">
        <f t="shared" si="32"/>
        <v>否</v>
      </c>
      <c r="V273" s="21">
        <f>VLOOKUP($C273,[4]Sheet1!$B:$AN,39,FALSE)</f>
        <v>15.02</v>
      </c>
      <c r="W273" s="21">
        <v>0</v>
      </c>
      <c r="X273" s="23">
        <v>5</v>
      </c>
      <c r="Y273" s="23">
        <v>4</v>
      </c>
      <c r="Z273" s="25">
        <f t="shared" si="33"/>
        <v>0</v>
      </c>
      <c r="AA273" s="25" t="str">
        <f t="shared" si="34"/>
        <v>是</v>
      </c>
      <c r="AB273" t="s">
        <v>1034</v>
      </c>
      <c r="AC273" t="e">
        <f>VLOOKUP(C273,[1]Sheet1!$C:$O,13,FALSE)</f>
        <v>#N/A</v>
      </c>
      <c r="AD273" t="str">
        <f>VLOOKUP($H273,'[3]0509人员排班情况 副本'!$G:$U,12,FALSE)</f>
        <v>肖芦莉Lily (Luli Xiao)</v>
      </c>
      <c r="AE273" t="str">
        <f>VLOOKUP($H273,'[3]0509人员排班情况 副本'!$G:$U,13,FALSE)</f>
        <v>张骥Ji Zhang (Ji Zhang)</v>
      </c>
      <c r="AF273" t="str">
        <f>VLOOKUP($H273,'[3]0509人员排班情况 副本'!$G:$U,14,FALSE)</f>
        <v>何琼joan(Qiong He)</v>
      </c>
      <c r="AG273">
        <f>VLOOKUP($H273,'[3]0509人员排班情况 副本'!$G:$U,15,FALSE)</f>
        <v>0</v>
      </c>
    </row>
    <row r="274" customHeight="1" spans="1:33">
      <c r="A274" t="s">
        <v>202</v>
      </c>
      <c r="B274" t="s">
        <v>1035</v>
      </c>
      <c r="C274" t="s">
        <v>1036</v>
      </c>
      <c r="D274" t="s">
        <v>68</v>
      </c>
      <c r="E274" t="s">
        <v>45</v>
      </c>
      <c r="F274" t="s">
        <v>744</v>
      </c>
      <c r="H274" t="str">
        <f t="shared" si="28"/>
        <v>NE 东北大区揽收部揽收调度组</v>
      </c>
      <c r="I274" t="s">
        <v>608</v>
      </c>
      <c r="J274" t="s">
        <v>407</v>
      </c>
      <c r="K274" s="15">
        <v>0.354166666666667</v>
      </c>
      <c r="L274" s="15" t="s">
        <v>254</v>
      </c>
      <c r="M274" s="15">
        <v>0.366666666666667</v>
      </c>
      <c r="N274" t="s">
        <v>1037</v>
      </c>
      <c r="O274" s="20" t="str">
        <f t="shared" si="29"/>
        <v>正确</v>
      </c>
      <c r="P274" s="21">
        <v>0</v>
      </c>
      <c r="Q274" s="21">
        <v>11.95</v>
      </c>
      <c r="R274" s="21">
        <v>0</v>
      </c>
      <c r="S274" s="21">
        <f t="shared" si="30"/>
        <v>11.95</v>
      </c>
      <c r="T274" s="21">
        <f t="shared" si="31"/>
        <v>3.95</v>
      </c>
      <c r="U274" s="21" t="str">
        <f t="shared" si="32"/>
        <v>是</v>
      </c>
      <c r="V274" s="21">
        <f>VLOOKUP($C274,[4]Sheet1!$B:$AN,39,FALSE)</f>
        <v>24.92</v>
      </c>
      <c r="W274" s="21">
        <v>0</v>
      </c>
      <c r="X274" s="23">
        <v>2</v>
      </c>
      <c r="Y274" s="23">
        <v>4</v>
      </c>
      <c r="Z274" s="25">
        <f t="shared" si="33"/>
        <v>2</v>
      </c>
      <c r="AA274" s="25" t="str">
        <f t="shared" si="34"/>
        <v>是</v>
      </c>
      <c r="AB274" t="s">
        <v>148</v>
      </c>
      <c r="AC274" t="e">
        <f>VLOOKUP(C274,[1]Sheet1!$C:$O,13,FALSE)</f>
        <v>#N/A</v>
      </c>
      <c r="AD274" t="str">
        <f>VLOOKUP($H274,'[3]0509人员排班情况 副本'!$G:$U,12,FALSE)</f>
        <v>孙可君Monica（Kejun Sun）</v>
      </c>
      <c r="AE274" t="str">
        <f>VLOOKUP($H274,'[3]0509人员排班情况 副本'!$G:$U,13,FALSE)</f>
        <v>马聪Cong (Cong Ma)</v>
      </c>
      <c r="AF274">
        <f>VLOOKUP($H274,'[3]0509人员排班情况 副本'!$G:$U,14,FALSE)</f>
        <v>0</v>
      </c>
      <c r="AG274">
        <f>VLOOKUP($H274,'[3]0509人员排班情况 副本'!$G:$U,15,FALSE)</f>
        <v>0</v>
      </c>
    </row>
    <row r="275" customHeight="1" spans="1:33">
      <c r="A275" t="s">
        <v>202</v>
      </c>
      <c r="B275" t="s">
        <v>1038</v>
      </c>
      <c r="C275" t="s">
        <v>1039</v>
      </c>
      <c r="D275" t="s">
        <v>48</v>
      </c>
      <c r="E275" t="s">
        <v>51</v>
      </c>
      <c r="F275" t="s">
        <v>1040</v>
      </c>
      <c r="H275" t="str">
        <f t="shared" si="28"/>
        <v>Ground项目部OG 美西区PX850</v>
      </c>
      <c r="I275" t="s">
        <v>687</v>
      </c>
      <c r="J275" t="s">
        <v>343</v>
      </c>
      <c r="K275" s="15">
        <v>0.25</v>
      </c>
      <c r="L275" s="15" t="s">
        <v>344</v>
      </c>
      <c r="M275" s="15">
        <v>0.2375</v>
      </c>
      <c r="N275" t="s">
        <v>1041</v>
      </c>
      <c r="O275" s="20" t="str">
        <f t="shared" si="29"/>
        <v>正确</v>
      </c>
      <c r="P275" s="21">
        <v>0</v>
      </c>
      <c r="Q275" s="21">
        <v>8.67</v>
      </c>
      <c r="R275" s="21">
        <v>0</v>
      </c>
      <c r="S275" s="21">
        <f t="shared" si="30"/>
        <v>8.67</v>
      </c>
      <c r="T275" s="21">
        <f t="shared" si="31"/>
        <v>0.67</v>
      </c>
      <c r="U275" s="21" t="str">
        <f t="shared" si="32"/>
        <v>是</v>
      </c>
      <c r="V275" s="21">
        <f>VLOOKUP($C275,[4]Sheet1!$B:$AN,39,FALSE)</f>
        <v>17.9</v>
      </c>
      <c r="W275" s="21">
        <v>0</v>
      </c>
      <c r="X275" s="23">
        <v>4</v>
      </c>
      <c r="Y275" s="23">
        <v>4</v>
      </c>
      <c r="Z275" s="25">
        <f t="shared" si="33"/>
        <v>0</v>
      </c>
      <c r="AA275" s="25" t="str">
        <f t="shared" si="34"/>
        <v>是</v>
      </c>
      <c r="AB275" t="s">
        <v>148</v>
      </c>
      <c r="AC275" t="e">
        <f>VLOOKUP(C275,[1]Sheet1!$C:$O,13,FALSE)</f>
        <v>#N/A</v>
      </c>
      <c r="AD275" t="str">
        <f>VLOOKUP($H275,'[3]0509人员排班情况 副本'!$G:$U,12,FALSE)</f>
        <v>王安琪 (Anqi Wang),张朱同 Thomson（Zhutong Zhang）</v>
      </c>
      <c r="AE275" t="str">
        <f>VLOOKUP($H275,'[3]0509人员排班情况 副本'!$G:$U,13,FALSE)</f>
        <v>陈锦昭</v>
      </c>
      <c r="AF275" t="str">
        <f>VLOOKUP($H275,'[3]0509人员排班情况 副本'!$G:$U,14,FALSE)</f>
        <v>宋佳牧 Dorian (Jiamu Song)</v>
      </c>
      <c r="AG275">
        <f>VLOOKUP($H275,'[3]0509人员排班情况 副本'!$G:$U,15,FALSE)</f>
        <v>0</v>
      </c>
    </row>
    <row r="276" customHeight="1" spans="1:33">
      <c r="A276" t="s">
        <v>202</v>
      </c>
      <c r="B276" t="s">
        <v>1042</v>
      </c>
      <c r="C276" t="s">
        <v>1043</v>
      </c>
      <c r="D276" t="s">
        <v>68</v>
      </c>
      <c r="E276" t="s">
        <v>76</v>
      </c>
      <c r="F276" t="s">
        <v>166</v>
      </c>
      <c r="G276" t="s">
        <v>112</v>
      </c>
      <c r="H276" t="str">
        <f t="shared" si="28"/>
        <v>NE 东北大区EWR.H综办组</v>
      </c>
      <c r="I276" t="s">
        <v>167</v>
      </c>
      <c r="J276" t="s">
        <v>236</v>
      </c>
      <c r="K276" s="15">
        <v>0.395833333333333</v>
      </c>
      <c r="L276" s="15" t="s">
        <v>218</v>
      </c>
      <c r="M276" s="15">
        <v>0.400694444444444</v>
      </c>
      <c r="N276" t="s">
        <v>1044</v>
      </c>
      <c r="O276" s="20" t="str">
        <f t="shared" si="29"/>
        <v>正确</v>
      </c>
      <c r="P276" s="21">
        <v>0</v>
      </c>
      <c r="Q276" s="21">
        <v>8.4</v>
      </c>
      <c r="R276" s="21">
        <v>0</v>
      </c>
      <c r="S276" s="21">
        <f t="shared" si="30"/>
        <v>8.4</v>
      </c>
      <c r="T276" s="21">
        <f t="shared" si="31"/>
        <v>0.4</v>
      </c>
      <c r="U276" s="21" t="str">
        <f t="shared" si="32"/>
        <v>是</v>
      </c>
      <c r="V276" s="21">
        <f>VLOOKUP($C276,[4]Sheet1!$B:$AN,39,FALSE)</f>
        <v>16.1</v>
      </c>
      <c r="W276" s="21">
        <v>0</v>
      </c>
      <c r="X276" s="23">
        <v>4</v>
      </c>
      <c r="Y276" s="23">
        <v>4</v>
      </c>
      <c r="Z276" s="25">
        <f t="shared" si="33"/>
        <v>0</v>
      </c>
      <c r="AA276" s="25" t="str">
        <f t="shared" si="34"/>
        <v>是</v>
      </c>
      <c r="AB276" t="s">
        <v>148</v>
      </c>
      <c r="AC276" t="e">
        <f>VLOOKUP(C276,[1]Sheet1!$C:$O,13,FALSE)</f>
        <v>#N/A</v>
      </c>
      <c r="AD276" t="str">
        <f>VLOOKUP($H276,'[3]0509人员排班情况 副本'!$G:$U,12,FALSE)</f>
        <v>孙可君Monica（Kejun Sun）</v>
      </c>
      <c r="AE276" t="str">
        <f>VLOOKUP($H276,'[3]0509人员排班情况 副本'!$G:$U,13,FALSE)</f>
        <v>马聪Cong (Cong Ma)</v>
      </c>
      <c r="AF276" t="str">
        <f>VLOOKUP($H276,'[3]0509人员排班情况 副本'!$G:$U,14,FALSE)</f>
        <v>Minqing (Minqing Xu),罗煜雄 Mike (Yuxiong Luo)</v>
      </c>
      <c r="AG276">
        <f>VLOOKUP($H276,'[3]0509人员排班情况 副本'!$G:$U,15,FALSE)</f>
        <v>0</v>
      </c>
    </row>
    <row r="277" customHeight="1" spans="1:33">
      <c r="A277" t="s">
        <v>202</v>
      </c>
      <c r="B277" t="s">
        <v>1045</v>
      </c>
      <c r="C277" t="s">
        <v>1046</v>
      </c>
      <c r="D277" t="s">
        <v>88</v>
      </c>
      <c r="E277" t="s">
        <v>846</v>
      </c>
      <c r="F277" t="s">
        <v>148</v>
      </c>
      <c r="H277" t="str">
        <f t="shared" si="28"/>
        <v>OM 操作管理部仓库租赁组</v>
      </c>
      <c r="I277" t="s">
        <v>1047</v>
      </c>
      <c r="J277" t="s">
        <v>236</v>
      </c>
      <c r="K277" s="15">
        <v>0.395833333333333</v>
      </c>
      <c r="L277" s="15" t="s">
        <v>218</v>
      </c>
      <c r="M277" s="15">
        <v>0.425</v>
      </c>
      <c r="N277" t="s">
        <v>1048</v>
      </c>
      <c r="O277" s="20" t="str">
        <f t="shared" si="29"/>
        <v>正确</v>
      </c>
      <c r="P277" s="21">
        <v>0</v>
      </c>
      <c r="Q277" s="21">
        <v>8.18</v>
      </c>
      <c r="R277" s="21">
        <v>0</v>
      </c>
      <c r="S277" s="21">
        <f t="shared" si="30"/>
        <v>8.18</v>
      </c>
      <c r="T277" s="21">
        <f t="shared" si="31"/>
        <v>0.18</v>
      </c>
      <c r="U277" s="21" t="str">
        <f t="shared" si="32"/>
        <v>是</v>
      </c>
      <c r="V277" s="21">
        <f>VLOOKUP($C277,[4]Sheet1!$B:$AN,39,FALSE)</f>
        <v>17.46</v>
      </c>
      <c r="W277" s="21">
        <v>0</v>
      </c>
      <c r="X277" s="23">
        <v>2</v>
      </c>
      <c r="Y277" s="23">
        <v>4</v>
      </c>
      <c r="Z277" s="25">
        <f t="shared" si="33"/>
        <v>2</v>
      </c>
      <c r="AA277" s="25" t="str">
        <f t="shared" si="34"/>
        <v>是</v>
      </c>
      <c r="AB277" t="s">
        <v>148</v>
      </c>
      <c r="AC277" t="e">
        <f>VLOOKUP(C277,[1]Sheet1!$C:$O,13,FALSE)</f>
        <v>#N/A</v>
      </c>
      <c r="AD277" t="str">
        <f>VLOOKUP($H277,'[3]0509人员排班情况 副本'!$G:$U,12,FALSE)</f>
        <v>袁博闻(Bowen Yuan)</v>
      </c>
      <c r="AE277">
        <f>VLOOKUP($H277,'[3]0509人员排班情况 副本'!$G:$U,13,FALSE)</f>
        <v>0</v>
      </c>
      <c r="AF277">
        <f>VLOOKUP($H277,'[3]0509人员排班情况 副本'!$G:$U,14,FALSE)</f>
        <v>0</v>
      </c>
      <c r="AG277">
        <f>VLOOKUP($H277,'[3]0509人员排班情况 副本'!$G:$U,15,FALSE)</f>
        <v>0</v>
      </c>
    </row>
    <row r="278" customHeight="1" spans="1:33">
      <c r="A278" t="s">
        <v>202</v>
      </c>
      <c r="B278" t="s">
        <v>1049</v>
      </c>
      <c r="C278" t="s">
        <v>1050</v>
      </c>
      <c r="D278" t="s">
        <v>58</v>
      </c>
      <c r="E278" t="s">
        <v>66</v>
      </c>
      <c r="F278" t="s">
        <v>1051</v>
      </c>
      <c r="H278" t="str">
        <f t="shared" si="28"/>
        <v>MS 中南大区RE 北卡和东南海岸片区RDU01</v>
      </c>
      <c r="I278" t="s">
        <v>156</v>
      </c>
      <c r="J278" t="s">
        <v>217</v>
      </c>
      <c r="K278" s="15">
        <v>0.395833333333333</v>
      </c>
      <c r="L278" s="15" t="s">
        <v>218</v>
      </c>
      <c r="M278" s="15"/>
      <c r="N278" t="s">
        <v>148</v>
      </c>
      <c r="O278" s="20" t="s">
        <v>116</v>
      </c>
      <c r="P278" s="21">
        <v>0</v>
      </c>
      <c r="Q278" s="21">
        <v>0</v>
      </c>
      <c r="R278" s="21">
        <v>0</v>
      </c>
      <c r="S278" s="21">
        <f t="shared" si="30"/>
        <v>0</v>
      </c>
      <c r="T278" s="21">
        <f t="shared" si="31"/>
        <v>0</v>
      </c>
      <c r="U278" s="21" t="str">
        <f t="shared" si="32"/>
        <v>否</v>
      </c>
      <c r="V278" s="21">
        <f>VLOOKUP($C278,[4]Sheet1!$B:$AN,39,FALSE)</f>
        <v>6.13</v>
      </c>
      <c r="W278" s="21">
        <v>0</v>
      </c>
      <c r="X278" s="23">
        <v>0</v>
      </c>
      <c r="Y278" s="23">
        <v>0</v>
      </c>
      <c r="Z278" s="25">
        <f t="shared" si="33"/>
        <v>0</v>
      </c>
      <c r="AA278" s="25" t="str">
        <f t="shared" si="34"/>
        <v>是</v>
      </c>
      <c r="AB278" t="s">
        <v>148</v>
      </c>
      <c r="AC278" t="e">
        <f>VLOOKUP(C278,[1]Sheet1!$C:$O,13,FALSE)</f>
        <v>#N/A</v>
      </c>
      <c r="AD278" t="str">
        <f>VLOOKUP($H278,'[3]0509人员排班情况 副本'!$G:$U,12,FALSE)</f>
        <v>欧阳迎春Flower（Yingchun Ouyang）</v>
      </c>
      <c r="AE278" t="str">
        <f>VLOOKUP($H278,'[3]0509人员排班情况 副本'!$G:$U,13,FALSE)</f>
        <v>杨云飞</v>
      </c>
      <c r="AF278" t="str">
        <f>VLOOKUP($H278,'[3]0509人员排班情况 副本'!$G:$U,14,FALSE)</f>
        <v>张森 (Sen Zhang)</v>
      </c>
      <c r="AG278">
        <f>VLOOKUP($H278,'[3]0509人员排班情况 副本'!$G:$U,15,FALSE)</f>
        <v>0</v>
      </c>
    </row>
    <row r="279" customHeight="1" spans="1:33">
      <c r="A279" t="s">
        <v>202</v>
      </c>
      <c r="B279" t="s">
        <v>1052</v>
      </c>
      <c r="C279" t="s">
        <v>1053</v>
      </c>
      <c r="D279" t="s">
        <v>99</v>
      </c>
      <c r="E279" t="s">
        <v>677</v>
      </c>
      <c r="F279" t="s">
        <v>1054</v>
      </c>
      <c r="H279" t="str">
        <f t="shared" si="28"/>
        <v>US人力资源部美洲HRBP组大湖区HR组</v>
      </c>
      <c r="I279" t="s">
        <v>988</v>
      </c>
      <c r="J279" t="s">
        <v>236</v>
      </c>
      <c r="K279" s="15">
        <v>0.395833333333333</v>
      </c>
      <c r="L279" s="15" t="s">
        <v>218</v>
      </c>
      <c r="M279" s="15">
        <v>0.384722222222222</v>
      </c>
      <c r="N279" t="s">
        <v>218</v>
      </c>
      <c r="O279" s="20" t="str">
        <f t="shared" si="29"/>
        <v>正确</v>
      </c>
      <c r="P279" s="21">
        <v>0</v>
      </c>
      <c r="Q279" s="21">
        <v>8.27</v>
      </c>
      <c r="R279" s="21">
        <v>0</v>
      </c>
      <c r="S279" s="21">
        <f t="shared" si="30"/>
        <v>8.27</v>
      </c>
      <c r="T279" s="21">
        <f t="shared" si="31"/>
        <v>0.27</v>
      </c>
      <c r="U279" s="21" t="str">
        <f t="shared" si="32"/>
        <v>是</v>
      </c>
      <c r="V279" s="21">
        <f>VLOOKUP($C279,[4]Sheet1!$B:$AN,39,FALSE)</f>
        <v>17.24</v>
      </c>
      <c r="W279" s="21">
        <v>0</v>
      </c>
      <c r="X279" s="23">
        <v>2</v>
      </c>
      <c r="Y279" s="23">
        <v>4</v>
      </c>
      <c r="Z279" s="25">
        <f t="shared" si="33"/>
        <v>2</v>
      </c>
      <c r="AA279" s="25" t="str">
        <f t="shared" si="34"/>
        <v>是</v>
      </c>
      <c r="AB279" t="s">
        <v>148</v>
      </c>
      <c r="AC279" t="e">
        <f>VLOOKUP(C279,[1]Sheet1!$C:$O,13,FALSE)</f>
        <v>#N/A</v>
      </c>
      <c r="AD279" t="str">
        <f>VLOOKUP($H279,'[3]0509人员排班情况 副本'!$G:$U,12,FALSE)</f>
        <v>袁博闻(Bowen Yuan)</v>
      </c>
      <c r="AE279">
        <f>VLOOKUP($H279,'[3]0509人员排班情况 副本'!$G:$U,13,FALSE)</f>
        <v>0</v>
      </c>
      <c r="AF279">
        <f>VLOOKUP($H279,'[3]0509人员排班情况 副本'!$G:$U,14,FALSE)</f>
        <v>0</v>
      </c>
      <c r="AG279">
        <f>VLOOKUP($H279,'[3]0509人员排班情况 副本'!$G:$U,15,FALSE)</f>
        <v>0</v>
      </c>
    </row>
    <row r="280" customHeight="1" spans="1:33">
      <c r="A280" t="s">
        <v>202</v>
      </c>
      <c r="B280" t="s">
        <v>1055</v>
      </c>
      <c r="C280" t="s">
        <v>1056</v>
      </c>
      <c r="D280" t="s">
        <v>92</v>
      </c>
      <c r="E280" t="s">
        <v>29</v>
      </c>
      <c r="F280" t="s">
        <v>200</v>
      </c>
      <c r="H280" t="str">
        <f t="shared" si="28"/>
        <v>TX 德州大区运营支持部区域支持组</v>
      </c>
      <c r="I280" t="s">
        <v>201</v>
      </c>
      <c r="J280" t="s">
        <v>295</v>
      </c>
      <c r="K280" s="15">
        <v>0.375</v>
      </c>
      <c r="L280" s="15" t="s">
        <v>296</v>
      </c>
      <c r="M280" s="15">
        <v>0.380555555555556</v>
      </c>
      <c r="N280" t="s">
        <v>148</v>
      </c>
      <c r="O280" s="20" t="str">
        <f t="shared" si="29"/>
        <v>正确</v>
      </c>
      <c r="P280" s="21">
        <v>0</v>
      </c>
      <c r="Q280" s="21">
        <v>0</v>
      </c>
      <c r="R280" s="21">
        <v>0</v>
      </c>
      <c r="S280" s="21">
        <f t="shared" si="30"/>
        <v>0</v>
      </c>
      <c r="T280" s="21">
        <f t="shared" si="31"/>
        <v>0</v>
      </c>
      <c r="U280" s="21" t="str">
        <f t="shared" si="32"/>
        <v>否</v>
      </c>
      <c r="V280" s="21">
        <f>VLOOKUP($C280,[4]Sheet1!$B:$AN,39,FALSE)</f>
        <v>3</v>
      </c>
      <c r="W280" s="21">
        <v>0</v>
      </c>
      <c r="X280" s="23">
        <v>3</v>
      </c>
      <c r="Y280" s="23">
        <v>4</v>
      </c>
      <c r="Z280" s="25">
        <f t="shared" si="33"/>
        <v>1</v>
      </c>
      <c r="AA280" s="25" t="str">
        <f t="shared" si="34"/>
        <v>是</v>
      </c>
      <c r="AB280" t="s">
        <v>148</v>
      </c>
      <c r="AC280" t="e">
        <f>VLOOKUP(C280,[1]Sheet1!$C:$O,13,FALSE)</f>
        <v>#N/A</v>
      </c>
      <c r="AD280" t="str">
        <f>VLOOKUP($H280,'[3]0509人员排班情况 副本'!$G:$U,12,FALSE)</f>
        <v>肖芦莉Lily (Luli Xiao)</v>
      </c>
      <c r="AE280" t="str">
        <f>VLOOKUP($H280,'[3]0509人员排班情况 副本'!$G:$U,13,FALSE)</f>
        <v>张骥Ji Zhang (Ji Zhang)</v>
      </c>
      <c r="AF280">
        <f>VLOOKUP($H280,'[3]0509人员排班情况 副本'!$G:$U,14,FALSE)</f>
        <v>0</v>
      </c>
      <c r="AG280">
        <f>VLOOKUP($H280,'[3]0509人员排班情况 副本'!$G:$U,15,FALSE)</f>
        <v>0</v>
      </c>
    </row>
    <row r="281" customHeight="1" spans="1:33">
      <c r="A281" t="s">
        <v>202</v>
      </c>
      <c r="B281" t="s">
        <v>1057</v>
      </c>
      <c r="C281" t="s">
        <v>1058</v>
      </c>
      <c r="D281" t="s">
        <v>48</v>
      </c>
      <c r="E281" t="s">
        <v>49</v>
      </c>
      <c r="F281" t="s">
        <v>525</v>
      </c>
      <c r="G281" t="s">
        <v>112</v>
      </c>
      <c r="H281" t="str">
        <f t="shared" si="28"/>
        <v>Ground项目部OG 美东区EWR.G</v>
      </c>
      <c r="I281" t="s">
        <v>276</v>
      </c>
      <c r="J281" t="s">
        <v>384</v>
      </c>
      <c r="K281" s="15">
        <v>0.6875</v>
      </c>
      <c r="L281" s="15" t="s">
        <v>385</v>
      </c>
      <c r="M281" s="15">
        <v>0.702777777777778</v>
      </c>
      <c r="N281" t="s">
        <v>823</v>
      </c>
      <c r="O281" s="20" t="str">
        <f t="shared" si="29"/>
        <v>正确</v>
      </c>
      <c r="P281" s="21">
        <v>0</v>
      </c>
      <c r="Q281" s="21">
        <v>8.37</v>
      </c>
      <c r="R281" s="21">
        <v>0</v>
      </c>
      <c r="S281" s="21">
        <f t="shared" si="30"/>
        <v>8.37</v>
      </c>
      <c r="T281" s="21">
        <f t="shared" si="31"/>
        <v>0.369999999999999</v>
      </c>
      <c r="U281" s="21" t="str">
        <f t="shared" si="32"/>
        <v>是</v>
      </c>
      <c r="V281" s="21">
        <f>VLOOKUP($C281,[4]Sheet1!$B:$AN,39,FALSE)</f>
        <v>18.49</v>
      </c>
      <c r="W281" s="21">
        <v>0</v>
      </c>
      <c r="X281" s="23">
        <v>4</v>
      </c>
      <c r="Y281" s="23">
        <v>4</v>
      </c>
      <c r="Z281" s="25">
        <f t="shared" si="33"/>
        <v>0</v>
      </c>
      <c r="AA281" s="25" t="str">
        <f t="shared" si="34"/>
        <v>是</v>
      </c>
      <c r="AB281" t="s">
        <v>148</v>
      </c>
      <c r="AC281" t="e">
        <f>VLOOKUP(C281,[1]Sheet1!$C:$O,13,FALSE)</f>
        <v>#N/A</v>
      </c>
      <c r="AD281" t="str">
        <f>VLOOKUP($H281,'[3]0509人员排班情况 副本'!$G:$U,12,FALSE)</f>
        <v>王安琪 (Anqi Wang),张朱同 Thomson（Zhutong Zhang）</v>
      </c>
      <c r="AE281" t="str">
        <f>VLOOKUP($H281,'[3]0509人员排班情况 副本'!$G:$U,13,FALSE)</f>
        <v>陈锦昭</v>
      </c>
      <c r="AF281" t="str">
        <f>VLOOKUP($H281,'[3]0509人员排班情况 副本'!$G:$U,14,FALSE)</f>
        <v>王兵 Allen (Bing Wang)</v>
      </c>
      <c r="AG281">
        <f>VLOOKUP($H281,'[3]0509人员排班情况 副本'!$G:$U,15,FALSE)</f>
        <v>0</v>
      </c>
    </row>
    <row r="282" customHeight="1" spans="1:33">
      <c r="A282" t="s">
        <v>202</v>
      </c>
      <c r="B282" t="s">
        <v>1059</v>
      </c>
      <c r="C282" t="s">
        <v>1060</v>
      </c>
      <c r="D282" t="s">
        <v>68</v>
      </c>
      <c r="E282" t="s">
        <v>76</v>
      </c>
      <c r="F282" t="s">
        <v>243</v>
      </c>
      <c r="G282" t="s">
        <v>112</v>
      </c>
      <c r="H282" t="str">
        <f t="shared" si="28"/>
        <v>NE 东北大区EWR.H调度组</v>
      </c>
      <c r="I282" t="s">
        <v>160</v>
      </c>
      <c r="J282" t="s">
        <v>487</v>
      </c>
      <c r="K282" s="15">
        <v>0.875</v>
      </c>
      <c r="L282" s="15" t="s">
        <v>488</v>
      </c>
      <c r="M282" s="15">
        <v>0.949305555555556</v>
      </c>
      <c r="N282" t="s">
        <v>148</v>
      </c>
      <c r="O282" s="20" t="str">
        <f t="shared" si="29"/>
        <v>不正确</v>
      </c>
      <c r="P282" s="21">
        <v>0</v>
      </c>
      <c r="Q282" s="21">
        <v>0</v>
      </c>
      <c r="R282" s="21">
        <v>0</v>
      </c>
      <c r="S282" s="21">
        <f t="shared" si="30"/>
        <v>0</v>
      </c>
      <c r="T282" s="21">
        <f t="shared" si="31"/>
        <v>0</v>
      </c>
      <c r="U282" s="21" t="str">
        <f t="shared" si="32"/>
        <v>否</v>
      </c>
      <c r="V282" s="21">
        <f>VLOOKUP($C282,[4]Sheet1!$B:$AN,39,FALSE)</f>
        <v>9.6</v>
      </c>
      <c r="W282" s="21">
        <v>0</v>
      </c>
      <c r="X282" s="23">
        <v>1</v>
      </c>
      <c r="Y282" s="23">
        <v>4</v>
      </c>
      <c r="Z282" s="25">
        <f t="shared" si="33"/>
        <v>3</v>
      </c>
      <c r="AA282" s="25" t="str">
        <f t="shared" si="34"/>
        <v>是</v>
      </c>
      <c r="AB282" t="s">
        <v>148</v>
      </c>
      <c r="AC282" t="e">
        <f>VLOOKUP(C282,[1]Sheet1!$C:$O,13,FALSE)</f>
        <v>#N/A</v>
      </c>
      <c r="AD282" t="str">
        <f>VLOOKUP($H282,'[3]0509人员排班情况 副本'!$G:$U,12,FALSE)</f>
        <v>孙可君Monica（Kejun Sun）</v>
      </c>
      <c r="AE282" t="str">
        <f>VLOOKUP($H282,'[3]0509人员排班情况 副本'!$G:$U,13,FALSE)</f>
        <v>马聪Cong (Cong Ma)</v>
      </c>
      <c r="AF282" t="str">
        <f>VLOOKUP($H282,'[3]0509人员排班情况 副本'!$G:$U,14,FALSE)</f>
        <v>Minqing (Minqing Xu),罗煜雄 Mike (Yuxiong Luo)</v>
      </c>
      <c r="AG282">
        <f>VLOOKUP($H282,'[3]0509人员排班情况 副本'!$G:$U,15,FALSE)</f>
        <v>0</v>
      </c>
    </row>
    <row r="283" customHeight="1" spans="1:33">
      <c r="A283" t="s">
        <v>202</v>
      </c>
      <c r="B283" t="s">
        <v>1061</v>
      </c>
      <c r="C283" t="s">
        <v>1062</v>
      </c>
      <c r="D283" t="s">
        <v>99</v>
      </c>
      <c r="E283" t="s">
        <v>677</v>
      </c>
      <c r="F283" t="s">
        <v>1063</v>
      </c>
      <c r="H283" t="str">
        <f t="shared" si="28"/>
        <v>US人力资源部美洲HRBP组中南区HR组</v>
      </c>
      <c r="I283" t="s">
        <v>1064</v>
      </c>
      <c r="J283" t="s">
        <v>236</v>
      </c>
      <c r="K283" s="15">
        <v>0.395833333333333</v>
      </c>
      <c r="L283" s="15" t="s">
        <v>218</v>
      </c>
      <c r="M283" s="15">
        <v>0.395833333333333</v>
      </c>
      <c r="N283" t="s">
        <v>401</v>
      </c>
      <c r="O283" s="20" t="str">
        <f t="shared" si="29"/>
        <v>正确</v>
      </c>
      <c r="P283" s="21">
        <v>0</v>
      </c>
      <c r="Q283" s="21">
        <v>10.5</v>
      </c>
      <c r="R283" s="21">
        <v>0</v>
      </c>
      <c r="S283" s="21">
        <f t="shared" si="30"/>
        <v>10.5</v>
      </c>
      <c r="T283" s="21">
        <f t="shared" si="31"/>
        <v>2.5</v>
      </c>
      <c r="U283" s="21" t="str">
        <f t="shared" si="32"/>
        <v>是</v>
      </c>
      <c r="V283" s="21">
        <f>VLOOKUP($C283,[4]Sheet1!$B:$AN,39,FALSE)</f>
        <v>19.9</v>
      </c>
      <c r="W283" s="21">
        <v>0</v>
      </c>
      <c r="X283" s="23">
        <v>4</v>
      </c>
      <c r="Y283" s="23">
        <v>4</v>
      </c>
      <c r="Z283" s="25">
        <f t="shared" si="33"/>
        <v>0</v>
      </c>
      <c r="AA283" s="25" t="str">
        <f t="shared" si="34"/>
        <v>是</v>
      </c>
      <c r="AB283" t="s">
        <v>148</v>
      </c>
      <c r="AC283" t="e">
        <f>VLOOKUP(C283,[1]Sheet1!$C:$O,13,FALSE)</f>
        <v>#N/A</v>
      </c>
      <c r="AD283" t="str">
        <f>VLOOKUP($H283,'[3]0509人员排班情况 副本'!$G:$U,12,FALSE)</f>
        <v>袁博闻(Bowen Yuan)</v>
      </c>
      <c r="AE283">
        <f>VLOOKUP($H283,'[3]0509人员排班情况 副本'!$G:$U,13,FALSE)</f>
        <v>0</v>
      </c>
      <c r="AF283">
        <f>VLOOKUP($H283,'[3]0509人员排班情况 副本'!$G:$U,14,FALSE)</f>
        <v>0</v>
      </c>
      <c r="AG283">
        <f>VLOOKUP($H283,'[3]0509人员排班情况 副本'!$G:$U,15,FALSE)</f>
        <v>0</v>
      </c>
    </row>
    <row r="284" customHeight="1" spans="1:33">
      <c r="A284" t="s">
        <v>202</v>
      </c>
      <c r="B284" t="s">
        <v>1065</v>
      </c>
      <c r="C284" t="s">
        <v>1066</v>
      </c>
      <c r="D284" t="s">
        <v>11</v>
      </c>
      <c r="E284" t="s">
        <v>148</v>
      </c>
      <c r="F284" t="s">
        <v>148</v>
      </c>
      <c r="H284" t="str">
        <f t="shared" si="28"/>
        <v>BM 品牌市场部</v>
      </c>
      <c r="I284" t="s">
        <v>1067</v>
      </c>
      <c r="J284" t="s">
        <v>236</v>
      </c>
      <c r="K284" s="15">
        <v>0.395833333333333</v>
      </c>
      <c r="L284" s="15" t="s">
        <v>218</v>
      </c>
      <c r="M284" s="15">
        <v>0.419444444444444</v>
      </c>
      <c r="N284" t="s">
        <v>1068</v>
      </c>
      <c r="O284" s="20" t="str">
        <f t="shared" si="29"/>
        <v>正确</v>
      </c>
      <c r="P284" s="21">
        <v>0</v>
      </c>
      <c r="Q284" s="21">
        <v>7.98</v>
      </c>
      <c r="R284" s="21">
        <v>0</v>
      </c>
      <c r="S284" s="21">
        <f t="shared" si="30"/>
        <v>7.98</v>
      </c>
      <c r="T284" s="21">
        <f t="shared" si="31"/>
        <v>0</v>
      </c>
      <c r="U284" s="21" t="str">
        <f t="shared" si="32"/>
        <v>否</v>
      </c>
      <c r="V284" s="21">
        <f>VLOOKUP($C284,[4]Sheet1!$B:$AN,39,FALSE)</f>
        <v>16.38</v>
      </c>
      <c r="W284" s="21">
        <v>0</v>
      </c>
      <c r="X284" s="23">
        <v>2</v>
      </c>
      <c r="Y284" s="23">
        <v>0</v>
      </c>
      <c r="Z284" s="25">
        <f t="shared" si="33"/>
        <v>0</v>
      </c>
      <c r="AA284" s="25" t="str">
        <f t="shared" si="34"/>
        <v>是</v>
      </c>
      <c r="AB284" t="s">
        <v>339</v>
      </c>
      <c r="AC284" t="e">
        <f>VLOOKUP(C284,[1]Sheet1!$C:$O,13,FALSE)</f>
        <v>#N/A</v>
      </c>
      <c r="AD284" t="str">
        <f>VLOOKUP($H284,'[3]0509人员排班情况 副本'!$G:$U,12,FALSE)</f>
        <v>袁博闻(Bowen Yuan)</v>
      </c>
      <c r="AE284">
        <f>VLOOKUP($H284,'[3]0509人员排班情况 副本'!$G:$U,13,FALSE)</f>
        <v>0</v>
      </c>
      <c r="AF284">
        <f>VLOOKUP($H284,'[3]0509人员排班情况 副本'!$G:$U,14,FALSE)</f>
        <v>0</v>
      </c>
      <c r="AG284">
        <f>VLOOKUP($H284,'[3]0509人员排班情况 副本'!$G:$U,15,FALSE)</f>
        <v>0</v>
      </c>
    </row>
    <row r="285" customHeight="1" spans="1:33">
      <c r="A285" t="s">
        <v>202</v>
      </c>
      <c r="B285" t="s">
        <v>1069</v>
      </c>
      <c r="C285" t="s">
        <v>1070</v>
      </c>
      <c r="D285" t="s">
        <v>91</v>
      </c>
      <c r="E285" t="s">
        <v>991</v>
      </c>
      <c r="F285" t="s">
        <v>148</v>
      </c>
      <c r="H285" t="str">
        <f t="shared" si="28"/>
        <v>SM 站点管理部站点实施组</v>
      </c>
      <c r="I285" t="s">
        <v>1071</v>
      </c>
      <c r="J285" t="s">
        <v>236</v>
      </c>
      <c r="K285" s="15">
        <v>0.395833333333333</v>
      </c>
      <c r="L285" s="15" t="s">
        <v>218</v>
      </c>
      <c r="M285" s="15"/>
      <c r="N285" t="s">
        <v>148</v>
      </c>
      <c r="O285" s="20" t="str">
        <f t="shared" si="29"/>
        <v>不正确</v>
      </c>
      <c r="P285" s="21">
        <v>0</v>
      </c>
      <c r="Q285" s="21">
        <v>0</v>
      </c>
      <c r="R285" s="21">
        <v>0</v>
      </c>
      <c r="S285" s="21">
        <f t="shared" si="30"/>
        <v>0</v>
      </c>
      <c r="T285" s="21">
        <f t="shared" si="31"/>
        <v>0</v>
      </c>
      <c r="U285" s="21" t="str">
        <f t="shared" si="32"/>
        <v>否</v>
      </c>
      <c r="V285" s="21">
        <f>VLOOKUP($C285,[4]Sheet1!$B:$AN,39,FALSE)</f>
        <v>0</v>
      </c>
      <c r="W285" s="21">
        <v>0</v>
      </c>
      <c r="X285" s="23">
        <v>0</v>
      </c>
      <c r="Y285" s="23">
        <v>0</v>
      </c>
      <c r="Z285" s="25">
        <f t="shared" si="33"/>
        <v>0</v>
      </c>
      <c r="AA285" s="25" t="str">
        <f t="shared" si="34"/>
        <v>是</v>
      </c>
      <c r="AB285" t="s">
        <v>339</v>
      </c>
      <c r="AC285" t="e">
        <f>VLOOKUP(C285,[1]Sheet1!$C:$O,13,FALSE)</f>
        <v>#N/A</v>
      </c>
      <c r="AD285" t="str">
        <f>VLOOKUP($H285,'[3]0509人员排班情况 副本'!$G:$U,12,FALSE)</f>
        <v>袁博闻(Bowen Yuan)</v>
      </c>
      <c r="AE285">
        <f>VLOOKUP($H285,'[3]0509人员排班情况 副本'!$G:$U,13,FALSE)</f>
        <v>0</v>
      </c>
      <c r="AF285">
        <f>VLOOKUP($H285,'[3]0509人员排班情况 副本'!$G:$U,14,FALSE)</f>
        <v>0</v>
      </c>
      <c r="AG285">
        <f>VLOOKUP($H285,'[3]0509人员排班情况 副本'!$G:$U,15,FALSE)</f>
        <v>0</v>
      </c>
    </row>
    <row r="286" customHeight="1" spans="1:33">
      <c r="A286" t="s">
        <v>202</v>
      </c>
      <c r="B286" t="s">
        <v>1072</v>
      </c>
      <c r="C286" t="s">
        <v>1073</v>
      </c>
      <c r="D286" t="s">
        <v>90</v>
      </c>
      <c r="E286" t="s">
        <v>148</v>
      </c>
      <c r="F286" t="s">
        <v>148</v>
      </c>
      <c r="H286" t="str">
        <f t="shared" si="28"/>
        <v>SM 战略管理部</v>
      </c>
      <c r="I286" t="s">
        <v>1074</v>
      </c>
      <c r="J286" t="s">
        <v>236</v>
      </c>
      <c r="K286" s="15">
        <v>0.395833333333333</v>
      </c>
      <c r="L286" s="15" t="s">
        <v>218</v>
      </c>
      <c r="M286" s="15"/>
      <c r="N286" t="s">
        <v>148</v>
      </c>
      <c r="O286" s="20" t="str">
        <f t="shared" si="29"/>
        <v>不正确</v>
      </c>
      <c r="P286" s="21">
        <v>0</v>
      </c>
      <c r="Q286" s="21">
        <v>0</v>
      </c>
      <c r="R286" s="21">
        <v>0</v>
      </c>
      <c r="S286" s="21">
        <f t="shared" si="30"/>
        <v>0</v>
      </c>
      <c r="T286" s="21">
        <f t="shared" si="31"/>
        <v>0</v>
      </c>
      <c r="U286" s="21" t="str">
        <f t="shared" si="32"/>
        <v>否</v>
      </c>
      <c r="V286" s="21">
        <f>VLOOKUP($C286,[4]Sheet1!$B:$AN,39,FALSE)</f>
        <v>0</v>
      </c>
      <c r="W286" s="21">
        <v>0</v>
      </c>
      <c r="X286" s="23">
        <v>0</v>
      </c>
      <c r="Y286" s="23">
        <v>4</v>
      </c>
      <c r="Z286" s="25">
        <f t="shared" si="33"/>
        <v>4</v>
      </c>
      <c r="AA286" s="25" t="str">
        <f t="shared" si="34"/>
        <v>是</v>
      </c>
      <c r="AB286" t="s">
        <v>148</v>
      </c>
      <c r="AC286" t="s">
        <v>711</v>
      </c>
      <c r="AD286" t="s">
        <v>712</v>
      </c>
      <c r="AE286" t="e">
        <f>VLOOKUP($H286,'[3]0509人员排班情况 副本'!$G:$U,13,FALSE)</f>
        <v>#N/A</v>
      </c>
      <c r="AF286" t="e">
        <f>VLOOKUP($H286,'[3]0509人员排班情况 副本'!$G:$U,14,FALSE)</f>
        <v>#N/A</v>
      </c>
      <c r="AG286" t="e">
        <f>VLOOKUP($H286,'[3]0509人员排班情况 副本'!$G:$U,15,FALSE)</f>
        <v>#N/A</v>
      </c>
    </row>
    <row r="287" customHeight="1" spans="1:33">
      <c r="A287" t="s">
        <v>202</v>
      </c>
      <c r="B287" t="s">
        <v>1075</v>
      </c>
      <c r="C287" t="s">
        <v>1076</v>
      </c>
      <c r="D287" t="s">
        <v>58</v>
      </c>
      <c r="E287" t="s">
        <v>63</v>
      </c>
      <c r="F287" t="s">
        <v>166</v>
      </c>
      <c r="G287" t="s">
        <v>112</v>
      </c>
      <c r="H287" t="str">
        <f t="shared" si="28"/>
        <v>MS 中南大区CLT.H综办组</v>
      </c>
      <c r="I287" t="s">
        <v>167</v>
      </c>
      <c r="J287" t="s">
        <v>295</v>
      </c>
      <c r="K287" s="15">
        <v>0.375</v>
      </c>
      <c r="L287" s="15" t="s">
        <v>296</v>
      </c>
      <c r="M287" s="15">
        <v>0.352777777777778</v>
      </c>
      <c r="N287" t="s">
        <v>1077</v>
      </c>
      <c r="O287" s="20" t="str">
        <f t="shared" si="29"/>
        <v>正确</v>
      </c>
      <c r="P287" s="21">
        <v>0</v>
      </c>
      <c r="Q287" s="21">
        <v>10.15</v>
      </c>
      <c r="R287" s="21">
        <v>0</v>
      </c>
      <c r="S287" s="21">
        <f t="shared" si="30"/>
        <v>10.15</v>
      </c>
      <c r="T287" s="21">
        <f t="shared" si="31"/>
        <v>2.15</v>
      </c>
      <c r="U287" s="21" t="str">
        <f t="shared" si="32"/>
        <v>是</v>
      </c>
      <c r="V287" s="21">
        <f>VLOOKUP($C287,[4]Sheet1!$B:$AN,39,FALSE)</f>
        <v>20.62</v>
      </c>
      <c r="W287" s="21">
        <v>0</v>
      </c>
      <c r="X287" s="23">
        <v>5</v>
      </c>
      <c r="Y287" s="23">
        <v>4</v>
      </c>
      <c r="Z287" s="25">
        <f t="shared" si="33"/>
        <v>0</v>
      </c>
      <c r="AA287" s="25" t="str">
        <f t="shared" si="34"/>
        <v>是</v>
      </c>
      <c r="AB287" t="s">
        <v>148</v>
      </c>
      <c r="AC287" t="e">
        <f>VLOOKUP(C287,[1]Sheet1!$C:$O,13,FALSE)</f>
        <v>#N/A</v>
      </c>
      <c r="AD287" t="str">
        <f>VLOOKUP($H287,'[3]0509人员排班情况 副本'!$G:$U,12,FALSE)</f>
        <v>欧阳迎春Flower（Yingchun Ouyang）</v>
      </c>
      <c r="AE287" t="str">
        <f>VLOOKUP($H287,'[3]0509人员排班情况 副本'!$G:$U,13,FALSE)</f>
        <v>杨云飞</v>
      </c>
      <c r="AF287" t="str">
        <f>VLOOKUP($H287,'[3]0509人员排班情况 副本'!$G:$U,14,FALSE)</f>
        <v>Minqing (Minqing Xu),罗煜雄 Mike (Yuxiong Luo)</v>
      </c>
      <c r="AG287">
        <f>VLOOKUP($H287,'[3]0509人员排班情况 副本'!$G:$U,15,FALSE)</f>
        <v>0</v>
      </c>
    </row>
    <row r="288" customHeight="1" spans="1:33">
      <c r="A288" t="s">
        <v>202</v>
      </c>
      <c r="B288" t="s">
        <v>1078</v>
      </c>
      <c r="C288" t="s">
        <v>1079</v>
      </c>
      <c r="D288" t="s">
        <v>48</v>
      </c>
      <c r="E288" t="s">
        <v>51</v>
      </c>
      <c r="F288" t="s">
        <v>563</v>
      </c>
      <c r="G288" t="s">
        <v>112</v>
      </c>
      <c r="H288" t="str">
        <f t="shared" si="28"/>
        <v>Ground项目部OG 美西区CNO.G</v>
      </c>
      <c r="I288" t="s">
        <v>244</v>
      </c>
      <c r="J288" t="s">
        <v>295</v>
      </c>
      <c r="K288" s="15">
        <v>0.375</v>
      </c>
      <c r="L288" s="15" t="s">
        <v>296</v>
      </c>
      <c r="M288" s="15"/>
      <c r="N288" t="s">
        <v>1080</v>
      </c>
      <c r="O288" s="20" t="str">
        <f t="shared" si="29"/>
        <v>不正确</v>
      </c>
      <c r="P288" s="21">
        <v>0</v>
      </c>
      <c r="Q288" s="21">
        <v>0</v>
      </c>
      <c r="R288" s="21">
        <v>0</v>
      </c>
      <c r="S288" s="21">
        <f t="shared" si="30"/>
        <v>0</v>
      </c>
      <c r="T288" s="21">
        <f t="shared" si="31"/>
        <v>0</v>
      </c>
      <c r="U288" s="21" t="str">
        <f t="shared" si="32"/>
        <v>否</v>
      </c>
      <c r="V288" s="21">
        <f>VLOOKUP($C288,[4]Sheet1!$B:$AN,39,FALSE)</f>
        <v>0</v>
      </c>
      <c r="W288" s="21">
        <v>0</v>
      </c>
      <c r="X288" s="23">
        <v>2</v>
      </c>
      <c r="Y288" s="23">
        <v>4</v>
      </c>
      <c r="Z288" s="25">
        <f t="shared" si="33"/>
        <v>2</v>
      </c>
      <c r="AA288" s="25" t="str">
        <f t="shared" si="34"/>
        <v>是</v>
      </c>
      <c r="AB288" t="s">
        <v>148</v>
      </c>
      <c r="AC288" t="e">
        <f>VLOOKUP(C288,[1]Sheet1!$C:$O,13,FALSE)</f>
        <v>#N/A</v>
      </c>
      <c r="AD288" t="str">
        <f>VLOOKUP($H288,'[3]0509人员排班情况 副本'!$G:$U,12,FALSE)</f>
        <v>王安琪 (Anqi Wang),张朱同 Thomson（Zhutong Zhang）</v>
      </c>
      <c r="AE288" t="str">
        <f>VLOOKUP($H288,'[3]0509人员排班情况 副本'!$G:$U,13,FALSE)</f>
        <v>陈锦昭</v>
      </c>
      <c r="AF288" t="str">
        <f>VLOOKUP($H288,'[3]0509人员排班情况 副本'!$G:$U,14,FALSE)</f>
        <v>张弘毅 Hongyi （Hongyi Zhang）</v>
      </c>
      <c r="AG288">
        <f>VLOOKUP($H288,'[3]0509人员排班情况 副本'!$G:$U,15,FALSE)</f>
        <v>0</v>
      </c>
    </row>
    <row r="289" customHeight="1" spans="1:33">
      <c r="A289" t="s">
        <v>202</v>
      </c>
      <c r="B289" t="s">
        <v>1081</v>
      </c>
      <c r="C289" t="s">
        <v>1082</v>
      </c>
      <c r="D289" t="s">
        <v>99</v>
      </c>
      <c r="E289" t="s">
        <v>677</v>
      </c>
      <c r="F289" t="s">
        <v>1083</v>
      </c>
      <c r="H289" t="str">
        <f t="shared" si="28"/>
        <v>US人力资源部美洲HRBP组东北区HR组</v>
      </c>
      <c r="I289" t="s">
        <v>1084</v>
      </c>
      <c r="J289" t="s">
        <v>236</v>
      </c>
      <c r="K289" s="15">
        <v>0.395833333333333</v>
      </c>
      <c r="L289" s="15" t="s">
        <v>218</v>
      </c>
      <c r="M289" s="15">
        <v>0.413194444444444</v>
      </c>
      <c r="N289" t="s">
        <v>1085</v>
      </c>
      <c r="O289" s="20" t="str">
        <f t="shared" si="29"/>
        <v>正确</v>
      </c>
      <c r="P289" s="21">
        <v>1</v>
      </c>
      <c r="Q289" s="21">
        <v>8.48</v>
      </c>
      <c r="R289" s="21">
        <v>1</v>
      </c>
      <c r="S289" s="21">
        <f t="shared" si="30"/>
        <v>9.48</v>
      </c>
      <c r="T289" s="21">
        <f t="shared" si="31"/>
        <v>1.48</v>
      </c>
      <c r="U289" s="21" t="str">
        <f t="shared" si="32"/>
        <v>是</v>
      </c>
      <c r="V289" s="21">
        <f>VLOOKUP($C289,[4]Sheet1!$B:$AN,39,FALSE)</f>
        <v>17.16</v>
      </c>
      <c r="W289" s="21">
        <v>0</v>
      </c>
      <c r="X289" s="23">
        <v>2</v>
      </c>
      <c r="Y289" s="23">
        <v>4</v>
      </c>
      <c r="Z289" s="25">
        <f t="shared" si="33"/>
        <v>2</v>
      </c>
      <c r="AA289" s="25" t="str">
        <f t="shared" si="34"/>
        <v>是</v>
      </c>
      <c r="AB289" t="s">
        <v>1086</v>
      </c>
      <c r="AC289" t="e">
        <f>VLOOKUP(C289,[1]Sheet1!$C:$O,13,FALSE)</f>
        <v>#N/A</v>
      </c>
      <c r="AD289" t="str">
        <f>VLOOKUP($H289,'[3]0509人员排班情况 副本'!$G:$U,12,FALSE)</f>
        <v>袁博闻(Bowen Yuan)</v>
      </c>
      <c r="AE289">
        <f>VLOOKUP($H289,'[3]0509人员排班情况 副本'!$G:$U,13,FALSE)</f>
        <v>0</v>
      </c>
      <c r="AF289">
        <f>VLOOKUP($H289,'[3]0509人员排班情况 副本'!$G:$U,14,FALSE)</f>
        <v>0</v>
      </c>
      <c r="AG289">
        <f>VLOOKUP($H289,'[3]0509人员排班情况 副本'!$G:$U,15,FALSE)</f>
        <v>0</v>
      </c>
    </row>
    <row r="290" customHeight="1" spans="1:33">
      <c r="A290" t="s">
        <v>202</v>
      </c>
      <c r="B290" t="s">
        <v>1087</v>
      </c>
      <c r="C290" t="s">
        <v>1088</v>
      </c>
      <c r="D290" t="s">
        <v>58</v>
      </c>
      <c r="E290" t="s">
        <v>64</v>
      </c>
      <c r="F290" t="s">
        <v>342</v>
      </c>
      <c r="H290" t="str">
        <f t="shared" si="28"/>
        <v>MS 中南大区CS 夏洛特及周边片区GSP01</v>
      </c>
      <c r="I290" t="s">
        <v>687</v>
      </c>
      <c r="J290" t="s">
        <v>343</v>
      </c>
      <c r="K290" s="15">
        <v>0.25</v>
      </c>
      <c r="L290" s="15" t="s">
        <v>344</v>
      </c>
      <c r="M290" s="15"/>
      <c r="N290" t="s">
        <v>148</v>
      </c>
      <c r="O290" s="20" t="str">
        <f t="shared" si="29"/>
        <v>不正确</v>
      </c>
      <c r="P290" s="21">
        <v>0</v>
      </c>
      <c r="Q290" s="21">
        <v>0</v>
      </c>
      <c r="R290" s="21">
        <v>0</v>
      </c>
      <c r="S290" s="21">
        <f t="shared" si="30"/>
        <v>0</v>
      </c>
      <c r="T290" s="21">
        <f t="shared" si="31"/>
        <v>0</v>
      </c>
      <c r="U290" s="21" t="str">
        <f t="shared" si="32"/>
        <v>否</v>
      </c>
      <c r="V290" s="21">
        <f>VLOOKUP($C290,[4]Sheet1!$B:$AN,39,FALSE)</f>
        <v>0</v>
      </c>
      <c r="W290" s="21">
        <v>0</v>
      </c>
      <c r="X290" s="23">
        <v>0</v>
      </c>
      <c r="Y290" s="23">
        <v>4</v>
      </c>
      <c r="Z290" s="25">
        <f t="shared" si="33"/>
        <v>4</v>
      </c>
      <c r="AA290" s="25" t="str">
        <f t="shared" si="34"/>
        <v>是</v>
      </c>
      <c r="AB290" t="s">
        <v>148</v>
      </c>
      <c r="AC290" t="e">
        <f>VLOOKUP(C290,[1]Sheet1!$C:$O,13,FALSE)</f>
        <v>#N/A</v>
      </c>
      <c r="AD290" t="str">
        <f>VLOOKUP($H290,'[3]0509人员排班情况 副本'!$G:$U,12,FALSE)</f>
        <v>欧阳迎春Flower（Yingchun Ouyang）</v>
      </c>
      <c r="AE290" t="str">
        <f>VLOOKUP($H290,'[3]0509人员排班情况 副本'!$G:$U,13,FALSE)</f>
        <v>杨云飞</v>
      </c>
      <c r="AF290" t="str">
        <f>VLOOKUP($H290,'[3]0509人员排班情况 副本'!$G:$U,14,FALSE)</f>
        <v>唐浩Thomas(Hao Tang)</v>
      </c>
      <c r="AG290">
        <f>VLOOKUP($H290,'[3]0509人员排班情况 副本'!$G:$U,15,FALSE)</f>
        <v>0</v>
      </c>
    </row>
    <row r="291" customHeight="1" spans="1:33">
      <c r="A291" t="s">
        <v>202</v>
      </c>
      <c r="B291" t="s">
        <v>1089</v>
      </c>
      <c r="C291" t="s">
        <v>1090</v>
      </c>
      <c r="D291" t="s">
        <v>31</v>
      </c>
      <c r="E291" t="s">
        <v>148</v>
      </c>
      <c r="F291" t="s">
        <v>148</v>
      </c>
      <c r="H291" t="str">
        <f t="shared" si="28"/>
        <v>GL 大湖大区</v>
      </c>
      <c r="I291" t="s">
        <v>954</v>
      </c>
      <c r="J291" t="s">
        <v>347</v>
      </c>
      <c r="K291" s="15">
        <v>0.541666666666667</v>
      </c>
      <c r="L291" s="15" t="s">
        <v>348</v>
      </c>
      <c r="M291" s="15">
        <v>0.530555555555556</v>
      </c>
      <c r="N291" t="s">
        <v>836</v>
      </c>
      <c r="O291" s="20" t="str">
        <f t="shared" si="29"/>
        <v>正确</v>
      </c>
      <c r="P291" s="21">
        <v>0</v>
      </c>
      <c r="Q291" s="21">
        <v>8.77</v>
      </c>
      <c r="R291" s="21">
        <v>0</v>
      </c>
      <c r="S291" s="21">
        <f t="shared" si="30"/>
        <v>8.77</v>
      </c>
      <c r="T291" s="21">
        <f t="shared" si="31"/>
        <v>0.77</v>
      </c>
      <c r="U291" s="21" t="str">
        <f t="shared" si="32"/>
        <v>是</v>
      </c>
      <c r="V291" s="21">
        <f>VLOOKUP($C291,[4]Sheet1!$B:$AN,39,FALSE)</f>
        <v>17.72</v>
      </c>
      <c r="W291" s="21">
        <v>0</v>
      </c>
      <c r="X291" s="23">
        <v>2</v>
      </c>
      <c r="Y291" s="23">
        <v>4</v>
      </c>
      <c r="Z291" s="25">
        <f t="shared" si="33"/>
        <v>2</v>
      </c>
      <c r="AA291" s="25" t="str">
        <f t="shared" si="34"/>
        <v>是</v>
      </c>
      <c r="AB291" t="s">
        <v>148</v>
      </c>
      <c r="AC291" t="e">
        <f>VLOOKUP(C291,[1]Sheet1!$C:$O,13,FALSE)</f>
        <v>#N/A</v>
      </c>
      <c r="AD291" t="str">
        <f>VLOOKUP($H291,'[3]0509人员排班情况 副本'!$G:$U,12,FALSE)</f>
        <v>王晓丹 Jasmine（Xiaodan Wang）,周延舒Isabel（Yanshu Zhou）</v>
      </c>
      <c r="AE291" t="str">
        <f>VLOOKUP($H291,'[3]0509人员排班情况 副本'!$G:$U,13,FALSE)</f>
        <v>张骥Ji Zhang (Ji Zhang)</v>
      </c>
      <c r="AF291">
        <f>VLOOKUP($H291,'[3]0509人员排班情况 副本'!$G:$U,14,FALSE)</f>
        <v>0</v>
      </c>
      <c r="AG291">
        <f>VLOOKUP($H291,'[3]0509人员排班情况 副本'!$G:$U,15,FALSE)</f>
        <v>0</v>
      </c>
    </row>
    <row r="292" customHeight="1" spans="1:33">
      <c r="A292" t="s">
        <v>202</v>
      </c>
      <c r="B292" t="s">
        <v>1091</v>
      </c>
      <c r="C292" t="s">
        <v>1092</v>
      </c>
      <c r="D292" t="s">
        <v>89</v>
      </c>
      <c r="E292" t="s">
        <v>736</v>
      </c>
      <c r="F292" t="s">
        <v>148</v>
      </c>
      <c r="H292" t="str">
        <f t="shared" si="28"/>
        <v>QC 质量控制部质量改善组</v>
      </c>
      <c r="I292" t="s">
        <v>1093</v>
      </c>
      <c r="J292" t="s">
        <v>236</v>
      </c>
      <c r="K292" s="15">
        <v>0.395833333333333</v>
      </c>
      <c r="L292" s="15" t="s">
        <v>218</v>
      </c>
      <c r="M292" s="15">
        <v>0.261111111111111</v>
      </c>
      <c r="N292" t="s">
        <v>1094</v>
      </c>
      <c r="O292" s="20" t="str">
        <f t="shared" si="29"/>
        <v>不正确</v>
      </c>
      <c r="P292" s="21">
        <v>0</v>
      </c>
      <c r="Q292" s="21">
        <v>9.53</v>
      </c>
      <c r="R292" s="21">
        <v>0</v>
      </c>
      <c r="S292" s="21">
        <f t="shared" si="30"/>
        <v>9.53</v>
      </c>
      <c r="T292" s="21">
        <f t="shared" si="31"/>
        <v>1.53</v>
      </c>
      <c r="U292" s="21" t="str">
        <f t="shared" si="32"/>
        <v>是</v>
      </c>
      <c r="V292" s="21">
        <f>VLOOKUP($C292,[4]Sheet1!$B:$AN,39,FALSE)</f>
        <v>20.51</v>
      </c>
      <c r="W292" s="21">
        <v>0</v>
      </c>
      <c r="X292" s="23">
        <v>2</v>
      </c>
      <c r="Y292" s="23">
        <v>4</v>
      </c>
      <c r="Z292" s="25">
        <f t="shared" si="33"/>
        <v>2</v>
      </c>
      <c r="AA292" s="25" t="str">
        <f t="shared" si="34"/>
        <v>是</v>
      </c>
      <c r="AB292" t="s">
        <v>148</v>
      </c>
      <c r="AC292" t="e">
        <f>VLOOKUP(C292,[1]Sheet1!$C:$O,13,FALSE)</f>
        <v>#N/A</v>
      </c>
      <c r="AD292" t="str">
        <f>VLOOKUP($H292,'[3]0509人员排班情况 副本'!$G:$U,12,FALSE)</f>
        <v>袁博闻(Bowen Yuan)</v>
      </c>
      <c r="AE292">
        <f>VLOOKUP($H292,'[3]0509人员排班情况 副本'!$G:$U,13,FALSE)</f>
        <v>0</v>
      </c>
      <c r="AF292">
        <f>VLOOKUP($H292,'[3]0509人员排班情况 副本'!$G:$U,14,FALSE)</f>
        <v>0</v>
      </c>
      <c r="AG292">
        <f>VLOOKUP($H292,'[3]0509人员排班情况 副本'!$G:$U,15,FALSE)</f>
        <v>0</v>
      </c>
    </row>
    <row r="293" customHeight="1" spans="1:33">
      <c r="A293" t="s">
        <v>202</v>
      </c>
      <c r="B293" t="s">
        <v>1095</v>
      </c>
      <c r="C293" t="s">
        <v>1096</v>
      </c>
      <c r="D293" t="s">
        <v>100</v>
      </c>
      <c r="E293" t="s">
        <v>105</v>
      </c>
      <c r="F293" t="s">
        <v>750</v>
      </c>
      <c r="H293" t="str">
        <f t="shared" si="28"/>
        <v>WE 美西大区NC 北加片区SFO.H</v>
      </c>
      <c r="I293" t="s">
        <v>303</v>
      </c>
      <c r="J293" t="s">
        <v>217</v>
      </c>
      <c r="K293" s="15">
        <v>0.395833333333333</v>
      </c>
      <c r="L293" s="15" t="s">
        <v>218</v>
      </c>
      <c r="M293" s="15"/>
      <c r="N293" t="s">
        <v>148</v>
      </c>
      <c r="O293" s="20" t="s">
        <v>116</v>
      </c>
      <c r="P293" s="21">
        <v>0</v>
      </c>
      <c r="Q293" s="21">
        <v>0</v>
      </c>
      <c r="R293" s="21">
        <v>0</v>
      </c>
      <c r="S293" s="21">
        <f t="shared" si="30"/>
        <v>0</v>
      </c>
      <c r="T293" s="21">
        <f t="shared" si="31"/>
        <v>0</v>
      </c>
      <c r="U293" s="21" t="str">
        <f t="shared" si="32"/>
        <v>否</v>
      </c>
      <c r="V293" s="21">
        <f>VLOOKUP($C293,[4]Sheet1!$B:$AN,39,FALSE)</f>
        <v>11.48</v>
      </c>
      <c r="W293" s="21">
        <v>0</v>
      </c>
      <c r="X293" s="23">
        <v>0</v>
      </c>
      <c r="Y293" s="23">
        <v>0</v>
      </c>
      <c r="Z293" s="25">
        <f t="shared" si="33"/>
        <v>0</v>
      </c>
      <c r="AA293" s="25" t="str">
        <f t="shared" si="34"/>
        <v>是</v>
      </c>
      <c r="AB293" t="s">
        <v>148</v>
      </c>
      <c r="AC293" t="e">
        <f>VLOOKUP(C293,[1]Sheet1!$C:$O,13,FALSE)</f>
        <v>#N/A</v>
      </c>
      <c r="AD293" t="str">
        <f>VLOOKUP($H293,'[3]0509人员排班情况 副本'!$G:$U,12,FALSE)</f>
        <v>王骞Ariel（Qian Wang）,叶秀芳Freya (Xiufang Ye)</v>
      </c>
      <c r="AE293" t="str">
        <f>VLOOKUP($H293,'[3]0509人员排班情况 副本'!$G:$U,13,FALSE)</f>
        <v>常哲</v>
      </c>
      <c r="AF293" t="str">
        <f>VLOOKUP($H293,'[3]0509人员排班情况 副本'!$G:$U,14,FALSE)</f>
        <v>林美浚（Meijun Lin）</v>
      </c>
      <c r="AG293">
        <f>VLOOKUP($H293,'[3]0509人员排班情况 副本'!$G:$U,15,FALSE)</f>
        <v>0</v>
      </c>
    </row>
    <row r="294" customHeight="1" spans="1:33">
      <c r="A294" t="s">
        <v>202</v>
      </c>
      <c r="B294" t="s">
        <v>1097</v>
      </c>
      <c r="C294" t="s">
        <v>1098</v>
      </c>
      <c r="D294" t="s">
        <v>48</v>
      </c>
      <c r="E294" t="s">
        <v>53</v>
      </c>
      <c r="F294" t="s">
        <v>1099</v>
      </c>
      <c r="H294" t="str">
        <f t="shared" si="28"/>
        <v>Ground项目部派送管理部运力开发组</v>
      </c>
      <c r="I294" t="s">
        <v>1100</v>
      </c>
      <c r="J294" t="s">
        <v>236</v>
      </c>
      <c r="K294" s="15">
        <v>0.395833333333333</v>
      </c>
      <c r="L294" s="15" t="s">
        <v>218</v>
      </c>
      <c r="M294" s="15"/>
      <c r="N294" t="s">
        <v>148</v>
      </c>
      <c r="O294" s="20" t="str">
        <f t="shared" si="29"/>
        <v>不正确</v>
      </c>
      <c r="P294" s="21">
        <v>0</v>
      </c>
      <c r="Q294" s="21">
        <v>0</v>
      </c>
      <c r="R294" s="21">
        <v>0</v>
      </c>
      <c r="S294" s="21">
        <f t="shared" si="30"/>
        <v>0</v>
      </c>
      <c r="T294" s="21">
        <f t="shared" si="31"/>
        <v>0</v>
      </c>
      <c r="U294" s="21" t="str">
        <f t="shared" si="32"/>
        <v>否</v>
      </c>
      <c r="V294" s="21">
        <f>VLOOKUP($C294,[4]Sheet1!$B:$AN,39,FALSE)</f>
        <v>0</v>
      </c>
      <c r="W294" s="21">
        <v>0</v>
      </c>
      <c r="X294" s="23">
        <v>0</v>
      </c>
      <c r="Y294" s="23">
        <v>4</v>
      </c>
      <c r="Z294" s="25">
        <f t="shared" si="33"/>
        <v>4</v>
      </c>
      <c r="AA294" s="25" t="str">
        <f t="shared" si="34"/>
        <v>是</v>
      </c>
      <c r="AB294" t="s">
        <v>148</v>
      </c>
      <c r="AC294" t="e">
        <f>VLOOKUP(C294,[1]Sheet1!$C:$O,13,FALSE)</f>
        <v>#N/A</v>
      </c>
      <c r="AD294" t="str">
        <f>VLOOKUP($H294,'[3]0509人员排班情况 副本'!$G:$U,12,FALSE)</f>
        <v>王安琪 (Anqi Wang),张朱同 Thomson（Zhutong Zhang）</v>
      </c>
      <c r="AE294" t="str">
        <f>VLOOKUP($H294,'[3]0509人员排班情况 副本'!$G:$U,13,FALSE)</f>
        <v>陈锦昭</v>
      </c>
      <c r="AF294">
        <f>VLOOKUP($H294,'[3]0509人员排班情况 副本'!$G:$U,14,FALSE)</f>
        <v>0</v>
      </c>
      <c r="AG294">
        <f>VLOOKUP($H294,'[3]0509人员排班情况 副本'!$G:$U,15,FALSE)</f>
        <v>0</v>
      </c>
    </row>
    <row r="295" customHeight="1" spans="1:33">
      <c r="A295" t="s">
        <v>202</v>
      </c>
      <c r="B295" t="s">
        <v>1101</v>
      </c>
      <c r="C295" t="s">
        <v>1102</v>
      </c>
      <c r="D295" t="s">
        <v>31</v>
      </c>
      <c r="E295" t="s">
        <v>35</v>
      </c>
      <c r="F295" t="s">
        <v>243</v>
      </c>
      <c r="G295" t="s">
        <v>112</v>
      </c>
      <c r="H295" t="str">
        <f t="shared" si="28"/>
        <v>GL 大湖大区CVG.H调度组</v>
      </c>
      <c r="I295" t="s">
        <v>160</v>
      </c>
      <c r="J295" t="s">
        <v>217</v>
      </c>
      <c r="K295" s="15">
        <v>0.395833333333333</v>
      </c>
      <c r="L295" s="15" t="s">
        <v>218</v>
      </c>
      <c r="M295" s="15"/>
      <c r="N295" t="s">
        <v>148</v>
      </c>
      <c r="O295" s="20" t="s">
        <v>116</v>
      </c>
      <c r="P295" s="21">
        <v>0</v>
      </c>
      <c r="Q295" s="21">
        <v>0</v>
      </c>
      <c r="R295" s="21">
        <v>0</v>
      </c>
      <c r="S295" s="21">
        <f t="shared" si="30"/>
        <v>0</v>
      </c>
      <c r="T295" s="21">
        <f t="shared" si="31"/>
        <v>0</v>
      </c>
      <c r="U295" s="21" t="str">
        <f t="shared" si="32"/>
        <v>否</v>
      </c>
      <c r="V295" s="21">
        <f>VLOOKUP($C295,[4]Sheet1!$B:$AN,39,FALSE)</f>
        <v>9.68</v>
      </c>
      <c r="W295" s="21">
        <v>0</v>
      </c>
      <c r="X295" s="23">
        <v>0</v>
      </c>
      <c r="Y295" s="23">
        <v>0</v>
      </c>
      <c r="Z295" s="25">
        <f t="shared" si="33"/>
        <v>0</v>
      </c>
      <c r="AA295" s="25" t="str">
        <f t="shared" si="34"/>
        <v>是</v>
      </c>
      <c r="AB295" t="s">
        <v>148</v>
      </c>
      <c r="AC295" t="e">
        <f>VLOOKUP(C295,[1]Sheet1!$C:$O,13,FALSE)</f>
        <v>#N/A</v>
      </c>
      <c r="AD295" t="str">
        <f>VLOOKUP($H295,'[3]0509人员排班情况 副本'!$G:$U,12,FALSE)</f>
        <v>王晓丹 Jasmine（Xiaodan Wang）,周延舒Isabel（Yanshu Zhou）</v>
      </c>
      <c r="AE295" t="str">
        <f>VLOOKUP($H295,'[3]0509人员排班情况 副本'!$G:$U,13,FALSE)</f>
        <v>张骥Ji Zhang (Ji Zhang)</v>
      </c>
      <c r="AF295" t="str">
        <f>VLOOKUP($H295,'[3]0509人员排班情况 副本'!$G:$U,14,FALSE)</f>
        <v>Minqing (Minqing Xu),罗煜雄 Mike (Yuxiong Luo)</v>
      </c>
      <c r="AG295">
        <f>VLOOKUP($H295,'[3]0509人员排班情况 副本'!$G:$U,15,FALSE)</f>
        <v>0</v>
      </c>
    </row>
    <row r="296" customHeight="1" spans="1:33">
      <c r="A296" t="s">
        <v>202</v>
      </c>
      <c r="B296" t="s">
        <v>1103</v>
      </c>
      <c r="C296" t="s">
        <v>1104</v>
      </c>
      <c r="D296" t="s">
        <v>68</v>
      </c>
      <c r="E296" t="s">
        <v>82</v>
      </c>
      <c r="F296" t="s">
        <v>1105</v>
      </c>
      <c r="H296" t="str">
        <f t="shared" si="28"/>
        <v>NE 东北大区PA 宾州片区TEB01</v>
      </c>
      <c r="I296" t="s">
        <v>177</v>
      </c>
      <c r="J296" t="s">
        <v>1106</v>
      </c>
      <c r="K296" s="15">
        <v>0.895833333333333</v>
      </c>
      <c r="L296" s="15" t="s">
        <v>1107</v>
      </c>
      <c r="M296" s="15"/>
      <c r="N296" t="s">
        <v>148</v>
      </c>
      <c r="O296" s="20" t="str">
        <f t="shared" si="29"/>
        <v>不正确</v>
      </c>
      <c r="P296" s="21">
        <v>0</v>
      </c>
      <c r="Q296" s="21">
        <v>0</v>
      </c>
      <c r="R296" s="21">
        <v>0</v>
      </c>
      <c r="S296" s="21">
        <f t="shared" si="30"/>
        <v>0</v>
      </c>
      <c r="T296" s="21">
        <f t="shared" si="31"/>
        <v>0</v>
      </c>
      <c r="U296" s="21" t="str">
        <f t="shared" si="32"/>
        <v>否</v>
      </c>
      <c r="V296" s="21">
        <f>VLOOKUP($C296,[4]Sheet1!$B:$AN,39,FALSE)</f>
        <v>9.05</v>
      </c>
      <c r="W296" s="21">
        <v>0</v>
      </c>
      <c r="X296" s="23">
        <v>0</v>
      </c>
      <c r="Y296" s="23">
        <v>4</v>
      </c>
      <c r="Z296" s="25">
        <f t="shared" si="33"/>
        <v>4</v>
      </c>
      <c r="AA296" s="25" t="str">
        <f t="shared" si="34"/>
        <v>是</v>
      </c>
      <c r="AB296" t="s">
        <v>148</v>
      </c>
      <c r="AC296" t="e">
        <f>VLOOKUP(C296,[1]Sheet1!$C:$O,13,FALSE)</f>
        <v>#N/A</v>
      </c>
      <c r="AD296" t="str">
        <f>VLOOKUP($H296,'[3]0509人员排班情况 副本'!$G:$U,12,FALSE)</f>
        <v>孙可君Monica（Kejun Sun）</v>
      </c>
      <c r="AE296" t="str">
        <f>VLOOKUP($H296,'[3]0509人员排班情况 副本'!$G:$U,13,FALSE)</f>
        <v>马聪Cong (Cong Ma)</v>
      </c>
      <c r="AF296" t="str">
        <f>VLOOKUP($H296,'[3]0509人员排班情况 副本'!$G:$U,14,FALSE)</f>
        <v>朱晗宇 Peter (Hanyu Zhu)</v>
      </c>
      <c r="AG296">
        <f>VLOOKUP($H296,'[3]0509人员排班情况 副本'!$G:$U,15,FALSE)</f>
        <v>0</v>
      </c>
    </row>
    <row r="297" customHeight="1" spans="1:33">
      <c r="A297" t="s">
        <v>202</v>
      </c>
      <c r="B297" t="s">
        <v>1108</v>
      </c>
      <c r="C297" t="s">
        <v>1109</v>
      </c>
      <c r="D297" t="s">
        <v>100</v>
      </c>
      <c r="E297" t="s">
        <v>101</v>
      </c>
      <c r="F297" t="s">
        <v>275</v>
      </c>
      <c r="G297" t="s">
        <v>112</v>
      </c>
      <c r="H297" t="str">
        <f t="shared" si="28"/>
        <v>WE 美西大区CNO.H分拣组</v>
      </c>
      <c r="I297" t="s">
        <v>303</v>
      </c>
      <c r="J297" t="s">
        <v>304</v>
      </c>
      <c r="K297" s="15">
        <v>0.666666666666667</v>
      </c>
      <c r="L297" s="15" t="s">
        <v>305</v>
      </c>
      <c r="M297" s="15">
        <v>0.683333333333333</v>
      </c>
      <c r="N297" t="s">
        <v>656</v>
      </c>
      <c r="O297" s="20" t="str">
        <f t="shared" si="29"/>
        <v>正确</v>
      </c>
      <c r="P297" s="21">
        <v>0</v>
      </c>
      <c r="Q297" s="21">
        <v>5.6</v>
      </c>
      <c r="R297" s="21">
        <v>0</v>
      </c>
      <c r="S297" s="21">
        <f t="shared" si="30"/>
        <v>5.6</v>
      </c>
      <c r="T297" s="21">
        <f t="shared" si="31"/>
        <v>0</v>
      </c>
      <c r="U297" s="21" t="str">
        <f t="shared" si="32"/>
        <v>否</v>
      </c>
      <c r="V297" s="21">
        <f>VLOOKUP($C297,[4]Sheet1!$B:$AN,39,FALSE)</f>
        <v>14.68</v>
      </c>
      <c r="W297" s="21">
        <v>0</v>
      </c>
      <c r="X297" s="23">
        <v>3</v>
      </c>
      <c r="Y297" s="23">
        <v>4</v>
      </c>
      <c r="Z297" s="25">
        <f t="shared" si="33"/>
        <v>1</v>
      </c>
      <c r="AA297" s="25" t="str">
        <f t="shared" si="34"/>
        <v>是</v>
      </c>
      <c r="AB297" t="s">
        <v>148</v>
      </c>
      <c r="AC297" t="e">
        <f>VLOOKUP(C297,[1]Sheet1!$C:$O,13,FALSE)</f>
        <v>#N/A</v>
      </c>
      <c r="AD297" t="str">
        <f>VLOOKUP($H297,'[3]0509人员排班情况 副本'!$G:$U,12,FALSE)</f>
        <v>王骞Ariel（Qian Wang）,叶秀芳Freya (Xiufang Ye)</v>
      </c>
      <c r="AE297" t="str">
        <f>VLOOKUP($H297,'[3]0509人员排班情况 副本'!$G:$U,13,FALSE)</f>
        <v>常哲</v>
      </c>
      <c r="AF297" t="str">
        <f>VLOOKUP($H297,'[3]0509人员排班情况 副本'!$G:$U,14,FALSE)</f>
        <v>张双甫(Shuangfu Zhang)</v>
      </c>
      <c r="AG297">
        <f>VLOOKUP($H297,'[3]0509人员排班情况 副本'!$G:$U,15,FALSE)</f>
        <v>0</v>
      </c>
    </row>
    <row r="298" customHeight="1" spans="1:33">
      <c r="A298" t="s">
        <v>202</v>
      </c>
      <c r="B298" t="s">
        <v>1110</v>
      </c>
      <c r="C298" t="s">
        <v>1111</v>
      </c>
      <c r="D298" t="s">
        <v>100</v>
      </c>
      <c r="E298" t="s">
        <v>106</v>
      </c>
      <c r="F298" t="s">
        <v>1112</v>
      </c>
      <c r="H298" t="str">
        <f t="shared" si="28"/>
        <v>WE 美西大区SC 南加片区CNO01</v>
      </c>
      <c r="I298" t="s">
        <v>687</v>
      </c>
      <c r="J298" t="s">
        <v>205</v>
      </c>
      <c r="K298" s="15">
        <v>0.166666666666667</v>
      </c>
      <c r="L298" s="15" t="s">
        <v>206</v>
      </c>
      <c r="M298" s="15"/>
      <c r="N298" t="s">
        <v>148</v>
      </c>
      <c r="O298" s="20" t="str">
        <f t="shared" si="29"/>
        <v>不正确</v>
      </c>
      <c r="P298" s="21">
        <v>0</v>
      </c>
      <c r="Q298" s="21">
        <v>0</v>
      </c>
      <c r="R298" s="21">
        <v>0</v>
      </c>
      <c r="S298" s="21">
        <f t="shared" si="30"/>
        <v>0</v>
      </c>
      <c r="T298" s="21">
        <f t="shared" si="31"/>
        <v>0</v>
      </c>
      <c r="U298" s="21" t="str">
        <f t="shared" si="32"/>
        <v>否</v>
      </c>
      <c r="V298" s="21">
        <f>VLOOKUP($C298,[4]Sheet1!$B:$AN,39,FALSE)</f>
        <v>0</v>
      </c>
      <c r="W298" s="21">
        <v>0</v>
      </c>
      <c r="X298" s="23">
        <v>0</v>
      </c>
      <c r="Y298" s="23">
        <v>0</v>
      </c>
      <c r="Z298" s="25">
        <f t="shared" si="33"/>
        <v>0</v>
      </c>
      <c r="AA298" s="25" t="str">
        <f t="shared" si="34"/>
        <v>是</v>
      </c>
      <c r="AB298" t="s">
        <v>1113</v>
      </c>
      <c r="AC298" t="e">
        <f>VLOOKUP(C298,[1]Sheet1!$C:$O,13,FALSE)</f>
        <v>#N/A</v>
      </c>
      <c r="AD298" t="str">
        <f>VLOOKUP($H298,'[3]0509人员排班情况 副本'!$G:$U,12,FALSE)</f>
        <v>王骞Ariel（Qian Wang）,叶秀芳Freya (Xiufang Ye)</v>
      </c>
      <c r="AE298" t="str">
        <f>VLOOKUP($H298,'[3]0509人员排班情况 副本'!$G:$U,13,FALSE)</f>
        <v>常哲</v>
      </c>
      <c r="AF298" t="str">
        <f>VLOOKUP($H298,'[3]0509人员排班情况 副本'!$G:$U,14,FALSE)</f>
        <v>尤梦楠Yuko（Mengnan You）</v>
      </c>
      <c r="AG298">
        <f>VLOOKUP($H298,'[3]0509人员排班情况 副本'!$G:$U,15,FALSE)</f>
        <v>0</v>
      </c>
    </row>
    <row r="299" customHeight="1" spans="1:33">
      <c r="A299" t="s">
        <v>202</v>
      </c>
      <c r="B299" t="s">
        <v>1114</v>
      </c>
      <c r="C299" t="s">
        <v>1115</v>
      </c>
      <c r="D299" t="s">
        <v>100</v>
      </c>
      <c r="E299" t="s">
        <v>101</v>
      </c>
      <c r="F299" t="s">
        <v>850</v>
      </c>
      <c r="G299" t="s">
        <v>112</v>
      </c>
      <c r="H299" t="str">
        <f t="shared" si="28"/>
        <v>WE 美西大区CNO.H维保组</v>
      </c>
      <c r="I299" t="s">
        <v>851</v>
      </c>
      <c r="J299" t="s">
        <v>437</v>
      </c>
      <c r="K299" s="15">
        <v>0.229166666666667</v>
      </c>
      <c r="L299" s="15" t="s">
        <v>438</v>
      </c>
      <c r="M299" s="15">
        <v>0.248611111111111</v>
      </c>
      <c r="N299" t="s">
        <v>1116</v>
      </c>
      <c r="O299" s="20" t="str">
        <f t="shared" si="29"/>
        <v>正确</v>
      </c>
      <c r="P299" s="21">
        <v>0</v>
      </c>
      <c r="Q299" s="21">
        <v>9.52</v>
      </c>
      <c r="R299" s="21">
        <v>0</v>
      </c>
      <c r="S299" s="21">
        <f t="shared" si="30"/>
        <v>9.52</v>
      </c>
      <c r="T299" s="21">
        <f t="shared" si="31"/>
        <v>1.52</v>
      </c>
      <c r="U299" s="21" t="str">
        <f t="shared" si="32"/>
        <v>是</v>
      </c>
      <c r="V299" s="21">
        <f>VLOOKUP($C299,[4]Sheet1!$B:$AN,39,FALSE)</f>
        <v>19.17</v>
      </c>
      <c r="W299" s="21">
        <v>0</v>
      </c>
      <c r="X299" s="23">
        <v>4</v>
      </c>
      <c r="Y299" s="23">
        <v>4</v>
      </c>
      <c r="Z299" s="25">
        <f t="shared" si="33"/>
        <v>0</v>
      </c>
      <c r="AA299" s="25" t="str">
        <f t="shared" si="34"/>
        <v>是</v>
      </c>
      <c r="AB299" t="s">
        <v>148</v>
      </c>
      <c r="AC299" t="e">
        <f>VLOOKUP(C299,[1]Sheet1!$C:$O,13,FALSE)</f>
        <v>#N/A</v>
      </c>
      <c r="AD299" t="str">
        <f>VLOOKUP($H299,'[3]0509人员排班情况 副本'!$G:$U,12,FALSE)</f>
        <v>王骞Ariel（Qian Wang）,叶秀芳Freya (Xiufang Ye)</v>
      </c>
      <c r="AE299" t="str">
        <f>VLOOKUP($H299,'[3]0509人员排班情况 副本'!$G:$U,13,FALSE)</f>
        <v>常哲</v>
      </c>
      <c r="AF299" t="str">
        <f>VLOOKUP($H299,'[3]0509人员排班情况 副本'!$G:$U,14,FALSE)</f>
        <v>章峻铭 J (Junming Zhang)</v>
      </c>
      <c r="AG299">
        <f>VLOOKUP($H299,'[3]0509人员排班情况 副本'!$G:$U,15,FALSE)</f>
        <v>0</v>
      </c>
    </row>
    <row r="300" customHeight="1" spans="1:33">
      <c r="A300" t="s">
        <v>202</v>
      </c>
      <c r="B300" t="s">
        <v>1117</v>
      </c>
      <c r="C300" t="s">
        <v>1118</v>
      </c>
      <c r="D300" t="s">
        <v>68</v>
      </c>
      <c r="E300" t="s">
        <v>74</v>
      </c>
      <c r="F300" t="s">
        <v>148</v>
      </c>
      <c r="H300" t="str">
        <f t="shared" si="28"/>
        <v>NE 东北大区BWI01</v>
      </c>
      <c r="I300" t="s">
        <v>177</v>
      </c>
      <c r="J300" t="s">
        <v>1119</v>
      </c>
      <c r="K300" s="15">
        <v>0.520833333333333</v>
      </c>
      <c r="L300" s="15" t="s">
        <v>1120</v>
      </c>
      <c r="M300" s="15">
        <v>0.476388888888889</v>
      </c>
      <c r="N300" t="s">
        <v>1121</v>
      </c>
      <c r="O300" s="20" t="str">
        <f t="shared" si="29"/>
        <v>不正确</v>
      </c>
      <c r="P300" s="21">
        <v>0</v>
      </c>
      <c r="Q300" s="21">
        <v>8.5</v>
      </c>
      <c r="R300" s="21">
        <v>0</v>
      </c>
      <c r="S300" s="21">
        <f t="shared" si="30"/>
        <v>8.5</v>
      </c>
      <c r="T300" s="21">
        <f t="shared" si="31"/>
        <v>0.5</v>
      </c>
      <c r="U300" s="21" t="str">
        <f t="shared" si="32"/>
        <v>是</v>
      </c>
      <c r="V300" s="21">
        <f>VLOOKUP($C300,[4]Sheet1!$B:$AN,39,FALSE)</f>
        <v>16.8</v>
      </c>
      <c r="W300" s="21">
        <v>0</v>
      </c>
      <c r="X300" s="23">
        <v>5</v>
      </c>
      <c r="Y300" s="23">
        <v>4</v>
      </c>
      <c r="Z300" s="25">
        <f t="shared" si="33"/>
        <v>0</v>
      </c>
      <c r="AA300" s="25" t="str">
        <f t="shared" si="34"/>
        <v>是</v>
      </c>
      <c r="AB300" t="s">
        <v>148</v>
      </c>
      <c r="AC300" t="e">
        <f>VLOOKUP(C300,[1]Sheet1!$C:$O,13,FALSE)</f>
        <v>#N/A</v>
      </c>
      <c r="AD300" t="str">
        <f>VLOOKUP($H300,'[3]0509人员排班情况 副本'!$G:$U,12,FALSE)</f>
        <v>孙可君Monica（Kejun Sun）</v>
      </c>
      <c r="AE300" t="str">
        <f>VLOOKUP($H300,'[3]0509人员排班情况 副本'!$G:$U,13,FALSE)</f>
        <v>马聪Cong (Cong Ma)</v>
      </c>
      <c r="AF300">
        <f>VLOOKUP($H300,'[3]0509人员排班情况 副本'!$G:$U,14,FALSE)</f>
        <v>0</v>
      </c>
      <c r="AG300">
        <f>VLOOKUP($H300,'[3]0509人员排班情况 副本'!$G:$U,15,FALSE)</f>
        <v>0</v>
      </c>
    </row>
    <row r="301" customHeight="1" spans="1:33">
      <c r="A301" t="s">
        <v>202</v>
      </c>
      <c r="B301" t="s">
        <v>1122</v>
      </c>
      <c r="C301" t="s">
        <v>1123</v>
      </c>
      <c r="D301" t="s">
        <v>12</v>
      </c>
      <c r="E301" t="s">
        <v>148</v>
      </c>
      <c r="F301" t="s">
        <v>148</v>
      </c>
      <c r="H301" t="str">
        <f t="shared" si="28"/>
        <v>CM 运力管理部</v>
      </c>
      <c r="I301" t="s">
        <v>1124</v>
      </c>
      <c r="J301" t="s">
        <v>236</v>
      </c>
      <c r="K301" s="15">
        <v>0.395833333333333</v>
      </c>
      <c r="L301" s="15" t="s">
        <v>218</v>
      </c>
      <c r="M301" s="15"/>
      <c r="N301" t="s">
        <v>148</v>
      </c>
      <c r="O301" s="20" t="str">
        <f t="shared" si="29"/>
        <v>不正确</v>
      </c>
      <c r="P301" s="21">
        <v>0</v>
      </c>
      <c r="Q301" s="21">
        <v>0</v>
      </c>
      <c r="R301" s="21">
        <v>0</v>
      </c>
      <c r="S301" s="21">
        <f t="shared" si="30"/>
        <v>0</v>
      </c>
      <c r="T301" s="21">
        <f t="shared" si="31"/>
        <v>0</v>
      </c>
      <c r="U301" s="21" t="str">
        <f t="shared" si="32"/>
        <v>否</v>
      </c>
      <c r="V301" s="21">
        <f>VLOOKUP($C301,[4]Sheet1!$B:$AN,39,FALSE)</f>
        <v>0</v>
      </c>
      <c r="W301" s="21">
        <v>0</v>
      </c>
      <c r="X301" s="23">
        <v>0</v>
      </c>
      <c r="Y301" s="23">
        <v>4</v>
      </c>
      <c r="Z301" s="25">
        <f t="shared" si="33"/>
        <v>4</v>
      </c>
      <c r="AA301" s="25" t="str">
        <f t="shared" si="34"/>
        <v>是</v>
      </c>
      <c r="AB301" t="s">
        <v>148</v>
      </c>
      <c r="AC301" t="e">
        <f>VLOOKUP(C301,[1]Sheet1!$C:$O,13,FALSE)</f>
        <v>#N/A</v>
      </c>
      <c r="AD301" t="str">
        <f>VLOOKUP($H301,'[3]0509人员排班情况 副本'!$G:$U,12,FALSE)</f>
        <v>袁博闻(Bowen Yuan)</v>
      </c>
      <c r="AE301">
        <f>VLOOKUP($H301,'[3]0509人员排班情况 副本'!$G:$U,13,FALSE)</f>
        <v>0</v>
      </c>
      <c r="AF301">
        <f>VLOOKUP($H301,'[3]0509人员排班情况 副本'!$G:$U,14,FALSE)</f>
        <v>0</v>
      </c>
      <c r="AG301">
        <f>VLOOKUP($H301,'[3]0509人员排班情况 副本'!$G:$U,15,FALSE)</f>
        <v>0</v>
      </c>
    </row>
    <row r="302" customHeight="1" spans="1:33">
      <c r="A302" t="s">
        <v>202</v>
      </c>
      <c r="B302" t="s">
        <v>1125</v>
      </c>
      <c r="C302" t="s">
        <v>1126</v>
      </c>
      <c r="D302" t="s">
        <v>68</v>
      </c>
      <c r="E302" t="s">
        <v>76</v>
      </c>
      <c r="F302" t="s">
        <v>166</v>
      </c>
      <c r="G302" t="s">
        <v>112</v>
      </c>
      <c r="H302" t="str">
        <f t="shared" si="28"/>
        <v>NE 东北大区EWR.H综办组</v>
      </c>
      <c r="I302" t="s">
        <v>167</v>
      </c>
      <c r="J302" t="s">
        <v>295</v>
      </c>
      <c r="K302" s="15">
        <v>0.375</v>
      </c>
      <c r="L302" s="15" t="s">
        <v>296</v>
      </c>
      <c r="M302" s="15">
        <v>0.370833333333333</v>
      </c>
      <c r="N302" t="s">
        <v>1127</v>
      </c>
      <c r="O302" s="20" t="str">
        <f t="shared" si="29"/>
        <v>正确</v>
      </c>
      <c r="P302" s="21">
        <v>0</v>
      </c>
      <c r="Q302" s="21">
        <v>8.03</v>
      </c>
      <c r="R302" s="21">
        <v>0</v>
      </c>
      <c r="S302" s="21">
        <f t="shared" si="30"/>
        <v>8.03</v>
      </c>
      <c r="T302" s="21">
        <f t="shared" si="31"/>
        <v>0.0299999999999994</v>
      </c>
      <c r="U302" s="21" t="str">
        <f t="shared" si="32"/>
        <v>是</v>
      </c>
      <c r="V302" s="21">
        <f>VLOOKUP($C302,[4]Sheet1!$B:$AN,39,FALSE)</f>
        <v>18.58</v>
      </c>
      <c r="W302" s="21">
        <v>23.74</v>
      </c>
      <c r="X302" s="23">
        <v>4</v>
      </c>
      <c r="Y302" s="23">
        <v>4</v>
      </c>
      <c r="Z302" s="25">
        <f t="shared" si="33"/>
        <v>0</v>
      </c>
      <c r="AA302" s="25" t="str">
        <f t="shared" si="34"/>
        <v>是</v>
      </c>
      <c r="AB302" t="s">
        <v>148</v>
      </c>
      <c r="AC302" t="e">
        <f>VLOOKUP(C302,[1]Sheet1!$C:$O,13,FALSE)</f>
        <v>#N/A</v>
      </c>
      <c r="AD302" t="str">
        <f>VLOOKUP($H302,'[3]0509人员排班情况 副本'!$G:$U,12,FALSE)</f>
        <v>孙可君Monica（Kejun Sun）</v>
      </c>
      <c r="AE302" t="str">
        <f>VLOOKUP($H302,'[3]0509人员排班情况 副本'!$G:$U,13,FALSE)</f>
        <v>马聪Cong (Cong Ma)</v>
      </c>
      <c r="AF302" t="str">
        <f>VLOOKUP($H302,'[3]0509人员排班情况 副本'!$G:$U,14,FALSE)</f>
        <v>Minqing (Minqing Xu),罗煜雄 Mike (Yuxiong Luo)</v>
      </c>
      <c r="AG302">
        <f>VLOOKUP($H302,'[3]0509人员排班情况 副本'!$G:$U,15,FALSE)</f>
        <v>0</v>
      </c>
    </row>
    <row r="303" customHeight="1" spans="1:33">
      <c r="A303" t="s">
        <v>202</v>
      </c>
      <c r="B303" t="s">
        <v>1128</v>
      </c>
      <c r="C303" t="s">
        <v>1129</v>
      </c>
      <c r="D303" t="s">
        <v>68</v>
      </c>
      <c r="E303" t="s">
        <v>75</v>
      </c>
      <c r="F303" t="s">
        <v>74</v>
      </c>
      <c r="H303" t="str">
        <f t="shared" si="28"/>
        <v>NE 东北大区DC 华盛顿片区BWI01</v>
      </c>
      <c r="I303" t="s">
        <v>177</v>
      </c>
      <c r="J303" t="s">
        <v>217</v>
      </c>
      <c r="K303" s="15">
        <v>0.395833333333333</v>
      </c>
      <c r="L303" s="15" t="s">
        <v>218</v>
      </c>
      <c r="M303" s="15"/>
      <c r="N303" t="s">
        <v>148</v>
      </c>
      <c r="O303" s="20" t="s">
        <v>116</v>
      </c>
      <c r="P303" s="21">
        <v>0</v>
      </c>
      <c r="Q303" s="21">
        <v>0</v>
      </c>
      <c r="R303" s="21">
        <v>0</v>
      </c>
      <c r="S303" s="21">
        <f t="shared" si="30"/>
        <v>0</v>
      </c>
      <c r="T303" s="21">
        <f t="shared" si="31"/>
        <v>0</v>
      </c>
      <c r="U303" s="21" t="str">
        <f t="shared" si="32"/>
        <v>否</v>
      </c>
      <c r="V303" s="21">
        <f>VLOOKUP($C303,[4]Sheet1!$B:$AN,39,FALSE)</f>
        <v>8.05</v>
      </c>
      <c r="W303" s="21">
        <v>0</v>
      </c>
      <c r="X303" s="23">
        <v>0</v>
      </c>
      <c r="Y303" s="23">
        <v>0</v>
      </c>
      <c r="Z303" s="25">
        <f t="shared" si="33"/>
        <v>0</v>
      </c>
      <c r="AA303" s="25" t="str">
        <f t="shared" si="34"/>
        <v>是</v>
      </c>
      <c r="AB303" t="s">
        <v>148</v>
      </c>
      <c r="AC303" t="e">
        <f>VLOOKUP(C303,[1]Sheet1!$C:$O,13,FALSE)</f>
        <v>#N/A</v>
      </c>
      <c r="AD303" t="str">
        <f>VLOOKUP($H303,'[3]0509人员排班情况 副本'!$G:$U,12,FALSE)</f>
        <v>孙可君Monica（Kejun Sun）</v>
      </c>
      <c r="AE303" t="str">
        <f>VLOOKUP($H303,'[3]0509人员排班情况 副本'!$G:$U,13,FALSE)</f>
        <v>马聪Cong (Cong Ma)</v>
      </c>
      <c r="AF303" t="str">
        <f>VLOOKUP($H303,'[3]0509人员排班情况 副本'!$G:$U,14,FALSE)</f>
        <v>朱晗宇 Peter (Hanyu Zhu)</v>
      </c>
      <c r="AG303">
        <f>VLOOKUP($H303,'[3]0509人员排班情况 副本'!$G:$U,15,FALSE)</f>
        <v>0</v>
      </c>
    </row>
    <row r="304" customHeight="1" spans="1:33">
      <c r="A304" t="s">
        <v>202</v>
      </c>
      <c r="B304" t="s">
        <v>1130</v>
      </c>
      <c r="C304" t="s">
        <v>1131</v>
      </c>
      <c r="D304" t="s">
        <v>100</v>
      </c>
      <c r="E304" t="s">
        <v>101</v>
      </c>
      <c r="F304" t="s">
        <v>243</v>
      </c>
      <c r="G304" t="s">
        <v>112</v>
      </c>
      <c r="H304" t="str">
        <f t="shared" si="28"/>
        <v>WE 美西大区CNO.H调度组</v>
      </c>
      <c r="I304" t="s">
        <v>160</v>
      </c>
      <c r="J304" t="s">
        <v>343</v>
      </c>
      <c r="K304" s="15">
        <v>0.25</v>
      </c>
      <c r="L304" s="15" t="s">
        <v>344</v>
      </c>
      <c r="M304" s="15"/>
      <c r="N304" t="s">
        <v>969</v>
      </c>
      <c r="O304" s="20" t="str">
        <f t="shared" si="29"/>
        <v>不正确</v>
      </c>
      <c r="P304" s="21">
        <v>0</v>
      </c>
      <c r="Q304" s="21">
        <v>0</v>
      </c>
      <c r="R304" s="21">
        <v>0</v>
      </c>
      <c r="S304" s="21">
        <f t="shared" si="30"/>
        <v>0</v>
      </c>
      <c r="T304" s="21">
        <f t="shared" si="31"/>
        <v>0</v>
      </c>
      <c r="U304" s="21" t="str">
        <f t="shared" si="32"/>
        <v>否</v>
      </c>
      <c r="V304" s="21">
        <f>VLOOKUP($C304,[4]Sheet1!$B:$AN,39,FALSE)</f>
        <v>10.32</v>
      </c>
      <c r="W304" s="21">
        <v>0</v>
      </c>
      <c r="X304" s="23">
        <v>3</v>
      </c>
      <c r="Y304" s="23">
        <v>4</v>
      </c>
      <c r="Z304" s="25">
        <f t="shared" si="33"/>
        <v>1</v>
      </c>
      <c r="AA304" s="25" t="str">
        <f t="shared" si="34"/>
        <v>是</v>
      </c>
      <c r="AB304" t="s">
        <v>148</v>
      </c>
      <c r="AC304" t="e">
        <f>VLOOKUP(C304,[1]Sheet1!$C:$O,13,FALSE)</f>
        <v>#N/A</v>
      </c>
      <c r="AD304" t="str">
        <f>VLOOKUP($H304,'[3]0509人员排班情况 副本'!$G:$U,12,FALSE)</f>
        <v>王骞Ariel（Qian Wang）,叶秀芳Freya (Xiufang Ye)</v>
      </c>
      <c r="AE304" t="str">
        <f>VLOOKUP($H304,'[3]0509人员排班情况 副本'!$G:$U,13,FALSE)</f>
        <v>常哲</v>
      </c>
      <c r="AF304" t="str">
        <f>VLOOKUP($H304,'[3]0509人员排班情况 副本'!$G:$U,14,FALSE)</f>
        <v>Minqing (Minqing Xu),罗煜雄 Mike (Yuxiong Luo)</v>
      </c>
      <c r="AG304">
        <f>VLOOKUP($H304,'[3]0509人员排班情况 副本'!$G:$U,15,FALSE)</f>
        <v>0</v>
      </c>
    </row>
    <row r="305" customHeight="1" spans="1:33">
      <c r="A305" t="s">
        <v>202</v>
      </c>
      <c r="B305" t="s">
        <v>1132</v>
      </c>
      <c r="C305" t="s">
        <v>1133</v>
      </c>
      <c r="D305" t="s">
        <v>56</v>
      </c>
      <c r="E305" t="s">
        <v>913</v>
      </c>
      <c r="F305" t="s">
        <v>148</v>
      </c>
      <c r="H305" t="str">
        <f t="shared" si="28"/>
        <v>IC 跨境客户部海外客户组</v>
      </c>
      <c r="I305" t="s">
        <v>1134</v>
      </c>
      <c r="J305" t="s">
        <v>236</v>
      </c>
      <c r="K305" s="15">
        <v>0.395833333333333</v>
      </c>
      <c r="L305" s="15" t="s">
        <v>218</v>
      </c>
      <c r="M305" s="15">
        <v>0.441666666666667</v>
      </c>
      <c r="N305" t="s">
        <v>1135</v>
      </c>
      <c r="O305" s="20" t="str">
        <f t="shared" si="29"/>
        <v>不正确</v>
      </c>
      <c r="P305" s="21">
        <v>0</v>
      </c>
      <c r="Q305" s="21">
        <v>8.07</v>
      </c>
      <c r="R305" s="21">
        <v>0</v>
      </c>
      <c r="S305" s="21">
        <f t="shared" si="30"/>
        <v>8.07</v>
      </c>
      <c r="T305" s="21">
        <f t="shared" si="31"/>
        <v>0.0700000000000003</v>
      </c>
      <c r="U305" s="21" t="str">
        <f t="shared" si="32"/>
        <v>是</v>
      </c>
      <c r="V305" s="21">
        <f>VLOOKUP($C305,[4]Sheet1!$B:$AN,39,FALSE)</f>
        <v>17.5</v>
      </c>
      <c r="W305" s="21">
        <v>0</v>
      </c>
      <c r="X305" s="23">
        <v>2</v>
      </c>
      <c r="Y305" s="23">
        <v>4</v>
      </c>
      <c r="Z305" s="25">
        <f t="shared" si="33"/>
        <v>2</v>
      </c>
      <c r="AA305" s="25" t="str">
        <f t="shared" si="34"/>
        <v>是</v>
      </c>
      <c r="AB305" t="s">
        <v>148</v>
      </c>
      <c r="AC305" t="e">
        <f>VLOOKUP(C305,[1]Sheet1!$C:$O,13,FALSE)</f>
        <v>#N/A</v>
      </c>
      <c r="AD305" t="str">
        <f>VLOOKUP($H305,'[3]0509人员排班情况 副本'!$G:$U,12,FALSE)</f>
        <v>袁博闻(Bowen Yuan)</v>
      </c>
      <c r="AE305">
        <f>VLOOKUP($H305,'[3]0509人员排班情况 副本'!$G:$U,13,FALSE)</f>
        <v>0</v>
      </c>
      <c r="AF305">
        <f>VLOOKUP($H305,'[3]0509人员排班情况 副本'!$G:$U,14,FALSE)</f>
        <v>0</v>
      </c>
      <c r="AG305">
        <f>VLOOKUP($H305,'[3]0509人员排班情况 副本'!$G:$U,15,FALSE)</f>
        <v>0</v>
      </c>
    </row>
    <row r="306" customHeight="1" spans="1:33">
      <c r="A306" t="s">
        <v>202</v>
      </c>
      <c r="B306" t="s">
        <v>1136</v>
      </c>
      <c r="C306" t="s">
        <v>1137</v>
      </c>
      <c r="D306" t="s">
        <v>68</v>
      </c>
      <c r="E306" t="s">
        <v>75</v>
      </c>
      <c r="F306" t="s">
        <v>1138</v>
      </c>
      <c r="H306" t="str">
        <f t="shared" si="28"/>
        <v>NE 东北大区DC 华盛顿片区IAD01</v>
      </c>
      <c r="I306" t="s">
        <v>177</v>
      </c>
      <c r="J306" t="s">
        <v>221</v>
      </c>
      <c r="K306" s="15">
        <v>0.208333333333333</v>
      </c>
      <c r="L306" s="15" t="s">
        <v>222</v>
      </c>
      <c r="M306" s="15">
        <v>0.188888888888889</v>
      </c>
      <c r="N306" t="s">
        <v>1139</v>
      </c>
      <c r="O306" s="20" t="str">
        <f t="shared" si="29"/>
        <v>正确</v>
      </c>
      <c r="P306" s="21">
        <v>0</v>
      </c>
      <c r="Q306" s="21">
        <v>9.92</v>
      </c>
      <c r="R306" s="21">
        <v>0</v>
      </c>
      <c r="S306" s="21">
        <f t="shared" si="30"/>
        <v>9.92</v>
      </c>
      <c r="T306" s="21">
        <f t="shared" si="31"/>
        <v>1.92</v>
      </c>
      <c r="U306" s="21" t="str">
        <f t="shared" si="32"/>
        <v>是</v>
      </c>
      <c r="V306" s="21">
        <f>VLOOKUP($C306,[4]Sheet1!$B:$AN,39,FALSE)</f>
        <v>18.49</v>
      </c>
      <c r="W306" s="21">
        <v>26.31</v>
      </c>
      <c r="X306" s="23">
        <v>2</v>
      </c>
      <c r="Y306" s="23">
        <v>4</v>
      </c>
      <c r="Z306" s="25">
        <f t="shared" si="33"/>
        <v>2</v>
      </c>
      <c r="AA306" s="25" t="str">
        <f t="shared" si="34"/>
        <v>是</v>
      </c>
      <c r="AB306" t="s">
        <v>148</v>
      </c>
      <c r="AC306" t="e">
        <f>VLOOKUP(C306,[1]Sheet1!$C:$O,13,FALSE)</f>
        <v>#N/A</v>
      </c>
      <c r="AD306" t="str">
        <f>VLOOKUP($H306,'[3]0509人员排班情况 副本'!$G:$U,12,FALSE)</f>
        <v>孙可君Monica（Kejun Sun）</v>
      </c>
      <c r="AE306" t="str">
        <f>VLOOKUP($H306,'[3]0509人员排班情况 副本'!$G:$U,13,FALSE)</f>
        <v>马聪Cong (Cong Ma)</v>
      </c>
      <c r="AF306" t="str">
        <f>VLOOKUP($H306,'[3]0509人员排班情况 副本'!$G:$U,14,FALSE)</f>
        <v>朱晗宇 Peter (Hanyu Zhu)</v>
      </c>
      <c r="AG306">
        <f>VLOOKUP($H306,'[3]0509人员排班情况 副本'!$G:$U,15,FALSE)</f>
        <v>0</v>
      </c>
    </row>
    <row r="307" customHeight="1" spans="1:33">
      <c r="A307" t="s">
        <v>202</v>
      </c>
      <c r="B307" t="s">
        <v>1140</v>
      </c>
      <c r="C307" t="s">
        <v>1141</v>
      </c>
      <c r="D307" t="s">
        <v>31</v>
      </c>
      <c r="E307" t="s">
        <v>37</v>
      </c>
      <c r="F307" t="s">
        <v>148</v>
      </c>
      <c r="H307" t="str">
        <f t="shared" si="28"/>
        <v>GL 大湖大区IND01</v>
      </c>
      <c r="I307" t="s">
        <v>177</v>
      </c>
      <c r="J307" t="s">
        <v>217</v>
      </c>
      <c r="K307" s="15">
        <v>0.395833333333333</v>
      </c>
      <c r="L307" s="15" t="s">
        <v>218</v>
      </c>
      <c r="M307" s="15"/>
      <c r="N307" t="s">
        <v>148</v>
      </c>
      <c r="O307" s="20" t="s">
        <v>116</v>
      </c>
      <c r="P307" s="21">
        <v>0</v>
      </c>
      <c r="Q307" s="21">
        <v>0</v>
      </c>
      <c r="R307" s="21">
        <v>0</v>
      </c>
      <c r="S307" s="21">
        <f t="shared" si="30"/>
        <v>0</v>
      </c>
      <c r="T307" s="21">
        <f t="shared" si="31"/>
        <v>0</v>
      </c>
      <c r="U307" s="21" t="str">
        <f t="shared" si="32"/>
        <v>否</v>
      </c>
      <c r="V307" s="21">
        <f>VLOOKUP($C307,[4]Sheet1!$B:$AN,39,FALSE)</f>
        <v>8.45</v>
      </c>
      <c r="W307" s="21">
        <v>0</v>
      </c>
      <c r="X307" s="23">
        <v>0</v>
      </c>
      <c r="Y307" s="23">
        <v>0</v>
      </c>
      <c r="Z307" s="25">
        <f t="shared" si="33"/>
        <v>0</v>
      </c>
      <c r="AA307" s="25" t="str">
        <f t="shared" si="34"/>
        <v>是</v>
      </c>
      <c r="AB307" t="s">
        <v>148</v>
      </c>
      <c r="AC307" t="e">
        <f>VLOOKUP(C307,[1]Sheet1!$C:$O,13,FALSE)</f>
        <v>#N/A</v>
      </c>
      <c r="AD307" t="str">
        <f>VLOOKUP($H307,'[3]0509人员排班情况 副本'!$G:$U,12,FALSE)</f>
        <v>王晓丹 Jasmine（Xiaodan Wang）,周延舒Isabel（Yanshu Zhou）</v>
      </c>
      <c r="AE307" t="str">
        <f>VLOOKUP($H307,'[3]0509人员排班情况 副本'!$G:$U,13,FALSE)</f>
        <v>张骥Ji Zhang (Ji Zhang)</v>
      </c>
      <c r="AF307">
        <f>VLOOKUP($H307,'[3]0509人员排班情况 副本'!$G:$U,14,FALSE)</f>
        <v>0</v>
      </c>
      <c r="AG307">
        <f>VLOOKUP($H307,'[3]0509人员排班情况 副本'!$G:$U,15,FALSE)</f>
        <v>0</v>
      </c>
    </row>
    <row r="308" customHeight="1" spans="1:33">
      <c r="A308" t="s">
        <v>202</v>
      </c>
      <c r="B308" t="s">
        <v>1142</v>
      </c>
      <c r="C308" t="s">
        <v>1143</v>
      </c>
      <c r="D308" t="s">
        <v>99</v>
      </c>
      <c r="E308" t="s">
        <v>677</v>
      </c>
      <c r="F308" t="s">
        <v>1083</v>
      </c>
      <c r="H308" t="str">
        <f t="shared" si="28"/>
        <v>US人力资源部美洲HRBP组东北区HR组</v>
      </c>
      <c r="I308" t="s">
        <v>710</v>
      </c>
      <c r="J308" t="s">
        <v>236</v>
      </c>
      <c r="K308" s="15">
        <v>0.395833333333333</v>
      </c>
      <c r="L308" s="15" t="s">
        <v>218</v>
      </c>
      <c r="M308" s="15">
        <v>0.419444444444444</v>
      </c>
      <c r="N308" t="s">
        <v>1144</v>
      </c>
      <c r="O308" s="20" t="str">
        <f t="shared" si="29"/>
        <v>正确</v>
      </c>
      <c r="P308" s="21">
        <v>0</v>
      </c>
      <c r="Q308" s="21">
        <v>7.82</v>
      </c>
      <c r="R308" s="21">
        <v>0</v>
      </c>
      <c r="S308" s="21">
        <f t="shared" si="30"/>
        <v>7.82</v>
      </c>
      <c r="T308" s="21">
        <f t="shared" si="31"/>
        <v>0</v>
      </c>
      <c r="U308" s="21" t="str">
        <f t="shared" si="32"/>
        <v>否</v>
      </c>
      <c r="V308" s="21">
        <f>VLOOKUP($C308,[4]Sheet1!$B:$AN,39,FALSE)</f>
        <v>7.82</v>
      </c>
      <c r="W308" s="21">
        <v>0</v>
      </c>
      <c r="X308" s="23">
        <v>2</v>
      </c>
      <c r="Y308" s="23">
        <v>4</v>
      </c>
      <c r="Z308" s="25">
        <f t="shared" si="33"/>
        <v>2</v>
      </c>
      <c r="AA308" s="25" t="str">
        <f t="shared" si="34"/>
        <v>是</v>
      </c>
      <c r="AB308" t="s">
        <v>148</v>
      </c>
      <c r="AC308" t="e">
        <f>VLOOKUP(C308,[1]Sheet1!$C:$O,13,FALSE)</f>
        <v>#N/A</v>
      </c>
      <c r="AD308" t="str">
        <f>VLOOKUP($H308,'[3]0509人员排班情况 副本'!$G:$U,12,FALSE)</f>
        <v>袁博闻(Bowen Yuan)</v>
      </c>
      <c r="AE308">
        <f>VLOOKUP($H308,'[3]0509人员排班情况 副本'!$G:$U,13,FALSE)</f>
        <v>0</v>
      </c>
      <c r="AF308">
        <f>VLOOKUP($H308,'[3]0509人员排班情况 副本'!$G:$U,14,FALSE)</f>
        <v>0</v>
      </c>
      <c r="AG308">
        <f>VLOOKUP($H308,'[3]0509人员排班情况 副本'!$G:$U,15,FALSE)</f>
        <v>0</v>
      </c>
    </row>
    <row r="309" customHeight="1" spans="1:33">
      <c r="A309" t="s">
        <v>202</v>
      </c>
      <c r="B309" t="s">
        <v>1145</v>
      </c>
      <c r="C309" t="s">
        <v>1146</v>
      </c>
      <c r="D309" t="s">
        <v>48</v>
      </c>
      <c r="E309" t="s">
        <v>51</v>
      </c>
      <c r="F309" t="s">
        <v>1147</v>
      </c>
      <c r="H309" t="str">
        <f t="shared" si="28"/>
        <v>Ground项目部OG 美西区SD921</v>
      </c>
      <c r="I309" t="s">
        <v>687</v>
      </c>
      <c r="J309" t="s">
        <v>229</v>
      </c>
      <c r="K309" s="15">
        <v>0.270833333333333</v>
      </c>
      <c r="L309" s="15" t="s">
        <v>230</v>
      </c>
      <c r="M309" s="15">
        <v>0.246527777777778</v>
      </c>
      <c r="N309" t="s">
        <v>374</v>
      </c>
      <c r="O309" s="20" t="str">
        <f t="shared" si="29"/>
        <v>正确</v>
      </c>
      <c r="P309" s="21">
        <v>0</v>
      </c>
      <c r="Q309" s="21">
        <v>9.08</v>
      </c>
      <c r="R309" s="21">
        <v>0</v>
      </c>
      <c r="S309" s="21">
        <f t="shared" si="30"/>
        <v>9.08</v>
      </c>
      <c r="T309" s="21">
        <f t="shared" si="31"/>
        <v>1.08</v>
      </c>
      <c r="U309" s="21" t="str">
        <f t="shared" si="32"/>
        <v>是</v>
      </c>
      <c r="V309" s="21">
        <f>VLOOKUP($C309,[4]Sheet1!$B:$AN,39,FALSE)</f>
        <v>9.08</v>
      </c>
      <c r="W309" s="21">
        <v>0</v>
      </c>
      <c r="X309" s="23">
        <v>3</v>
      </c>
      <c r="Y309" s="23">
        <v>4</v>
      </c>
      <c r="Z309" s="25">
        <f t="shared" si="33"/>
        <v>1</v>
      </c>
      <c r="AA309" s="25" t="str">
        <f t="shared" si="34"/>
        <v>是</v>
      </c>
      <c r="AB309" t="s">
        <v>148</v>
      </c>
      <c r="AC309" t="e">
        <f>VLOOKUP(C309,[1]Sheet1!$C:$O,13,FALSE)</f>
        <v>#N/A</v>
      </c>
      <c r="AD309" t="str">
        <f>VLOOKUP($H309,'[3]0509人员排班情况 副本'!$G:$U,12,FALSE)</f>
        <v>王安琪 (Anqi Wang),张朱同 Thomson（Zhutong Zhang）</v>
      </c>
      <c r="AE309" t="str">
        <f>VLOOKUP($H309,'[3]0509人员排班情况 副本'!$G:$U,13,FALSE)</f>
        <v>陈锦昭</v>
      </c>
      <c r="AF309" t="str">
        <f>VLOOKUP($H309,'[3]0509人员排班情况 副本'!$G:$U,14,FALSE)</f>
        <v>宋佳牧 Dorian (Jiamu Song)</v>
      </c>
      <c r="AG309">
        <f>VLOOKUP($H309,'[3]0509人员排班情况 副本'!$G:$U,15,FALSE)</f>
        <v>0</v>
      </c>
    </row>
    <row r="310" customHeight="1" spans="1:33">
      <c r="A310" t="s">
        <v>202</v>
      </c>
      <c r="B310" t="s">
        <v>1148</v>
      </c>
      <c r="C310" t="s">
        <v>1149</v>
      </c>
      <c r="D310" t="s">
        <v>100</v>
      </c>
      <c r="E310" t="s">
        <v>101</v>
      </c>
      <c r="F310" t="s">
        <v>312</v>
      </c>
      <c r="G310" t="s">
        <v>112</v>
      </c>
      <c r="H310" t="str">
        <f t="shared" si="28"/>
        <v>WE 美西大区CNO.H异常处理组</v>
      </c>
      <c r="I310" t="s">
        <v>778</v>
      </c>
      <c r="J310" t="s">
        <v>407</v>
      </c>
      <c r="K310" s="15">
        <v>0.354166666666667</v>
      </c>
      <c r="L310" s="15" t="s">
        <v>254</v>
      </c>
      <c r="M310" s="15">
        <v>0.365972222222222</v>
      </c>
      <c r="N310" t="s">
        <v>946</v>
      </c>
      <c r="O310" s="20" t="str">
        <f t="shared" si="29"/>
        <v>正确</v>
      </c>
      <c r="P310" s="21">
        <v>0</v>
      </c>
      <c r="Q310" s="21">
        <v>9.18</v>
      </c>
      <c r="R310" s="21">
        <v>0</v>
      </c>
      <c r="S310" s="21">
        <f t="shared" si="30"/>
        <v>9.18</v>
      </c>
      <c r="T310" s="21">
        <f t="shared" si="31"/>
        <v>1.18</v>
      </c>
      <c r="U310" s="21" t="str">
        <f t="shared" si="32"/>
        <v>是</v>
      </c>
      <c r="V310" s="21">
        <f>VLOOKUP($C310,[4]Sheet1!$B:$AN,39,FALSE)</f>
        <v>9.18</v>
      </c>
      <c r="W310" s="21">
        <v>0</v>
      </c>
      <c r="X310" s="23">
        <v>4</v>
      </c>
      <c r="Y310" s="23">
        <v>4</v>
      </c>
      <c r="Z310" s="25">
        <f t="shared" si="33"/>
        <v>0</v>
      </c>
      <c r="AA310" s="25" t="str">
        <f t="shared" si="34"/>
        <v>是</v>
      </c>
      <c r="AB310" t="s">
        <v>148</v>
      </c>
      <c r="AC310" t="e">
        <f>VLOOKUP(C310,[1]Sheet1!$C:$O,13,FALSE)</f>
        <v>#N/A</v>
      </c>
      <c r="AD310" t="str">
        <f>VLOOKUP($H310,'[3]0509人员排班情况 副本'!$G:$U,12,FALSE)</f>
        <v>王骞Ariel（Qian Wang）,叶秀芳Freya (Xiufang Ye)</v>
      </c>
      <c r="AE310" t="str">
        <f>VLOOKUP($H310,'[3]0509人员排班情况 副本'!$G:$U,13,FALSE)</f>
        <v>常哲</v>
      </c>
      <c r="AF310" t="str">
        <f>VLOOKUP($H310,'[3]0509人员排班情况 副本'!$G:$U,14,FALSE)</f>
        <v>Minqing (Minqing Xu),罗煜雄 Mike (Yuxiong Luo)</v>
      </c>
      <c r="AG310">
        <f>VLOOKUP($H310,'[3]0509人员排班情况 副本'!$G:$U,15,FALSE)</f>
        <v>0</v>
      </c>
    </row>
    <row r="311" customHeight="1" spans="1:33">
      <c r="A311" t="s">
        <v>202</v>
      </c>
      <c r="B311" t="s">
        <v>1150</v>
      </c>
      <c r="C311" t="s">
        <v>1151</v>
      </c>
      <c r="D311" t="s">
        <v>100</v>
      </c>
      <c r="E311" t="s">
        <v>103</v>
      </c>
      <c r="F311" t="s">
        <v>210</v>
      </c>
      <c r="G311" t="s">
        <v>112</v>
      </c>
      <c r="H311" t="str">
        <f t="shared" si="28"/>
        <v>WE 美西大区LAV.H操作组</v>
      </c>
      <c r="I311" t="s">
        <v>156</v>
      </c>
      <c r="J311" t="s">
        <v>1152</v>
      </c>
      <c r="K311" s="15">
        <v>0.375</v>
      </c>
      <c r="L311" s="15" t="s">
        <v>218</v>
      </c>
      <c r="M311" s="15"/>
      <c r="N311" t="s">
        <v>148</v>
      </c>
      <c r="O311" s="20" t="s">
        <v>116</v>
      </c>
      <c r="P311" s="21">
        <v>0</v>
      </c>
      <c r="Q311" s="21">
        <v>0</v>
      </c>
      <c r="R311" s="21">
        <v>0</v>
      </c>
      <c r="S311" s="21">
        <f t="shared" si="30"/>
        <v>0</v>
      </c>
      <c r="T311" s="21">
        <f t="shared" si="31"/>
        <v>0</v>
      </c>
      <c r="U311" s="21" t="str">
        <f t="shared" si="32"/>
        <v>否</v>
      </c>
      <c r="V311" s="21">
        <f>VLOOKUP($C311,[4]Sheet1!$B:$AN,39,FALSE)</f>
        <v>0</v>
      </c>
      <c r="W311" s="21">
        <v>2.28</v>
      </c>
      <c r="X311" s="23">
        <v>0</v>
      </c>
      <c r="Y311" s="23">
        <v>0</v>
      </c>
      <c r="Z311" s="25">
        <f t="shared" si="33"/>
        <v>0</v>
      </c>
      <c r="AA311" s="25" t="str">
        <f t="shared" si="34"/>
        <v>是</v>
      </c>
      <c r="AB311" t="s">
        <v>148</v>
      </c>
      <c r="AC311" t="e">
        <f>VLOOKUP(C311,[1]Sheet1!$C:$O,13,FALSE)</f>
        <v>#N/A</v>
      </c>
      <c r="AD311" t="str">
        <f>VLOOKUP($H311,'[3]0509人员排班情况 副本'!$G:$U,12,FALSE)</f>
        <v>王骞Ariel（Qian Wang）,叶秀芳Freya (Xiufang Ye)</v>
      </c>
      <c r="AE311" t="str">
        <f>VLOOKUP($H311,'[3]0509人员排班情况 副本'!$G:$U,13,FALSE)</f>
        <v>常哲</v>
      </c>
      <c r="AF311" t="str">
        <f>VLOOKUP($H311,'[3]0509人员排班情况 副本'!$G:$U,14,FALSE)</f>
        <v>Minqing (Minqing Xu),罗煜雄 Mike (Yuxiong Luo)</v>
      </c>
      <c r="AG311">
        <f>VLOOKUP($H311,'[3]0509人员排班情况 副本'!$G:$U,15,FALSE)</f>
        <v>0</v>
      </c>
    </row>
    <row r="312" customHeight="1" spans="1:33">
      <c r="A312" t="s">
        <v>202</v>
      </c>
      <c r="B312" t="s">
        <v>1153</v>
      </c>
      <c r="C312" t="s">
        <v>1154</v>
      </c>
      <c r="D312" t="s">
        <v>99</v>
      </c>
      <c r="E312" t="s">
        <v>677</v>
      </c>
      <c r="F312" t="s">
        <v>1155</v>
      </c>
      <c r="H312" t="str">
        <f t="shared" si="28"/>
        <v>US人力资源部美洲HRBP组佛州区HR组</v>
      </c>
      <c r="I312" t="s">
        <v>1156</v>
      </c>
      <c r="J312" t="s">
        <v>236</v>
      </c>
      <c r="K312" s="15">
        <v>0.395833333333333</v>
      </c>
      <c r="L312" s="15" t="s">
        <v>218</v>
      </c>
      <c r="M312" s="15"/>
      <c r="N312" t="s">
        <v>946</v>
      </c>
      <c r="O312" s="20" t="str">
        <f t="shared" si="29"/>
        <v>不正确</v>
      </c>
      <c r="P312" s="21">
        <v>0</v>
      </c>
      <c r="Q312" s="21">
        <v>0</v>
      </c>
      <c r="R312" s="21">
        <v>0</v>
      </c>
      <c r="S312" s="21">
        <f t="shared" si="30"/>
        <v>0</v>
      </c>
      <c r="T312" s="21">
        <f t="shared" si="31"/>
        <v>0</v>
      </c>
      <c r="U312" s="21" t="str">
        <f t="shared" si="32"/>
        <v>否</v>
      </c>
      <c r="V312" s="21">
        <f>VLOOKUP($C312,[4]Sheet1!$B:$AN,39,FALSE)</f>
        <v>7.68</v>
      </c>
      <c r="W312" s="21">
        <v>5.72</v>
      </c>
      <c r="X312" s="23">
        <v>1</v>
      </c>
      <c r="Y312" s="23">
        <v>4</v>
      </c>
      <c r="Z312" s="25">
        <f t="shared" si="33"/>
        <v>3</v>
      </c>
      <c r="AA312" s="25" t="str">
        <f t="shared" si="34"/>
        <v>是</v>
      </c>
      <c r="AB312" t="s">
        <v>148</v>
      </c>
      <c r="AC312" t="e">
        <f>VLOOKUP(C312,[1]Sheet1!$C:$O,13,FALSE)</f>
        <v>#N/A</v>
      </c>
      <c r="AD312" t="str">
        <f>VLOOKUP($H312,'[3]0509人员排班情况 副本'!$G:$U,12,FALSE)</f>
        <v>袁博闻(Bowen Yuan)</v>
      </c>
      <c r="AE312">
        <f>VLOOKUP($H312,'[3]0509人员排班情况 副本'!$G:$U,13,FALSE)</f>
        <v>0</v>
      </c>
      <c r="AF312">
        <f>VLOOKUP($H312,'[3]0509人员排班情况 副本'!$G:$U,14,FALSE)</f>
        <v>0</v>
      </c>
      <c r="AG312">
        <f>VLOOKUP($H312,'[3]0509人员排班情况 副本'!$G:$U,15,FALSE)</f>
        <v>0</v>
      </c>
    </row>
    <row r="313" customHeight="1" spans="1:33">
      <c r="A313" t="s">
        <v>202</v>
      </c>
      <c r="B313" t="s">
        <v>1157</v>
      </c>
      <c r="C313" t="s">
        <v>1158</v>
      </c>
      <c r="D313" t="s">
        <v>91</v>
      </c>
      <c r="E313" t="s">
        <v>991</v>
      </c>
      <c r="F313" t="s">
        <v>148</v>
      </c>
      <c r="H313" t="str">
        <f t="shared" si="28"/>
        <v>SM 站点管理部站点实施组</v>
      </c>
      <c r="I313" t="s">
        <v>992</v>
      </c>
      <c r="J313" t="s">
        <v>236</v>
      </c>
      <c r="K313" s="15">
        <v>0.395833333333333</v>
      </c>
      <c r="L313" s="15" t="s">
        <v>218</v>
      </c>
      <c r="M313" s="15"/>
      <c r="N313" t="s">
        <v>148</v>
      </c>
      <c r="O313" s="20" t="str">
        <f t="shared" si="29"/>
        <v>不正确</v>
      </c>
      <c r="P313" s="21">
        <v>0</v>
      </c>
      <c r="Q313" s="21">
        <v>0</v>
      </c>
      <c r="R313" s="21">
        <v>0</v>
      </c>
      <c r="S313" s="21">
        <f t="shared" si="30"/>
        <v>0</v>
      </c>
      <c r="T313" s="21">
        <f t="shared" si="31"/>
        <v>0</v>
      </c>
      <c r="U313" s="21" t="str">
        <f t="shared" si="32"/>
        <v>否</v>
      </c>
      <c r="V313" s="21">
        <f>VLOOKUP($C313,[4]Sheet1!$B:$AN,39,FALSE)</f>
        <v>0</v>
      </c>
      <c r="W313" s="21">
        <v>0</v>
      </c>
      <c r="X313" s="23">
        <v>0</v>
      </c>
      <c r="Y313" s="23">
        <v>4</v>
      </c>
      <c r="Z313" s="25">
        <f t="shared" si="33"/>
        <v>4</v>
      </c>
      <c r="AA313" s="25" t="str">
        <f t="shared" si="34"/>
        <v>是</v>
      </c>
      <c r="AB313" t="s">
        <v>148</v>
      </c>
      <c r="AC313" t="e">
        <f>VLOOKUP(C313,[1]Sheet1!$C:$O,13,FALSE)</f>
        <v>#N/A</v>
      </c>
      <c r="AD313" t="str">
        <f>VLOOKUP($H313,'[3]0509人员排班情况 副本'!$G:$U,12,FALSE)</f>
        <v>袁博闻(Bowen Yuan)</v>
      </c>
      <c r="AE313">
        <f>VLOOKUP($H313,'[3]0509人员排班情况 副本'!$G:$U,13,FALSE)</f>
        <v>0</v>
      </c>
      <c r="AF313">
        <f>VLOOKUP($H313,'[3]0509人员排班情况 副本'!$G:$U,14,FALSE)</f>
        <v>0</v>
      </c>
      <c r="AG313">
        <f>VLOOKUP($H313,'[3]0509人员排班情况 副本'!$G:$U,15,FALSE)</f>
        <v>0</v>
      </c>
    </row>
    <row r="314" customHeight="1" spans="1:33">
      <c r="A314" t="s">
        <v>202</v>
      </c>
      <c r="B314" t="s">
        <v>1159</v>
      </c>
      <c r="C314" t="s">
        <v>1160</v>
      </c>
      <c r="D314" t="s">
        <v>100</v>
      </c>
      <c r="E314" t="s">
        <v>102</v>
      </c>
      <c r="F314" t="s">
        <v>1161</v>
      </c>
      <c r="H314" t="str">
        <f t="shared" si="28"/>
        <v>WE 美西大区DS 丹佛·盐湖城片区SLC01</v>
      </c>
      <c r="I314" t="s">
        <v>156</v>
      </c>
      <c r="J314" t="s">
        <v>343</v>
      </c>
      <c r="K314" s="15">
        <v>0.25</v>
      </c>
      <c r="L314" s="15" t="s">
        <v>344</v>
      </c>
      <c r="M314" s="15">
        <v>0.253472222222222</v>
      </c>
      <c r="N314" t="s">
        <v>450</v>
      </c>
      <c r="O314" s="20" t="str">
        <f t="shared" si="29"/>
        <v>正确</v>
      </c>
      <c r="P314" s="21">
        <v>0</v>
      </c>
      <c r="Q314" s="21">
        <v>9.38</v>
      </c>
      <c r="R314" s="21">
        <v>0</v>
      </c>
      <c r="S314" s="21">
        <f t="shared" si="30"/>
        <v>9.38</v>
      </c>
      <c r="T314" s="21">
        <f t="shared" si="31"/>
        <v>1.38</v>
      </c>
      <c r="U314" s="21" t="str">
        <f t="shared" si="32"/>
        <v>是</v>
      </c>
      <c r="V314" s="21">
        <f>VLOOKUP($C314,[4]Sheet1!$B:$AN,39,FALSE)</f>
        <v>20.8</v>
      </c>
      <c r="W314" s="21">
        <v>0</v>
      </c>
      <c r="X314" s="23">
        <v>4</v>
      </c>
      <c r="Y314" s="23">
        <v>4</v>
      </c>
      <c r="Z314" s="25">
        <f t="shared" si="33"/>
        <v>0</v>
      </c>
      <c r="AA314" s="25" t="str">
        <f t="shared" si="34"/>
        <v>是</v>
      </c>
      <c r="AB314" t="s">
        <v>148</v>
      </c>
      <c r="AC314" t="e">
        <f>VLOOKUP(C314,[1]Sheet1!$C:$O,13,FALSE)</f>
        <v>#N/A</v>
      </c>
      <c r="AD314" t="str">
        <f>VLOOKUP($H314,'[3]0509人员排班情况 副本'!$G:$U,12,FALSE)</f>
        <v>王骞Ariel（Qian Wang）,叶秀芳Freya (Xiufang Ye)</v>
      </c>
      <c r="AE314" t="str">
        <f>VLOOKUP($H314,'[3]0509人员排班情况 副本'!$G:$U,13,FALSE)</f>
        <v>常哲</v>
      </c>
      <c r="AF314" t="str">
        <f>VLOOKUP($H314,'[3]0509人员排班情况 副本'!$G:$U,14,FALSE)</f>
        <v>兰鹏Peng（Peng Lan）</v>
      </c>
      <c r="AG314">
        <f>VLOOKUP($H314,'[3]0509人员排班情况 副本'!$G:$U,15,FALSE)</f>
        <v>0</v>
      </c>
    </row>
    <row r="315" customHeight="1" spans="1:33">
      <c r="A315" t="s">
        <v>202</v>
      </c>
      <c r="B315" t="s">
        <v>1162</v>
      </c>
      <c r="C315" t="s">
        <v>1163</v>
      </c>
      <c r="D315" t="s">
        <v>58</v>
      </c>
      <c r="E315" t="s">
        <v>60</v>
      </c>
      <c r="F315" t="s">
        <v>228</v>
      </c>
      <c r="H315" t="str">
        <f t="shared" si="28"/>
        <v>MS 中南大区AS 亚特兰大和南阿拉巴马片区ATL01</v>
      </c>
      <c r="I315" t="s">
        <v>177</v>
      </c>
      <c r="J315" t="s">
        <v>975</v>
      </c>
      <c r="K315" s="15">
        <v>0.3125</v>
      </c>
      <c r="L315" s="15" t="s">
        <v>976</v>
      </c>
      <c r="M315" s="15">
        <v>0.317361111111111</v>
      </c>
      <c r="N315" t="s">
        <v>1164</v>
      </c>
      <c r="O315" s="20" t="str">
        <f t="shared" si="29"/>
        <v>正确</v>
      </c>
      <c r="P315" s="21">
        <v>0</v>
      </c>
      <c r="Q315" s="21">
        <v>12</v>
      </c>
      <c r="R315" s="21">
        <v>0</v>
      </c>
      <c r="S315" s="21">
        <f t="shared" si="30"/>
        <v>12</v>
      </c>
      <c r="T315" s="21">
        <f t="shared" si="31"/>
        <v>4</v>
      </c>
      <c r="U315" s="21" t="str">
        <f t="shared" si="32"/>
        <v>是</v>
      </c>
      <c r="V315" s="21">
        <f>VLOOKUP($C315,[4]Sheet1!$B:$AN,39,FALSE)</f>
        <v>24.7</v>
      </c>
      <c r="W315" s="21">
        <v>0</v>
      </c>
      <c r="X315" s="23">
        <v>4</v>
      </c>
      <c r="Y315" s="23">
        <v>4</v>
      </c>
      <c r="Z315" s="25">
        <f t="shared" si="33"/>
        <v>0</v>
      </c>
      <c r="AA315" s="25" t="str">
        <f t="shared" si="34"/>
        <v>是</v>
      </c>
      <c r="AB315" t="s">
        <v>148</v>
      </c>
      <c r="AC315" t="e">
        <f>VLOOKUP(C315,[1]Sheet1!$C:$O,13,FALSE)</f>
        <v>#N/A</v>
      </c>
      <c r="AD315" t="str">
        <f>VLOOKUP($H315,'[3]0509人员排班情况 副本'!$G:$U,12,FALSE)</f>
        <v>欧阳迎春Flower（Yingchun Ouyang）</v>
      </c>
      <c r="AE315" t="str">
        <f>VLOOKUP($H315,'[3]0509人员排班情况 副本'!$G:$U,13,FALSE)</f>
        <v>杨云飞</v>
      </c>
      <c r="AF315" t="str">
        <f>VLOOKUP($H315,'[3]0509人员排班情况 副本'!$G:$U,14,FALSE)</f>
        <v>李明峰Lucas(Mingfeng Li)</v>
      </c>
      <c r="AG315">
        <f>VLOOKUP($H315,'[3]0509人员排班情况 副本'!$G:$U,15,FALSE)</f>
        <v>0</v>
      </c>
    </row>
    <row r="316" customHeight="1" spans="1:33">
      <c r="A316" t="s">
        <v>202</v>
      </c>
      <c r="B316" t="s">
        <v>1165</v>
      </c>
      <c r="C316" t="s">
        <v>1166</v>
      </c>
      <c r="D316" t="s">
        <v>100</v>
      </c>
      <c r="E316" t="s">
        <v>29</v>
      </c>
      <c r="F316" t="s">
        <v>200</v>
      </c>
      <c r="H316" t="str">
        <f t="shared" si="28"/>
        <v>WE 美西大区运营支持部区域支持组</v>
      </c>
      <c r="I316" t="s">
        <v>201</v>
      </c>
      <c r="J316" t="s">
        <v>236</v>
      </c>
      <c r="K316" s="15">
        <v>0.395833333333333</v>
      </c>
      <c r="L316" s="15" t="s">
        <v>218</v>
      </c>
      <c r="M316" s="15">
        <v>0.411805555555556</v>
      </c>
      <c r="N316" t="s">
        <v>1167</v>
      </c>
      <c r="O316" s="20" t="str">
        <f t="shared" si="29"/>
        <v>正确</v>
      </c>
      <c r="P316" s="21">
        <v>0</v>
      </c>
      <c r="Q316" s="21">
        <v>8.18</v>
      </c>
      <c r="R316" s="21">
        <v>0</v>
      </c>
      <c r="S316" s="21">
        <f t="shared" si="30"/>
        <v>8.18</v>
      </c>
      <c r="T316" s="21">
        <f t="shared" si="31"/>
        <v>0.18</v>
      </c>
      <c r="U316" s="21" t="str">
        <f t="shared" si="32"/>
        <v>是</v>
      </c>
      <c r="V316" s="21">
        <f>VLOOKUP($C316,[4]Sheet1!$B:$AN,39,FALSE)</f>
        <v>16.35</v>
      </c>
      <c r="W316" s="21">
        <v>0</v>
      </c>
      <c r="X316" s="23">
        <v>4</v>
      </c>
      <c r="Y316" s="23">
        <v>4</v>
      </c>
      <c r="Z316" s="25">
        <f t="shared" si="33"/>
        <v>0</v>
      </c>
      <c r="AA316" s="25" t="str">
        <f t="shared" si="34"/>
        <v>是</v>
      </c>
      <c r="AB316" t="s">
        <v>148</v>
      </c>
      <c r="AC316" t="e">
        <f>VLOOKUP(C316,[1]Sheet1!$C:$O,13,FALSE)</f>
        <v>#N/A</v>
      </c>
      <c r="AD316" t="str">
        <f>VLOOKUP($H316,'[3]0509人员排班情况 副本'!$G:$U,12,FALSE)</f>
        <v>王骞Ariel（Qian Wang）,叶秀芳Freya (Xiufang Ye)</v>
      </c>
      <c r="AE316" t="str">
        <f>VLOOKUP($H316,'[3]0509人员排班情况 副本'!$G:$U,13,FALSE)</f>
        <v>常哲</v>
      </c>
      <c r="AF316">
        <f>VLOOKUP($H316,'[3]0509人员排班情况 副本'!$G:$U,14,FALSE)</f>
        <v>0</v>
      </c>
      <c r="AG316">
        <f>VLOOKUP($H316,'[3]0509人员排班情况 副本'!$G:$U,15,FALSE)</f>
        <v>0</v>
      </c>
    </row>
    <row r="317" customHeight="1" spans="1:33">
      <c r="A317" t="s">
        <v>202</v>
      </c>
      <c r="B317" t="s">
        <v>1168</v>
      </c>
      <c r="C317" t="s">
        <v>1169</v>
      </c>
      <c r="D317" t="s">
        <v>14</v>
      </c>
      <c r="E317" t="s">
        <v>645</v>
      </c>
      <c r="F317" t="s">
        <v>148</v>
      </c>
      <c r="H317" t="str">
        <f t="shared" si="28"/>
        <v>DO 数字运营部美国技术支持组</v>
      </c>
      <c r="I317" t="s">
        <v>646</v>
      </c>
      <c r="J317" t="s">
        <v>343</v>
      </c>
      <c r="K317" s="15">
        <v>0.25</v>
      </c>
      <c r="L317" s="15" t="s">
        <v>344</v>
      </c>
      <c r="M317" s="15">
        <v>0.322916666666667</v>
      </c>
      <c r="N317" t="s">
        <v>148</v>
      </c>
      <c r="O317" s="20" t="str">
        <f t="shared" si="29"/>
        <v>不正确</v>
      </c>
      <c r="P317" s="21">
        <v>0</v>
      </c>
      <c r="Q317" s="21">
        <v>0</v>
      </c>
      <c r="R317" s="21">
        <v>0</v>
      </c>
      <c r="S317" s="21">
        <f t="shared" si="30"/>
        <v>0</v>
      </c>
      <c r="T317" s="21">
        <f t="shared" si="31"/>
        <v>0</v>
      </c>
      <c r="U317" s="21" t="str">
        <f t="shared" si="32"/>
        <v>否</v>
      </c>
      <c r="V317" s="21">
        <f>VLOOKUP($C317,[4]Sheet1!$B:$AN,39,FALSE)</f>
        <v>0</v>
      </c>
      <c r="W317" s="21">
        <v>0</v>
      </c>
      <c r="X317" s="23">
        <v>1</v>
      </c>
      <c r="Y317" s="23">
        <v>4</v>
      </c>
      <c r="Z317" s="25">
        <f t="shared" si="33"/>
        <v>3</v>
      </c>
      <c r="AA317" s="25" t="str">
        <f t="shared" si="34"/>
        <v>是</v>
      </c>
      <c r="AB317" t="s">
        <v>148</v>
      </c>
      <c r="AC317" t="e">
        <f>VLOOKUP(C317,[1]Sheet1!$C:$O,13,FALSE)</f>
        <v>#N/A</v>
      </c>
      <c r="AD317" t="str">
        <f>VLOOKUP($H317,'[3]0509人员排班情况 副本'!$G:$U,12,FALSE)</f>
        <v>袁博闻(Bowen Yuan)</v>
      </c>
      <c r="AE317">
        <f>VLOOKUP($H317,'[3]0509人员排班情况 副本'!$G:$U,13,FALSE)</f>
        <v>0</v>
      </c>
      <c r="AF317">
        <f>VLOOKUP($H317,'[3]0509人员排班情况 副本'!$G:$U,14,FALSE)</f>
        <v>0</v>
      </c>
      <c r="AG317">
        <f>VLOOKUP($H317,'[3]0509人员排班情况 副本'!$G:$U,15,FALSE)</f>
        <v>0</v>
      </c>
    </row>
    <row r="318" customHeight="1" spans="1:33">
      <c r="A318" t="s">
        <v>202</v>
      </c>
      <c r="B318" t="s">
        <v>1170</v>
      </c>
      <c r="C318" t="s">
        <v>1171</v>
      </c>
      <c r="D318" t="s">
        <v>92</v>
      </c>
      <c r="E318" t="s">
        <v>45</v>
      </c>
      <c r="F318" t="s">
        <v>148</v>
      </c>
      <c r="H318" t="str">
        <f t="shared" si="28"/>
        <v>TX 德州大区揽收部</v>
      </c>
      <c r="I318" t="s">
        <v>608</v>
      </c>
      <c r="J318" t="s">
        <v>407</v>
      </c>
      <c r="K318" s="15">
        <v>0.354166666666667</v>
      </c>
      <c r="L318" s="15" t="s">
        <v>254</v>
      </c>
      <c r="M318" s="15">
        <v>0.348611111111111</v>
      </c>
      <c r="N318" t="s">
        <v>1172</v>
      </c>
      <c r="O318" s="20" t="str">
        <f t="shared" si="29"/>
        <v>正确</v>
      </c>
      <c r="P318" s="21">
        <v>0</v>
      </c>
      <c r="Q318" s="21">
        <v>8.2</v>
      </c>
      <c r="R318" s="21">
        <v>0</v>
      </c>
      <c r="S318" s="21">
        <f t="shared" si="30"/>
        <v>8.2</v>
      </c>
      <c r="T318" s="21">
        <f t="shared" si="31"/>
        <v>0.199999999999999</v>
      </c>
      <c r="U318" s="21" t="str">
        <f t="shared" si="32"/>
        <v>是</v>
      </c>
      <c r="V318" s="21">
        <f>VLOOKUP($C318,[4]Sheet1!$B:$AN,39,FALSE)</f>
        <v>17.3</v>
      </c>
      <c r="W318" s="21">
        <v>0</v>
      </c>
      <c r="X318" s="23">
        <v>4</v>
      </c>
      <c r="Y318" s="23">
        <v>4</v>
      </c>
      <c r="Z318" s="25">
        <f t="shared" si="33"/>
        <v>0</v>
      </c>
      <c r="AA318" s="25" t="str">
        <f t="shared" si="34"/>
        <v>是</v>
      </c>
      <c r="AB318" t="s">
        <v>148</v>
      </c>
      <c r="AC318" t="e">
        <f>VLOOKUP(C318,[1]Sheet1!$C:$O,13,FALSE)</f>
        <v>#N/A</v>
      </c>
      <c r="AD318" t="str">
        <f>VLOOKUP($H318,'[3]0509人员排班情况 副本'!$G:$U,12,FALSE)</f>
        <v>肖芦莉Lily (Luli Xiao)</v>
      </c>
      <c r="AE318" t="str">
        <f>VLOOKUP($H318,'[3]0509人员排班情况 副本'!$G:$U,13,FALSE)</f>
        <v>张骥Ji Zhang (Ji Zhang)</v>
      </c>
      <c r="AF318">
        <f>VLOOKUP($H318,'[3]0509人员排班情况 副本'!$G:$U,14,FALSE)</f>
        <v>0</v>
      </c>
      <c r="AG318">
        <f>VLOOKUP($H318,'[3]0509人员排班情况 副本'!$G:$U,15,FALSE)</f>
        <v>0</v>
      </c>
    </row>
    <row r="319" customHeight="1" spans="1:33">
      <c r="A319" t="s">
        <v>202</v>
      </c>
      <c r="B319" t="s">
        <v>1173</v>
      </c>
      <c r="C319" t="s">
        <v>1174</v>
      </c>
      <c r="D319" t="s">
        <v>68</v>
      </c>
      <c r="E319" t="s">
        <v>76</v>
      </c>
      <c r="F319" t="s">
        <v>243</v>
      </c>
      <c r="G319" t="s">
        <v>112</v>
      </c>
      <c r="H319" t="str">
        <f t="shared" si="28"/>
        <v>NE 东北大区EWR.H调度组</v>
      </c>
      <c r="I319" t="s">
        <v>160</v>
      </c>
      <c r="J319" t="s">
        <v>217</v>
      </c>
      <c r="K319" s="15">
        <v>0.395833333333333</v>
      </c>
      <c r="L319" s="15" t="s">
        <v>218</v>
      </c>
      <c r="M319" s="15">
        <v>0.471527777777778</v>
      </c>
      <c r="N319" t="s">
        <v>1175</v>
      </c>
      <c r="O319" s="20" t="str">
        <f t="shared" si="29"/>
        <v>不正确</v>
      </c>
      <c r="P319" s="21">
        <v>0</v>
      </c>
      <c r="Q319" s="21">
        <v>2.95</v>
      </c>
      <c r="R319" s="21">
        <v>0</v>
      </c>
      <c r="S319" s="21">
        <f t="shared" si="30"/>
        <v>2.95</v>
      </c>
      <c r="T319" s="21">
        <f t="shared" si="31"/>
        <v>0</v>
      </c>
      <c r="U319" s="21" t="str">
        <f t="shared" si="32"/>
        <v>否</v>
      </c>
      <c r="V319" s="21">
        <f>VLOOKUP($C319,[4]Sheet1!$B:$AN,39,FALSE)</f>
        <v>5.07</v>
      </c>
      <c r="W319" s="21">
        <v>0</v>
      </c>
      <c r="X319" s="23">
        <v>3</v>
      </c>
      <c r="Y319" s="23">
        <v>0</v>
      </c>
      <c r="Z319" s="25">
        <f t="shared" si="33"/>
        <v>0</v>
      </c>
      <c r="AA319" s="25" t="str">
        <f t="shared" si="34"/>
        <v>是</v>
      </c>
      <c r="AB319" t="s">
        <v>148</v>
      </c>
      <c r="AC319" t="e">
        <f>VLOOKUP(C319,[1]Sheet1!$C:$O,13,FALSE)</f>
        <v>#N/A</v>
      </c>
      <c r="AD319" t="str">
        <f>VLOOKUP($H319,'[3]0509人员排班情况 副本'!$G:$U,12,FALSE)</f>
        <v>孙可君Monica（Kejun Sun）</v>
      </c>
      <c r="AE319" t="str">
        <f>VLOOKUP($H319,'[3]0509人员排班情况 副本'!$G:$U,13,FALSE)</f>
        <v>马聪Cong (Cong Ma)</v>
      </c>
      <c r="AF319" t="str">
        <f>VLOOKUP($H319,'[3]0509人员排班情况 副本'!$G:$U,14,FALSE)</f>
        <v>Minqing (Minqing Xu),罗煜雄 Mike (Yuxiong Luo)</v>
      </c>
      <c r="AG319">
        <f>VLOOKUP($H319,'[3]0509人员排班情况 副本'!$G:$U,15,FALSE)</f>
        <v>0</v>
      </c>
    </row>
    <row r="320" customHeight="1" spans="1:33">
      <c r="A320" t="s">
        <v>202</v>
      </c>
      <c r="B320" t="s">
        <v>1176</v>
      </c>
      <c r="C320" t="s">
        <v>1177</v>
      </c>
      <c r="D320" t="s">
        <v>100</v>
      </c>
      <c r="E320" t="s">
        <v>105</v>
      </c>
      <c r="F320" t="s">
        <v>750</v>
      </c>
      <c r="H320" t="str">
        <f t="shared" si="28"/>
        <v>WE 美西大区NC 北加片区SFO.H</v>
      </c>
      <c r="I320" t="s">
        <v>281</v>
      </c>
      <c r="J320" t="s">
        <v>304</v>
      </c>
      <c r="K320" s="15">
        <v>0.666666666666667</v>
      </c>
      <c r="L320" s="15" t="s">
        <v>305</v>
      </c>
      <c r="M320" s="15">
        <v>0.623611111111111</v>
      </c>
      <c r="N320" t="s">
        <v>1178</v>
      </c>
      <c r="O320" s="20" t="str">
        <f t="shared" si="29"/>
        <v>不正确</v>
      </c>
      <c r="P320" s="21">
        <v>0</v>
      </c>
      <c r="Q320" s="21">
        <v>8.07</v>
      </c>
      <c r="R320" s="21">
        <v>0</v>
      </c>
      <c r="S320" s="21">
        <f t="shared" si="30"/>
        <v>8.07</v>
      </c>
      <c r="T320" s="21">
        <f t="shared" si="31"/>
        <v>0.0700000000000003</v>
      </c>
      <c r="U320" s="21" t="str">
        <f t="shared" si="32"/>
        <v>是</v>
      </c>
      <c r="V320" s="21">
        <f>VLOOKUP($C320,[4]Sheet1!$B:$AN,39,FALSE)</f>
        <v>16.35</v>
      </c>
      <c r="W320" s="21">
        <v>0</v>
      </c>
      <c r="X320" s="23">
        <v>4</v>
      </c>
      <c r="Y320" s="23">
        <v>4</v>
      </c>
      <c r="Z320" s="25">
        <f t="shared" si="33"/>
        <v>0</v>
      </c>
      <c r="AA320" s="25" t="str">
        <f t="shared" si="34"/>
        <v>是</v>
      </c>
      <c r="AB320" t="s">
        <v>148</v>
      </c>
      <c r="AC320" t="e">
        <f>VLOOKUP(C320,[1]Sheet1!$C:$O,13,FALSE)</f>
        <v>#N/A</v>
      </c>
      <c r="AD320" t="str">
        <f>VLOOKUP($H320,'[3]0509人员排班情况 副本'!$G:$U,12,FALSE)</f>
        <v>王骞Ariel（Qian Wang）,叶秀芳Freya (Xiufang Ye)</v>
      </c>
      <c r="AE320" t="str">
        <f>VLOOKUP($H320,'[3]0509人员排班情况 副本'!$G:$U,13,FALSE)</f>
        <v>常哲</v>
      </c>
      <c r="AF320" t="str">
        <f>VLOOKUP($H320,'[3]0509人员排班情况 副本'!$G:$U,14,FALSE)</f>
        <v>林美浚（Meijun Lin）</v>
      </c>
      <c r="AG320">
        <f>VLOOKUP($H320,'[3]0509人员排班情况 副本'!$G:$U,15,FALSE)</f>
        <v>0</v>
      </c>
    </row>
    <row r="321" customHeight="1" spans="1:33">
      <c r="A321" t="s">
        <v>202</v>
      </c>
      <c r="B321" t="s">
        <v>1179</v>
      </c>
      <c r="C321" t="s">
        <v>1180</v>
      </c>
      <c r="D321" t="s">
        <v>48</v>
      </c>
      <c r="E321" t="s">
        <v>51</v>
      </c>
      <c r="F321" t="s">
        <v>839</v>
      </c>
      <c r="H321" t="str">
        <f t="shared" si="28"/>
        <v>Ground项目部OG 美西区运营支持组</v>
      </c>
      <c r="I321" t="s">
        <v>326</v>
      </c>
      <c r="J321" t="s">
        <v>295</v>
      </c>
      <c r="K321" s="15">
        <v>0.375</v>
      </c>
      <c r="L321" s="15" t="s">
        <v>296</v>
      </c>
      <c r="M321" s="15">
        <v>0.405555555555556</v>
      </c>
      <c r="N321" t="s">
        <v>1077</v>
      </c>
      <c r="O321" s="20" t="str">
        <f t="shared" si="29"/>
        <v>正确</v>
      </c>
      <c r="P321" s="21">
        <v>0</v>
      </c>
      <c r="Q321" s="21">
        <v>8.88</v>
      </c>
      <c r="R321" s="21">
        <v>0</v>
      </c>
      <c r="S321" s="21">
        <f t="shared" si="30"/>
        <v>8.88</v>
      </c>
      <c r="T321" s="21">
        <f t="shared" si="31"/>
        <v>0.880000000000001</v>
      </c>
      <c r="U321" s="21" t="str">
        <f t="shared" si="32"/>
        <v>是</v>
      </c>
      <c r="V321" s="21">
        <f>VLOOKUP($C321,[4]Sheet1!$B:$AN,39,FALSE)</f>
        <v>17.8</v>
      </c>
      <c r="W321" s="21">
        <v>0</v>
      </c>
      <c r="X321" s="23">
        <v>4</v>
      </c>
      <c r="Y321" s="23">
        <v>4</v>
      </c>
      <c r="Z321" s="25">
        <f t="shared" si="33"/>
        <v>0</v>
      </c>
      <c r="AA321" s="25" t="str">
        <f t="shared" si="34"/>
        <v>是</v>
      </c>
      <c r="AB321" t="s">
        <v>148</v>
      </c>
      <c r="AC321" t="e">
        <f>VLOOKUP(C321,[1]Sheet1!$C:$O,13,FALSE)</f>
        <v>#N/A</v>
      </c>
      <c r="AD321" t="str">
        <f>VLOOKUP($H321,'[3]0509人员排班情况 副本'!$G:$U,12,FALSE)</f>
        <v>王安琪 (Anqi Wang),张朱同 Thomson（Zhutong Zhang）</v>
      </c>
      <c r="AE321" t="str">
        <f>VLOOKUP($H321,'[3]0509人员排班情况 副本'!$G:$U,13,FALSE)</f>
        <v>陈锦昭</v>
      </c>
      <c r="AF321">
        <f>VLOOKUP($H321,'[3]0509人员排班情况 副本'!$G:$U,14,FALSE)</f>
        <v>0</v>
      </c>
      <c r="AG321">
        <f>VLOOKUP($H321,'[3]0509人员排班情况 副本'!$G:$U,15,FALSE)</f>
        <v>0</v>
      </c>
    </row>
    <row r="322" customHeight="1" spans="1:33">
      <c r="A322" t="s">
        <v>202</v>
      </c>
      <c r="B322" t="s">
        <v>1181</v>
      </c>
      <c r="C322" t="s">
        <v>1182</v>
      </c>
      <c r="D322" t="s">
        <v>68</v>
      </c>
      <c r="E322" t="s">
        <v>76</v>
      </c>
      <c r="F322" t="s">
        <v>275</v>
      </c>
      <c r="G322" t="s">
        <v>112</v>
      </c>
      <c r="H322" t="str">
        <f t="shared" si="28"/>
        <v>NE 东北大区EWR.H分拣组</v>
      </c>
      <c r="I322" t="s">
        <v>303</v>
      </c>
      <c r="J322" t="s">
        <v>330</v>
      </c>
      <c r="K322" s="15">
        <v>0.625</v>
      </c>
      <c r="L322" s="15" t="s">
        <v>331</v>
      </c>
      <c r="M322" s="15">
        <v>0.633333333333333</v>
      </c>
      <c r="N322" t="s">
        <v>148</v>
      </c>
      <c r="O322" s="20" t="str">
        <f t="shared" si="29"/>
        <v>正确</v>
      </c>
      <c r="P322" s="21">
        <v>0</v>
      </c>
      <c r="Q322" s="21">
        <v>0</v>
      </c>
      <c r="R322" s="21">
        <v>0</v>
      </c>
      <c r="S322" s="21">
        <f t="shared" si="30"/>
        <v>0</v>
      </c>
      <c r="T322" s="21">
        <f t="shared" si="31"/>
        <v>0</v>
      </c>
      <c r="U322" s="21" t="str">
        <f t="shared" si="32"/>
        <v>否</v>
      </c>
      <c r="V322" s="21">
        <f>VLOOKUP($C322,[4]Sheet1!$B:$AN,39,FALSE)</f>
        <v>13.17</v>
      </c>
      <c r="W322" s="21">
        <v>0</v>
      </c>
      <c r="X322" s="23">
        <v>1</v>
      </c>
      <c r="Y322" s="23">
        <v>4</v>
      </c>
      <c r="Z322" s="25">
        <f t="shared" si="33"/>
        <v>3</v>
      </c>
      <c r="AA322" s="25" t="str">
        <f t="shared" si="34"/>
        <v>是</v>
      </c>
      <c r="AB322" t="s">
        <v>148</v>
      </c>
      <c r="AC322" t="e">
        <f>VLOOKUP(C322,[1]Sheet1!$C:$O,13,FALSE)</f>
        <v>#N/A</v>
      </c>
      <c r="AD322" t="str">
        <f>VLOOKUP($H322,'[3]0509人员排班情况 副本'!$G:$U,12,FALSE)</f>
        <v>孙可君Monica（Kejun Sun）</v>
      </c>
      <c r="AE322" t="str">
        <f>VLOOKUP($H322,'[3]0509人员排班情况 副本'!$G:$U,13,FALSE)</f>
        <v>马聪Cong (Cong Ma)</v>
      </c>
      <c r="AF322" t="str">
        <f>VLOOKUP($H322,'[3]0509人员排班情况 副本'!$G:$U,14,FALSE)</f>
        <v>张双甫(Shuangfu Zhang)</v>
      </c>
      <c r="AG322">
        <f>VLOOKUP($H322,'[3]0509人员排班情况 副本'!$G:$U,15,FALSE)</f>
        <v>0</v>
      </c>
    </row>
    <row r="323" customHeight="1" spans="1:33">
      <c r="A323" t="s">
        <v>202</v>
      </c>
      <c r="B323" t="s">
        <v>1183</v>
      </c>
      <c r="C323" t="s">
        <v>1184</v>
      </c>
      <c r="D323" t="s">
        <v>92</v>
      </c>
      <c r="E323" t="s">
        <v>95</v>
      </c>
      <c r="F323" t="s">
        <v>798</v>
      </c>
      <c r="H323" t="str">
        <f t="shared" si="28"/>
        <v>TX 德州大区GC 墨湾片区IAH01</v>
      </c>
      <c r="I323" t="s">
        <v>687</v>
      </c>
      <c r="J323" t="s">
        <v>229</v>
      </c>
      <c r="K323" s="15">
        <v>0.270833333333333</v>
      </c>
      <c r="L323" s="15" t="s">
        <v>230</v>
      </c>
      <c r="M323" s="15">
        <v>0.277083333333333</v>
      </c>
      <c r="N323" t="s">
        <v>1185</v>
      </c>
      <c r="O323" s="20" t="str">
        <f t="shared" si="29"/>
        <v>正确</v>
      </c>
      <c r="P323" s="21">
        <v>0</v>
      </c>
      <c r="Q323" s="21">
        <v>9.25</v>
      </c>
      <c r="R323" s="21">
        <v>0</v>
      </c>
      <c r="S323" s="21">
        <f t="shared" si="30"/>
        <v>9.25</v>
      </c>
      <c r="T323" s="21">
        <f t="shared" si="31"/>
        <v>1.25</v>
      </c>
      <c r="U323" s="21" t="str">
        <f t="shared" si="32"/>
        <v>是</v>
      </c>
      <c r="V323" s="21">
        <f>VLOOKUP($C323,[4]Sheet1!$B:$AN,39,FALSE)</f>
        <v>9.25</v>
      </c>
      <c r="W323" s="21">
        <v>0</v>
      </c>
      <c r="X323" s="23">
        <v>4</v>
      </c>
      <c r="Y323" s="23">
        <v>4</v>
      </c>
      <c r="Z323" s="25">
        <f t="shared" si="33"/>
        <v>0</v>
      </c>
      <c r="AA323" s="25" t="str">
        <f t="shared" si="34"/>
        <v>是</v>
      </c>
      <c r="AB323" t="s">
        <v>148</v>
      </c>
      <c r="AC323" t="e">
        <f>VLOOKUP(C323,[1]Sheet1!$C:$O,13,FALSE)</f>
        <v>#N/A</v>
      </c>
      <c r="AD323" t="str">
        <f>VLOOKUP($H323,'[3]0509人员排班情况 副本'!$G:$U,12,FALSE)</f>
        <v>肖芦莉Lily (Luli Xiao)</v>
      </c>
      <c r="AE323" t="str">
        <f>VLOOKUP($H323,'[3]0509人员排班情况 副本'!$G:$U,13,FALSE)</f>
        <v>张骥Ji Zhang (Ji Zhang)</v>
      </c>
      <c r="AF323" t="str">
        <f>VLOOKUP($H323,'[3]0509人员排班情况 副本'!$G:$U,14,FALSE)</f>
        <v>金磊Brian（LEI JIN）</v>
      </c>
      <c r="AG323">
        <f>VLOOKUP($H323,'[3]0509人员排班情况 副本'!$G:$U,15,FALSE)</f>
        <v>0</v>
      </c>
    </row>
    <row r="324" customHeight="1" spans="1:33">
      <c r="A324" t="s">
        <v>202</v>
      </c>
      <c r="B324" t="s">
        <v>1186</v>
      </c>
      <c r="C324" t="s">
        <v>1187</v>
      </c>
      <c r="D324" t="s">
        <v>14</v>
      </c>
      <c r="E324" t="s">
        <v>645</v>
      </c>
      <c r="F324" t="s">
        <v>148</v>
      </c>
      <c r="H324" t="str">
        <f t="shared" ref="H324:H387" si="35">D324&amp;E324&amp;F324</f>
        <v>DO 数字运营部美国技术支持组</v>
      </c>
      <c r="I324" t="s">
        <v>646</v>
      </c>
      <c r="J324" t="s">
        <v>295</v>
      </c>
      <c r="K324" s="15">
        <v>0.375</v>
      </c>
      <c r="L324" s="15" t="s">
        <v>296</v>
      </c>
      <c r="M324" s="15"/>
      <c r="N324" t="s">
        <v>148</v>
      </c>
      <c r="O324" s="20" t="str">
        <f t="shared" ref="O324:O387" si="36">IFERROR(IF(ABS(M324-K324)&lt;=1/24,"正确","不正确"),"/")</f>
        <v>不正确</v>
      </c>
      <c r="P324" s="21">
        <v>0</v>
      </c>
      <c r="Q324" s="21">
        <v>0</v>
      </c>
      <c r="R324" s="21">
        <v>0</v>
      </c>
      <c r="S324" s="21">
        <f t="shared" ref="S324:S387" si="37">Q324+R324</f>
        <v>0</v>
      </c>
      <c r="T324" s="21">
        <f t="shared" ref="T324:T387" si="38">IF(S324-8&gt;0,S324-8,0)</f>
        <v>0</v>
      </c>
      <c r="U324" s="21" t="str">
        <f t="shared" ref="U324:U387" si="39">IF(T324=0,"否","是")</f>
        <v>否</v>
      </c>
      <c r="V324" s="21">
        <f>VLOOKUP($C324,[4]Sheet1!$B:$AN,39,FALSE)</f>
        <v>0</v>
      </c>
      <c r="W324" s="21">
        <v>0</v>
      </c>
      <c r="X324" s="23">
        <v>0</v>
      </c>
      <c r="Y324" s="23">
        <v>4</v>
      </c>
      <c r="Z324" s="25">
        <f t="shared" ref="Z324:Z387" si="40">IF(Y324-X324&gt;=0,Y324-X324,0)</f>
        <v>4</v>
      </c>
      <c r="AA324" s="25" t="str">
        <f t="shared" ref="AA324:AA387" si="41">IF(J324="","否","是")</f>
        <v>是</v>
      </c>
      <c r="AB324" t="s">
        <v>148</v>
      </c>
      <c r="AC324" t="e">
        <f>VLOOKUP(C324,[1]Sheet1!$C:$O,13,FALSE)</f>
        <v>#N/A</v>
      </c>
      <c r="AD324" t="str">
        <f>VLOOKUP($H324,'[3]0509人员排班情况 副本'!$G:$U,12,FALSE)</f>
        <v>袁博闻(Bowen Yuan)</v>
      </c>
      <c r="AE324">
        <f>VLOOKUP($H324,'[3]0509人员排班情况 副本'!$G:$U,13,FALSE)</f>
        <v>0</v>
      </c>
      <c r="AF324">
        <f>VLOOKUP($H324,'[3]0509人员排班情况 副本'!$G:$U,14,FALSE)</f>
        <v>0</v>
      </c>
      <c r="AG324">
        <f>VLOOKUP($H324,'[3]0509人员排班情况 副本'!$G:$U,15,FALSE)</f>
        <v>0</v>
      </c>
    </row>
    <row r="325" customHeight="1" spans="1:33">
      <c r="A325" t="s">
        <v>202</v>
      </c>
      <c r="B325" t="s">
        <v>1188</v>
      </c>
      <c r="C325" t="s">
        <v>1189</v>
      </c>
      <c r="D325" t="s">
        <v>58</v>
      </c>
      <c r="E325" t="s">
        <v>59</v>
      </c>
      <c r="F325" t="s">
        <v>1190</v>
      </c>
      <c r="H325" t="str">
        <f t="shared" si="35"/>
        <v>MS 中南大区AS 奥萨查沿海片区SAV01</v>
      </c>
      <c r="I325" t="s">
        <v>177</v>
      </c>
      <c r="J325" t="s">
        <v>373</v>
      </c>
      <c r="K325" s="15">
        <v>0.291666666666667</v>
      </c>
      <c r="L325" s="15" t="s">
        <v>374</v>
      </c>
      <c r="M325" s="15">
        <v>0.288888888888889</v>
      </c>
      <c r="N325" t="s">
        <v>348</v>
      </c>
      <c r="O325" s="20" t="str">
        <f t="shared" si="36"/>
        <v>正确</v>
      </c>
      <c r="P325" s="21">
        <v>0</v>
      </c>
      <c r="Q325" s="21">
        <v>14.07</v>
      </c>
      <c r="R325" s="21">
        <v>0</v>
      </c>
      <c r="S325" s="21">
        <f t="shared" si="37"/>
        <v>14.07</v>
      </c>
      <c r="T325" s="21">
        <f t="shared" si="38"/>
        <v>6.07</v>
      </c>
      <c r="U325" s="21" t="str">
        <f t="shared" si="39"/>
        <v>是</v>
      </c>
      <c r="V325" s="21">
        <f>VLOOKUP($C325,[4]Sheet1!$B:$AN,39,FALSE)</f>
        <v>21.67</v>
      </c>
      <c r="W325" s="21">
        <v>0</v>
      </c>
      <c r="X325" s="23">
        <v>4</v>
      </c>
      <c r="Y325" s="23">
        <v>4</v>
      </c>
      <c r="Z325" s="25">
        <f t="shared" si="40"/>
        <v>0</v>
      </c>
      <c r="AA325" s="25" t="str">
        <f t="shared" si="41"/>
        <v>是</v>
      </c>
      <c r="AB325" t="s">
        <v>148</v>
      </c>
      <c r="AC325" t="e">
        <f>VLOOKUP(C325,[1]Sheet1!$C:$O,13,FALSE)</f>
        <v>#N/A</v>
      </c>
      <c r="AD325" t="str">
        <f>VLOOKUP($H325,'[3]0509人员排班情况 副本'!$G:$U,12,FALSE)</f>
        <v>欧阳迎春Flower（Yingchun Ouyang）</v>
      </c>
      <c r="AE325" t="str">
        <f>VLOOKUP($H325,'[3]0509人员排班情况 副本'!$G:$U,13,FALSE)</f>
        <v>杨云飞</v>
      </c>
      <c r="AF325" t="str">
        <f>VLOOKUP($H325,'[3]0509人员排班情况 副本'!$G:$U,14,FALSE)</f>
        <v>宋昊阳Chris(Haoyang Song)</v>
      </c>
      <c r="AG325">
        <f>VLOOKUP($H325,'[3]0509人员排班情况 副本'!$G:$U,15,FALSE)</f>
        <v>0</v>
      </c>
    </row>
    <row r="326" customHeight="1" spans="1:33">
      <c r="A326" t="s">
        <v>202</v>
      </c>
      <c r="B326" t="s">
        <v>1191</v>
      </c>
      <c r="C326" t="s">
        <v>1192</v>
      </c>
      <c r="D326" t="s">
        <v>100</v>
      </c>
      <c r="E326" t="s">
        <v>105</v>
      </c>
      <c r="F326" t="s">
        <v>763</v>
      </c>
      <c r="H326" t="str">
        <f t="shared" si="35"/>
        <v>WE 美西大区NC 北加片区SMF01</v>
      </c>
      <c r="I326" t="s">
        <v>156</v>
      </c>
      <c r="J326" t="s">
        <v>221</v>
      </c>
      <c r="K326" s="15">
        <v>0.208333333333333</v>
      </c>
      <c r="L326" s="15" t="s">
        <v>222</v>
      </c>
      <c r="M326" s="15">
        <v>0.206944444444444</v>
      </c>
      <c r="N326" t="s">
        <v>1193</v>
      </c>
      <c r="O326" s="20" t="str">
        <f t="shared" si="36"/>
        <v>正确</v>
      </c>
      <c r="P326" s="21">
        <v>0</v>
      </c>
      <c r="Q326" s="21">
        <v>8.15</v>
      </c>
      <c r="R326" s="21">
        <v>0</v>
      </c>
      <c r="S326" s="21">
        <f t="shared" si="37"/>
        <v>8.15</v>
      </c>
      <c r="T326" s="21">
        <f t="shared" si="38"/>
        <v>0.15</v>
      </c>
      <c r="U326" s="21" t="str">
        <f t="shared" si="39"/>
        <v>是</v>
      </c>
      <c r="V326" s="21">
        <f>VLOOKUP($C326,[4]Sheet1!$B:$AN,39,FALSE)</f>
        <v>16.75</v>
      </c>
      <c r="W326" s="21">
        <v>19.31</v>
      </c>
      <c r="X326" s="23">
        <v>3</v>
      </c>
      <c r="Y326" s="23">
        <v>4</v>
      </c>
      <c r="Z326" s="25">
        <f t="shared" si="40"/>
        <v>1</v>
      </c>
      <c r="AA326" s="25" t="str">
        <f t="shared" si="41"/>
        <v>是</v>
      </c>
      <c r="AB326" t="s">
        <v>148</v>
      </c>
      <c r="AC326" t="e">
        <f>VLOOKUP(C326,[1]Sheet1!$C:$O,13,FALSE)</f>
        <v>#N/A</v>
      </c>
      <c r="AD326" t="str">
        <f>VLOOKUP($H326,'[3]0509人员排班情况 副本'!$G:$U,12,FALSE)</f>
        <v>王骞Ariel（Qian Wang）,叶秀芳Freya (Xiufang Ye)</v>
      </c>
      <c r="AE326" t="str">
        <f>VLOOKUP($H326,'[3]0509人员排班情况 副本'!$G:$U,13,FALSE)</f>
        <v>常哲</v>
      </c>
      <c r="AF326" t="str">
        <f>VLOOKUP($H326,'[3]0509人员排班情况 副本'!$G:$U,14,FALSE)</f>
        <v>林美浚（Meijun Lin）</v>
      </c>
      <c r="AG326">
        <f>VLOOKUP($H326,'[3]0509人员排班情况 副本'!$G:$U,15,FALSE)</f>
        <v>0</v>
      </c>
    </row>
    <row r="327" customHeight="1" spans="1:33">
      <c r="A327" t="s">
        <v>202</v>
      </c>
      <c r="B327" t="s">
        <v>1194</v>
      </c>
      <c r="C327" t="s">
        <v>1195</v>
      </c>
      <c r="D327" t="s">
        <v>92</v>
      </c>
      <c r="E327" t="s">
        <v>94</v>
      </c>
      <c r="F327" t="s">
        <v>243</v>
      </c>
      <c r="G327" t="s">
        <v>112</v>
      </c>
      <c r="H327" t="str">
        <f t="shared" si="35"/>
        <v>TX 德州大区DFW.H调度组</v>
      </c>
      <c r="I327" t="s">
        <v>160</v>
      </c>
      <c r="J327" t="s">
        <v>330</v>
      </c>
      <c r="K327" s="15">
        <v>0.625</v>
      </c>
      <c r="L327" s="15" t="s">
        <v>331</v>
      </c>
      <c r="M327" s="15">
        <v>0.622916666666667</v>
      </c>
      <c r="N327" t="s">
        <v>1196</v>
      </c>
      <c r="O327" s="20" t="str">
        <f t="shared" si="36"/>
        <v>正确</v>
      </c>
      <c r="P327" s="21">
        <v>0</v>
      </c>
      <c r="Q327" s="21">
        <v>9.47</v>
      </c>
      <c r="R327" s="21">
        <v>0</v>
      </c>
      <c r="S327" s="21">
        <f t="shared" si="37"/>
        <v>9.47</v>
      </c>
      <c r="T327" s="21">
        <f t="shared" si="38"/>
        <v>1.47</v>
      </c>
      <c r="U327" s="21" t="str">
        <f t="shared" si="39"/>
        <v>是</v>
      </c>
      <c r="V327" s="21">
        <f>VLOOKUP($C327,[4]Sheet1!$B:$AN,39,FALSE)</f>
        <v>19.09</v>
      </c>
      <c r="W327" s="21">
        <v>17.09</v>
      </c>
      <c r="X327" s="23">
        <v>2</v>
      </c>
      <c r="Y327" s="23">
        <v>4</v>
      </c>
      <c r="Z327" s="25">
        <f t="shared" si="40"/>
        <v>2</v>
      </c>
      <c r="AA327" s="25" t="str">
        <f t="shared" si="41"/>
        <v>是</v>
      </c>
      <c r="AB327" t="s">
        <v>148</v>
      </c>
      <c r="AC327" t="e">
        <f>VLOOKUP(C327,[1]Sheet1!$C:$O,13,FALSE)</f>
        <v>#N/A</v>
      </c>
      <c r="AD327" t="str">
        <f>VLOOKUP($H327,'[3]0509人员排班情况 副本'!$G:$U,12,FALSE)</f>
        <v>肖芦莉Lily (Luli Xiao)</v>
      </c>
      <c r="AE327" t="str">
        <f>VLOOKUP($H327,'[3]0509人员排班情况 副本'!$G:$U,13,FALSE)</f>
        <v>张骥Ji Zhang (Ji Zhang)</v>
      </c>
      <c r="AF327" t="str">
        <f>VLOOKUP($H327,'[3]0509人员排班情况 副本'!$G:$U,14,FALSE)</f>
        <v>Minqing (Minqing Xu),罗煜雄 Mike (Yuxiong Luo)</v>
      </c>
      <c r="AG327">
        <f>VLOOKUP($H327,'[3]0509人员排班情况 副本'!$G:$U,15,FALSE)</f>
        <v>0</v>
      </c>
    </row>
    <row r="328" customHeight="1" spans="1:33">
      <c r="A328" t="s">
        <v>202</v>
      </c>
      <c r="B328" t="s">
        <v>1197</v>
      </c>
      <c r="C328" t="s">
        <v>1198</v>
      </c>
      <c r="D328" t="s">
        <v>31</v>
      </c>
      <c r="E328" t="s">
        <v>41</v>
      </c>
      <c r="F328" t="s">
        <v>166</v>
      </c>
      <c r="G328" t="s">
        <v>112</v>
      </c>
      <c r="H328" t="str">
        <f t="shared" si="35"/>
        <v>GL 大湖大区ORD.H综办组</v>
      </c>
      <c r="I328" t="s">
        <v>167</v>
      </c>
      <c r="J328" t="s">
        <v>343</v>
      </c>
      <c r="K328" s="15">
        <v>0.25</v>
      </c>
      <c r="L328" s="15" t="s">
        <v>344</v>
      </c>
      <c r="M328" s="15">
        <v>0.257638888888889</v>
      </c>
      <c r="N328" t="s">
        <v>1199</v>
      </c>
      <c r="O328" s="20" t="str">
        <f t="shared" si="36"/>
        <v>正确</v>
      </c>
      <c r="P328" s="21">
        <v>0</v>
      </c>
      <c r="Q328" s="21">
        <v>9.08</v>
      </c>
      <c r="R328" s="21">
        <v>0</v>
      </c>
      <c r="S328" s="21">
        <f t="shared" si="37"/>
        <v>9.08</v>
      </c>
      <c r="T328" s="21">
        <f t="shared" si="38"/>
        <v>1.08</v>
      </c>
      <c r="U328" s="21" t="str">
        <f t="shared" si="39"/>
        <v>是</v>
      </c>
      <c r="V328" s="21">
        <f>VLOOKUP($C328,[4]Sheet1!$B:$AN,39,FALSE)</f>
        <v>20.46</v>
      </c>
      <c r="W328" s="21">
        <v>0</v>
      </c>
      <c r="X328" s="23">
        <v>2</v>
      </c>
      <c r="Y328" s="23">
        <v>4</v>
      </c>
      <c r="Z328" s="25">
        <f t="shared" si="40"/>
        <v>2</v>
      </c>
      <c r="AA328" s="25" t="str">
        <f t="shared" si="41"/>
        <v>是</v>
      </c>
      <c r="AB328" t="s">
        <v>148</v>
      </c>
      <c r="AC328" t="e">
        <f>VLOOKUP(C328,[1]Sheet1!$C:$O,13,FALSE)</f>
        <v>#N/A</v>
      </c>
      <c r="AD328" t="str">
        <f>VLOOKUP($H328,'[3]0509人员排班情况 副本'!$G:$U,12,FALSE)</f>
        <v>王晓丹 Jasmine（Xiaodan Wang）,周延舒Isabel（Yanshu Zhou）</v>
      </c>
      <c r="AE328" t="str">
        <f>VLOOKUP($H328,'[3]0509人员排班情况 副本'!$G:$U,13,FALSE)</f>
        <v>张骥Ji Zhang (Ji Zhang)</v>
      </c>
      <c r="AF328" t="str">
        <f>VLOOKUP($H328,'[3]0509人员排班情况 副本'!$G:$U,14,FALSE)</f>
        <v>Minqing (Minqing Xu),罗煜雄 Mike (Yuxiong Luo)</v>
      </c>
      <c r="AG328">
        <f>VLOOKUP($H328,'[3]0509人员排班情况 副本'!$G:$U,15,FALSE)</f>
        <v>0</v>
      </c>
    </row>
    <row r="329" customHeight="1" spans="1:33">
      <c r="A329" t="s">
        <v>202</v>
      </c>
      <c r="B329" t="s">
        <v>1200</v>
      </c>
      <c r="C329" t="s">
        <v>1201</v>
      </c>
      <c r="D329" t="s">
        <v>100</v>
      </c>
      <c r="E329" t="s">
        <v>29</v>
      </c>
      <c r="F329" t="s">
        <v>148</v>
      </c>
      <c r="H329" t="str">
        <f t="shared" si="35"/>
        <v>WE 美西大区运营支持部</v>
      </c>
      <c r="I329" t="s">
        <v>201</v>
      </c>
      <c r="J329" t="s">
        <v>236</v>
      </c>
      <c r="K329" s="15">
        <v>0.395833333333333</v>
      </c>
      <c r="L329" s="15" t="s">
        <v>218</v>
      </c>
      <c r="M329" s="15">
        <v>0.394444444444444</v>
      </c>
      <c r="N329" t="s">
        <v>1010</v>
      </c>
      <c r="O329" s="20" t="str">
        <f t="shared" si="36"/>
        <v>正确</v>
      </c>
      <c r="P329" s="21">
        <v>0</v>
      </c>
      <c r="Q329" s="21">
        <v>8.47</v>
      </c>
      <c r="R329" s="21">
        <v>0</v>
      </c>
      <c r="S329" s="21">
        <f t="shared" si="37"/>
        <v>8.47</v>
      </c>
      <c r="T329" s="21">
        <f t="shared" si="38"/>
        <v>0.470000000000001</v>
      </c>
      <c r="U329" s="21" t="str">
        <f t="shared" si="39"/>
        <v>是</v>
      </c>
      <c r="V329" s="21">
        <f>VLOOKUP($C329,[4]Sheet1!$B:$AN,39,FALSE)</f>
        <v>17.89</v>
      </c>
      <c r="W329" s="21">
        <v>0</v>
      </c>
      <c r="X329" s="23">
        <v>5</v>
      </c>
      <c r="Y329" s="23">
        <v>4</v>
      </c>
      <c r="Z329" s="25">
        <f t="shared" si="40"/>
        <v>0</v>
      </c>
      <c r="AA329" s="25" t="str">
        <f t="shared" si="41"/>
        <v>是</v>
      </c>
      <c r="AB329" t="s">
        <v>148</v>
      </c>
      <c r="AC329" t="e">
        <f>VLOOKUP(C329,[1]Sheet1!$C:$O,13,FALSE)</f>
        <v>#N/A</v>
      </c>
      <c r="AD329" t="str">
        <f>VLOOKUP($H329,'[3]0509人员排班情况 副本'!$G:$U,12,FALSE)</f>
        <v>王骞Ariel（Qian Wang）,叶秀芳Freya (Xiufang Ye)</v>
      </c>
      <c r="AE329" t="str">
        <f>VLOOKUP($H329,'[3]0509人员排班情况 副本'!$G:$U,13,FALSE)</f>
        <v>常哲</v>
      </c>
      <c r="AF329">
        <f>VLOOKUP($H329,'[3]0509人员排班情况 副本'!$G:$U,14,FALSE)</f>
        <v>0</v>
      </c>
      <c r="AG329">
        <f>VLOOKUP($H329,'[3]0509人员排班情况 副本'!$G:$U,15,FALSE)</f>
        <v>0</v>
      </c>
    </row>
    <row r="330" customHeight="1" spans="1:33">
      <c r="A330" t="s">
        <v>202</v>
      </c>
      <c r="B330" t="s">
        <v>1202</v>
      </c>
      <c r="C330" t="s">
        <v>1203</v>
      </c>
      <c r="D330" t="s">
        <v>48</v>
      </c>
      <c r="E330" t="s">
        <v>49</v>
      </c>
      <c r="F330" t="s">
        <v>1204</v>
      </c>
      <c r="H330" t="str">
        <f t="shared" si="35"/>
        <v>Ground项目部OG 美东区NY118</v>
      </c>
      <c r="I330" t="s">
        <v>177</v>
      </c>
      <c r="J330" t="s">
        <v>400</v>
      </c>
      <c r="K330" s="15">
        <v>0.5</v>
      </c>
      <c r="L330" s="15" t="s">
        <v>401</v>
      </c>
      <c r="M330" s="15">
        <v>0.497916666666667</v>
      </c>
      <c r="N330" t="s">
        <v>401</v>
      </c>
      <c r="O330" s="20" t="str">
        <f t="shared" si="36"/>
        <v>正确</v>
      </c>
      <c r="P330" s="21">
        <v>0</v>
      </c>
      <c r="Q330" s="21">
        <v>8.05</v>
      </c>
      <c r="R330" s="21">
        <v>0</v>
      </c>
      <c r="S330" s="21">
        <f t="shared" si="37"/>
        <v>8.05</v>
      </c>
      <c r="T330" s="21">
        <f t="shared" si="38"/>
        <v>0.0500000000000007</v>
      </c>
      <c r="U330" s="21" t="str">
        <f t="shared" si="39"/>
        <v>是</v>
      </c>
      <c r="V330" s="21">
        <f>VLOOKUP($C330,[4]Sheet1!$B:$AN,39,FALSE)</f>
        <v>16.35</v>
      </c>
      <c r="W330" s="21">
        <v>0</v>
      </c>
      <c r="X330" s="23">
        <v>2</v>
      </c>
      <c r="Y330" s="23">
        <v>4</v>
      </c>
      <c r="Z330" s="25">
        <f t="shared" si="40"/>
        <v>2</v>
      </c>
      <c r="AA330" s="25" t="str">
        <f t="shared" si="41"/>
        <v>是</v>
      </c>
      <c r="AB330" t="s">
        <v>148</v>
      </c>
      <c r="AC330" t="e">
        <f>VLOOKUP(C330,[1]Sheet1!$C:$O,13,FALSE)</f>
        <v>#N/A</v>
      </c>
      <c r="AD330" t="str">
        <f>VLOOKUP($H330,'[3]0509人员排班情况 副本'!$G:$U,12,FALSE)</f>
        <v>王安琪 (Anqi Wang),张朱同 Thomson（Zhutong Zhang）</v>
      </c>
      <c r="AE330" t="str">
        <f>VLOOKUP($H330,'[3]0509人员排班情况 副本'!$G:$U,13,FALSE)</f>
        <v>陈锦昭</v>
      </c>
      <c r="AF330" t="str">
        <f>VLOOKUP($H330,'[3]0509人员排班情况 副本'!$G:$U,14,FALSE)</f>
        <v>欧和枫 Henry (HeFeng Ou)</v>
      </c>
      <c r="AG330">
        <f>VLOOKUP($H330,'[3]0509人员排班情况 副本'!$G:$U,15,FALSE)</f>
        <v>0</v>
      </c>
    </row>
    <row r="331" customHeight="1" spans="1:33">
      <c r="A331" t="s">
        <v>202</v>
      </c>
      <c r="B331" t="s">
        <v>1205</v>
      </c>
      <c r="C331" t="s">
        <v>1206</v>
      </c>
      <c r="D331" t="s">
        <v>8</v>
      </c>
      <c r="E331" t="s">
        <v>1207</v>
      </c>
      <c r="F331" t="s">
        <v>148</v>
      </c>
      <c r="H331" t="str">
        <f t="shared" si="35"/>
        <v>AD 行政部美东组</v>
      </c>
      <c r="I331" t="s">
        <v>1208</v>
      </c>
      <c r="J331" t="s">
        <v>282</v>
      </c>
      <c r="K331" s="15">
        <v>0.416666666666667</v>
      </c>
      <c r="L331" s="15" t="s">
        <v>283</v>
      </c>
      <c r="M331" s="15">
        <v>0.396527777777778</v>
      </c>
      <c r="N331" t="s">
        <v>1209</v>
      </c>
      <c r="O331" s="20" t="str">
        <f t="shared" si="36"/>
        <v>正确</v>
      </c>
      <c r="P331" s="21">
        <v>0</v>
      </c>
      <c r="Q331" s="21">
        <v>9.2</v>
      </c>
      <c r="R331" s="21">
        <v>0</v>
      </c>
      <c r="S331" s="21">
        <f t="shared" si="37"/>
        <v>9.2</v>
      </c>
      <c r="T331" s="21">
        <f t="shared" si="38"/>
        <v>1.2</v>
      </c>
      <c r="U331" s="21" t="str">
        <f t="shared" si="39"/>
        <v>是</v>
      </c>
      <c r="V331" s="21">
        <f>VLOOKUP($C331,[4]Sheet1!$B:$AN,39,FALSE)</f>
        <v>18.28</v>
      </c>
      <c r="W331" s="21">
        <v>0</v>
      </c>
      <c r="X331" s="23">
        <v>2</v>
      </c>
      <c r="Y331" s="23">
        <v>4</v>
      </c>
      <c r="Z331" s="25">
        <f t="shared" si="40"/>
        <v>2</v>
      </c>
      <c r="AA331" s="25" t="str">
        <f t="shared" si="41"/>
        <v>是</v>
      </c>
      <c r="AB331" t="s">
        <v>148</v>
      </c>
      <c r="AC331" t="e">
        <f>VLOOKUP(C331,[1]Sheet1!$C:$O,13,FALSE)</f>
        <v>#N/A</v>
      </c>
      <c r="AD331" t="str">
        <f>VLOOKUP($H331,'[3]0509人员排班情况 副本'!$G:$U,12,FALSE)</f>
        <v>袁博闻(Bowen Yuan)</v>
      </c>
      <c r="AE331">
        <f>VLOOKUP($H331,'[3]0509人员排班情况 副本'!$G:$U,13,FALSE)</f>
        <v>0</v>
      </c>
      <c r="AF331">
        <f>VLOOKUP($H331,'[3]0509人员排班情况 副本'!$G:$U,14,FALSE)</f>
        <v>0</v>
      </c>
      <c r="AG331">
        <f>VLOOKUP($H331,'[3]0509人员排班情况 副本'!$G:$U,15,FALSE)</f>
        <v>0</v>
      </c>
    </row>
    <row r="332" customHeight="1" spans="1:33">
      <c r="A332" t="s">
        <v>202</v>
      </c>
      <c r="B332" t="s">
        <v>1210</v>
      </c>
      <c r="C332" t="s">
        <v>1211</v>
      </c>
      <c r="D332" t="s">
        <v>92</v>
      </c>
      <c r="E332" t="s">
        <v>97</v>
      </c>
      <c r="F332" t="s">
        <v>262</v>
      </c>
      <c r="H332" t="str">
        <f t="shared" si="35"/>
        <v>TX 德州大区NT 北德州片区DFW01</v>
      </c>
      <c r="I332" t="s">
        <v>687</v>
      </c>
      <c r="J332" t="s">
        <v>437</v>
      </c>
      <c r="K332" s="15">
        <v>0.229166666666667</v>
      </c>
      <c r="L332" s="15" t="s">
        <v>438</v>
      </c>
      <c r="M332" s="15">
        <v>0.254166666666667</v>
      </c>
      <c r="N332" t="s">
        <v>1212</v>
      </c>
      <c r="O332" s="20" t="str">
        <f t="shared" si="36"/>
        <v>正确</v>
      </c>
      <c r="P332" s="21">
        <v>0</v>
      </c>
      <c r="Q332" s="21">
        <v>5.15</v>
      </c>
      <c r="R332" s="21">
        <v>0</v>
      </c>
      <c r="S332" s="21">
        <f t="shared" si="37"/>
        <v>5.15</v>
      </c>
      <c r="T332" s="21">
        <f t="shared" si="38"/>
        <v>0</v>
      </c>
      <c r="U332" s="21" t="str">
        <f t="shared" si="39"/>
        <v>否</v>
      </c>
      <c r="V332" s="21">
        <f>VLOOKUP($C332,[4]Sheet1!$B:$AN,39,FALSE)</f>
        <v>10.22</v>
      </c>
      <c r="W332" s="21">
        <v>0</v>
      </c>
      <c r="X332" s="23">
        <v>2</v>
      </c>
      <c r="Y332" s="23">
        <v>4</v>
      </c>
      <c r="Z332" s="25">
        <f t="shared" si="40"/>
        <v>2</v>
      </c>
      <c r="AA332" s="25" t="str">
        <f t="shared" si="41"/>
        <v>是</v>
      </c>
      <c r="AB332" t="s">
        <v>148</v>
      </c>
      <c r="AC332" t="e">
        <f>VLOOKUP(C332,[1]Sheet1!$C:$O,13,FALSE)</f>
        <v>#N/A</v>
      </c>
      <c r="AD332" t="str">
        <f>VLOOKUP($H332,'[3]0509人员排班情况 副本'!$G:$U,12,FALSE)</f>
        <v>肖芦莉Lily (Luli Xiao)</v>
      </c>
      <c r="AE332" t="str">
        <f>VLOOKUP($H332,'[3]0509人员排班情况 副本'!$G:$U,13,FALSE)</f>
        <v>张骥Ji Zhang (Ji Zhang)</v>
      </c>
      <c r="AF332" t="str">
        <f>VLOOKUP($H332,'[3]0509人员排班情况 副本'!$G:$U,14,FALSE)</f>
        <v>何琼joan(Qiong He)</v>
      </c>
      <c r="AG332">
        <f>VLOOKUP($H332,'[3]0509人员排班情况 副本'!$G:$U,15,FALSE)</f>
        <v>0</v>
      </c>
    </row>
    <row r="333" customHeight="1" spans="1:33">
      <c r="A333" t="s">
        <v>202</v>
      </c>
      <c r="B333" t="s">
        <v>1213</v>
      </c>
      <c r="C333" t="s">
        <v>1214</v>
      </c>
      <c r="D333" t="s">
        <v>48</v>
      </c>
      <c r="E333" t="s">
        <v>53</v>
      </c>
      <c r="F333" t="s">
        <v>1099</v>
      </c>
      <c r="H333" t="str">
        <f t="shared" si="35"/>
        <v>Ground项目部派送管理部运力开发组</v>
      </c>
      <c r="I333" t="s">
        <v>1215</v>
      </c>
      <c r="J333" t="s">
        <v>295</v>
      </c>
      <c r="K333" s="15">
        <v>0.375</v>
      </c>
      <c r="L333" s="15" t="s">
        <v>296</v>
      </c>
      <c r="M333" s="15">
        <v>0.384722222222222</v>
      </c>
      <c r="N333" t="s">
        <v>1216</v>
      </c>
      <c r="O333" s="20" t="str">
        <f t="shared" si="36"/>
        <v>正确</v>
      </c>
      <c r="P333" s="21">
        <v>0</v>
      </c>
      <c r="Q333" s="21">
        <v>8.57</v>
      </c>
      <c r="R333" s="21">
        <v>0</v>
      </c>
      <c r="S333" s="21">
        <f t="shared" si="37"/>
        <v>8.57</v>
      </c>
      <c r="T333" s="21">
        <f t="shared" si="38"/>
        <v>0.57</v>
      </c>
      <c r="U333" s="21" t="str">
        <f t="shared" si="39"/>
        <v>是</v>
      </c>
      <c r="V333" s="21">
        <f>VLOOKUP($C333,[4]Sheet1!$B:$AN,39,FALSE)</f>
        <v>16.67</v>
      </c>
      <c r="W333" s="21">
        <v>0</v>
      </c>
      <c r="X333" s="23">
        <v>2</v>
      </c>
      <c r="Y333" s="23">
        <v>4</v>
      </c>
      <c r="Z333" s="25">
        <f t="shared" si="40"/>
        <v>2</v>
      </c>
      <c r="AA333" s="25" t="str">
        <f t="shared" si="41"/>
        <v>是</v>
      </c>
      <c r="AB333" t="s">
        <v>148</v>
      </c>
      <c r="AC333" t="e">
        <f>VLOOKUP(C333,[1]Sheet1!$C:$O,13,FALSE)</f>
        <v>#N/A</v>
      </c>
      <c r="AD333" t="str">
        <f>VLOOKUP($H333,'[3]0509人员排班情况 副本'!$G:$U,12,FALSE)</f>
        <v>王安琪 (Anqi Wang),张朱同 Thomson（Zhutong Zhang）</v>
      </c>
      <c r="AE333" t="str">
        <f>VLOOKUP($H333,'[3]0509人员排班情况 副本'!$G:$U,13,FALSE)</f>
        <v>陈锦昭</v>
      </c>
      <c r="AF333">
        <f>VLOOKUP($H333,'[3]0509人员排班情况 副本'!$G:$U,14,FALSE)</f>
        <v>0</v>
      </c>
      <c r="AG333">
        <f>VLOOKUP($H333,'[3]0509人员排班情况 副本'!$G:$U,15,FALSE)</f>
        <v>0</v>
      </c>
    </row>
    <row r="334" customHeight="1" spans="1:33">
      <c r="A334" t="s">
        <v>202</v>
      </c>
      <c r="B334" t="s">
        <v>1217</v>
      </c>
      <c r="C334" t="s">
        <v>1218</v>
      </c>
      <c r="D334" t="s">
        <v>92</v>
      </c>
      <c r="E334" t="s">
        <v>94</v>
      </c>
      <c r="F334" t="s">
        <v>312</v>
      </c>
      <c r="G334" t="s">
        <v>112</v>
      </c>
      <c r="H334" t="str">
        <f t="shared" si="35"/>
        <v>TX 德州大区DFW.H异常处理组</v>
      </c>
      <c r="I334" t="s">
        <v>778</v>
      </c>
      <c r="J334" t="s">
        <v>295</v>
      </c>
      <c r="K334" s="15">
        <v>0.375</v>
      </c>
      <c r="L334" s="15" t="s">
        <v>296</v>
      </c>
      <c r="M334" s="15"/>
      <c r="N334" t="s">
        <v>148</v>
      </c>
      <c r="O334" s="20" t="str">
        <f t="shared" si="36"/>
        <v>不正确</v>
      </c>
      <c r="P334" s="21">
        <v>0</v>
      </c>
      <c r="Q334" s="21">
        <v>0</v>
      </c>
      <c r="R334" s="21">
        <v>0</v>
      </c>
      <c r="S334" s="21">
        <f t="shared" si="37"/>
        <v>0</v>
      </c>
      <c r="T334" s="21">
        <f t="shared" si="38"/>
        <v>0</v>
      </c>
      <c r="U334" s="21" t="str">
        <f t="shared" si="39"/>
        <v>否</v>
      </c>
      <c r="V334" s="21">
        <f>VLOOKUP($C334,[4]Sheet1!$B:$AN,39,FALSE)</f>
        <v>0</v>
      </c>
      <c r="W334" s="21">
        <v>0</v>
      </c>
      <c r="X334" s="23">
        <v>0</v>
      </c>
      <c r="Y334" s="23">
        <v>0</v>
      </c>
      <c r="Z334" s="25">
        <f t="shared" si="40"/>
        <v>0</v>
      </c>
      <c r="AA334" s="25" t="str">
        <f t="shared" si="41"/>
        <v>是</v>
      </c>
      <c r="AB334" t="s">
        <v>690</v>
      </c>
      <c r="AC334" t="e">
        <f>VLOOKUP(C334,[1]Sheet1!$C:$O,13,FALSE)</f>
        <v>#N/A</v>
      </c>
      <c r="AD334" t="str">
        <f>VLOOKUP($H334,'[3]0509人员排班情况 副本'!$G:$U,12,FALSE)</f>
        <v>肖芦莉Lily (Luli Xiao)</v>
      </c>
      <c r="AE334" t="str">
        <f>VLOOKUP($H334,'[3]0509人员排班情况 副本'!$G:$U,13,FALSE)</f>
        <v>张骥Ji Zhang (Ji Zhang)</v>
      </c>
      <c r="AF334" t="str">
        <f>VLOOKUP($H334,'[3]0509人员排班情况 副本'!$G:$U,14,FALSE)</f>
        <v>Minqing (Minqing Xu),罗煜雄 Mike (Yuxiong Luo)</v>
      </c>
      <c r="AG334">
        <f>VLOOKUP($H334,'[3]0509人员排班情况 副本'!$G:$U,15,FALSE)</f>
        <v>0</v>
      </c>
    </row>
    <row r="335" customHeight="1" spans="1:33">
      <c r="A335" t="s">
        <v>202</v>
      </c>
      <c r="B335" t="s">
        <v>1219</v>
      </c>
      <c r="C335" t="s">
        <v>1220</v>
      </c>
      <c r="D335" t="s">
        <v>100</v>
      </c>
      <c r="E335" t="s">
        <v>101</v>
      </c>
      <c r="F335" t="s">
        <v>243</v>
      </c>
      <c r="G335" t="s">
        <v>112</v>
      </c>
      <c r="H335" t="str">
        <f t="shared" si="35"/>
        <v>WE 美西大区CNO.H调度组</v>
      </c>
      <c r="I335" t="s">
        <v>160</v>
      </c>
      <c r="J335" t="s">
        <v>421</v>
      </c>
      <c r="K335" s="15">
        <v>0.708333333333333</v>
      </c>
      <c r="L335" s="15" t="s">
        <v>422</v>
      </c>
      <c r="M335" s="15">
        <v>0.744444444444444</v>
      </c>
      <c r="N335" t="s">
        <v>1221</v>
      </c>
      <c r="O335" s="20" t="str">
        <f t="shared" si="36"/>
        <v>正确</v>
      </c>
      <c r="P335" s="21">
        <v>0</v>
      </c>
      <c r="Q335" s="21">
        <v>4.47</v>
      </c>
      <c r="R335" s="21">
        <v>0</v>
      </c>
      <c r="S335" s="21">
        <f t="shared" si="37"/>
        <v>4.47</v>
      </c>
      <c r="T335" s="21">
        <f t="shared" si="38"/>
        <v>0</v>
      </c>
      <c r="U335" s="21" t="str">
        <f t="shared" si="39"/>
        <v>否</v>
      </c>
      <c r="V335" s="21">
        <f>VLOOKUP($C335,[4]Sheet1!$B:$AN,39,FALSE)</f>
        <v>15.59</v>
      </c>
      <c r="W335" s="21">
        <v>0</v>
      </c>
      <c r="X335" s="23">
        <v>3</v>
      </c>
      <c r="Y335" s="23">
        <v>4</v>
      </c>
      <c r="Z335" s="25">
        <f t="shared" si="40"/>
        <v>1</v>
      </c>
      <c r="AA335" s="25" t="str">
        <f t="shared" si="41"/>
        <v>是</v>
      </c>
      <c r="AB335" t="s">
        <v>148</v>
      </c>
      <c r="AC335" t="e">
        <f>VLOOKUP(C335,[1]Sheet1!$C:$O,13,FALSE)</f>
        <v>#N/A</v>
      </c>
      <c r="AD335" t="str">
        <f>VLOOKUP($H335,'[3]0509人员排班情况 副本'!$G:$U,12,FALSE)</f>
        <v>王骞Ariel（Qian Wang）,叶秀芳Freya (Xiufang Ye)</v>
      </c>
      <c r="AE335" t="str">
        <f>VLOOKUP($H335,'[3]0509人员排班情况 副本'!$G:$U,13,FALSE)</f>
        <v>常哲</v>
      </c>
      <c r="AF335" t="str">
        <f>VLOOKUP($H335,'[3]0509人员排班情况 副本'!$G:$U,14,FALSE)</f>
        <v>Minqing (Minqing Xu),罗煜雄 Mike (Yuxiong Luo)</v>
      </c>
      <c r="AG335">
        <f>VLOOKUP($H335,'[3]0509人员排班情况 副本'!$G:$U,15,FALSE)</f>
        <v>0</v>
      </c>
    </row>
    <row r="336" customHeight="1" spans="1:33">
      <c r="A336" t="s">
        <v>202</v>
      </c>
      <c r="B336" t="s">
        <v>1222</v>
      </c>
      <c r="C336" t="s">
        <v>1223</v>
      </c>
      <c r="D336" t="s">
        <v>15</v>
      </c>
      <c r="E336" t="s">
        <v>17</v>
      </c>
      <c r="F336" t="s">
        <v>275</v>
      </c>
      <c r="G336" t="s">
        <v>112</v>
      </c>
      <c r="H336" t="str">
        <f t="shared" si="35"/>
        <v>FL 佛州大区MCO.H分拣组</v>
      </c>
      <c r="I336" t="s">
        <v>303</v>
      </c>
      <c r="J336" t="s">
        <v>205</v>
      </c>
      <c r="K336" s="15">
        <v>0.166666666666667</v>
      </c>
      <c r="L336" s="15" t="s">
        <v>206</v>
      </c>
      <c r="M336" s="15">
        <v>0.154166666666667</v>
      </c>
      <c r="N336" t="s">
        <v>1224</v>
      </c>
      <c r="O336" s="20" t="str">
        <f t="shared" si="36"/>
        <v>正确</v>
      </c>
      <c r="P336" s="21">
        <v>0</v>
      </c>
      <c r="Q336" s="21">
        <v>10.68</v>
      </c>
      <c r="R336" s="21">
        <v>0</v>
      </c>
      <c r="S336" s="21">
        <f t="shared" si="37"/>
        <v>10.68</v>
      </c>
      <c r="T336" s="21">
        <f t="shared" si="38"/>
        <v>2.68</v>
      </c>
      <c r="U336" s="21" t="str">
        <f t="shared" si="39"/>
        <v>是</v>
      </c>
      <c r="V336" s="21">
        <f>VLOOKUP($C336,[4]Sheet1!$B:$AN,39,FALSE)</f>
        <v>26.5</v>
      </c>
      <c r="W336" s="21">
        <v>48.23</v>
      </c>
      <c r="X336" s="23">
        <v>4</v>
      </c>
      <c r="Y336" s="23">
        <v>4</v>
      </c>
      <c r="Z336" s="25">
        <f t="shared" si="40"/>
        <v>0</v>
      </c>
      <c r="AA336" s="25" t="str">
        <f t="shared" si="41"/>
        <v>是</v>
      </c>
      <c r="AB336" t="s">
        <v>148</v>
      </c>
      <c r="AC336" t="e">
        <f>VLOOKUP(C336,[1]Sheet1!$C:$O,13,FALSE)</f>
        <v>#N/A</v>
      </c>
      <c r="AD336" t="str">
        <f>VLOOKUP($H336,'[3]0509人员排班情况 副本'!$G:$U,12,FALSE)</f>
        <v>Natalia (Natalia Padilla),孙婕 Jasmine（Sunjie）</v>
      </c>
      <c r="AE336" t="str">
        <f>VLOOKUP($H336,'[3]0509人员排班情况 副本'!$G:$U,13,FALSE)</f>
        <v>贺子强Jeff (Ziqiang He)</v>
      </c>
      <c r="AF336" t="str">
        <f>VLOOKUP($H336,'[3]0509人员排班情况 副本'!$G:$U,14,FALSE)</f>
        <v>张双甫(Shuangfu Zhang)</v>
      </c>
      <c r="AG336">
        <f>VLOOKUP($H336,'[3]0509人员排班情况 副本'!$G:$U,15,FALSE)</f>
        <v>0</v>
      </c>
    </row>
    <row r="337" customHeight="1" spans="1:33">
      <c r="A337" t="s">
        <v>202</v>
      </c>
      <c r="B337" t="s">
        <v>1225</v>
      </c>
      <c r="C337" t="s">
        <v>1226</v>
      </c>
      <c r="D337" t="s">
        <v>15</v>
      </c>
      <c r="E337" t="s">
        <v>29</v>
      </c>
      <c r="F337" t="s">
        <v>200</v>
      </c>
      <c r="H337" t="str">
        <f t="shared" si="35"/>
        <v>FL 佛州大区运营支持部区域支持组</v>
      </c>
      <c r="I337" t="s">
        <v>201</v>
      </c>
      <c r="J337" t="s">
        <v>343</v>
      </c>
      <c r="K337" s="15">
        <v>0.25</v>
      </c>
      <c r="L337" s="15" t="s">
        <v>344</v>
      </c>
      <c r="M337" s="15">
        <v>0.280555555555556</v>
      </c>
      <c r="N337" t="s">
        <v>1227</v>
      </c>
      <c r="O337" s="20" t="str">
        <f t="shared" si="36"/>
        <v>正确</v>
      </c>
      <c r="P337" s="21">
        <v>0</v>
      </c>
      <c r="Q337" s="21">
        <v>8.15</v>
      </c>
      <c r="R337" s="21">
        <v>0</v>
      </c>
      <c r="S337" s="21">
        <f t="shared" si="37"/>
        <v>8.15</v>
      </c>
      <c r="T337" s="21">
        <f t="shared" si="38"/>
        <v>0.15</v>
      </c>
      <c r="U337" s="21" t="str">
        <f t="shared" si="39"/>
        <v>是</v>
      </c>
      <c r="V337" s="21">
        <f>VLOOKUP($C337,[4]Sheet1!$B:$AN,39,FALSE)</f>
        <v>8.15</v>
      </c>
      <c r="W337" s="21">
        <v>0</v>
      </c>
      <c r="X337" s="23">
        <v>4</v>
      </c>
      <c r="Y337" s="23">
        <v>4</v>
      </c>
      <c r="Z337" s="25">
        <f t="shared" si="40"/>
        <v>0</v>
      </c>
      <c r="AA337" s="25" t="str">
        <f t="shared" si="41"/>
        <v>是</v>
      </c>
      <c r="AB337" t="s">
        <v>148</v>
      </c>
      <c r="AC337" t="e">
        <f>VLOOKUP(C337,[1]Sheet1!$C:$O,13,FALSE)</f>
        <v>#N/A</v>
      </c>
      <c r="AD337" t="str">
        <f>VLOOKUP($H337,'[3]0509人员排班情况 副本'!$G:$U,12,FALSE)</f>
        <v>Natalia (Natalia Padilla),孙婕 Jasmine（Sunjie）</v>
      </c>
      <c r="AE337" t="str">
        <f>VLOOKUP($H337,'[3]0509人员排班情况 副本'!$G:$U,13,FALSE)</f>
        <v>贺子强Jeff (Ziqiang He)</v>
      </c>
      <c r="AF337">
        <f>VLOOKUP($H337,'[3]0509人员排班情况 副本'!$G:$U,14,FALSE)</f>
        <v>0</v>
      </c>
      <c r="AG337">
        <f>VLOOKUP($H337,'[3]0509人员排班情况 副本'!$G:$U,15,FALSE)</f>
        <v>0</v>
      </c>
    </row>
    <row r="338" customHeight="1" spans="1:33">
      <c r="A338" t="s">
        <v>202</v>
      </c>
      <c r="B338" t="s">
        <v>1228</v>
      </c>
      <c r="C338" t="s">
        <v>1229</v>
      </c>
      <c r="D338" t="s">
        <v>99</v>
      </c>
      <c r="E338" t="s">
        <v>677</v>
      </c>
      <c r="F338" t="s">
        <v>678</v>
      </c>
      <c r="H338" t="str">
        <f t="shared" si="35"/>
        <v>US人力资源部美洲HRBP组德州区HR组</v>
      </c>
      <c r="I338" t="s">
        <v>1156</v>
      </c>
      <c r="J338" t="s">
        <v>236</v>
      </c>
      <c r="K338" s="15">
        <v>0.395833333333333</v>
      </c>
      <c r="L338" s="15" t="s">
        <v>218</v>
      </c>
      <c r="M338" s="15">
        <v>0.395833333333333</v>
      </c>
      <c r="N338" t="s">
        <v>1230</v>
      </c>
      <c r="O338" s="20" t="str">
        <f t="shared" si="36"/>
        <v>正确</v>
      </c>
      <c r="P338" s="21">
        <v>0</v>
      </c>
      <c r="Q338" s="21">
        <v>7.93</v>
      </c>
      <c r="R338" s="21">
        <v>0</v>
      </c>
      <c r="S338" s="21">
        <f t="shared" si="37"/>
        <v>7.93</v>
      </c>
      <c r="T338" s="21">
        <f t="shared" si="38"/>
        <v>0</v>
      </c>
      <c r="U338" s="21" t="str">
        <f t="shared" si="39"/>
        <v>否</v>
      </c>
      <c r="V338" s="21">
        <f>VLOOKUP($C338,[4]Sheet1!$B:$AN,39,FALSE)</f>
        <v>11.93</v>
      </c>
      <c r="W338" s="21">
        <v>0</v>
      </c>
      <c r="X338" s="23">
        <v>5</v>
      </c>
      <c r="Y338" s="23">
        <v>4</v>
      </c>
      <c r="Z338" s="25">
        <f t="shared" si="40"/>
        <v>0</v>
      </c>
      <c r="AA338" s="25" t="str">
        <f t="shared" si="41"/>
        <v>是</v>
      </c>
      <c r="AB338" t="s">
        <v>148</v>
      </c>
      <c r="AC338" t="e">
        <f>VLOOKUP(C338,[1]Sheet1!$C:$O,13,FALSE)</f>
        <v>#N/A</v>
      </c>
      <c r="AD338" t="str">
        <f>VLOOKUP($H338,'[3]0509人员排班情况 副本'!$G:$U,12,FALSE)</f>
        <v>袁博闻(Bowen Yuan)</v>
      </c>
      <c r="AE338">
        <f>VLOOKUP($H338,'[3]0509人员排班情况 副本'!$G:$U,13,FALSE)</f>
        <v>0</v>
      </c>
      <c r="AF338">
        <f>VLOOKUP($H338,'[3]0509人员排班情况 副本'!$G:$U,14,FALSE)</f>
        <v>0</v>
      </c>
      <c r="AG338">
        <f>VLOOKUP($H338,'[3]0509人员排班情况 副本'!$G:$U,15,FALSE)</f>
        <v>0</v>
      </c>
    </row>
    <row r="339" customHeight="1" spans="1:33">
      <c r="A339" t="s">
        <v>202</v>
      </c>
      <c r="B339" t="s">
        <v>1231</v>
      </c>
      <c r="C339" t="s">
        <v>1232</v>
      </c>
      <c r="D339" t="s">
        <v>100</v>
      </c>
      <c r="E339" t="s">
        <v>105</v>
      </c>
      <c r="F339" t="s">
        <v>750</v>
      </c>
      <c r="H339" t="str">
        <f t="shared" si="35"/>
        <v>WE 美西大区NC 北加片区SFO.H</v>
      </c>
      <c r="I339" t="s">
        <v>276</v>
      </c>
      <c r="J339" t="s">
        <v>211</v>
      </c>
      <c r="K339" s="15">
        <v>0.333333333333333</v>
      </c>
      <c r="L339" s="15" t="s">
        <v>212</v>
      </c>
      <c r="M339" s="15">
        <v>0.243055555555556</v>
      </c>
      <c r="N339" t="s">
        <v>1233</v>
      </c>
      <c r="O339" s="20" t="str">
        <f t="shared" si="36"/>
        <v>不正确</v>
      </c>
      <c r="P339" s="21">
        <v>0</v>
      </c>
      <c r="Q339" s="21">
        <v>10.23</v>
      </c>
      <c r="R339" s="21">
        <v>0</v>
      </c>
      <c r="S339" s="21">
        <f t="shared" si="37"/>
        <v>10.23</v>
      </c>
      <c r="T339" s="21">
        <f t="shared" si="38"/>
        <v>2.23</v>
      </c>
      <c r="U339" s="21" t="str">
        <f t="shared" si="39"/>
        <v>是</v>
      </c>
      <c r="V339" s="21">
        <f>VLOOKUP($C339,[4]Sheet1!$B:$AN,39,FALSE)</f>
        <v>20.43</v>
      </c>
      <c r="W339" s="21">
        <v>0</v>
      </c>
      <c r="X339" s="23">
        <v>4</v>
      </c>
      <c r="Y339" s="23">
        <v>4</v>
      </c>
      <c r="Z339" s="25">
        <f t="shared" si="40"/>
        <v>0</v>
      </c>
      <c r="AA339" s="25" t="str">
        <f t="shared" si="41"/>
        <v>是</v>
      </c>
      <c r="AB339" t="s">
        <v>148</v>
      </c>
      <c r="AC339" t="e">
        <f>VLOOKUP(C339,[1]Sheet1!$C:$O,13,FALSE)</f>
        <v>#N/A</v>
      </c>
      <c r="AD339" t="str">
        <f>VLOOKUP($H339,'[3]0509人员排班情况 副本'!$G:$U,12,FALSE)</f>
        <v>王骞Ariel（Qian Wang）,叶秀芳Freya (Xiufang Ye)</v>
      </c>
      <c r="AE339" t="str">
        <f>VLOOKUP($H339,'[3]0509人员排班情况 副本'!$G:$U,13,FALSE)</f>
        <v>常哲</v>
      </c>
      <c r="AF339" t="str">
        <f>VLOOKUP($H339,'[3]0509人员排班情况 副本'!$G:$U,14,FALSE)</f>
        <v>林美浚（Meijun Lin）</v>
      </c>
      <c r="AG339">
        <f>VLOOKUP($H339,'[3]0509人员排班情况 副本'!$G:$U,15,FALSE)</f>
        <v>0</v>
      </c>
    </row>
    <row r="340" customHeight="1" spans="1:33">
      <c r="A340" t="s">
        <v>202</v>
      </c>
      <c r="B340" t="s">
        <v>1234</v>
      </c>
      <c r="C340" t="s">
        <v>1235</v>
      </c>
      <c r="D340" t="s">
        <v>92</v>
      </c>
      <c r="E340" t="s">
        <v>94</v>
      </c>
      <c r="F340" t="s">
        <v>275</v>
      </c>
      <c r="G340" t="s">
        <v>112</v>
      </c>
      <c r="H340" t="str">
        <f t="shared" si="35"/>
        <v>TX 德州大区DFW.H分拣组</v>
      </c>
      <c r="I340" t="s">
        <v>303</v>
      </c>
      <c r="J340" t="s">
        <v>330</v>
      </c>
      <c r="K340" s="15">
        <v>0.625</v>
      </c>
      <c r="L340" s="15" t="s">
        <v>331</v>
      </c>
      <c r="M340" s="15">
        <v>0.656944444444444</v>
      </c>
      <c r="N340" t="s">
        <v>148</v>
      </c>
      <c r="O340" s="20" t="str">
        <f t="shared" si="36"/>
        <v>正确</v>
      </c>
      <c r="P340" s="21">
        <v>0</v>
      </c>
      <c r="Q340" s="21">
        <v>0</v>
      </c>
      <c r="R340" s="21">
        <v>0</v>
      </c>
      <c r="S340" s="21">
        <f t="shared" si="37"/>
        <v>0</v>
      </c>
      <c r="T340" s="21">
        <f t="shared" si="38"/>
        <v>0</v>
      </c>
      <c r="U340" s="21" t="str">
        <f t="shared" si="39"/>
        <v>否</v>
      </c>
      <c r="V340" s="21">
        <f>VLOOKUP($C340,[4]Sheet1!$B:$AN,39,FALSE)</f>
        <v>11.85</v>
      </c>
      <c r="W340" s="21">
        <v>0</v>
      </c>
      <c r="X340" s="23">
        <v>1</v>
      </c>
      <c r="Y340" s="23">
        <v>4</v>
      </c>
      <c r="Z340" s="25">
        <f t="shared" si="40"/>
        <v>3</v>
      </c>
      <c r="AA340" s="25" t="str">
        <f t="shared" si="41"/>
        <v>是</v>
      </c>
      <c r="AB340" t="s">
        <v>148</v>
      </c>
      <c r="AC340" t="e">
        <f>VLOOKUP(C340,[1]Sheet1!$C:$O,13,FALSE)</f>
        <v>#N/A</v>
      </c>
      <c r="AD340" t="str">
        <f>VLOOKUP($H340,'[3]0509人员排班情况 副本'!$G:$U,12,FALSE)</f>
        <v>肖芦莉Lily (Luli Xiao)</v>
      </c>
      <c r="AE340" t="str">
        <f>VLOOKUP($H340,'[3]0509人员排班情况 副本'!$G:$U,13,FALSE)</f>
        <v>张骥Ji Zhang (Ji Zhang)</v>
      </c>
      <c r="AF340" t="str">
        <f>VLOOKUP($H340,'[3]0509人员排班情况 副本'!$G:$U,14,FALSE)</f>
        <v>张双甫(Shuangfu Zhang)</v>
      </c>
      <c r="AG340">
        <f>VLOOKUP($H340,'[3]0509人员排班情况 副本'!$G:$U,15,FALSE)</f>
        <v>0</v>
      </c>
    </row>
    <row r="341" customHeight="1" spans="1:33">
      <c r="A341" t="s">
        <v>202</v>
      </c>
      <c r="B341" t="s">
        <v>1236</v>
      </c>
      <c r="C341" t="s">
        <v>1237</v>
      </c>
      <c r="D341" t="s">
        <v>100</v>
      </c>
      <c r="E341" t="s">
        <v>102</v>
      </c>
      <c r="F341" t="s">
        <v>1161</v>
      </c>
      <c r="H341" t="str">
        <f t="shared" si="35"/>
        <v>WE 美西大区DS 丹佛·盐湖城片区SLC01</v>
      </c>
      <c r="I341" t="s">
        <v>177</v>
      </c>
      <c r="J341" t="s">
        <v>400</v>
      </c>
      <c r="K341" s="15">
        <v>0.5</v>
      </c>
      <c r="L341" s="15" t="s">
        <v>401</v>
      </c>
      <c r="M341" s="15">
        <v>0.448611111111111</v>
      </c>
      <c r="N341" t="s">
        <v>1238</v>
      </c>
      <c r="O341" s="20" t="str">
        <f t="shared" si="36"/>
        <v>不正确</v>
      </c>
      <c r="P341" s="21">
        <v>0</v>
      </c>
      <c r="Q341" s="21">
        <v>9.13</v>
      </c>
      <c r="R341" s="21">
        <v>0</v>
      </c>
      <c r="S341" s="21">
        <f t="shared" si="37"/>
        <v>9.13</v>
      </c>
      <c r="T341" s="21">
        <f t="shared" si="38"/>
        <v>1.13</v>
      </c>
      <c r="U341" s="21" t="str">
        <f t="shared" si="39"/>
        <v>是</v>
      </c>
      <c r="V341" s="21">
        <f>VLOOKUP($C341,[4]Sheet1!$B:$AN,39,FALSE)</f>
        <v>15.21</v>
      </c>
      <c r="W341" s="21">
        <v>0</v>
      </c>
      <c r="X341" s="23">
        <v>3</v>
      </c>
      <c r="Y341" s="23">
        <v>4</v>
      </c>
      <c r="Z341" s="25">
        <f t="shared" si="40"/>
        <v>1</v>
      </c>
      <c r="AA341" s="25" t="str">
        <f t="shared" si="41"/>
        <v>是</v>
      </c>
      <c r="AB341" t="s">
        <v>148</v>
      </c>
      <c r="AC341" t="e">
        <f>VLOOKUP(C341,[1]Sheet1!$C:$O,13,FALSE)</f>
        <v>#N/A</v>
      </c>
      <c r="AD341" t="str">
        <f>VLOOKUP($H341,'[3]0509人员排班情况 副本'!$G:$U,12,FALSE)</f>
        <v>王骞Ariel（Qian Wang）,叶秀芳Freya (Xiufang Ye)</v>
      </c>
      <c r="AE341" t="str">
        <f>VLOOKUP($H341,'[3]0509人员排班情况 副本'!$G:$U,13,FALSE)</f>
        <v>常哲</v>
      </c>
      <c r="AF341" t="str">
        <f>VLOOKUP($H341,'[3]0509人员排班情况 副本'!$G:$U,14,FALSE)</f>
        <v>兰鹏Peng（Peng Lan）</v>
      </c>
      <c r="AG341">
        <f>VLOOKUP($H341,'[3]0509人员排班情况 副本'!$G:$U,15,FALSE)</f>
        <v>0</v>
      </c>
    </row>
    <row r="342" customHeight="1" spans="1:33">
      <c r="A342" t="s">
        <v>202</v>
      </c>
      <c r="B342" t="s">
        <v>1239</v>
      </c>
      <c r="C342" t="s">
        <v>1240</v>
      </c>
      <c r="D342" t="s">
        <v>48</v>
      </c>
      <c r="E342" t="s">
        <v>50</v>
      </c>
      <c r="F342" t="s">
        <v>839</v>
      </c>
      <c r="H342" t="str">
        <f t="shared" si="35"/>
        <v>Ground项目部OG 美南区运营支持组</v>
      </c>
      <c r="I342" t="s">
        <v>326</v>
      </c>
      <c r="J342" t="s">
        <v>217</v>
      </c>
      <c r="K342" s="15">
        <v>0.395833333333333</v>
      </c>
      <c r="L342" s="15" t="s">
        <v>218</v>
      </c>
      <c r="M342" s="15">
        <v>0.499305555555556</v>
      </c>
      <c r="N342" t="s">
        <v>1241</v>
      </c>
      <c r="O342" s="20" t="str">
        <f t="shared" si="36"/>
        <v>不正确</v>
      </c>
      <c r="P342" s="21">
        <v>0</v>
      </c>
      <c r="Q342" s="21">
        <v>1.35</v>
      </c>
      <c r="R342" s="21">
        <v>0</v>
      </c>
      <c r="S342" s="21">
        <f t="shared" si="37"/>
        <v>1.35</v>
      </c>
      <c r="T342" s="21">
        <f t="shared" si="38"/>
        <v>0</v>
      </c>
      <c r="U342" s="21" t="str">
        <f t="shared" si="39"/>
        <v>否</v>
      </c>
      <c r="V342" s="21">
        <f>VLOOKUP($C342,[4]Sheet1!$B:$AN,39,FALSE)</f>
        <v>9.22</v>
      </c>
      <c r="W342" s="21">
        <v>0</v>
      </c>
      <c r="X342" s="23">
        <v>3</v>
      </c>
      <c r="Y342" s="23">
        <v>0</v>
      </c>
      <c r="Z342" s="25">
        <f t="shared" si="40"/>
        <v>0</v>
      </c>
      <c r="AA342" s="25" t="str">
        <f t="shared" si="41"/>
        <v>是</v>
      </c>
      <c r="AB342" t="s">
        <v>148</v>
      </c>
      <c r="AC342" t="e">
        <f>VLOOKUP(C342,[1]Sheet1!$C:$O,13,FALSE)</f>
        <v>#N/A</v>
      </c>
      <c r="AD342" t="str">
        <f>VLOOKUP($H342,'[3]0509人员排班情况 副本'!$G:$U,12,FALSE)</f>
        <v>王安琪 (Anqi Wang),张朱同 Thomson（Zhutong Zhang）</v>
      </c>
      <c r="AE342" t="str">
        <f>VLOOKUP($H342,'[3]0509人员排班情况 副本'!$G:$U,13,FALSE)</f>
        <v>陈锦昭</v>
      </c>
      <c r="AF342">
        <f>VLOOKUP($H342,'[3]0509人员排班情况 副本'!$G:$U,14,FALSE)</f>
        <v>0</v>
      </c>
      <c r="AG342">
        <f>VLOOKUP($H342,'[3]0509人员排班情况 副本'!$G:$U,15,FALSE)</f>
        <v>0</v>
      </c>
    </row>
    <row r="343" customHeight="1" spans="1:33">
      <c r="A343" t="s">
        <v>202</v>
      </c>
      <c r="B343" t="s">
        <v>1242</v>
      </c>
      <c r="C343" t="s">
        <v>1243</v>
      </c>
      <c r="D343" t="s">
        <v>92</v>
      </c>
      <c r="E343" t="s">
        <v>96</v>
      </c>
      <c r="F343" t="s">
        <v>312</v>
      </c>
      <c r="G343" t="s">
        <v>112</v>
      </c>
      <c r="H343" t="str">
        <f t="shared" si="35"/>
        <v>TX 德州大区IAH.H异常处理组</v>
      </c>
      <c r="I343" t="s">
        <v>778</v>
      </c>
      <c r="J343" t="s">
        <v>236</v>
      </c>
      <c r="K343" s="15">
        <v>0.395833333333333</v>
      </c>
      <c r="L343" s="15" t="s">
        <v>218</v>
      </c>
      <c r="M343" s="15">
        <v>0.375694444444444</v>
      </c>
      <c r="N343" t="s">
        <v>1244</v>
      </c>
      <c r="O343" s="20" t="str">
        <f t="shared" si="36"/>
        <v>正确</v>
      </c>
      <c r="P343" s="21">
        <v>0</v>
      </c>
      <c r="Q343" s="21">
        <v>9.02</v>
      </c>
      <c r="R343" s="21">
        <v>0</v>
      </c>
      <c r="S343" s="21">
        <f t="shared" si="37"/>
        <v>9.02</v>
      </c>
      <c r="T343" s="21">
        <f t="shared" si="38"/>
        <v>1.02</v>
      </c>
      <c r="U343" s="21" t="str">
        <f t="shared" si="39"/>
        <v>是</v>
      </c>
      <c r="V343" s="21">
        <f>VLOOKUP($C343,[4]Sheet1!$B:$AN,39,FALSE)</f>
        <v>19.04</v>
      </c>
      <c r="W343" s="21">
        <v>0</v>
      </c>
      <c r="X343" s="23">
        <v>4</v>
      </c>
      <c r="Y343" s="23">
        <v>4</v>
      </c>
      <c r="Z343" s="25">
        <f t="shared" si="40"/>
        <v>0</v>
      </c>
      <c r="AA343" s="25" t="str">
        <f t="shared" si="41"/>
        <v>是</v>
      </c>
      <c r="AB343" t="s">
        <v>148</v>
      </c>
      <c r="AC343" t="e">
        <f>VLOOKUP(C343,[1]Sheet1!$C:$O,13,FALSE)</f>
        <v>#N/A</v>
      </c>
      <c r="AD343" t="str">
        <f>VLOOKUP($H343,'[3]0509人员排班情况 副本'!$G:$U,12,FALSE)</f>
        <v>肖芦莉Lily (Luli Xiao)</v>
      </c>
      <c r="AE343" t="str">
        <f>VLOOKUP($H343,'[3]0509人员排班情况 副本'!$G:$U,13,FALSE)</f>
        <v>张骥Ji Zhang (Ji Zhang)</v>
      </c>
      <c r="AF343" t="str">
        <f>VLOOKUP($H343,'[3]0509人员排班情况 副本'!$G:$U,14,FALSE)</f>
        <v>Minqing (Minqing Xu),罗煜雄 Mike (Yuxiong Luo)</v>
      </c>
      <c r="AG343">
        <f>VLOOKUP($H343,'[3]0509人员排班情况 副本'!$G:$U,15,FALSE)</f>
        <v>0</v>
      </c>
    </row>
    <row r="344" customHeight="1" spans="1:33">
      <c r="A344" t="s">
        <v>202</v>
      </c>
      <c r="B344" t="s">
        <v>1245</v>
      </c>
      <c r="C344" t="s">
        <v>1246</v>
      </c>
      <c r="D344" t="s">
        <v>15</v>
      </c>
      <c r="E344" t="s">
        <v>24</v>
      </c>
      <c r="F344" t="s">
        <v>1247</v>
      </c>
      <c r="H344" t="str">
        <f t="shared" si="35"/>
        <v>FL 佛州大区SF 南佛片区MIA02</v>
      </c>
      <c r="I344" t="s">
        <v>177</v>
      </c>
      <c r="J344" t="s">
        <v>217</v>
      </c>
      <c r="K344" s="15">
        <v>0.395833333333333</v>
      </c>
      <c r="L344" s="15" t="s">
        <v>218</v>
      </c>
      <c r="M344" s="15"/>
      <c r="N344" t="s">
        <v>148</v>
      </c>
      <c r="O344" s="20" t="s">
        <v>116</v>
      </c>
      <c r="P344" s="21">
        <v>0</v>
      </c>
      <c r="Q344" s="21">
        <v>0</v>
      </c>
      <c r="R344" s="21">
        <v>0</v>
      </c>
      <c r="S344" s="21">
        <f t="shared" si="37"/>
        <v>0</v>
      </c>
      <c r="T344" s="21">
        <f t="shared" si="38"/>
        <v>0</v>
      </c>
      <c r="U344" s="21" t="str">
        <f t="shared" si="39"/>
        <v>否</v>
      </c>
      <c r="V344" s="21">
        <f>VLOOKUP($C344,[4]Sheet1!$B:$AN,39,FALSE)</f>
        <v>9.02</v>
      </c>
      <c r="W344" s="21">
        <v>0</v>
      </c>
      <c r="X344" s="23">
        <v>0</v>
      </c>
      <c r="Y344" s="23">
        <v>0</v>
      </c>
      <c r="Z344" s="25">
        <f t="shared" si="40"/>
        <v>0</v>
      </c>
      <c r="AA344" s="25" t="str">
        <f t="shared" si="41"/>
        <v>是</v>
      </c>
      <c r="AB344" t="s">
        <v>148</v>
      </c>
      <c r="AC344" t="e">
        <f>VLOOKUP(C344,[1]Sheet1!$C:$O,13,FALSE)</f>
        <v>#N/A</v>
      </c>
      <c r="AD344" t="str">
        <f>VLOOKUP($H344,'[3]0509人员排班情况 副本'!$G:$U,12,FALSE)</f>
        <v>Natalia (Natalia Padilla),孙婕 Jasmine（Sunjie）</v>
      </c>
      <c r="AE344" t="str">
        <f>VLOOKUP($H344,'[3]0509人员排班情况 副本'!$G:$U,13,FALSE)</f>
        <v>贺子强Jeff (Ziqiang He)</v>
      </c>
      <c r="AF344" t="str">
        <f>VLOOKUP($H344,'[3]0509人员排班情况 副本'!$G:$U,14,FALSE)</f>
        <v>王航 Hang (Hang Wang)</v>
      </c>
      <c r="AG344">
        <f>VLOOKUP($H344,'[3]0509人员排班情况 副本'!$G:$U,15,FALSE)</f>
        <v>0</v>
      </c>
    </row>
    <row r="345" customHeight="1" spans="1:33">
      <c r="A345" t="s">
        <v>202</v>
      </c>
      <c r="B345" t="s">
        <v>1248</v>
      </c>
      <c r="C345" t="s">
        <v>1249</v>
      </c>
      <c r="D345" t="s">
        <v>92</v>
      </c>
      <c r="E345" t="s">
        <v>97</v>
      </c>
      <c r="F345" t="s">
        <v>262</v>
      </c>
      <c r="H345" t="str">
        <f t="shared" si="35"/>
        <v>TX 德州大区NT 北德州片区DFW01</v>
      </c>
      <c r="I345" t="s">
        <v>177</v>
      </c>
      <c r="J345" t="s">
        <v>437</v>
      </c>
      <c r="K345" s="15">
        <v>0.229166666666667</v>
      </c>
      <c r="L345" s="15" t="s">
        <v>438</v>
      </c>
      <c r="M345" s="15">
        <v>0.232638888888889</v>
      </c>
      <c r="N345" t="s">
        <v>1250</v>
      </c>
      <c r="O345" s="20" t="str">
        <f t="shared" si="36"/>
        <v>正确</v>
      </c>
      <c r="P345" s="21">
        <v>1</v>
      </c>
      <c r="Q345" s="21">
        <v>7.63</v>
      </c>
      <c r="R345" s="21">
        <v>1</v>
      </c>
      <c r="S345" s="21">
        <f t="shared" si="37"/>
        <v>8.63</v>
      </c>
      <c r="T345" s="21">
        <f t="shared" si="38"/>
        <v>0.629999999999999</v>
      </c>
      <c r="U345" s="21" t="str">
        <f t="shared" si="39"/>
        <v>是</v>
      </c>
      <c r="V345" s="21">
        <f>VLOOKUP($C345,[4]Sheet1!$B:$AN,39,FALSE)</f>
        <v>7.63</v>
      </c>
      <c r="W345" s="21">
        <v>12.7</v>
      </c>
      <c r="X345" s="23">
        <v>4</v>
      </c>
      <c r="Y345" s="23">
        <v>4</v>
      </c>
      <c r="Z345" s="25">
        <f t="shared" si="40"/>
        <v>0</v>
      </c>
      <c r="AA345" s="25" t="str">
        <f t="shared" si="41"/>
        <v>是</v>
      </c>
      <c r="AB345" t="s">
        <v>1251</v>
      </c>
      <c r="AC345" t="e">
        <f>VLOOKUP(C345,[1]Sheet1!$C:$O,13,FALSE)</f>
        <v>#N/A</v>
      </c>
      <c r="AD345" t="str">
        <f>VLOOKUP($H345,'[3]0509人员排班情况 副本'!$G:$U,12,FALSE)</f>
        <v>肖芦莉Lily (Luli Xiao)</v>
      </c>
      <c r="AE345" t="str">
        <f>VLOOKUP($H345,'[3]0509人员排班情况 副本'!$G:$U,13,FALSE)</f>
        <v>张骥Ji Zhang (Ji Zhang)</v>
      </c>
      <c r="AF345" t="str">
        <f>VLOOKUP($H345,'[3]0509人员排班情况 副本'!$G:$U,14,FALSE)</f>
        <v>何琼joan(Qiong He)</v>
      </c>
      <c r="AG345">
        <f>VLOOKUP($H345,'[3]0509人员排班情况 副本'!$G:$U,15,FALSE)</f>
        <v>0</v>
      </c>
    </row>
    <row r="346" customHeight="1" spans="1:33">
      <c r="A346" t="s">
        <v>202</v>
      </c>
      <c r="B346" t="s">
        <v>1252</v>
      </c>
      <c r="C346" t="s">
        <v>1253</v>
      </c>
      <c r="D346" t="s">
        <v>100</v>
      </c>
      <c r="E346" t="s">
        <v>105</v>
      </c>
      <c r="F346" t="s">
        <v>750</v>
      </c>
      <c r="H346" t="str">
        <f t="shared" si="35"/>
        <v>WE 美西大区NC 北加片区SFO.H</v>
      </c>
      <c r="I346" t="s">
        <v>156</v>
      </c>
      <c r="J346" t="s">
        <v>304</v>
      </c>
      <c r="K346" s="15">
        <v>0.666666666666667</v>
      </c>
      <c r="L346" s="15" t="s">
        <v>305</v>
      </c>
      <c r="M346" s="15">
        <v>0.659027777777778</v>
      </c>
      <c r="N346" t="s">
        <v>148</v>
      </c>
      <c r="O346" s="20" t="str">
        <f t="shared" si="36"/>
        <v>正确</v>
      </c>
      <c r="P346" s="21">
        <v>0</v>
      </c>
      <c r="Q346" s="21">
        <v>0</v>
      </c>
      <c r="R346" s="21">
        <v>0</v>
      </c>
      <c r="S346" s="21">
        <f t="shared" si="37"/>
        <v>0</v>
      </c>
      <c r="T346" s="21">
        <f t="shared" si="38"/>
        <v>0</v>
      </c>
      <c r="U346" s="21" t="str">
        <f t="shared" si="39"/>
        <v>否</v>
      </c>
      <c r="V346" s="21">
        <f>VLOOKUP($C346,[4]Sheet1!$B:$AN,39,FALSE)</f>
        <v>10.55</v>
      </c>
      <c r="W346" s="21">
        <v>0</v>
      </c>
      <c r="X346" s="23">
        <v>3</v>
      </c>
      <c r="Y346" s="23">
        <v>4</v>
      </c>
      <c r="Z346" s="25">
        <f t="shared" si="40"/>
        <v>1</v>
      </c>
      <c r="AA346" s="25" t="str">
        <f t="shared" si="41"/>
        <v>是</v>
      </c>
      <c r="AB346" t="s">
        <v>148</v>
      </c>
      <c r="AC346" t="e">
        <f>VLOOKUP(C346,[1]Sheet1!$C:$O,13,FALSE)</f>
        <v>#N/A</v>
      </c>
      <c r="AD346" t="str">
        <f>VLOOKUP($H346,'[3]0509人员排班情况 副本'!$G:$U,12,FALSE)</f>
        <v>王骞Ariel（Qian Wang）,叶秀芳Freya (Xiufang Ye)</v>
      </c>
      <c r="AE346" t="str">
        <f>VLOOKUP($H346,'[3]0509人员排班情况 副本'!$G:$U,13,FALSE)</f>
        <v>常哲</v>
      </c>
      <c r="AF346" t="str">
        <f>VLOOKUP($H346,'[3]0509人员排班情况 副本'!$G:$U,14,FALSE)</f>
        <v>林美浚（Meijun Lin）</v>
      </c>
      <c r="AG346">
        <f>VLOOKUP($H346,'[3]0509人员排班情况 副本'!$G:$U,15,FALSE)</f>
        <v>0</v>
      </c>
    </row>
    <row r="347" customHeight="1" spans="1:33">
      <c r="A347" t="s">
        <v>202</v>
      </c>
      <c r="B347" t="s">
        <v>1254</v>
      </c>
      <c r="C347" t="s">
        <v>1255</v>
      </c>
      <c r="D347" t="s">
        <v>31</v>
      </c>
      <c r="E347" t="s">
        <v>37</v>
      </c>
      <c r="F347" t="s">
        <v>148</v>
      </c>
      <c r="H347" t="str">
        <f t="shared" si="35"/>
        <v>GL 大湖大区IND01</v>
      </c>
      <c r="I347" t="s">
        <v>177</v>
      </c>
      <c r="J347" t="s">
        <v>217</v>
      </c>
      <c r="K347" s="15">
        <v>0.395833333333333</v>
      </c>
      <c r="L347" s="15" t="s">
        <v>218</v>
      </c>
      <c r="M347" s="15"/>
      <c r="N347" t="s">
        <v>148</v>
      </c>
      <c r="O347" s="20" t="s">
        <v>116</v>
      </c>
      <c r="P347" s="21">
        <v>0</v>
      </c>
      <c r="Q347" s="21">
        <v>0</v>
      </c>
      <c r="R347" s="21">
        <v>0</v>
      </c>
      <c r="S347" s="21">
        <f t="shared" si="37"/>
        <v>0</v>
      </c>
      <c r="T347" s="21">
        <f t="shared" si="38"/>
        <v>0</v>
      </c>
      <c r="U347" s="21" t="str">
        <f t="shared" si="39"/>
        <v>否</v>
      </c>
      <c r="V347" s="21">
        <f>VLOOKUP($C347,[4]Sheet1!$B:$AN,39,FALSE)</f>
        <v>0</v>
      </c>
      <c r="W347" s="21">
        <v>0</v>
      </c>
      <c r="X347" s="23">
        <v>0</v>
      </c>
      <c r="Y347" s="23">
        <v>0</v>
      </c>
      <c r="Z347" s="25">
        <f t="shared" si="40"/>
        <v>0</v>
      </c>
      <c r="AA347" s="25" t="str">
        <f t="shared" si="41"/>
        <v>是</v>
      </c>
      <c r="AB347" t="s">
        <v>148</v>
      </c>
      <c r="AC347" t="e">
        <f>VLOOKUP(C347,[1]Sheet1!$C:$O,13,FALSE)</f>
        <v>#N/A</v>
      </c>
      <c r="AD347" t="str">
        <f>VLOOKUP($H347,'[3]0509人员排班情况 副本'!$G:$U,12,FALSE)</f>
        <v>王晓丹 Jasmine（Xiaodan Wang）,周延舒Isabel（Yanshu Zhou）</v>
      </c>
      <c r="AE347" t="str">
        <f>VLOOKUP($H347,'[3]0509人员排班情况 副本'!$G:$U,13,FALSE)</f>
        <v>张骥Ji Zhang (Ji Zhang)</v>
      </c>
      <c r="AF347">
        <f>VLOOKUP($H347,'[3]0509人员排班情况 副本'!$G:$U,14,FALSE)</f>
        <v>0</v>
      </c>
      <c r="AG347">
        <f>VLOOKUP($H347,'[3]0509人员排班情况 副本'!$G:$U,15,FALSE)</f>
        <v>0</v>
      </c>
    </row>
    <row r="348" customHeight="1" spans="1:33">
      <c r="A348" t="s">
        <v>202</v>
      </c>
      <c r="B348" t="s">
        <v>1256</v>
      </c>
      <c r="C348" t="s">
        <v>1257</v>
      </c>
      <c r="D348" t="s">
        <v>92</v>
      </c>
      <c r="E348" t="s">
        <v>97</v>
      </c>
      <c r="F348" t="s">
        <v>262</v>
      </c>
      <c r="H348" t="str">
        <f t="shared" si="35"/>
        <v>TX 德州大区NT 北德州片区DFW01</v>
      </c>
      <c r="I348" t="s">
        <v>177</v>
      </c>
      <c r="J348" t="s">
        <v>221</v>
      </c>
      <c r="K348" s="15">
        <v>0.208333333333333</v>
      </c>
      <c r="L348" s="15" t="s">
        <v>222</v>
      </c>
      <c r="M348" s="15">
        <v>0.204861111111111</v>
      </c>
      <c r="N348" t="s">
        <v>1258</v>
      </c>
      <c r="O348" s="20" t="str">
        <f t="shared" si="36"/>
        <v>正确</v>
      </c>
      <c r="P348" s="21">
        <v>1.3</v>
      </c>
      <c r="Q348" s="21">
        <v>7.35</v>
      </c>
      <c r="R348" s="21">
        <v>1.3</v>
      </c>
      <c r="S348" s="21">
        <f t="shared" si="37"/>
        <v>8.65</v>
      </c>
      <c r="T348" s="21">
        <f t="shared" si="38"/>
        <v>0.65</v>
      </c>
      <c r="U348" s="21" t="str">
        <f t="shared" si="39"/>
        <v>是</v>
      </c>
      <c r="V348" s="21">
        <f>VLOOKUP($C348,[4]Sheet1!$B:$AN,39,FALSE)</f>
        <v>15.37</v>
      </c>
      <c r="W348" s="21">
        <v>0</v>
      </c>
      <c r="X348" s="23">
        <v>4</v>
      </c>
      <c r="Y348" s="23">
        <v>4</v>
      </c>
      <c r="Z348" s="25">
        <f t="shared" si="40"/>
        <v>0</v>
      </c>
      <c r="AA348" s="25" t="str">
        <f t="shared" si="41"/>
        <v>是</v>
      </c>
      <c r="AB348" t="s">
        <v>1259</v>
      </c>
      <c r="AC348" t="e">
        <f>VLOOKUP(C348,[1]Sheet1!$C:$O,13,FALSE)</f>
        <v>#N/A</v>
      </c>
      <c r="AD348" t="str">
        <f>VLOOKUP($H348,'[3]0509人员排班情况 副本'!$G:$U,12,FALSE)</f>
        <v>肖芦莉Lily (Luli Xiao)</v>
      </c>
      <c r="AE348" t="str">
        <f>VLOOKUP($H348,'[3]0509人员排班情况 副本'!$G:$U,13,FALSE)</f>
        <v>张骥Ji Zhang (Ji Zhang)</v>
      </c>
      <c r="AF348" t="str">
        <f>VLOOKUP($H348,'[3]0509人员排班情况 副本'!$G:$U,14,FALSE)</f>
        <v>何琼joan(Qiong He)</v>
      </c>
      <c r="AG348">
        <f>VLOOKUP($H348,'[3]0509人员排班情况 副本'!$G:$U,15,FALSE)</f>
        <v>0</v>
      </c>
    </row>
    <row r="349" customHeight="1" spans="1:33">
      <c r="A349" t="s">
        <v>202</v>
      </c>
      <c r="B349" t="s">
        <v>1260</v>
      </c>
      <c r="C349" t="s">
        <v>1261</v>
      </c>
      <c r="D349" t="s">
        <v>31</v>
      </c>
      <c r="E349" t="s">
        <v>41</v>
      </c>
      <c r="F349" t="s">
        <v>243</v>
      </c>
      <c r="G349" t="s">
        <v>112</v>
      </c>
      <c r="H349" t="str">
        <f t="shared" si="35"/>
        <v>GL 大湖大区ORD.H调度组</v>
      </c>
      <c r="I349" t="s">
        <v>160</v>
      </c>
      <c r="J349" t="s">
        <v>217</v>
      </c>
      <c r="K349" s="15">
        <v>0.395833333333333</v>
      </c>
      <c r="L349" s="15" t="s">
        <v>218</v>
      </c>
      <c r="M349" s="15"/>
      <c r="N349" t="s">
        <v>148</v>
      </c>
      <c r="O349" s="20" t="s">
        <v>116</v>
      </c>
      <c r="P349" s="21">
        <v>0</v>
      </c>
      <c r="Q349" s="21">
        <v>0</v>
      </c>
      <c r="R349" s="21">
        <v>0</v>
      </c>
      <c r="S349" s="21">
        <f t="shared" si="37"/>
        <v>0</v>
      </c>
      <c r="T349" s="21">
        <f t="shared" si="38"/>
        <v>0</v>
      </c>
      <c r="U349" s="21" t="str">
        <f t="shared" si="39"/>
        <v>否</v>
      </c>
      <c r="V349" s="21">
        <f>VLOOKUP($C349,[4]Sheet1!$B:$AN,39,FALSE)</f>
        <v>9.93</v>
      </c>
      <c r="W349" s="21">
        <v>0</v>
      </c>
      <c r="X349" s="23">
        <v>0</v>
      </c>
      <c r="Y349" s="23">
        <v>0</v>
      </c>
      <c r="Z349" s="25">
        <f t="shared" si="40"/>
        <v>0</v>
      </c>
      <c r="AA349" s="25" t="str">
        <f t="shared" si="41"/>
        <v>是</v>
      </c>
      <c r="AB349" t="s">
        <v>148</v>
      </c>
      <c r="AC349" t="e">
        <f>VLOOKUP(C349,[1]Sheet1!$C:$O,13,FALSE)</f>
        <v>#N/A</v>
      </c>
      <c r="AD349" t="str">
        <f>VLOOKUP($H349,'[3]0509人员排班情况 副本'!$G:$U,12,FALSE)</f>
        <v>王晓丹 Jasmine（Xiaodan Wang）,周延舒Isabel（Yanshu Zhou）</v>
      </c>
      <c r="AE349" t="str">
        <f>VLOOKUP($H349,'[3]0509人员排班情况 副本'!$G:$U,13,FALSE)</f>
        <v>张骥Ji Zhang (Ji Zhang)</v>
      </c>
      <c r="AF349" t="str">
        <f>VLOOKUP($H349,'[3]0509人员排班情况 副本'!$G:$U,14,FALSE)</f>
        <v>Minqing (Minqing Xu),罗煜雄 Mike (Yuxiong Luo)</v>
      </c>
      <c r="AG349">
        <f>VLOOKUP($H349,'[3]0509人员排班情况 副本'!$G:$U,15,FALSE)</f>
        <v>0</v>
      </c>
    </row>
    <row r="350" customHeight="1" spans="1:33">
      <c r="A350" t="s">
        <v>202</v>
      </c>
      <c r="B350" t="s">
        <v>1262</v>
      </c>
      <c r="C350" t="s">
        <v>1263</v>
      </c>
      <c r="D350" t="s">
        <v>100</v>
      </c>
      <c r="E350" t="s">
        <v>103</v>
      </c>
      <c r="F350" t="s">
        <v>574</v>
      </c>
      <c r="G350" t="s">
        <v>112</v>
      </c>
      <c r="H350" t="str">
        <f t="shared" si="35"/>
        <v>WE 美西大区LAV.H合流合包组</v>
      </c>
      <c r="I350" t="s">
        <v>156</v>
      </c>
      <c r="J350" t="s">
        <v>882</v>
      </c>
      <c r="K350" s="15">
        <v>0.5625</v>
      </c>
      <c r="L350" s="15" t="s">
        <v>836</v>
      </c>
      <c r="M350" s="15">
        <v>0.561111111111111</v>
      </c>
      <c r="N350" t="s">
        <v>969</v>
      </c>
      <c r="O350" s="20" t="str">
        <f t="shared" si="36"/>
        <v>正确</v>
      </c>
      <c r="P350" s="21">
        <v>0</v>
      </c>
      <c r="Q350" s="21">
        <v>8.43</v>
      </c>
      <c r="R350" s="21">
        <v>0</v>
      </c>
      <c r="S350" s="21">
        <f t="shared" si="37"/>
        <v>8.43</v>
      </c>
      <c r="T350" s="21">
        <f t="shared" si="38"/>
        <v>0.43</v>
      </c>
      <c r="U350" s="21" t="str">
        <f t="shared" si="39"/>
        <v>是</v>
      </c>
      <c r="V350" s="21">
        <f>VLOOKUP($C350,[4]Sheet1!$B:$AN,39,FALSE)</f>
        <v>8.43</v>
      </c>
      <c r="W350" s="21">
        <v>0</v>
      </c>
      <c r="X350" s="23">
        <v>4</v>
      </c>
      <c r="Y350" s="23">
        <v>0</v>
      </c>
      <c r="Z350" s="25">
        <f t="shared" si="40"/>
        <v>0</v>
      </c>
      <c r="AA350" s="25" t="str">
        <f t="shared" si="41"/>
        <v>是</v>
      </c>
      <c r="AB350" t="s">
        <v>1264</v>
      </c>
      <c r="AC350" t="e">
        <f>VLOOKUP(C350,[1]Sheet1!$C:$O,13,FALSE)</f>
        <v>#N/A</v>
      </c>
      <c r="AD350" t="str">
        <f>VLOOKUP($H350,'[3]0509人员排班情况 副本'!$G:$U,12,FALSE)</f>
        <v>王骞Ariel（Qian Wang）,叶秀芳Freya (Xiufang Ye)</v>
      </c>
      <c r="AE350" t="str">
        <f>VLOOKUP($H350,'[3]0509人员排班情况 副本'!$G:$U,13,FALSE)</f>
        <v>常哲</v>
      </c>
      <c r="AF350" t="str">
        <f>VLOOKUP($H350,'[3]0509人员排班情况 副本'!$G:$U,14,FALSE)</f>
        <v>覃超群Jessica（Chaoqun Qin）</v>
      </c>
      <c r="AG350">
        <f>VLOOKUP($H350,'[3]0509人员排班情况 副本'!$G:$U,15,FALSE)</f>
        <v>0</v>
      </c>
    </row>
    <row r="351" customHeight="1" spans="1:33">
      <c r="A351" t="s">
        <v>202</v>
      </c>
      <c r="B351" t="s">
        <v>1265</v>
      </c>
      <c r="C351" t="s">
        <v>1266</v>
      </c>
      <c r="D351" t="s">
        <v>99</v>
      </c>
      <c r="E351" t="s">
        <v>677</v>
      </c>
      <c r="F351" t="s">
        <v>678</v>
      </c>
      <c r="H351" t="str">
        <f t="shared" si="35"/>
        <v>US人力资源部美洲HRBP组德州区HR组</v>
      </c>
      <c r="I351" t="s">
        <v>1064</v>
      </c>
      <c r="J351" t="s">
        <v>236</v>
      </c>
      <c r="K351" s="15">
        <v>0.395833333333333</v>
      </c>
      <c r="L351" s="15" t="s">
        <v>218</v>
      </c>
      <c r="M351" s="15"/>
      <c r="N351" t="s">
        <v>148</v>
      </c>
      <c r="O351" s="20" t="str">
        <f t="shared" si="36"/>
        <v>不正确</v>
      </c>
      <c r="P351" s="21">
        <v>0</v>
      </c>
      <c r="Q351" s="21">
        <v>0</v>
      </c>
      <c r="R351" s="21">
        <v>0</v>
      </c>
      <c r="S351" s="21">
        <f t="shared" si="37"/>
        <v>0</v>
      </c>
      <c r="T351" s="21">
        <f t="shared" si="38"/>
        <v>0</v>
      </c>
      <c r="U351" s="21" t="str">
        <f t="shared" si="39"/>
        <v>否</v>
      </c>
      <c r="V351" s="21">
        <f>VLOOKUP($C351,[4]Sheet1!$B:$AN,39,FALSE)</f>
        <v>0</v>
      </c>
      <c r="W351" s="21">
        <v>0</v>
      </c>
      <c r="X351" s="23">
        <v>0</v>
      </c>
      <c r="Y351" s="23">
        <v>0</v>
      </c>
      <c r="Z351" s="25">
        <f t="shared" si="40"/>
        <v>0</v>
      </c>
      <c r="AA351" s="25" t="str">
        <f t="shared" si="41"/>
        <v>是</v>
      </c>
      <c r="AB351" t="s">
        <v>1267</v>
      </c>
      <c r="AC351" t="e">
        <f>VLOOKUP(C351,[1]Sheet1!$C:$O,13,FALSE)</f>
        <v>#N/A</v>
      </c>
      <c r="AD351" t="str">
        <f>VLOOKUP($H351,'[3]0509人员排班情况 副本'!$G:$U,12,FALSE)</f>
        <v>袁博闻(Bowen Yuan)</v>
      </c>
      <c r="AE351">
        <f>VLOOKUP($H351,'[3]0509人员排班情况 副本'!$G:$U,13,FALSE)</f>
        <v>0</v>
      </c>
      <c r="AF351">
        <f>VLOOKUP($H351,'[3]0509人员排班情况 副本'!$G:$U,14,FALSE)</f>
        <v>0</v>
      </c>
      <c r="AG351">
        <f>VLOOKUP($H351,'[3]0509人员排班情况 副本'!$G:$U,15,FALSE)</f>
        <v>0</v>
      </c>
    </row>
    <row r="352" customHeight="1" spans="1:33">
      <c r="A352" t="s">
        <v>202</v>
      </c>
      <c r="B352" t="s">
        <v>1268</v>
      </c>
      <c r="C352" t="s">
        <v>1269</v>
      </c>
      <c r="D352" t="s">
        <v>100</v>
      </c>
      <c r="E352" t="s">
        <v>103</v>
      </c>
      <c r="F352" t="s">
        <v>275</v>
      </c>
      <c r="G352" t="s">
        <v>112</v>
      </c>
      <c r="H352" t="str">
        <f t="shared" si="35"/>
        <v>WE 美西大区LAV.H分拣组</v>
      </c>
      <c r="I352" t="s">
        <v>276</v>
      </c>
      <c r="J352" t="s">
        <v>282</v>
      </c>
      <c r="K352" s="15">
        <v>0.416666666666667</v>
      </c>
      <c r="L352" s="15" t="s">
        <v>283</v>
      </c>
      <c r="M352" s="15">
        <v>0.41875</v>
      </c>
      <c r="N352" t="s">
        <v>1270</v>
      </c>
      <c r="O352" s="20" t="str">
        <f t="shared" si="36"/>
        <v>正确</v>
      </c>
      <c r="P352" s="21">
        <v>0</v>
      </c>
      <c r="Q352" s="21">
        <v>10.68</v>
      </c>
      <c r="R352" s="21">
        <v>0</v>
      </c>
      <c r="S352" s="21">
        <f t="shared" si="37"/>
        <v>10.68</v>
      </c>
      <c r="T352" s="21">
        <f t="shared" si="38"/>
        <v>2.68</v>
      </c>
      <c r="U352" s="21" t="str">
        <f t="shared" si="39"/>
        <v>是</v>
      </c>
      <c r="V352" s="21">
        <f>VLOOKUP($C352,[4]Sheet1!$B:$AN,39,FALSE)</f>
        <v>20.71</v>
      </c>
      <c r="W352" s="21">
        <v>0</v>
      </c>
      <c r="X352" s="23">
        <v>4</v>
      </c>
      <c r="Y352" s="23">
        <v>4</v>
      </c>
      <c r="Z352" s="25">
        <f t="shared" si="40"/>
        <v>0</v>
      </c>
      <c r="AA352" s="25" t="str">
        <f t="shared" si="41"/>
        <v>是</v>
      </c>
      <c r="AB352" t="s">
        <v>148</v>
      </c>
      <c r="AC352" t="e">
        <f>VLOOKUP(C352,[1]Sheet1!$C:$O,13,FALSE)</f>
        <v>#N/A</v>
      </c>
      <c r="AD352" t="str">
        <f>VLOOKUP($H352,'[3]0509人员排班情况 副本'!$G:$U,12,FALSE)</f>
        <v>王骞Ariel（Qian Wang）,叶秀芳Freya (Xiufang Ye)</v>
      </c>
      <c r="AE352" t="str">
        <f>VLOOKUP($H352,'[3]0509人员排班情况 副本'!$G:$U,13,FALSE)</f>
        <v>常哲</v>
      </c>
      <c r="AF352" t="str">
        <f>VLOOKUP($H352,'[3]0509人员排班情况 副本'!$G:$U,14,FALSE)</f>
        <v>张双甫(Shuangfu Zhang)</v>
      </c>
      <c r="AG352">
        <f>VLOOKUP($H352,'[3]0509人员排班情况 副本'!$G:$U,15,FALSE)</f>
        <v>0</v>
      </c>
    </row>
    <row r="353" customHeight="1" spans="1:33">
      <c r="A353" t="s">
        <v>202</v>
      </c>
      <c r="B353" t="s">
        <v>1271</v>
      </c>
      <c r="C353" t="s">
        <v>1272</v>
      </c>
      <c r="D353" t="s">
        <v>31</v>
      </c>
      <c r="E353" t="s">
        <v>41</v>
      </c>
      <c r="F353" t="s">
        <v>243</v>
      </c>
      <c r="G353" t="s">
        <v>112</v>
      </c>
      <c r="H353" t="str">
        <f t="shared" si="35"/>
        <v>GL 大湖大区ORD.H调度组</v>
      </c>
      <c r="I353" t="s">
        <v>244</v>
      </c>
      <c r="J353" t="s">
        <v>373</v>
      </c>
      <c r="K353" s="15">
        <v>0.291666666666667</v>
      </c>
      <c r="L353" s="15" t="s">
        <v>374</v>
      </c>
      <c r="M353" s="15">
        <v>0.304861111111111</v>
      </c>
      <c r="N353" t="s">
        <v>1273</v>
      </c>
      <c r="O353" s="20" t="str">
        <f t="shared" si="36"/>
        <v>正确</v>
      </c>
      <c r="P353" s="21">
        <v>0</v>
      </c>
      <c r="Q353" s="21">
        <v>10.15</v>
      </c>
      <c r="R353" s="21">
        <v>0</v>
      </c>
      <c r="S353" s="21">
        <f t="shared" si="37"/>
        <v>10.15</v>
      </c>
      <c r="T353" s="21">
        <f t="shared" si="38"/>
        <v>2.15</v>
      </c>
      <c r="U353" s="21" t="str">
        <f t="shared" si="39"/>
        <v>是</v>
      </c>
      <c r="V353" s="21">
        <f>VLOOKUP($C353,[4]Sheet1!$B:$AN,39,FALSE)</f>
        <v>19.68</v>
      </c>
      <c r="W353" s="21">
        <v>23.44</v>
      </c>
      <c r="X353" s="23">
        <v>4</v>
      </c>
      <c r="Y353" s="23">
        <v>4</v>
      </c>
      <c r="Z353" s="25">
        <f t="shared" si="40"/>
        <v>0</v>
      </c>
      <c r="AA353" s="25" t="str">
        <f t="shared" si="41"/>
        <v>是</v>
      </c>
      <c r="AB353" t="s">
        <v>148</v>
      </c>
      <c r="AC353" t="e">
        <f>VLOOKUP(C353,[1]Sheet1!$C:$O,13,FALSE)</f>
        <v>#N/A</v>
      </c>
      <c r="AD353" t="str">
        <f>VLOOKUP($H353,'[3]0509人员排班情况 副本'!$G:$U,12,FALSE)</f>
        <v>王晓丹 Jasmine（Xiaodan Wang）,周延舒Isabel（Yanshu Zhou）</v>
      </c>
      <c r="AE353" t="str">
        <f>VLOOKUP($H353,'[3]0509人员排班情况 副本'!$G:$U,13,FALSE)</f>
        <v>张骥Ji Zhang (Ji Zhang)</v>
      </c>
      <c r="AF353" t="str">
        <f>VLOOKUP($H353,'[3]0509人员排班情况 副本'!$G:$U,14,FALSE)</f>
        <v>Minqing (Minqing Xu),罗煜雄 Mike (Yuxiong Luo)</v>
      </c>
      <c r="AG353">
        <f>VLOOKUP($H353,'[3]0509人员排班情况 副本'!$G:$U,15,FALSE)</f>
        <v>0</v>
      </c>
    </row>
    <row r="354" customHeight="1" spans="1:33">
      <c r="A354" t="s">
        <v>202</v>
      </c>
      <c r="B354" t="s">
        <v>1274</v>
      </c>
      <c r="C354" t="s">
        <v>1275</v>
      </c>
      <c r="D354" t="s">
        <v>99</v>
      </c>
      <c r="E354" t="s">
        <v>677</v>
      </c>
      <c r="F354" t="s">
        <v>894</v>
      </c>
      <c r="H354" t="str">
        <f t="shared" si="35"/>
        <v>US人力资源部美洲HRBP组美西区HR组</v>
      </c>
      <c r="I354" t="s">
        <v>988</v>
      </c>
      <c r="J354" t="s">
        <v>746</v>
      </c>
      <c r="K354" s="15">
        <v>0.4375</v>
      </c>
      <c r="L354" s="15" t="s">
        <v>491</v>
      </c>
      <c r="M354" s="15">
        <v>0.427083333333333</v>
      </c>
      <c r="N354" t="s">
        <v>1276</v>
      </c>
      <c r="O354" s="20" t="str">
        <f t="shared" si="36"/>
        <v>正确</v>
      </c>
      <c r="P354" s="21">
        <v>0</v>
      </c>
      <c r="Q354" s="21">
        <v>8.73</v>
      </c>
      <c r="R354" s="21">
        <v>0</v>
      </c>
      <c r="S354" s="21">
        <f t="shared" si="37"/>
        <v>8.73</v>
      </c>
      <c r="T354" s="21">
        <f t="shared" si="38"/>
        <v>0.73</v>
      </c>
      <c r="U354" s="21" t="str">
        <f t="shared" si="39"/>
        <v>是</v>
      </c>
      <c r="V354" s="21">
        <f>VLOOKUP($C354,[4]Sheet1!$B:$AN,39,FALSE)</f>
        <v>17.26</v>
      </c>
      <c r="W354" s="21">
        <v>0</v>
      </c>
      <c r="X354" s="23">
        <v>2</v>
      </c>
      <c r="Y354" s="23">
        <v>4</v>
      </c>
      <c r="Z354" s="25">
        <f t="shared" si="40"/>
        <v>2</v>
      </c>
      <c r="AA354" s="25" t="str">
        <f t="shared" si="41"/>
        <v>是</v>
      </c>
      <c r="AB354" t="s">
        <v>148</v>
      </c>
      <c r="AC354" t="e">
        <f>VLOOKUP(C354,[1]Sheet1!$C:$O,13,FALSE)</f>
        <v>#N/A</v>
      </c>
      <c r="AD354" t="str">
        <f>VLOOKUP($H354,'[3]0509人员排班情况 副本'!$G:$U,12,FALSE)</f>
        <v>袁博闻(Bowen Yuan)</v>
      </c>
      <c r="AE354">
        <f>VLOOKUP($H354,'[3]0509人员排班情况 副本'!$G:$U,13,FALSE)</f>
        <v>0</v>
      </c>
      <c r="AF354">
        <f>VLOOKUP($H354,'[3]0509人员排班情况 副本'!$G:$U,14,FALSE)</f>
        <v>0</v>
      </c>
      <c r="AG354">
        <f>VLOOKUP($H354,'[3]0509人员排班情况 副本'!$G:$U,15,FALSE)</f>
        <v>0</v>
      </c>
    </row>
    <row r="355" customHeight="1" spans="1:33">
      <c r="A355" t="s">
        <v>202</v>
      </c>
      <c r="B355" t="s">
        <v>1277</v>
      </c>
      <c r="C355" t="s">
        <v>1278</v>
      </c>
      <c r="D355" t="s">
        <v>100</v>
      </c>
      <c r="E355" t="s">
        <v>101</v>
      </c>
      <c r="F355" t="s">
        <v>210</v>
      </c>
      <c r="G355" t="s">
        <v>112</v>
      </c>
      <c r="H355" t="str">
        <f t="shared" si="35"/>
        <v>WE 美西大区CNO.H操作组</v>
      </c>
      <c r="I355" t="s">
        <v>281</v>
      </c>
      <c r="J355" t="s">
        <v>421</v>
      </c>
      <c r="K355" s="15">
        <v>0.708333333333333</v>
      </c>
      <c r="L355" s="15" t="s">
        <v>422</v>
      </c>
      <c r="M355" s="15">
        <v>0.705555555555556</v>
      </c>
      <c r="N355" t="s">
        <v>148</v>
      </c>
      <c r="O355" s="20" t="str">
        <f t="shared" si="36"/>
        <v>正确</v>
      </c>
      <c r="P355" s="21">
        <v>0</v>
      </c>
      <c r="Q355" s="21">
        <v>0</v>
      </c>
      <c r="R355" s="21">
        <v>0</v>
      </c>
      <c r="S355" s="21">
        <f t="shared" si="37"/>
        <v>0</v>
      </c>
      <c r="T355" s="21">
        <f t="shared" si="38"/>
        <v>0</v>
      </c>
      <c r="U355" s="21" t="str">
        <f t="shared" si="39"/>
        <v>否</v>
      </c>
      <c r="V355" s="21">
        <f>VLOOKUP($C355,[4]Sheet1!$B:$AN,39,FALSE)</f>
        <v>11.37</v>
      </c>
      <c r="W355" s="21">
        <v>0</v>
      </c>
      <c r="X355" s="23">
        <v>3</v>
      </c>
      <c r="Y355" s="23">
        <v>4</v>
      </c>
      <c r="Z355" s="25">
        <f t="shared" si="40"/>
        <v>1</v>
      </c>
      <c r="AA355" s="25" t="str">
        <f t="shared" si="41"/>
        <v>是</v>
      </c>
      <c r="AB355" t="s">
        <v>148</v>
      </c>
      <c r="AC355" t="e">
        <f>VLOOKUP(C355,[1]Sheet1!$C:$O,13,FALSE)</f>
        <v>#N/A</v>
      </c>
      <c r="AD355" t="str">
        <f>VLOOKUP($H355,'[3]0509人员排班情况 副本'!$G:$U,12,FALSE)</f>
        <v>王骞Ariel（Qian Wang）,叶秀芳Freya (Xiufang Ye)</v>
      </c>
      <c r="AE355" t="str">
        <f>VLOOKUP($H355,'[3]0509人员排班情况 副本'!$G:$U,13,FALSE)</f>
        <v>常哲</v>
      </c>
      <c r="AF355" t="str">
        <f>VLOOKUP($H355,'[3]0509人员排班情况 副本'!$G:$U,14,FALSE)</f>
        <v>Minqing (Minqing Xu),罗煜雄 Mike (Yuxiong Luo)</v>
      </c>
      <c r="AG355">
        <f>VLOOKUP($H355,'[3]0509人员排班情况 副本'!$G:$U,15,FALSE)</f>
        <v>0</v>
      </c>
    </row>
    <row r="356" customHeight="1" spans="1:33">
      <c r="A356" t="s">
        <v>202</v>
      </c>
      <c r="B356" t="s">
        <v>1279</v>
      </c>
      <c r="C356" t="s">
        <v>1280</v>
      </c>
      <c r="D356" t="s">
        <v>68</v>
      </c>
      <c r="E356" t="s">
        <v>45</v>
      </c>
      <c r="F356" t="s">
        <v>744</v>
      </c>
      <c r="H356" t="str">
        <f t="shared" si="35"/>
        <v>NE 东北大区揽收部揽收调度组</v>
      </c>
      <c r="I356" t="s">
        <v>608</v>
      </c>
      <c r="J356" t="s">
        <v>295</v>
      </c>
      <c r="K356" s="15">
        <v>0.375</v>
      </c>
      <c r="L356" s="15" t="s">
        <v>296</v>
      </c>
      <c r="M356" s="15"/>
      <c r="N356" t="s">
        <v>1281</v>
      </c>
      <c r="O356" s="20" t="str">
        <f t="shared" si="36"/>
        <v>不正确</v>
      </c>
      <c r="P356" s="21">
        <v>0</v>
      </c>
      <c r="Q356" s="21">
        <v>0</v>
      </c>
      <c r="R356" s="21">
        <v>0</v>
      </c>
      <c r="S356" s="21">
        <f t="shared" si="37"/>
        <v>0</v>
      </c>
      <c r="T356" s="21">
        <f t="shared" si="38"/>
        <v>0</v>
      </c>
      <c r="U356" s="21" t="str">
        <f t="shared" si="39"/>
        <v>否</v>
      </c>
      <c r="V356" s="21">
        <f>VLOOKUP($C356,[4]Sheet1!$B:$AN,39,FALSE)</f>
        <v>11.37</v>
      </c>
      <c r="W356" s="21">
        <v>0</v>
      </c>
      <c r="X356" s="23">
        <v>1</v>
      </c>
      <c r="Y356" s="23">
        <v>4</v>
      </c>
      <c r="Z356" s="25">
        <f t="shared" si="40"/>
        <v>3</v>
      </c>
      <c r="AA356" s="25" t="str">
        <f t="shared" si="41"/>
        <v>是</v>
      </c>
      <c r="AB356" t="s">
        <v>148</v>
      </c>
      <c r="AC356" t="e">
        <f>VLOOKUP(C356,[1]Sheet1!$C:$O,13,FALSE)</f>
        <v>#N/A</v>
      </c>
      <c r="AD356" t="str">
        <f>VLOOKUP($H356,'[3]0509人员排班情况 副本'!$G:$U,12,FALSE)</f>
        <v>孙可君Monica（Kejun Sun）</v>
      </c>
      <c r="AE356" t="str">
        <f>VLOOKUP($H356,'[3]0509人员排班情况 副本'!$G:$U,13,FALSE)</f>
        <v>马聪Cong (Cong Ma)</v>
      </c>
      <c r="AF356">
        <f>VLOOKUP($H356,'[3]0509人员排班情况 副本'!$G:$U,14,FALSE)</f>
        <v>0</v>
      </c>
      <c r="AG356">
        <f>VLOOKUP($H356,'[3]0509人员排班情况 副本'!$G:$U,15,FALSE)</f>
        <v>0</v>
      </c>
    </row>
    <row r="357" customHeight="1" spans="1:33">
      <c r="A357" t="s">
        <v>202</v>
      </c>
      <c r="B357" t="s">
        <v>1282</v>
      </c>
      <c r="C357" t="s">
        <v>1283</v>
      </c>
      <c r="D357" t="s">
        <v>15</v>
      </c>
      <c r="E357" t="s">
        <v>17</v>
      </c>
      <c r="F357" t="s">
        <v>166</v>
      </c>
      <c r="G357" t="s">
        <v>112</v>
      </c>
      <c r="H357" t="str">
        <f t="shared" si="35"/>
        <v>FL 佛州大区MCO.H综办组</v>
      </c>
      <c r="I357" t="s">
        <v>1284</v>
      </c>
      <c r="J357" t="s">
        <v>217</v>
      </c>
      <c r="K357" s="15">
        <v>0.395833333333333</v>
      </c>
      <c r="L357" s="15" t="s">
        <v>218</v>
      </c>
      <c r="M357" s="15"/>
      <c r="N357" t="s">
        <v>148</v>
      </c>
      <c r="O357" s="20" t="s">
        <v>116</v>
      </c>
      <c r="P357" s="21">
        <v>0</v>
      </c>
      <c r="Q357" s="21">
        <v>0</v>
      </c>
      <c r="R357" s="21">
        <v>0</v>
      </c>
      <c r="S357" s="21">
        <f t="shared" si="37"/>
        <v>0</v>
      </c>
      <c r="T357" s="21">
        <f t="shared" si="38"/>
        <v>0</v>
      </c>
      <c r="U357" s="21" t="str">
        <f t="shared" si="39"/>
        <v>否</v>
      </c>
      <c r="V357" s="21">
        <f>VLOOKUP($C357,[4]Sheet1!$B:$AN,39,FALSE)</f>
        <v>0</v>
      </c>
      <c r="W357" s="21">
        <v>0</v>
      </c>
      <c r="X357" s="23">
        <v>0</v>
      </c>
      <c r="Y357" s="23">
        <v>0</v>
      </c>
      <c r="Z357" s="25">
        <f t="shared" si="40"/>
        <v>0</v>
      </c>
      <c r="AA357" s="25" t="str">
        <f t="shared" si="41"/>
        <v>是</v>
      </c>
      <c r="AB357" t="s">
        <v>148</v>
      </c>
      <c r="AC357" t="e">
        <f>VLOOKUP(C357,[1]Sheet1!$C:$O,13,FALSE)</f>
        <v>#N/A</v>
      </c>
      <c r="AD357" t="str">
        <f>VLOOKUP($H357,'[3]0509人员排班情况 副本'!$G:$U,12,FALSE)</f>
        <v>Natalia (Natalia Padilla),孙婕 Jasmine（Sunjie）</v>
      </c>
      <c r="AE357" t="str">
        <f>VLOOKUP($H357,'[3]0509人员排班情况 副本'!$G:$U,13,FALSE)</f>
        <v>贺子强Jeff (Ziqiang He)</v>
      </c>
      <c r="AF357" t="str">
        <f>VLOOKUP($H357,'[3]0509人员排班情况 副本'!$G:$U,14,FALSE)</f>
        <v>Minqing (Minqing Xu),罗煜雄 Mike (Yuxiong Luo)</v>
      </c>
      <c r="AG357">
        <f>VLOOKUP($H357,'[3]0509人员排班情况 副本'!$G:$U,15,FALSE)</f>
        <v>0</v>
      </c>
    </row>
    <row r="358" customHeight="1" spans="1:33">
      <c r="A358" t="s">
        <v>202</v>
      </c>
      <c r="B358" t="s">
        <v>1285</v>
      </c>
      <c r="C358" t="s">
        <v>1286</v>
      </c>
      <c r="D358" t="s">
        <v>100</v>
      </c>
      <c r="E358" t="s">
        <v>101</v>
      </c>
      <c r="F358" t="s">
        <v>275</v>
      </c>
      <c r="G358" t="s">
        <v>112</v>
      </c>
      <c r="H358" t="str">
        <f t="shared" si="35"/>
        <v>WE 美西大区CNO.H分拣组</v>
      </c>
      <c r="I358" t="s">
        <v>303</v>
      </c>
      <c r="J358" t="s">
        <v>421</v>
      </c>
      <c r="K358" s="15">
        <v>0.708333333333333</v>
      </c>
      <c r="L358" s="15" t="s">
        <v>422</v>
      </c>
      <c r="M358" s="15">
        <v>0.688194444444444</v>
      </c>
      <c r="N358" t="s">
        <v>148</v>
      </c>
      <c r="O358" s="20" t="str">
        <f t="shared" si="36"/>
        <v>正确</v>
      </c>
      <c r="P358" s="21">
        <v>0</v>
      </c>
      <c r="Q358" s="21">
        <v>0</v>
      </c>
      <c r="R358" s="21">
        <v>0</v>
      </c>
      <c r="S358" s="21">
        <f t="shared" si="37"/>
        <v>0</v>
      </c>
      <c r="T358" s="21">
        <f t="shared" si="38"/>
        <v>0</v>
      </c>
      <c r="U358" s="21" t="str">
        <f t="shared" si="39"/>
        <v>否</v>
      </c>
      <c r="V358" s="21">
        <f>VLOOKUP($C358,[4]Sheet1!$B:$AN,39,FALSE)</f>
        <v>12</v>
      </c>
      <c r="W358" s="21">
        <v>0</v>
      </c>
      <c r="X358" s="23">
        <v>3</v>
      </c>
      <c r="Y358" s="23">
        <v>4</v>
      </c>
      <c r="Z358" s="25">
        <f t="shared" si="40"/>
        <v>1</v>
      </c>
      <c r="AA358" s="25" t="str">
        <f t="shared" si="41"/>
        <v>是</v>
      </c>
      <c r="AB358" t="s">
        <v>148</v>
      </c>
      <c r="AC358" t="e">
        <f>VLOOKUP(C358,[1]Sheet1!$C:$O,13,FALSE)</f>
        <v>#N/A</v>
      </c>
      <c r="AD358" t="str">
        <f>VLOOKUP($H358,'[3]0509人员排班情况 副本'!$G:$U,12,FALSE)</f>
        <v>王骞Ariel（Qian Wang）,叶秀芳Freya (Xiufang Ye)</v>
      </c>
      <c r="AE358" t="str">
        <f>VLOOKUP($H358,'[3]0509人员排班情况 副本'!$G:$U,13,FALSE)</f>
        <v>常哲</v>
      </c>
      <c r="AF358" t="str">
        <f>VLOOKUP($H358,'[3]0509人员排班情况 副本'!$G:$U,14,FALSE)</f>
        <v>张双甫(Shuangfu Zhang)</v>
      </c>
      <c r="AG358">
        <f>VLOOKUP($H358,'[3]0509人员排班情况 副本'!$G:$U,15,FALSE)</f>
        <v>0</v>
      </c>
    </row>
    <row r="359" customHeight="1" spans="1:33">
      <c r="A359" t="s">
        <v>202</v>
      </c>
      <c r="B359" t="s">
        <v>1287</v>
      </c>
      <c r="C359" t="s">
        <v>1288</v>
      </c>
      <c r="D359" t="s">
        <v>92</v>
      </c>
      <c r="E359" t="s">
        <v>96</v>
      </c>
      <c r="F359" t="s">
        <v>148</v>
      </c>
      <c r="G359" t="s">
        <v>112</v>
      </c>
      <c r="H359" t="str">
        <f t="shared" si="35"/>
        <v>TX 德州大区IAH.H</v>
      </c>
      <c r="I359" t="s">
        <v>654</v>
      </c>
      <c r="J359" t="s">
        <v>236</v>
      </c>
      <c r="K359" s="15">
        <v>0.395833333333333</v>
      </c>
      <c r="L359" s="15" t="s">
        <v>218</v>
      </c>
      <c r="M359" s="15">
        <v>0.379861111111111</v>
      </c>
      <c r="N359" t="s">
        <v>1289</v>
      </c>
      <c r="O359" s="20" t="str">
        <f t="shared" si="36"/>
        <v>正确</v>
      </c>
      <c r="P359" s="21">
        <v>0</v>
      </c>
      <c r="Q359" s="21">
        <v>9.07</v>
      </c>
      <c r="R359" s="21">
        <v>0</v>
      </c>
      <c r="S359" s="21">
        <f t="shared" si="37"/>
        <v>9.07</v>
      </c>
      <c r="T359" s="21">
        <f t="shared" si="38"/>
        <v>1.07</v>
      </c>
      <c r="U359" s="21" t="str">
        <f t="shared" si="39"/>
        <v>是</v>
      </c>
      <c r="V359" s="21">
        <f>VLOOKUP($C359,[4]Sheet1!$B:$AN,39,FALSE)</f>
        <v>17.52</v>
      </c>
      <c r="W359" s="21">
        <v>0</v>
      </c>
      <c r="X359" s="23">
        <v>4</v>
      </c>
      <c r="Y359" s="23">
        <v>4</v>
      </c>
      <c r="Z359" s="25">
        <f t="shared" si="40"/>
        <v>0</v>
      </c>
      <c r="AA359" s="25" t="str">
        <f t="shared" si="41"/>
        <v>是</v>
      </c>
      <c r="AB359" t="s">
        <v>148</v>
      </c>
      <c r="AC359" t="e">
        <f>VLOOKUP(C359,[1]Sheet1!$C:$O,13,FALSE)</f>
        <v>#N/A</v>
      </c>
      <c r="AD359" t="str">
        <f>VLOOKUP($H359,'[3]0509人员排班情况 副本'!$G:$U,12,FALSE)</f>
        <v>肖芦莉Lily (Luli Xiao)</v>
      </c>
      <c r="AE359" t="str">
        <f>VLOOKUP($H359,'[3]0509人员排班情况 副本'!$G:$U,13,FALSE)</f>
        <v>张骥Ji Zhang (Ji Zhang)</v>
      </c>
      <c r="AF359">
        <f>VLOOKUP($H359,'[3]0509人员排班情况 副本'!$G:$U,14,FALSE)</f>
        <v>0</v>
      </c>
      <c r="AG359">
        <f>VLOOKUP($H359,'[3]0509人员排班情况 副本'!$G:$U,15,FALSE)</f>
        <v>0</v>
      </c>
    </row>
    <row r="360" customHeight="1" spans="1:33">
      <c r="A360" t="s">
        <v>202</v>
      </c>
      <c r="B360" t="s">
        <v>1290</v>
      </c>
      <c r="C360" t="s">
        <v>1291</v>
      </c>
      <c r="D360" t="s">
        <v>31</v>
      </c>
      <c r="E360" t="s">
        <v>29</v>
      </c>
      <c r="F360" t="s">
        <v>200</v>
      </c>
      <c r="H360" t="str">
        <f t="shared" si="35"/>
        <v>GL 大湖大区运营支持部区域支持组</v>
      </c>
      <c r="I360" t="s">
        <v>201</v>
      </c>
      <c r="J360" t="s">
        <v>347</v>
      </c>
      <c r="K360" s="15">
        <v>0.541666666666667</v>
      </c>
      <c r="L360" s="15" t="s">
        <v>348</v>
      </c>
      <c r="M360" s="15">
        <v>0.530555555555556</v>
      </c>
      <c r="N360" t="s">
        <v>444</v>
      </c>
      <c r="O360" s="20" t="str">
        <f t="shared" si="36"/>
        <v>正确</v>
      </c>
      <c r="P360" s="21">
        <v>0</v>
      </c>
      <c r="Q360" s="21">
        <v>8.9</v>
      </c>
      <c r="R360" s="21">
        <v>0</v>
      </c>
      <c r="S360" s="21">
        <f t="shared" si="37"/>
        <v>8.9</v>
      </c>
      <c r="T360" s="21">
        <f t="shared" si="38"/>
        <v>0.9</v>
      </c>
      <c r="U360" s="21" t="str">
        <f t="shared" si="39"/>
        <v>是</v>
      </c>
      <c r="V360" s="21">
        <f>VLOOKUP($C360,[4]Sheet1!$B:$AN,39,FALSE)</f>
        <v>17.75</v>
      </c>
      <c r="W360" s="21">
        <v>0</v>
      </c>
      <c r="X360" s="23">
        <v>4</v>
      </c>
      <c r="Y360" s="23">
        <v>4</v>
      </c>
      <c r="Z360" s="25">
        <f t="shared" si="40"/>
        <v>0</v>
      </c>
      <c r="AA360" s="25" t="str">
        <f t="shared" si="41"/>
        <v>是</v>
      </c>
      <c r="AB360" t="s">
        <v>148</v>
      </c>
      <c r="AC360" t="e">
        <f>VLOOKUP(C360,[1]Sheet1!$C:$O,13,FALSE)</f>
        <v>#N/A</v>
      </c>
      <c r="AD360" t="str">
        <f>VLOOKUP($H360,'[3]0509人员排班情况 副本'!$G:$U,12,FALSE)</f>
        <v>王晓丹 Jasmine（Xiaodan Wang）,周延舒Isabel（Yanshu Zhou）</v>
      </c>
      <c r="AE360" t="str">
        <f>VLOOKUP($H360,'[3]0509人员排班情况 副本'!$G:$U,13,FALSE)</f>
        <v>张骥Ji Zhang (Ji Zhang)</v>
      </c>
      <c r="AF360">
        <f>VLOOKUP($H360,'[3]0509人员排班情况 副本'!$G:$U,14,FALSE)</f>
        <v>0</v>
      </c>
      <c r="AG360">
        <f>VLOOKUP($H360,'[3]0509人员排班情况 副本'!$G:$U,15,FALSE)</f>
        <v>0</v>
      </c>
    </row>
    <row r="361" customHeight="1" spans="1:33">
      <c r="A361" t="s">
        <v>202</v>
      </c>
      <c r="B361" t="s">
        <v>1292</v>
      </c>
      <c r="C361" t="s">
        <v>1293</v>
      </c>
      <c r="D361" t="s">
        <v>88</v>
      </c>
      <c r="E361" t="s">
        <v>631</v>
      </c>
      <c r="F361" t="s">
        <v>148</v>
      </c>
      <c r="H361" t="str">
        <f t="shared" si="35"/>
        <v>OM 操作管理部实施运营组</v>
      </c>
      <c r="I361" t="s">
        <v>1294</v>
      </c>
      <c r="J361" t="s">
        <v>236</v>
      </c>
      <c r="K361" s="15">
        <v>0.395833333333333</v>
      </c>
      <c r="L361" s="15" t="s">
        <v>218</v>
      </c>
      <c r="M361" s="15"/>
      <c r="N361" t="s">
        <v>148</v>
      </c>
      <c r="O361" s="20" t="str">
        <f t="shared" si="36"/>
        <v>不正确</v>
      </c>
      <c r="P361" s="21">
        <v>0</v>
      </c>
      <c r="Q361" s="21">
        <v>0</v>
      </c>
      <c r="R361" s="21">
        <v>0</v>
      </c>
      <c r="S361" s="21">
        <f t="shared" si="37"/>
        <v>0</v>
      </c>
      <c r="T361" s="21">
        <f t="shared" si="38"/>
        <v>0</v>
      </c>
      <c r="U361" s="21" t="str">
        <f t="shared" si="39"/>
        <v>否</v>
      </c>
      <c r="V361" s="21">
        <f>VLOOKUP($C361,[4]Sheet1!$B:$AN,39,FALSE)</f>
        <v>0</v>
      </c>
      <c r="W361" s="21">
        <v>0</v>
      </c>
      <c r="X361" s="23">
        <v>0</v>
      </c>
      <c r="Y361" s="23">
        <v>0</v>
      </c>
      <c r="Z361" s="25">
        <f t="shared" si="40"/>
        <v>0</v>
      </c>
      <c r="AA361" s="25" t="str">
        <f t="shared" si="41"/>
        <v>是</v>
      </c>
      <c r="AB361" t="s">
        <v>339</v>
      </c>
      <c r="AC361" t="e">
        <f>VLOOKUP(C361,[1]Sheet1!$C:$O,13,FALSE)</f>
        <v>#N/A</v>
      </c>
      <c r="AD361" t="str">
        <f>VLOOKUP($H361,'[3]0509人员排班情况 副本'!$G:$U,12,FALSE)</f>
        <v>袁博闻(Bowen Yuan)</v>
      </c>
      <c r="AE361">
        <f>VLOOKUP($H361,'[3]0509人员排班情况 副本'!$G:$U,13,FALSE)</f>
        <v>0</v>
      </c>
      <c r="AF361">
        <f>VLOOKUP($H361,'[3]0509人员排班情况 副本'!$G:$U,14,FALSE)</f>
        <v>0</v>
      </c>
      <c r="AG361">
        <f>VLOOKUP($H361,'[3]0509人员排班情况 副本'!$G:$U,15,FALSE)</f>
        <v>0</v>
      </c>
    </row>
    <row r="362" customHeight="1" spans="1:33">
      <c r="A362" t="s">
        <v>202</v>
      </c>
      <c r="B362" t="s">
        <v>1295</v>
      </c>
      <c r="C362" t="s">
        <v>1296</v>
      </c>
      <c r="D362" t="s">
        <v>89</v>
      </c>
      <c r="E362" t="s">
        <v>736</v>
      </c>
      <c r="F362" t="s">
        <v>148</v>
      </c>
      <c r="H362" t="str">
        <f t="shared" si="35"/>
        <v>QC 质量控制部质量改善组</v>
      </c>
      <c r="I362" t="s">
        <v>1093</v>
      </c>
      <c r="J362" t="s">
        <v>236</v>
      </c>
      <c r="K362" s="15">
        <v>0.395833333333333</v>
      </c>
      <c r="L362" s="15" t="s">
        <v>218</v>
      </c>
      <c r="M362" s="15">
        <v>0.379166666666667</v>
      </c>
      <c r="N362" t="s">
        <v>1297</v>
      </c>
      <c r="O362" s="20" t="str">
        <f t="shared" si="36"/>
        <v>正确</v>
      </c>
      <c r="P362" s="21">
        <v>0</v>
      </c>
      <c r="Q362" s="21">
        <v>8.5</v>
      </c>
      <c r="R362" s="21">
        <v>0</v>
      </c>
      <c r="S362" s="21">
        <f t="shared" si="37"/>
        <v>8.5</v>
      </c>
      <c r="T362" s="21">
        <f t="shared" si="38"/>
        <v>0.5</v>
      </c>
      <c r="U362" s="21" t="str">
        <f t="shared" si="39"/>
        <v>是</v>
      </c>
      <c r="V362" s="21">
        <f>VLOOKUP($C362,[4]Sheet1!$B:$AN,39,FALSE)</f>
        <v>17.15</v>
      </c>
      <c r="W362" s="21">
        <v>0</v>
      </c>
      <c r="X362" s="23">
        <v>4</v>
      </c>
      <c r="Y362" s="23">
        <v>4</v>
      </c>
      <c r="Z362" s="25">
        <f t="shared" si="40"/>
        <v>0</v>
      </c>
      <c r="AA362" s="25" t="str">
        <f t="shared" si="41"/>
        <v>是</v>
      </c>
      <c r="AB362" t="s">
        <v>148</v>
      </c>
      <c r="AC362" t="e">
        <f>VLOOKUP(C362,[1]Sheet1!$C:$O,13,FALSE)</f>
        <v>#N/A</v>
      </c>
      <c r="AD362" t="str">
        <f>VLOOKUP($H362,'[3]0509人员排班情况 副本'!$G:$U,12,FALSE)</f>
        <v>袁博闻(Bowen Yuan)</v>
      </c>
      <c r="AE362">
        <f>VLOOKUP($H362,'[3]0509人员排班情况 副本'!$G:$U,13,FALSE)</f>
        <v>0</v>
      </c>
      <c r="AF362">
        <f>VLOOKUP($H362,'[3]0509人员排班情况 副本'!$G:$U,14,FALSE)</f>
        <v>0</v>
      </c>
      <c r="AG362">
        <f>VLOOKUP($H362,'[3]0509人员排班情况 副本'!$G:$U,15,FALSE)</f>
        <v>0</v>
      </c>
    </row>
    <row r="363" customHeight="1" spans="1:33">
      <c r="A363" t="s">
        <v>202</v>
      </c>
      <c r="B363" t="s">
        <v>1298</v>
      </c>
      <c r="C363" t="s">
        <v>1299</v>
      </c>
      <c r="D363" t="s">
        <v>15</v>
      </c>
      <c r="E363" t="s">
        <v>20</v>
      </c>
      <c r="F363" t="s">
        <v>312</v>
      </c>
      <c r="G363" t="s">
        <v>112</v>
      </c>
      <c r="H363" t="str">
        <f t="shared" si="35"/>
        <v>FL 佛州大区MIA.H异常处理组</v>
      </c>
      <c r="I363" t="s">
        <v>313</v>
      </c>
      <c r="J363" t="s">
        <v>295</v>
      </c>
      <c r="K363" s="15">
        <v>0.375</v>
      </c>
      <c r="L363" s="15" t="s">
        <v>296</v>
      </c>
      <c r="M363" s="15">
        <v>0.363194444444444</v>
      </c>
      <c r="N363" t="s">
        <v>1300</v>
      </c>
      <c r="O363" s="20" t="str">
        <f t="shared" si="36"/>
        <v>正确</v>
      </c>
      <c r="P363" s="21">
        <v>0</v>
      </c>
      <c r="Q363" s="21">
        <v>8.33</v>
      </c>
      <c r="R363" s="21">
        <v>0</v>
      </c>
      <c r="S363" s="21">
        <f t="shared" si="37"/>
        <v>8.33</v>
      </c>
      <c r="T363" s="21">
        <f t="shared" si="38"/>
        <v>0.33</v>
      </c>
      <c r="U363" s="21" t="str">
        <f t="shared" si="39"/>
        <v>是</v>
      </c>
      <c r="V363" s="21">
        <f>VLOOKUP($C363,[4]Sheet1!$B:$AN,39,FALSE)</f>
        <v>8.33</v>
      </c>
      <c r="W363" s="21">
        <v>0</v>
      </c>
      <c r="X363" s="23">
        <v>4</v>
      </c>
      <c r="Y363" s="23">
        <v>4</v>
      </c>
      <c r="Z363" s="25">
        <f t="shared" si="40"/>
        <v>0</v>
      </c>
      <c r="AA363" s="25" t="str">
        <f t="shared" si="41"/>
        <v>是</v>
      </c>
      <c r="AB363" t="s">
        <v>148</v>
      </c>
      <c r="AC363" t="e">
        <f>VLOOKUP(C363,[1]Sheet1!$C:$O,13,FALSE)</f>
        <v>#N/A</v>
      </c>
      <c r="AD363" t="str">
        <f>VLOOKUP($H363,'[3]0509人员排班情况 副本'!$G:$U,12,FALSE)</f>
        <v>Natalia (Natalia Padilla),孙婕 Jasmine（Sunjie）</v>
      </c>
      <c r="AE363" t="str">
        <f>VLOOKUP($H363,'[3]0509人员排班情况 副本'!$G:$U,13,FALSE)</f>
        <v>贺子强Jeff (Ziqiang He)</v>
      </c>
      <c r="AF363" t="str">
        <f>VLOOKUP($H363,'[3]0509人员排班情况 副本'!$G:$U,14,FALSE)</f>
        <v>Minqing (Minqing Xu),罗煜雄 Mike (Yuxiong Luo)</v>
      </c>
      <c r="AG363">
        <f>VLOOKUP($H363,'[3]0509人员排班情况 副本'!$G:$U,15,FALSE)</f>
        <v>0</v>
      </c>
    </row>
    <row r="364" customHeight="1" spans="1:33">
      <c r="A364" t="s">
        <v>202</v>
      </c>
      <c r="B364" t="s">
        <v>1301</v>
      </c>
      <c r="C364" t="s">
        <v>1302</v>
      </c>
      <c r="D364" t="s">
        <v>14</v>
      </c>
      <c r="E364" t="s">
        <v>645</v>
      </c>
      <c r="F364" t="s">
        <v>148</v>
      </c>
      <c r="H364" t="str">
        <f t="shared" si="35"/>
        <v>DO 数字运营部美国技术支持组</v>
      </c>
      <c r="I364" t="s">
        <v>646</v>
      </c>
      <c r="J364" t="s">
        <v>343</v>
      </c>
      <c r="K364" s="15">
        <v>0.25</v>
      </c>
      <c r="L364" s="15" t="s">
        <v>344</v>
      </c>
      <c r="M364" s="15"/>
      <c r="N364" t="s">
        <v>148</v>
      </c>
      <c r="O364" s="20" t="str">
        <f t="shared" si="36"/>
        <v>不正确</v>
      </c>
      <c r="P364" s="21">
        <v>0</v>
      </c>
      <c r="Q364" s="21">
        <v>0</v>
      </c>
      <c r="R364" s="21">
        <v>0</v>
      </c>
      <c r="S364" s="21">
        <f t="shared" si="37"/>
        <v>0</v>
      </c>
      <c r="T364" s="21">
        <f t="shared" si="38"/>
        <v>0</v>
      </c>
      <c r="U364" s="21" t="str">
        <f t="shared" si="39"/>
        <v>否</v>
      </c>
      <c r="V364" s="21">
        <f>VLOOKUP($C364,[4]Sheet1!$B:$AN,39,FALSE)</f>
        <v>0</v>
      </c>
      <c r="W364" s="21">
        <v>0</v>
      </c>
      <c r="X364" s="23">
        <v>0</v>
      </c>
      <c r="Y364" s="23">
        <v>0</v>
      </c>
      <c r="Z364" s="25">
        <f t="shared" si="40"/>
        <v>0</v>
      </c>
      <c r="AA364" s="25" t="str">
        <f t="shared" si="41"/>
        <v>是</v>
      </c>
      <c r="AB364" t="s">
        <v>690</v>
      </c>
      <c r="AC364" t="e">
        <f>VLOOKUP(C364,[1]Sheet1!$C:$O,13,FALSE)</f>
        <v>#N/A</v>
      </c>
      <c r="AD364" t="str">
        <f>VLOOKUP($H364,'[3]0509人员排班情况 副本'!$G:$U,12,FALSE)</f>
        <v>袁博闻(Bowen Yuan)</v>
      </c>
      <c r="AE364">
        <f>VLOOKUP($H364,'[3]0509人员排班情况 副本'!$G:$U,13,FALSE)</f>
        <v>0</v>
      </c>
      <c r="AF364">
        <f>VLOOKUP($H364,'[3]0509人员排班情况 副本'!$G:$U,14,FALSE)</f>
        <v>0</v>
      </c>
      <c r="AG364">
        <f>VLOOKUP($H364,'[3]0509人员排班情况 副本'!$G:$U,15,FALSE)</f>
        <v>0</v>
      </c>
    </row>
    <row r="365" customHeight="1" spans="1:33">
      <c r="A365" t="s">
        <v>202</v>
      </c>
      <c r="B365" t="s">
        <v>1303</v>
      </c>
      <c r="C365" t="s">
        <v>1304</v>
      </c>
      <c r="D365" t="s">
        <v>100</v>
      </c>
      <c r="E365" t="s">
        <v>29</v>
      </c>
      <c r="F365" t="s">
        <v>200</v>
      </c>
      <c r="H365" t="str">
        <f t="shared" si="35"/>
        <v>WE 美西大区运营支持部区域支持组</v>
      </c>
      <c r="I365" t="s">
        <v>201</v>
      </c>
      <c r="J365" t="s">
        <v>236</v>
      </c>
      <c r="K365" s="15">
        <v>0.395833333333333</v>
      </c>
      <c r="L365" s="15" t="s">
        <v>218</v>
      </c>
      <c r="M365" s="15">
        <v>0.401388888888889</v>
      </c>
      <c r="N365" t="s">
        <v>1216</v>
      </c>
      <c r="O365" s="20" t="str">
        <f t="shared" si="36"/>
        <v>正确</v>
      </c>
      <c r="P365" s="21">
        <v>0</v>
      </c>
      <c r="Q365" s="21">
        <v>8.17</v>
      </c>
      <c r="R365" s="21">
        <v>0</v>
      </c>
      <c r="S365" s="21">
        <f t="shared" si="37"/>
        <v>8.17</v>
      </c>
      <c r="T365" s="21">
        <f t="shared" si="38"/>
        <v>0.17</v>
      </c>
      <c r="U365" s="21" t="str">
        <f t="shared" si="39"/>
        <v>是</v>
      </c>
      <c r="V365" s="21">
        <f>VLOOKUP($C365,[4]Sheet1!$B:$AN,39,FALSE)</f>
        <v>16.19</v>
      </c>
      <c r="W365" s="21">
        <v>0</v>
      </c>
      <c r="X365" s="23">
        <v>4</v>
      </c>
      <c r="Y365" s="23">
        <v>4</v>
      </c>
      <c r="Z365" s="25">
        <f t="shared" si="40"/>
        <v>0</v>
      </c>
      <c r="AA365" s="25" t="str">
        <f t="shared" si="41"/>
        <v>是</v>
      </c>
      <c r="AB365" t="s">
        <v>148</v>
      </c>
      <c r="AC365" t="e">
        <f>VLOOKUP(C365,[1]Sheet1!$C:$O,13,FALSE)</f>
        <v>#N/A</v>
      </c>
      <c r="AD365" t="str">
        <f>VLOOKUP($H365,'[3]0509人员排班情况 副本'!$G:$U,12,FALSE)</f>
        <v>王骞Ariel（Qian Wang）,叶秀芳Freya (Xiufang Ye)</v>
      </c>
      <c r="AE365" t="str">
        <f>VLOOKUP($H365,'[3]0509人员排班情况 副本'!$G:$U,13,FALSE)</f>
        <v>常哲</v>
      </c>
      <c r="AF365">
        <f>VLOOKUP($H365,'[3]0509人员排班情况 副本'!$G:$U,14,FALSE)</f>
        <v>0</v>
      </c>
      <c r="AG365">
        <f>VLOOKUP($H365,'[3]0509人员排班情况 副本'!$G:$U,15,FALSE)</f>
        <v>0</v>
      </c>
    </row>
    <row r="366" customHeight="1" spans="1:33">
      <c r="A366" t="s">
        <v>202</v>
      </c>
      <c r="B366" t="s">
        <v>1305</v>
      </c>
      <c r="C366" t="s">
        <v>1306</v>
      </c>
      <c r="D366" t="s">
        <v>88</v>
      </c>
      <c r="E366" t="s">
        <v>949</v>
      </c>
      <c r="F366" t="s">
        <v>148</v>
      </c>
      <c r="H366" t="str">
        <f t="shared" si="35"/>
        <v>OM 操作管理部设备规划组</v>
      </c>
      <c r="I366" t="s">
        <v>950</v>
      </c>
      <c r="J366" t="s">
        <v>236</v>
      </c>
      <c r="K366" s="15">
        <v>0.395833333333333</v>
      </c>
      <c r="L366" s="15" t="s">
        <v>218</v>
      </c>
      <c r="M366" s="15"/>
      <c r="N366" t="s">
        <v>148</v>
      </c>
      <c r="O366" s="20" t="str">
        <f t="shared" si="36"/>
        <v>不正确</v>
      </c>
      <c r="P366" s="21">
        <v>0</v>
      </c>
      <c r="Q366" s="21">
        <v>0</v>
      </c>
      <c r="R366" s="21">
        <v>0</v>
      </c>
      <c r="S366" s="21">
        <f t="shared" si="37"/>
        <v>0</v>
      </c>
      <c r="T366" s="21">
        <f t="shared" si="38"/>
        <v>0</v>
      </c>
      <c r="U366" s="21" t="str">
        <f t="shared" si="39"/>
        <v>否</v>
      </c>
      <c r="V366" s="21">
        <f>VLOOKUP($C366,[4]Sheet1!$B:$AN,39,FALSE)</f>
        <v>0</v>
      </c>
      <c r="W366" s="21">
        <v>0</v>
      </c>
      <c r="X366" s="23">
        <v>0</v>
      </c>
      <c r="Y366" s="23">
        <v>0</v>
      </c>
      <c r="Z366" s="25">
        <f t="shared" si="40"/>
        <v>0</v>
      </c>
      <c r="AA366" s="25" t="str">
        <f t="shared" si="41"/>
        <v>是</v>
      </c>
      <c r="AB366" t="s">
        <v>339</v>
      </c>
      <c r="AC366" t="e">
        <f>VLOOKUP(C366,[1]Sheet1!$C:$O,13,FALSE)</f>
        <v>#N/A</v>
      </c>
      <c r="AD366" t="str">
        <f>VLOOKUP($H366,'[3]0509人员排班情况 副本'!$G:$U,12,FALSE)</f>
        <v>袁博闻(Bowen Yuan)</v>
      </c>
      <c r="AE366">
        <f>VLOOKUP($H366,'[3]0509人员排班情况 副本'!$G:$U,13,FALSE)</f>
        <v>0</v>
      </c>
      <c r="AF366">
        <f>VLOOKUP($H366,'[3]0509人员排班情况 副本'!$G:$U,14,FALSE)</f>
        <v>0</v>
      </c>
      <c r="AG366">
        <f>VLOOKUP($H366,'[3]0509人员排班情况 副本'!$G:$U,15,FALSE)</f>
        <v>0</v>
      </c>
    </row>
    <row r="367" customHeight="1" spans="1:33">
      <c r="A367" t="s">
        <v>202</v>
      </c>
      <c r="B367" t="s">
        <v>1307</v>
      </c>
      <c r="C367" t="s">
        <v>1308</v>
      </c>
      <c r="D367" t="s">
        <v>31</v>
      </c>
      <c r="E367" t="s">
        <v>45</v>
      </c>
      <c r="F367" t="s">
        <v>927</v>
      </c>
      <c r="H367" t="str">
        <f t="shared" si="35"/>
        <v>GL 大湖大区揽收部揽收支持组</v>
      </c>
      <c r="I367" t="s">
        <v>928</v>
      </c>
      <c r="J367" t="s">
        <v>295</v>
      </c>
      <c r="K367" s="15">
        <v>0.375</v>
      </c>
      <c r="L367" s="15" t="s">
        <v>296</v>
      </c>
      <c r="M367" s="15">
        <v>0.385416666666667</v>
      </c>
      <c r="N367" t="s">
        <v>1230</v>
      </c>
      <c r="O367" s="20" t="str">
        <f t="shared" si="36"/>
        <v>正确</v>
      </c>
      <c r="P367" s="21">
        <v>0</v>
      </c>
      <c r="Q367" s="21">
        <v>8.18</v>
      </c>
      <c r="R367" s="21">
        <v>0</v>
      </c>
      <c r="S367" s="21">
        <f t="shared" si="37"/>
        <v>8.18</v>
      </c>
      <c r="T367" s="21">
        <f t="shared" si="38"/>
        <v>0.18</v>
      </c>
      <c r="U367" s="21" t="str">
        <f t="shared" si="39"/>
        <v>是</v>
      </c>
      <c r="V367" s="21">
        <f>VLOOKUP($C367,[4]Sheet1!$B:$AN,39,FALSE)</f>
        <v>18.43</v>
      </c>
      <c r="W367" s="21">
        <v>0</v>
      </c>
      <c r="X367" s="23">
        <v>2</v>
      </c>
      <c r="Y367" s="23">
        <v>4</v>
      </c>
      <c r="Z367" s="25">
        <f t="shared" si="40"/>
        <v>2</v>
      </c>
      <c r="AA367" s="25" t="str">
        <f t="shared" si="41"/>
        <v>是</v>
      </c>
      <c r="AB367" t="s">
        <v>148</v>
      </c>
      <c r="AC367" t="e">
        <f>VLOOKUP(C367,[1]Sheet1!$C:$O,13,FALSE)</f>
        <v>#N/A</v>
      </c>
      <c r="AD367" t="str">
        <f>VLOOKUP($H367,'[3]0509人员排班情况 副本'!$G:$U,12,FALSE)</f>
        <v>王晓丹 Jasmine（Xiaodan Wang）,周延舒Isabel（Yanshu Zhou）</v>
      </c>
      <c r="AE367" t="str">
        <f>VLOOKUP($H367,'[3]0509人员排班情况 副本'!$G:$U,13,FALSE)</f>
        <v>张骥Ji Zhang (Ji Zhang)</v>
      </c>
      <c r="AF367" t="str">
        <f>VLOOKUP($H367,'[3]0509人员排班情况 副本'!$G:$U,14,FALSE)</f>
        <v>王姝涵Function（Shuhan Wang)</v>
      </c>
      <c r="AG367">
        <f>VLOOKUP($H367,'[3]0509人员排班情况 副本'!$G:$U,15,FALSE)</f>
        <v>0</v>
      </c>
    </row>
    <row r="368" customHeight="1" spans="1:33">
      <c r="A368" t="s">
        <v>202</v>
      </c>
      <c r="B368" t="s">
        <v>1309</v>
      </c>
      <c r="C368" t="s">
        <v>1310</v>
      </c>
      <c r="D368" t="s">
        <v>92</v>
      </c>
      <c r="E368" t="s">
        <v>96</v>
      </c>
      <c r="F368" t="s">
        <v>243</v>
      </c>
      <c r="G368" t="s">
        <v>112</v>
      </c>
      <c r="H368" t="str">
        <f t="shared" si="35"/>
        <v>TX 德州大区IAH.H调度组</v>
      </c>
      <c r="I368" t="s">
        <v>160</v>
      </c>
      <c r="J368" t="s">
        <v>343</v>
      </c>
      <c r="K368" s="15">
        <v>0.25</v>
      </c>
      <c r="L368" s="15" t="s">
        <v>344</v>
      </c>
      <c r="M368" s="15"/>
      <c r="N368" t="s">
        <v>1311</v>
      </c>
      <c r="O368" s="20" t="str">
        <f t="shared" si="36"/>
        <v>不正确</v>
      </c>
      <c r="P368" s="21">
        <v>0</v>
      </c>
      <c r="Q368" s="21">
        <v>0</v>
      </c>
      <c r="R368" s="21">
        <v>0</v>
      </c>
      <c r="S368" s="21">
        <f t="shared" si="37"/>
        <v>0</v>
      </c>
      <c r="T368" s="21">
        <f t="shared" si="38"/>
        <v>0</v>
      </c>
      <c r="U368" s="21" t="str">
        <f t="shared" si="39"/>
        <v>否</v>
      </c>
      <c r="V368" s="21">
        <f>VLOOKUP($C368,[4]Sheet1!$B:$AN,39,FALSE)</f>
        <v>0</v>
      </c>
      <c r="W368" s="21">
        <v>0</v>
      </c>
      <c r="X368" s="23">
        <v>3</v>
      </c>
      <c r="Y368" s="23">
        <v>4</v>
      </c>
      <c r="Z368" s="25">
        <f t="shared" si="40"/>
        <v>1</v>
      </c>
      <c r="AA368" s="25" t="str">
        <f t="shared" si="41"/>
        <v>是</v>
      </c>
      <c r="AB368" t="s">
        <v>148</v>
      </c>
      <c r="AC368" t="e">
        <f>VLOOKUP(C368,[1]Sheet1!$C:$O,13,FALSE)</f>
        <v>#N/A</v>
      </c>
      <c r="AD368" t="str">
        <f>VLOOKUP($H368,'[3]0509人员排班情况 副本'!$G:$U,12,FALSE)</f>
        <v>肖芦莉Lily (Luli Xiao)</v>
      </c>
      <c r="AE368" t="str">
        <f>VLOOKUP($H368,'[3]0509人员排班情况 副本'!$G:$U,13,FALSE)</f>
        <v>张骥Ji Zhang (Ji Zhang)</v>
      </c>
      <c r="AF368" t="str">
        <f>VLOOKUP($H368,'[3]0509人员排班情况 副本'!$G:$U,14,FALSE)</f>
        <v>Minqing (Minqing Xu),罗煜雄 Mike (Yuxiong Luo)</v>
      </c>
      <c r="AG368">
        <f>VLOOKUP($H368,'[3]0509人员排班情况 副本'!$G:$U,15,FALSE)</f>
        <v>0</v>
      </c>
    </row>
    <row r="369" customHeight="1" spans="1:33">
      <c r="A369" t="s">
        <v>202</v>
      </c>
      <c r="B369" t="s">
        <v>1312</v>
      </c>
      <c r="C369" t="s">
        <v>1313</v>
      </c>
      <c r="D369" t="s">
        <v>100</v>
      </c>
      <c r="E369" t="s">
        <v>103</v>
      </c>
      <c r="F369" t="s">
        <v>166</v>
      </c>
      <c r="G369" t="s">
        <v>112</v>
      </c>
      <c r="H369" t="str">
        <f t="shared" si="35"/>
        <v>WE 美西大区LAV.H综办组</v>
      </c>
      <c r="I369" t="s">
        <v>167</v>
      </c>
      <c r="J369" t="s">
        <v>295</v>
      </c>
      <c r="K369" s="15">
        <v>0.375</v>
      </c>
      <c r="L369" s="15" t="s">
        <v>296</v>
      </c>
      <c r="M369" s="15">
        <v>0.372222222222222</v>
      </c>
      <c r="N369" t="s">
        <v>1314</v>
      </c>
      <c r="O369" s="20" t="str">
        <f t="shared" si="36"/>
        <v>正确</v>
      </c>
      <c r="P369" s="21">
        <v>0</v>
      </c>
      <c r="Q369" s="21">
        <v>10.1</v>
      </c>
      <c r="R369" s="21">
        <v>0</v>
      </c>
      <c r="S369" s="21">
        <f t="shared" si="37"/>
        <v>10.1</v>
      </c>
      <c r="T369" s="21">
        <f t="shared" si="38"/>
        <v>2.1</v>
      </c>
      <c r="U369" s="21" t="str">
        <f t="shared" si="39"/>
        <v>是</v>
      </c>
      <c r="V369" s="21">
        <f>VLOOKUP($C369,[4]Sheet1!$B:$AN,39,FALSE)</f>
        <v>19.93</v>
      </c>
      <c r="W369" s="21">
        <v>0</v>
      </c>
      <c r="X369" s="23">
        <v>4</v>
      </c>
      <c r="Y369" s="23">
        <v>4</v>
      </c>
      <c r="Z369" s="25">
        <f t="shared" si="40"/>
        <v>0</v>
      </c>
      <c r="AA369" s="25" t="str">
        <f t="shared" si="41"/>
        <v>是</v>
      </c>
      <c r="AB369" t="s">
        <v>1315</v>
      </c>
      <c r="AC369" t="e">
        <f>VLOOKUP(C369,[1]Sheet1!$C:$O,13,FALSE)</f>
        <v>#N/A</v>
      </c>
      <c r="AD369" t="str">
        <f>VLOOKUP($H369,'[3]0509人员排班情况 副本'!$G:$U,12,FALSE)</f>
        <v>王骞Ariel（Qian Wang）,叶秀芳Freya (Xiufang Ye)</v>
      </c>
      <c r="AE369" t="str">
        <f>VLOOKUP($H369,'[3]0509人员排班情况 副本'!$G:$U,13,FALSE)</f>
        <v>常哲</v>
      </c>
      <c r="AF369" t="str">
        <f>VLOOKUP($H369,'[3]0509人员排班情况 副本'!$G:$U,14,FALSE)</f>
        <v>Minqing (Minqing Xu),罗煜雄 Mike (Yuxiong Luo)</v>
      </c>
      <c r="AG369">
        <f>VLOOKUP($H369,'[3]0509人员排班情况 副本'!$G:$U,15,FALSE)</f>
        <v>0</v>
      </c>
    </row>
    <row r="370" customHeight="1" spans="1:33">
      <c r="A370" t="s">
        <v>202</v>
      </c>
      <c r="B370" t="s">
        <v>1316</v>
      </c>
      <c r="C370" t="s">
        <v>1317</v>
      </c>
      <c r="D370" t="s">
        <v>100</v>
      </c>
      <c r="E370" t="s">
        <v>101</v>
      </c>
      <c r="F370" t="s">
        <v>243</v>
      </c>
      <c r="G370" t="s">
        <v>112</v>
      </c>
      <c r="H370" t="str">
        <f t="shared" si="35"/>
        <v>WE 美西大区CNO.H调度组</v>
      </c>
      <c r="I370" t="s">
        <v>160</v>
      </c>
      <c r="J370" t="s">
        <v>421</v>
      </c>
      <c r="K370" s="15">
        <v>0.708333333333333</v>
      </c>
      <c r="L370" s="15" t="s">
        <v>422</v>
      </c>
      <c r="M370" s="15">
        <v>0.761111111111111</v>
      </c>
      <c r="N370" t="s">
        <v>148</v>
      </c>
      <c r="O370" s="20" t="str">
        <f t="shared" si="36"/>
        <v>不正确</v>
      </c>
      <c r="P370" s="21">
        <v>0</v>
      </c>
      <c r="Q370" s="21">
        <v>0</v>
      </c>
      <c r="R370" s="21">
        <v>0</v>
      </c>
      <c r="S370" s="21">
        <f t="shared" si="37"/>
        <v>0</v>
      </c>
      <c r="T370" s="21">
        <f t="shared" si="38"/>
        <v>0</v>
      </c>
      <c r="U370" s="21" t="str">
        <f t="shared" si="39"/>
        <v>否</v>
      </c>
      <c r="V370" s="21">
        <f>VLOOKUP($C370,[4]Sheet1!$B:$AN,39,FALSE)</f>
        <v>10.97</v>
      </c>
      <c r="W370" s="21">
        <v>0</v>
      </c>
      <c r="X370" s="23">
        <v>3</v>
      </c>
      <c r="Y370" s="23">
        <v>4</v>
      </c>
      <c r="Z370" s="25">
        <f t="shared" si="40"/>
        <v>1</v>
      </c>
      <c r="AA370" s="25" t="str">
        <f t="shared" si="41"/>
        <v>是</v>
      </c>
      <c r="AB370" t="s">
        <v>148</v>
      </c>
      <c r="AC370" t="e">
        <f>VLOOKUP(C370,[1]Sheet1!$C:$O,13,FALSE)</f>
        <v>#N/A</v>
      </c>
      <c r="AD370" t="str">
        <f>VLOOKUP($H370,'[3]0509人员排班情况 副本'!$G:$U,12,FALSE)</f>
        <v>王骞Ariel（Qian Wang）,叶秀芳Freya (Xiufang Ye)</v>
      </c>
      <c r="AE370" t="str">
        <f>VLOOKUP($H370,'[3]0509人员排班情况 副本'!$G:$U,13,FALSE)</f>
        <v>常哲</v>
      </c>
      <c r="AF370" t="str">
        <f>VLOOKUP($H370,'[3]0509人员排班情况 副本'!$G:$U,14,FALSE)</f>
        <v>Minqing (Minqing Xu),罗煜雄 Mike (Yuxiong Luo)</v>
      </c>
      <c r="AG370">
        <f>VLOOKUP($H370,'[3]0509人员排班情况 副本'!$G:$U,15,FALSE)</f>
        <v>0</v>
      </c>
    </row>
    <row r="371" customHeight="1" spans="1:33">
      <c r="A371" t="s">
        <v>202</v>
      </c>
      <c r="B371" t="s">
        <v>1318</v>
      </c>
      <c r="C371" t="s">
        <v>1319</v>
      </c>
      <c r="D371" t="s">
        <v>48</v>
      </c>
      <c r="E371" t="s">
        <v>51</v>
      </c>
      <c r="F371" t="s">
        <v>563</v>
      </c>
      <c r="G371" t="s">
        <v>112</v>
      </c>
      <c r="H371" t="str">
        <f t="shared" si="35"/>
        <v>Ground项目部OG 美西区CNO.G</v>
      </c>
      <c r="I371" t="s">
        <v>167</v>
      </c>
      <c r="J371" t="s">
        <v>295</v>
      </c>
      <c r="K371" s="15">
        <v>0.375</v>
      </c>
      <c r="L371" s="15" t="s">
        <v>296</v>
      </c>
      <c r="M371" s="15">
        <v>0.393055555555556</v>
      </c>
      <c r="N371" t="s">
        <v>148</v>
      </c>
      <c r="O371" s="20" t="str">
        <f t="shared" si="36"/>
        <v>正确</v>
      </c>
      <c r="P371" s="21">
        <v>0</v>
      </c>
      <c r="Q371" s="21">
        <v>0</v>
      </c>
      <c r="R371" s="21">
        <v>0</v>
      </c>
      <c r="S371" s="21">
        <f t="shared" si="37"/>
        <v>0</v>
      </c>
      <c r="T371" s="21">
        <f t="shared" si="38"/>
        <v>0</v>
      </c>
      <c r="U371" s="21" t="str">
        <f t="shared" si="39"/>
        <v>否</v>
      </c>
      <c r="V371" s="21">
        <f>VLOOKUP($C371,[4]Sheet1!$B:$AN,39,FALSE)</f>
        <v>8.6</v>
      </c>
      <c r="W371" s="21">
        <v>0</v>
      </c>
      <c r="X371" s="23">
        <v>3</v>
      </c>
      <c r="Y371" s="23">
        <v>4</v>
      </c>
      <c r="Z371" s="25">
        <f t="shared" si="40"/>
        <v>1</v>
      </c>
      <c r="AA371" s="25" t="str">
        <f t="shared" si="41"/>
        <v>是</v>
      </c>
      <c r="AB371" t="s">
        <v>148</v>
      </c>
      <c r="AC371" t="e">
        <f>VLOOKUP(C371,[1]Sheet1!$C:$O,13,FALSE)</f>
        <v>#N/A</v>
      </c>
      <c r="AD371" t="str">
        <f>VLOOKUP($H371,'[3]0509人员排班情况 副本'!$G:$U,12,FALSE)</f>
        <v>王安琪 (Anqi Wang),张朱同 Thomson（Zhutong Zhang）</v>
      </c>
      <c r="AE371" t="str">
        <f>VLOOKUP($H371,'[3]0509人员排班情况 副本'!$G:$U,13,FALSE)</f>
        <v>陈锦昭</v>
      </c>
      <c r="AF371" t="str">
        <f>VLOOKUP($H371,'[3]0509人员排班情况 副本'!$G:$U,14,FALSE)</f>
        <v>张弘毅 Hongyi （Hongyi Zhang）</v>
      </c>
      <c r="AG371">
        <f>VLOOKUP($H371,'[3]0509人员排班情况 副本'!$G:$U,15,FALSE)</f>
        <v>0</v>
      </c>
    </row>
    <row r="372" customHeight="1" spans="1:33">
      <c r="A372" t="s">
        <v>202</v>
      </c>
      <c r="B372" t="s">
        <v>1320</v>
      </c>
      <c r="C372" t="s">
        <v>1321</v>
      </c>
      <c r="D372" t="s">
        <v>100</v>
      </c>
      <c r="E372" t="s">
        <v>29</v>
      </c>
      <c r="F372" t="s">
        <v>200</v>
      </c>
      <c r="H372" t="str">
        <f t="shared" si="35"/>
        <v>WE 美西大区运营支持部区域支持组</v>
      </c>
      <c r="I372" t="s">
        <v>201</v>
      </c>
      <c r="J372" t="s">
        <v>236</v>
      </c>
      <c r="K372" s="15">
        <v>0.395833333333333</v>
      </c>
      <c r="L372" s="15" t="s">
        <v>218</v>
      </c>
      <c r="M372" s="15"/>
      <c r="N372" t="s">
        <v>148</v>
      </c>
      <c r="O372" s="20" t="str">
        <f t="shared" si="36"/>
        <v>不正确</v>
      </c>
      <c r="P372" s="21">
        <v>0</v>
      </c>
      <c r="Q372" s="21">
        <v>0</v>
      </c>
      <c r="R372" s="21">
        <v>0</v>
      </c>
      <c r="S372" s="21">
        <f t="shared" si="37"/>
        <v>0</v>
      </c>
      <c r="T372" s="21">
        <f t="shared" si="38"/>
        <v>0</v>
      </c>
      <c r="U372" s="21" t="str">
        <f t="shared" si="39"/>
        <v>否</v>
      </c>
      <c r="V372" s="21">
        <f>VLOOKUP($C372,[4]Sheet1!$B:$AN,39,FALSE)</f>
        <v>0</v>
      </c>
      <c r="W372" s="21">
        <v>0</v>
      </c>
      <c r="X372" s="23">
        <v>0</v>
      </c>
      <c r="Y372" s="23">
        <v>0</v>
      </c>
      <c r="Z372" s="25">
        <f t="shared" si="40"/>
        <v>0</v>
      </c>
      <c r="AA372" s="25" t="str">
        <f t="shared" si="41"/>
        <v>是</v>
      </c>
      <c r="AB372" t="s">
        <v>339</v>
      </c>
      <c r="AC372" t="e">
        <f>VLOOKUP(C372,[1]Sheet1!$C:$O,13,FALSE)</f>
        <v>#N/A</v>
      </c>
      <c r="AD372" t="str">
        <f>VLOOKUP($H372,'[3]0509人员排班情况 副本'!$G:$U,12,FALSE)</f>
        <v>王骞Ariel（Qian Wang）,叶秀芳Freya (Xiufang Ye)</v>
      </c>
      <c r="AE372" t="str">
        <f>VLOOKUP($H372,'[3]0509人员排班情况 副本'!$G:$U,13,FALSE)</f>
        <v>常哲</v>
      </c>
      <c r="AF372">
        <f>VLOOKUP($H372,'[3]0509人员排班情况 副本'!$G:$U,14,FALSE)</f>
        <v>0</v>
      </c>
      <c r="AG372">
        <f>VLOOKUP($H372,'[3]0509人员排班情况 副本'!$G:$U,15,FALSE)</f>
        <v>0</v>
      </c>
    </row>
    <row r="373" customHeight="1" spans="1:33">
      <c r="A373" t="s">
        <v>202</v>
      </c>
      <c r="B373" t="s">
        <v>1322</v>
      </c>
      <c r="C373" t="s">
        <v>1323</v>
      </c>
      <c r="D373" t="s">
        <v>100</v>
      </c>
      <c r="E373" t="s">
        <v>101</v>
      </c>
      <c r="F373" t="s">
        <v>148</v>
      </c>
      <c r="G373" t="s">
        <v>112</v>
      </c>
      <c r="H373" t="str">
        <f t="shared" si="35"/>
        <v>WE 美西大区CNO.H</v>
      </c>
      <c r="I373" t="s">
        <v>654</v>
      </c>
      <c r="J373" t="s">
        <v>1324</v>
      </c>
      <c r="K373" s="15">
        <v>0.791666666666667</v>
      </c>
      <c r="L373" s="15" t="s">
        <v>1325</v>
      </c>
      <c r="M373" s="15"/>
      <c r="N373" t="s">
        <v>148</v>
      </c>
      <c r="O373" s="20" t="str">
        <f t="shared" si="36"/>
        <v>不正确</v>
      </c>
      <c r="P373" s="21">
        <v>0</v>
      </c>
      <c r="Q373" s="21">
        <v>0</v>
      </c>
      <c r="R373" s="21">
        <v>0</v>
      </c>
      <c r="S373" s="21">
        <f t="shared" si="37"/>
        <v>0</v>
      </c>
      <c r="T373" s="21">
        <f t="shared" si="38"/>
        <v>0</v>
      </c>
      <c r="U373" s="21" t="str">
        <f t="shared" si="39"/>
        <v>否</v>
      </c>
      <c r="V373" s="21">
        <f>VLOOKUP($C373,[4]Sheet1!$B:$AN,39,FALSE)</f>
        <v>0</v>
      </c>
      <c r="W373" s="21">
        <v>0</v>
      </c>
      <c r="X373" s="23">
        <v>0</v>
      </c>
      <c r="Y373" s="23">
        <v>4</v>
      </c>
      <c r="Z373" s="25">
        <f t="shared" si="40"/>
        <v>4</v>
      </c>
      <c r="AA373" s="25" t="str">
        <f t="shared" si="41"/>
        <v>是</v>
      </c>
      <c r="AB373" t="s">
        <v>148</v>
      </c>
      <c r="AC373" t="e">
        <f>VLOOKUP(C373,[1]Sheet1!$C:$O,13,FALSE)</f>
        <v>#N/A</v>
      </c>
      <c r="AD373" t="str">
        <f>VLOOKUP($H373,'[3]0509人员排班情况 副本'!$G:$U,12,FALSE)</f>
        <v>王骞Ariel（Qian Wang）,叶秀芳Freya (Xiufang Ye)</v>
      </c>
      <c r="AE373" t="str">
        <f>VLOOKUP($H373,'[3]0509人员排班情况 副本'!$G:$U,13,FALSE)</f>
        <v>常哲</v>
      </c>
      <c r="AF373">
        <f>VLOOKUP($H373,'[3]0509人员排班情况 副本'!$G:$U,14,FALSE)</f>
        <v>0</v>
      </c>
      <c r="AG373">
        <f>VLOOKUP($H373,'[3]0509人员排班情况 副本'!$G:$U,15,FALSE)</f>
        <v>0</v>
      </c>
    </row>
    <row r="374" customHeight="1" spans="1:33">
      <c r="A374" t="s">
        <v>202</v>
      </c>
      <c r="B374" t="s">
        <v>1326</v>
      </c>
      <c r="C374" t="s">
        <v>1327</v>
      </c>
      <c r="D374" t="s">
        <v>8</v>
      </c>
      <c r="E374" t="s">
        <v>148</v>
      </c>
      <c r="F374" t="s">
        <v>148</v>
      </c>
      <c r="H374" t="str">
        <f t="shared" si="35"/>
        <v>AD 行政部</v>
      </c>
      <c r="I374" t="s">
        <v>1328</v>
      </c>
      <c r="J374" t="s">
        <v>236</v>
      </c>
      <c r="K374" s="15">
        <v>0.395833333333333</v>
      </c>
      <c r="L374" s="15" t="s">
        <v>218</v>
      </c>
      <c r="M374" s="15">
        <v>0.395833333333333</v>
      </c>
      <c r="N374" t="s">
        <v>218</v>
      </c>
      <c r="O374" s="20" t="str">
        <f t="shared" si="36"/>
        <v>正确</v>
      </c>
      <c r="P374" s="21">
        <v>0</v>
      </c>
      <c r="Q374" s="21">
        <v>8</v>
      </c>
      <c r="R374" s="21">
        <v>0</v>
      </c>
      <c r="S374" s="21">
        <f t="shared" si="37"/>
        <v>8</v>
      </c>
      <c r="T374" s="21">
        <f t="shared" si="38"/>
        <v>0</v>
      </c>
      <c r="U374" s="21" t="str">
        <f t="shared" si="39"/>
        <v>否</v>
      </c>
      <c r="V374" s="21">
        <f>VLOOKUP($C374,[4]Sheet1!$B:$AN,39,FALSE)</f>
        <v>16</v>
      </c>
      <c r="W374" s="21">
        <v>0</v>
      </c>
      <c r="X374" s="23">
        <v>2</v>
      </c>
      <c r="Y374" s="23">
        <v>4</v>
      </c>
      <c r="Z374" s="25">
        <f t="shared" si="40"/>
        <v>2</v>
      </c>
      <c r="AA374" s="25" t="str">
        <f t="shared" si="41"/>
        <v>是</v>
      </c>
      <c r="AB374" t="s">
        <v>148</v>
      </c>
      <c r="AC374" t="e">
        <f>VLOOKUP(C374,[1]Sheet1!$C:$O,13,FALSE)</f>
        <v>#N/A</v>
      </c>
      <c r="AD374" t="str">
        <f>VLOOKUP($H374,'[3]0509人员排班情况 副本'!$G:$U,12,FALSE)</f>
        <v>袁博闻(Bowen Yuan)</v>
      </c>
      <c r="AE374">
        <f>VLOOKUP($H374,'[3]0509人员排班情况 副本'!$G:$U,13,FALSE)</f>
        <v>0</v>
      </c>
      <c r="AF374">
        <f>VLOOKUP($H374,'[3]0509人员排班情况 副本'!$G:$U,14,FALSE)</f>
        <v>0</v>
      </c>
      <c r="AG374">
        <f>VLOOKUP($H374,'[3]0509人员排班情况 副本'!$G:$U,15,FALSE)</f>
        <v>0</v>
      </c>
    </row>
    <row r="375" customHeight="1" spans="1:33">
      <c r="A375" t="s">
        <v>202</v>
      </c>
      <c r="B375" t="s">
        <v>1329</v>
      </c>
      <c r="C375" t="s">
        <v>1330</v>
      </c>
      <c r="D375" t="s">
        <v>92</v>
      </c>
      <c r="E375" t="s">
        <v>96</v>
      </c>
      <c r="F375" t="s">
        <v>275</v>
      </c>
      <c r="G375" t="s">
        <v>112</v>
      </c>
      <c r="H375" t="str">
        <f t="shared" si="35"/>
        <v>TX 德州大区IAH.H分拣组</v>
      </c>
      <c r="I375" t="s">
        <v>303</v>
      </c>
      <c r="J375" t="s">
        <v>236</v>
      </c>
      <c r="K375" s="15">
        <v>0.395833333333333</v>
      </c>
      <c r="L375" s="15" t="s">
        <v>218</v>
      </c>
      <c r="M375" s="15">
        <v>0.386111111111111</v>
      </c>
      <c r="N375" t="s">
        <v>1010</v>
      </c>
      <c r="O375" s="20" t="str">
        <f t="shared" si="36"/>
        <v>正确</v>
      </c>
      <c r="P375" s="21">
        <v>0</v>
      </c>
      <c r="Q375" s="21">
        <v>8.67</v>
      </c>
      <c r="R375" s="21">
        <v>0</v>
      </c>
      <c r="S375" s="21">
        <f t="shared" si="37"/>
        <v>8.67</v>
      </c>
      <c r="T375" s="21">
        <f t="shared" si="38"/>
        <v>0.67</v>
      </c>
      <c r="U375" s="21" t="str">
        <f t="shared" si="39"/>
        <v>是</v>
      </c>
      <c r="V375" s="21">
        <f>VLOOKUP($C375,[4]Sheet1!$B:$AN,39,FALSE)</f>
        <v>8.67</v>
      </c>
      <c r="W375" s="21">
        <v>0</v>
      </c>
      <c r="X375" s="23">
        <v>2</v>
      </c>
      <c r="Y375" s="23">
        <v>4</v>
      </c>
      <c r="Z375" s="25">
        <f t="shared" si="40"/>
        <v>2</v>
      </c>
      <c r="AA375" s="25" t="str">
        <f t="shared" si="41"/>
        <v>是</v>
      </c>
      <c r="AB375" t="s">
        <v>148</v>
      </c>
      <c r="AC375" t="e">
        <f>VLOOKUP(C375,[1]Sheet1!$C:$O,13,FALSE)</f>
        <v>#N/A</v>
      </c>
      <c r="AD375" t="str">
        <f>VLOOKUP($H375,'[3]0509人员排班情况 副本'!$G:$U,12,FALSE)</f>
        <v>肖芦莉Lily (Luli Xiao)</v>
      </c>
      <c r="AE375" t="str">
        <f>VLOOKUP($H375,'[3]0509人员排班情况 副本'!$G:$U,13,FALSE)</f>
        <v>张骥Ji Zhang (Ji Zhang)</v>
      </c>
      <c r="AF375" t="str">
        <f>VLOOKUP($H375,'[3]0509人员排班情况 副本'!$G:$U,14,FALSE)</f>
        <v>张双甫(Shuangfu Zhang)</v>
      </c>
      <c r="AG375">
        <f>VLOOKUP($H375,'[3]0509人员排班情况 副本'!$G:$U,15,FALSE)</f>
        <v>0</v>
      </c>
    </row>
    <row r="376" customHeight="1" spans="1:33">
      <c r="A376" t="s">
        <v>202</v>
      </c>
      <c r="B376" t="s">
        <v>1331</v>
      </c>
      <c r="C376" t="s">
        <v>1332</v>
      </c>
      <c r="D376" t="s">
        <v>92</v>
      </c>
      <c r="E376" t="s">
        <v>45</v>
      </c>
      <c r="F376" t="s">
        <v>148</v>
      </c>
      <c r="H376" t="str">
        <f t="shared" si="35"/>
        <v>TX 德州大区揽收部</v>
      </c>
      <c r="I376" t="s">
        <v>608</v>
      </c>
      <c r="J376" t="s">
        <v>236</v>
      </c>
      <c r="K376" s="15">
        <v>0.395833333333333</v>
      </c>
      <c r="L376" s="15" t="s">
        <v>218</v>
      </c>
      <c r="M376" s="15">
        <v>0.386111111111111</v>
      </c>
      <c r="N376" t="s">
        <v>1333</v>
      </c>
      <c r="O376" s="20" t="str">
        <f t="shared" si="36"/>
        <v>正确</v>
      </c>
      <c r="P376" s="21">
        <v>0</v>
      </c>
      <c r="Q376" s="21">
        <v>8.27</v>
      </c>
      <c r="R376" s="21">
        <v>0</v>
      </c>
      <c r="S376" s="21">
        <f t="shared" si="37"/>
        <v>8.27</v>
      </c>
      <c r="T376" s="21">
        <f t="shared" si="38"/>
        <v>0.27</v>
      </c>
      <c r="U376" s="21" t="str">
        <f t="shared" si="39"/>
        <v>是</v>
      </c>
      <c r="V376" s="21">
        <f>VLOOKUP($C376,[4]Sheet1!$B:$AN,39,FALSE)</f>
        <v>16.99</v>
      </c>
      <c r="W376" s="21">
        <v>0</v>
      </c>
      <c r="X376" s="23">
        <v>4</v>
      </c>
      <c r="Y376" s="23">
        <v>4</v>
      </c>
      <c r="Z376" s="25">
        <f t="shared" si="40"/>
        <v>0</v>
      </c>
      <c r="AA376" s="25" t="str">
        <f t="shared" si="41"/>
        <v>是</v>
      </c>
      <c r="AB376" t="s">
        <v>148</v>
      </c>
      <c r="AC376" t="e">
        <f>VLOOKUP(C376,[1]Sheet1!$C:$O,13,FALSE)</f>
        <v>#N/A</v>
      </c>
      <c r="AD376" t="str">
        <f>VLOOKUP($H376,'[3]0509人员排班情况 副本'!$G:$U,12,FALSE)</f>
        <v>肖芦莉Lily (Luli Xiao)</v>
      </c>
      <c r="AE376" t="str">
        <f>VLOOKUP($H376,'[3]0509人员排班情况 副本'!$G:$U,13,FALSE)</f>
        <v>张骥Ji Zhang (Ji Zhang)</v>
      </c>
      <c r="AF376">
        <f>VLOOKUP($H376,'[3]0509人员排班情况 副本'!$G:$U,14,FALSE)</f>
        <v>0</v>
      </c>
      <c r="AG376">
        <f>VLOOKUP($H376,'[3]0509人员排班情况 副本'!$G:$U,15,FALSE)</f>
        <v>0</v>
      </c>
    </row>
    <row r="377" customHeight="1" spans="1:33">
      <c r="A377" t="s">
        <v>202</v>
      </c>
      <c r="B377" t="s">
        <v>1334</v>
      </c>
      <c r="C377" t="s">
        <v>1335</v>
      </c>
      <c r="D377" t="s">
        <v>100</v>
      </c>
      <c r="E377" t="s">
        <v>44</v>
      </c>
      <c r="F377" t="s">
        <v>148</v>
      </c>
      <c r="H377" t="str">
        <f t="shared" si="35"/>
        <v>WE 美西大区车辆管理部</v>
      </c>
      <c r="I377" t="s">
        <v>769</v>
      </c>
      <c r="J377" t="s">
        <v>236</v>
      </c>
      <c r="K377" s="15">
        <v>0.395833333333333</v>
      </c>
      <c r="L377" s="15" t="s">
        <v>218</v>
      </c>
      <c r="M377" s="15">
        <v>0.400694444444444</v>
      </c>
      <c r="N377" t="s">
        <v>1336</v>
      </c>
      <c r="O377" s="20" t="str">
        <f t="shared" si="36"/>
        <v>正确</v>
      </c>
      <c r="P377" s="21">
        <v>0</v>
      </c>
      <c r="Q377" s="21">
        <v>7.83</v>
      </c>
      <c r="R377" s="21">
        <v>0</v>
      </c>
      <c r="S377" s="21">
        <f t="shared" si="37"/>
        <v>7.83</v>
      </c>
      <c r="T377" s="21">
        <f t="shared" si="38"/>
        <v>0</v>
      </c>
      <c r="U377" s="21" t="str">
        <f t="shared" si="39"/>
        <v>否</v>
      </c>
      <c r="V377" s="21">
        <f>VLOOKUP($C377,[4]Sheet1!$B:$AN,39,FALSE)</f>
        <v>15.58</v>
      </c>
      <c r="W377" s="21">
        <v>0</v>
      </c>
      <c r="X377" s="23">
        <v>2</v>
      </c>
      <c r="Y377" s="23">
        <v>4</v>
      </c>
      <c r="Z377" s="25">
        <f t="shared" si="40"/>
        <v>2</v>
      </c>
      <c r="AA377" s="25" t="str">
        <f t="shared" si="41"/>
        <v>是</v>
      </c>
      <c r="AB377" t="s">
        <v>148</v>
      </c>
      <c r="AC377" t="e">
        <f>VLOOKUP(C377,[1]Sheet1!$C:$O,13,FALSE)</f>
        <v>#N/A</v>
      </c>
      <c r="AD377" t="str">
        <f>VLOOKUP($H377,'[3]0509人员排班情况 副本'!$G:$U,12,FALSE)</f>
        <v>王骞Ariel（Qian Wang）,叶秀芳Freya (Xiufang Ye)</v>
      </c>
      <c r="AE377" t="str">
        <f>VLOOKUP($H377,'[3]0509人员排班情况 副本'!$G:$U,13,FALSE)</f>
        <v>常哲</v>
      </c>
      <c r="AF377">
        <f>VLOOKUP($H377,'[3]0509人员排班情况 副本'!$G:$U,14,FALSE)</f>
        <v>0</v>
      </c>
      <c r="AG377">
        <f>VLOOKUP($H377,'[3]0509人员排班情况 副本'!$G:$U,15,FALSE)</f>
        <v>0</v>
      </c>
    </row>
    <row r="378" customHeight="1" spans="1:33">
      <c r="A378" t="s">
        <v>202</v>
      </c>
      <c r="B378" t="s">
        <v>1337</v>
      </c>
      <c r="C378" t="s">
        <v>1338</v>
      </c>
      <c r="D378" t="s">
        <v>68</v>
      </c>
      <c r="E378" t="s">
        <v>81</v>
      </c>
      <c r="F378" t="s">
        <v>943</v>
      </c>
      <c r="H378" t="str">
        <f t="shared" si="35"/>
        <v>NE 东北大区NY 纽约片区FRG01</v>
      </c>
      <c r="I378" t="s">
        <v>406</v>
      </c>
      <c r="J378" t="s">
        <v>221</v>
      </c>
      <c r="K378" s="15">
        <v>0.208333333333333</v>
      </c>
      <c r="L378" s="15" t="s">
        <v>222</v>
      </c>
      <c r="M378" s="15">
        <v>0.204861111111111</v>
      </c>
      <c r="N378" t="s">
        <v>1339</v>
      </c>
      <c r="O378" s="20" t="str">
        <f t="shared" si="36"/>
        <v>正确</v>
      </c>
      <c r="P378" s="21">
        <v>0</v>
      </c>
      <c r="Q378" s="21">
        <v>8.5</v>
      </c>
      <c r="R378" s="21">
        <v>0</v>
      </c>
      <c r="S378" s="21">
        <f t="shared" si="37"/>
        <v>8.5</v>
      </c>
      <c r="T378" s="21">
        <f t="shared" si="38"/>
        <v>0.5</v>
      </c>
      <c r="U378" s="21" t="str">
        <f t="shared" si="39"/>
        <v>是</v>
      </c>
      <c r="V378" s="21">
        <f>VLOOKUP($C378,[4]Sheet1!$B:$AN,39,FALSE)</f>
        <v>16.77</v>
      </c>
      <c r="W378" s="21">
        <v>0</v>
      </c>
      <c r="X378" s="23">
        <v>4</v>
      </c>
      <c r="Y378" s="23">
        <v>4</v>
      </c>
      <c r="Z378" s="25">
        <f t="shared" si="40"/>
        <v>0</v>
      </c>
      <c r="AA378" s="25" t="str">
        <f t="shared" si="41"/>
        <v>是</v>
      </c>
      <c r="AB378" t="s">
        <v>148</v>
      </c>
      <c r="AC378" t="e">
        <f>VLOOKUP(C378,[1]Sheet1!$C:$O,13,FALSE)</f>
        <v>#N/A</v>
      </c>
      <c r="AD378" t="str">
        <f>VLOOKUP($H378,'[3]0509人员排班情况 副本'!$G:$U,12,FALSE)</f>
        <v>孙可君Monica（Kejun Sun）</v>
      </c>
      <c r="AE378" t="str">
        <f>VLOOKUP($H378,'[3]0509人员排班情况 副本'!$G:$U,13,FALSE)</f>
        <v>马聪Cong (Cong Ma)</v>
      </c>
      <c r="AF378" t="str">
        <f>VLOOKUP($H378,'[3]0509人员排班情况 副本'!$G:$U,14,FALSE)</f>
        <v>朱晗宇 Peter (Hanyu Zhu)</v>
      </c>
      <c r="AG378">
        <f>VLOOKUP($H378,'[3]0509人员排班情况 副本'!$G:$U,15,FALSE)</f>
        <v>0</v>
      </c>
    </row>
    <row r="379" customHeight="1" spans="1:33">
      <c r="A379" t="s">
        <v>202</v>
      </c>
      <c r="B379" t="s">
        <v>1340</v>
      </c>
      <c r="C379" t="s">
        <v>1341</v>
      </c>
      <c r="D379" t="s">
        <v>99</v>
      </c>
      <c r="E379" t="s">
        <v>677</v>
      </c>
      <c r="F379" t="s">
        <v>1342</v>
      </c>
      <c r="H379" t="str">
        <f t="shared" si="35"/>
        <v>US人力资源部美洲HRBP组Ground项目HR组</v>
      </c>
      <c r="I379" t="s">
        <v>1156</v>
      </c>
      <c r="J379" t="s">
        <v>236</v>
      </c>
      <c r="K379" s="15">
        <v>0.395833333333333</v>
      </c>
      <c r="L379" s="15" t="s">
        <v>218</v>
      </c>
      <c r="M379" s="15">
        <v>0.394444444444444</v>
      </c>
      <c r="N379" t="s">
        <v>852</v>
      </c>
      <c r="O379" s="20" t="str">
        <f t="shared" si="36"/>
        <v>正确</v>
      </c>
      <c r="P379" s="21">
        <v>0</v>
      </c>
      <c r="Q379" s="21">
        <v>8.65</v>
      </c>
      <c r="R379" s="21">
        <v>0</v>
      </c>
      <c r="S379" s="21">
        <f t="shared" si="37"/>
        <v>8.65</v>
      </c>
      <c r="T379" s="21">
        <f t="shared" si="38"/>
        <v>0.65</v>
      </c>
      <c r="U379" s="21" t="str">
        <f t="shared" si="39"/>
        <v>是</v>
      </c>
      <c r="V379" s="21">
        <f>VLOOKUP($C379,[4]Sheet1!$B:$AN,39,FALSE)</f>
        <v>16.87</v>
      </c>
      <c r="W379" s="21">
        <v>0</v>
      </c>
      <c r="X379" s="23">
        <v>4</v>
      </c>
      <c r="Y379" s="23">
        <v>4</v>
      </c>
      <c r="Z379" s="25">
        <f t="shared" si="40"/>
        <v>0</v>
      </c>
      <c r="AA379" s="25" t="str">
        <f t="shared" si="41"/>
        <v>是</v>
      </c>
      <c r="AB379" t="s">
        <v>148</v>
      </c>
      <c r="AC379" t="e">
        <f>VLOOKUP(C379,[1]Sheet1!$C:$O,13,FALSE)</f>
        <v>#N/A</v>
      </c>
      <c r="AD379" t="str">
        <f>VLOOKUP($H379,'[3]0509人员排班情况 副本'!$G:$U,12,FALSE)</f>
        <v>袁博闻(Bowen Yuan)</v>
      </c>
      <c r="AE379">
        <f>VLOOKUP($H379,'[3]0509人员排班情况 副本'!$G:$U,13,FALSE)</f>
        <v>0</v>
      </c>
      <c r="AF379">
        <f>VLOOKUP($H379,'[3]0509人员排班情况 副本'!$G:$U,14,FALSE)</f>
        <v>0</v>
      </c>
      <c r="AG379">
        <f>VLOOKUP($H379,'[3]0509人员排班情况 副本'!$G:$U,15,FALSE)</f>
        <v>0</v>
      </c>
    </row>
    <row r="380" customHeight="1" spans="1:33">
      <c r="A380" t="s">
        <v>202</v>
      </c>
      <c r="B380" t="s">
        <v>1343</v>
      </c>
      <c r="C380" t="s">
        <v>1344</v>
      </c>
      <c r="D380" t="s">
        <v>100</v>
      </c>
      <c r="E380" t="s">
        <v>101</v>
      </c>
      <c r="F380" t="s">
        <v>243</v>
      </c>
      <c r="G380" t="s">
        <v>112</v>
      </c>
      <c r="H380" t="str">
        <f t="shared" si="35"/>
        <v>WE 美西大区CNO.H调度组</v>
      </c>
      <c r="I380" t="s">
        <v>160</v>
      </c>
      <c r="J380" t="s">
        <v>421</v>
      </c>
      <c r="K380" s="15">
        <v>0.708333333333333</v>
      </c>
      <c r="L380" s="15" t="s">
        <v>422</v>
      </c>
      <c r="M380" s="15">
        <v>0.711111111111111</v>
      </c>
      <c r="N380" t="s">
        <v>1345</v>
      </c>
      <c r="O380" s="20" t="str">
        <f t="shared" si="36"/>
        <v>正确</v>
      </c>
      <c r="P380" s="21">
        <v>0</v>
      </c>
      <c r="Q380" s="21">
        <v>5.58</v>
      </c>
      <c r="R380" s="21">
        <v>0</v>
      </c>
      <c r="S380" s="21">
        <f t="shared" si="37"/>
        <v>5.58</v>
      </c>
      <c r="T380" s="21">
        <f t="shared" si="38"/>
        <v>0</v>
      </c>
      <c r="U380" s="21" t="str">
        <f t="shared" si="39"/>
        <v>否</v>
      </c>
      <c r="V380" s="21">
        <f>VLOOKUP($C380,[4]Sheet1!$B:$AN,39,FALSE)</f>
        <v>5.58</v>
      </c>
      <c r="W380" s="21">
        <v>12.62</v>
      </c>
      <c r="X380" s="23">
        <v>3</v>
      </c>
      <c r="Y380" s="23">
        <v>4</v>
      </c>
      <c r="Z380" s="25">
        <f t="shared" si="40"/>
        <v>1</v>
      </c>
      <c r="AA380" s="25" t="str">
        <f t="shared" si="41"/>
        <v>是</v>
      </c>
      <c r="AB380" t="s">
        <v>148</v>
      </c>
      <c r="AC380" t="e">
        <f>VLOOKUP(C380,[1]Sheet1!$C:$O,13,FALSE)</f>
        <v>#N/A</v>
      </c>
      <c r="AD380" t="str">
        <f>VLOOKUP($H380,'[3]0509人员排班情况 副本'!$G:$U,12,FALSE)</f>
        <v>王骞Ariel（Qian Wang）,叶秀芳Freya (Xiufang Ye)</v>
      </c>
      <c r="AE380" t="str">
        <f>VLOOKUP($H380,'[3]0509人员排班情况 副本'!$G:$U,13,FALSE)</f>
        <v>常哲</v>
      </c>
      <c r="AF380" t="str">
        <f>VLOOKUP($H380,'[3]0509人员排班情况 副本'!$G:$U,14,FALSE)</f>
        <v>Minqing (Minqing Xu),罗煜雄 Mike (Yuxiong Luo)</v>
      </c>
      <c r="AG380">
        <f>VLOOKUP($H380,'[3]0509人员排班情况 副本'!$G:$U,15,FALSE)</f>
        <v>0</v>
      </c>
    </row>
    <row r="381" customHeight="1" spans="1:33">
      <c r="A381" t="s">
        <v>202</v>
      </c>
      <c r="B381" t="s">
        <v>1346</v>
      </c>
      <c r="C381" t="s">
        <v>1347</v>
      </c>
      <c r="D381" t="s">
        <v>58</v>
      </c>
      <c r="E381" t="s">
        <v>61</v>
      </c>
      <c r="F381" t="s">
        <v>243</v>
      </c>
      <c r="G381" t="s">
        <v>112</v>
      </c>
      <c r="H381" t="str">
        <f t="shared" si="35"/>
        <v>MS 中南大区ATL.H调度组</v>
      </c>
      <c r="I381" t="s">
        <v>160</v>
      </c>
      <c r="J381" t="s">
        <v>245</v>
      </c>
      <c r="K381" s="15">
        <v>0.75</v>
      </c>
      <c r="L381" s="15" t="s">
        <v>246</v>
      </c>
      <c r="M381" s="15">
        <v>0.743055555555556</v>
      </c>
      <c r="N381" t="s">
        <v>1348</v>
      </c>
      <c r="O381" s="20" t="str">
        <f t="shared" si="36"/>
        <v>正确</v>
      </c>
      <c r="P381" s="21">
        <v>0</v>
      </c>
      <c r="Q381" s="21">
        <v>8.03</v>
      </c>
      <c r="R381" s="21">
        <v>0</v>
      </c>
      <c r="S381" s="21">
        <f t="shared" si="37"/>
        <v>8.03</v>
      </c>
      <c r="T381" s="21">
        <f t="shared" si="38"/>
        <v>0.0299999999999994</v>
      </c>
      <c r="U381" s="21" t="str">
        <f t="shared" si="39"/>
        <v>是</v>
      </c>
      <c r="V381" s="21">
        <f>VLOOKUP($C381,[4]Sheet1!$B:$AN,39,FALSE)</f>
        <v>17.26</v>
      </c>
      <c r="W381" s="21">
        <v>0</v>
      </c>
      <c r="X381" s="23">
        <v>3</v>
      </c>
      <c r="Y381" s="23">
        <v>4</v>
      </c>
      <c r="Z381" s="25">
        <f t="shared" si="40"/>
        <v>1</v>
      </c>
      <c r="AA381" s="25" t="str">
        <f t="shared" si="41"/>
        <v>是</v>
      </c>
      <c r="AB381" t="s">
        <v>148</v>
      </c>
      <c r="AC381" t="e">
        <f>VLOOKUP(C381,[1]Sheet1!$C:$O,13,FALSE)</f>
        <v>#N/A</v>
      </c>
      <c r="AD381" t="str">
        <f>VLOOKUP($H381,'[3]0509人员排班情况 副本'!$G:$U,12,FALSE)</f>
        <v>欧阳迎春Flower（Yingchun Ouyang）</v>
      </c>
      <c r="AE381" t="str">
        <f>VLOOKUP($H381,'[3]0509人员排班情况 副本'!$G:$U,13,FALSE)</f>
        <v>杨云飞</v>
      </c>
      <c r="AF381" t="str">
        <f>VLOOKUP($H381,'[3]0509人员排班情况 副本'!$G:$U,14,FALSE)</f>
        <v>Minqing (Minqing Xu),罗煜雄 Mike (Yuxiong Luo),明杰麟Jennie (Jielin Ming)</v>
      </c>
      <c r="AG381" t="str">
        <f>VLOOKUP($H381,'[3]0509人员排班情况 副本'!$G:$U,15,FALSE)</f>
        <v>文艳平</v>
      </c>
    </row>
    <row r="382" customHeight="1" spans="1:33">
      <c r="A382" t="s">
        <v>202</v>
      </c>
      <c r="B382" t="s">
        <v>1349</v>
      </c>
      <c r="C382" t="s">
        <v>1350</v>
      </c>
      <c r="D382" t="s">
        <v>15</v>
      </c>
      <c r="E382" t="s">
        <v>18</v>
      </c>
      <c r="F382" t="s">
        <v>148</v>
      </c>
      <c r="H382" t="str">
        <f t="shared" si="35"/>
        <v>FL 佛州大区MCO01</v>
      </c>
      <c r="I382" t="s">
        <v>177</v>
      </c>
      <c r="J382" t="s">
        <v>343</v>
      </c>
      <c r="K382" s="15">
        <v>0.25</v>
      </c>
      <c r="L382" s="15" t="s">
        <v>344</v>
      </c>
      <c r="M382" s="15">
        <v>0.261111111111111</v>
      </c>
      <c r="N382" t="s">
        <v>628</v>
      </c>
      <c r="O382" s="20" t="str">
        <f t="shared" si="36"/>
        <v>正确</v>
      </c>
      <c r="P382" s="21">
        <v>0</v>
      </c>
      <c r="Q382" s="21">
        <v>9.75</v>
      </c>
      <c r="R382" s="21">
        <v>0</v>
      </c>
      <c r="S382" s="21">
        <f t="shared" si="37"/>
        <v>9.75</v>
      </c>
      <c r="T382" s="21">
        <f t="shared" si="38"/>
        <v>1.75</v>
      </c>
      <c r="U382" s="21" t="str">
        <f t="shared" si="39"/>
        <v>是</v>
      </c>
      <c r="V382" s="21">
        <f>VLOOKUP($C382,[4]Sheet1!$B:$AN,39,FALSE)</f>
        <v>19.77</v>
      </c>
      <c r="W382" s="21">
        <v>0</v>
      </c>
      <c r="X382" s="23">
        <v>5</v>
      </c>
      <c r="Y382" s="23">
        <v>4</v>
      </c>
      <c r="Z382" s="25">
        <f t="shared" si="40"/>
        <v>0</v>
      </c>
      <c r="AA382" s="25" t="str">
        <f t="shared" si="41"/>
        <v>是</v>
      </c>
      <c r="AB382" t="s">
        <v>148</v>
      </c>
      <c r="AC382" t="e">
        <f>VLOOKUP(C382,[1]Sheet1!$C:$O,13,FALSE)</f>
        <v>#N/A</v>
      </c>
      <c r="AD382" t="str">
        <f>VLOOKUP($H382,'[3]0509人员排班情况 副本'!$G:$U,12,FALSE)</f>
        <v>Natalia (Natalia Padilla),孙婕 Jasmine（Sunjie）</v>
      </c>
      <c r="AE382" t="str">
        <f>VLOOKUP($H382,'[3]0509人员排班情况 副本'!$G:$U,13,FALSE)</f>
        <v>贺子强Jeff (Ziqiang He)</v>
      </c>
      <c r="AF382">
        <f>VLOOKUP($H382,'[3]0509人员排班情况 副本'!$G:$U,14,FALSE)</f>
        <v>0</v>
      </c>
      <c r="AG382">
        <f>VLOOKUP($H382,'[3]0509人员排班情况 副本'!$G:$U,15,FALSE)</f>
        <v>0</v>
      </c>
    </row>
    <row r="383" customHeight="1" spans="1:33">
      <c r="A383" t="s">
        <v>202</v>
      </c>
      <c r="B383" t="s">
        <v>1351</v>
      </c>
      <c r="C383" t="s">
        <v>1352</v>
      </c>
      <c r="D383" t="s">
        <v>68</v>
      </c>
      <c r="E383" t="s">
        <v>76</v>
      </c>
      <c r="F383" t="s">
        <v>243</v>
      </c>
      <c r="G383" t="s">
        <v>112</v>
      </c>
      <c r="H383" t="str">
        <f t="shared" si="35"/>
        <v>NE 东北大区EWR.H调度组</v>
      </c>
      <c r="I383" t="s">
        <v>160</v>
      </c>
      <c r="J383" t="s">
        <v>343</v>
      </c>
      <c r="K383" s="15">
        <v>0.25</v>
      </c>
      <c r="L383" s="15" t="s">
        <v>344</v>
      </c>
      <c r="M383" s="15">
        <v>0.240277777777778</v>
      </c>
      <c r="N383" t="s">
        <v>374</v>
      </c>
      <c r="O383" s="20" t="str">
        <f t="shared" si="36"/>
        <v>正确</v>
      </c>
      <c r="P383" s="21">
        <v>0</v>
      </c>
      <c r="Q383" s="21">
        <v>9.23</v>
      </c>
      <c r="R383" s="21">
        <v>0</v>
      </c>
      <c r="S383" s="21">
        <f t="shared" si="37"/>
        <v>9.23</v>
      </c>
      <c r="T383" s="21">
        <f t="shared" si="38"/>
        <v>1.23</v>
      </c>
      <c r="U383" s="21" t="str">
        <f t="shared" si="39"/>
        <v>是</v>
      </c>
      <c r="V383" s="21">
        <f>VLOOKUP($C383,[4]Sheet1!$B:$AN,39,FALSE)</f>
        <v>17.33</v>
      </c>
      <c r="W383" s="21">
        <v>0</v>
      </c>
      <c r="X383" s="23">
        <v>4</v>
      </c>
      <c r="Y383" s="23">
        <v>4</v>
      </c>
      <c r="Z383" s="25">
        <f t="shared" si="40"/>
        <v>0</v>
      </c>
      <c r="AA383" s="25" t="str">
        <f t="shared" si="41"/>
        <v>是</v>
      </c>
      <c r="AB383" t="s">
        <v>148</v>
      </c>
      <c r="AC383" t="e">
        <f>VLOOKUP(C383,[1]Sheet1!$C:$O,13,FALSE)</f>
        <v>#N/A</v>
      </c>
      <c r="AD383" t="str">
        <f>VLOOKUP($H383,'[3]0509人员排班情况 副本'!$G:$U,12,FALSE)</f>
        <v>孙可君Monica（Kejun Sun）</v>
      </c>
      <c r="AE383" t="str">
        <f>VLOOKUP($H383,'[3]0509人员排班情况 副本'!$G:$U,13,FALSE)</f>
        <v>马聪Cong (Cong Ma)</v>
      </c>
      <c r="AF383" t="str">
        <f>VLOOKUP($H383,'[3]0509人员排班情况 副本'!$G:$U,14,FALSE)</f>
        <v>Minqing (Minqing Xu),罗煜雄 Mike (Yuxiong Luo)</v>
      </c>
      <c r="AG383">
        <f>VLOOKUP($H383,'[3]0509人员排班情况 副本'!$G:$U,15,FALSE)</f>
        <v>0</v>
      </c>
    </row>
    <row r="384" customHeight="1" spans="1:33">
      <c r="A384" t="s">
        <v>202</v>
      </c>
      <c r="B384" t="s">
        <v>1353</v>
      </c>
      <c r="C384" t="s">
        <v>1354</v>
      </c>
      <c r="D384" t="s">
        <v>58</v>
      </c>
      <c r="E384" t="s">
        <v>66</v>
      </c>
      <c r="F384" t="s">
        <v>1051</v>
      </c>
      <c r="H384" t="str">
        <f t="shared" si="35"/>
        <v>MS 中南大区RE 北卡和东南海岸片区RDU01</v>
      </c>
      <c r="I384" t="s">
        <v>406</v>
      </c>
      <c r="J384" t="s">
        <v>221</v>
      </c>
      <c r="K384" s="15">
        <v>0.208333333333333</v>
      </c>
      <c r="L384" s="15" t="s">
        <v>222</v>
      </c>
      <c r="M384" s="15">
        <v>0.25625</v>
      </c>
      <c r="N384" t="s">
        <v>148</v>
      </c>
      <c r="O384" s="20" t="str">
        <f t="shared" si="36"/>
        <v>不正确</v>
      </c>
      <c r="P384" s="21">
        <v>0</v>
      </c>
      <c r="Q384" s="21">
        <v>0</v>
      </c>
      <c r="R384" s="21">
        <v>0</v>
      </c>
      <c r="S384" s="21">
        <f t="shared" si="37"/>
        <v>0</v>
      </c>
      <c r="T384" s="21">
        <f t="shared" si="38"/>
        <v>0</v>
      </c>
      <c r="U384" s="21" t="str">
        <f t="shared" si="39"/>
        <v>否</v>
      </c>
      <c r="V384" s="21">
        <f>VLOOKUP($C384,[4]Sheet1!$B:$AN,39,FALSE)</f>
        <v>0</v>
      </c>
      <c r="W384" s="21">
        <v>0</v>
      </c>
      <c r="X384" s="23">
        <v>2</v>
      </c>
      <c r="Y384" s="23">
        <v>4</v>
      </c>
      <c r="Z384" s="25">
        <f t="shared" si="40"/>
        <v>2</v>
      </c>
      <c r="AA384" s="25" t="str">
        <f t="shared" si="41"/>
        <v>是</v>
      </c>
      <c r="AB384" t="s">
        <v>148</v>
      </c>
      <c r="AC384" t="e">
        <f>VLOOKUP(C384,[1]Sheet1!$C:$O,13,FALSE)</f>
        <v>#N/A</v>
      </c>
      <c r="AD384" t="str">
        <f>VLOOKUP($H384,'[3]0509人员排班情况 副本'!$G:$U,12,FALSE)</f>
        <v>欧阳迎春Flower（Yingchun Ouyang）</v>
      </c>
      <c r="AE384" t="str">
        <f>VLOOKUP($H384,'[3]0509人员排班情况 副本'!$G:$U,13,FALSE)</f>
        <v>杨云飞</v>
      </c>
      <c r="AF384" t="str">
        <f>VLOOKUP($H384,'[3]0509人员排班情况 副本'!$G:$U,14,FALSE)</f>
        <v>张森 (Sen Zhang)</v>
      </c>
      <c r="AG384">
        <f>VLOOKUP($H384,'[3]0509人员排班情况 副本'!$G:$U,15,FALSE)</f>
        <v>0</v>
      </c>
    </row>
    <row r="385" customHeight="1" spans="1:33">
      <c r="A385" t="s">
        <v>202</v>
      </c>
      <c r="B385" t="s">
        <v>1355</v>
      </c>
      <c r="C385" t="s">
        <v>1356</v>
      </c>
      <c r="D385" t="s">
        <v>15</v>
      </c>
      <c r="E385" t="s">
        <v>20</v>
      </c>
      <c r="F385" t="s">
        <v>166</v>
      </c>
      <c r="G385" t="s">
        <v>112</v>
      </c>
      <c r="H385" t="str">
        <f t="shared" si="35"/>
        <v>FL 佛州大区MIA.H综办组</v>
      </c>
      <c r="I385" t="s">
        <v>167</v>
      </c>
      <c r="J385" t="s">
        <v>217</v>
      </c>
      <c r="K385" s="15">
        <v>0.395833333333333</v>
      </c>
      <c r="L385" s="15" t="s">
        <v>218</v>
      </c>
      <c r="M385" s="15"/>
      <c r="N385" t="s">
        <v>148</v>
      </c>
      <c r="O385" s="20" t="s">
        <v>116</v>
      </c>
      <c r="P385" s="21">
        <v>0</v>
      </c>
      <c r="Q385" s="21">
        <v>0</v>
      </c>
      <c r="R385" s="21">
        <v>0</v>
      </c>
      <c r="S385" s="21">
        <f t="shared" si="37"/>
        <v>0</v>
      </c>
      <c r="T385" s="21">
        <f t="shared" si="38"/>
        <v>0</v>
      </c>
      <c r="U385" s="21" t="str">
        <f t="shared" si="39"/>
        <v>否</v>
      </c>
      <c r="V385" s="21">
        <f>VLOOKUP($C385,[4]Sheet1!$B:$AN,39,FALSE)</f>
        <v>0</v>
      </c>
      <c r="W385" s="21">
        <v>0</v>
      </c>
      <c r="X385" s="23">
        <v>0</v>
      </c>
      <c r="Y385" s="23">
        <v>0</v>
      </c>
      <c r="Z385" s="25">
        <f t="shared" si="40"/>
        <v>0</v>
      </c>
      <c r="AA385" s="25" t="str">
        <f t="shared" si="41"/>
        <v>是</v>
      </c>
      <c r="AB385" t="s">
        <v>148</v>
      </c>
      <c r="AC385" t="e">
        <f>VLOOKUP(C385,[1]Sheet1!$C:$O,13,FALSE)</f>
        <v>#N/A</v>
      </c>
      <c r="AD385" t="str">
        <f>VLOOKUP($H385,'[3]0509人员排班情况 副本'!$G:$U,12,FALSE)</f>
        <v>Natalia (Natalia Padilla),孙婕 Jasmine（Sunjie）</v>
      </c>
      <c r="AE385" t="str">
        <f>VLOOKUP($H385,'[3]0509人员排班情况 副本'!$G:$U,13,FALSE)</f>
        <v>贺子强Jeff (Ziqiang He)</v>
      </c>
      <c r="AF385" t="str">
        <f>VLOOKUP($H385,'[3]0509人员排班情况 副本'!$G:$U,14,FALSE)</f>
        <v>Minqing (Minqing Xu),罗煜雄 Mike (Yuxiong Luo)</v>
      </c>
      <c r="AG385">
        <f>VLOOKUP($H385,'[3]0509人员排班情况 副本'!$G:$U,15,FALSE)</f>
        <v>0</v>
      </c>
    </row>
    <row r="386" customHeight="1" spans="1:33">
      <c r="A386" t="s">
        <v>202</v>
      </c>
      <c r="B386" t="s">
        <v>1357</v>
      </c>
      <c r="C386" t="s">
        <v>1358</v>
      </c>
      <c r="D386" t="s">
        <v>15</v>
      </c>
      <c r="E386" t="s">
        <v>22</v>
      </c>
      <c r="F386" t="s">
        <v>811</v>
      </c>
      <c r="H386" t="str">
        <f t="shared" si="35"/>
        <v>FL 佛州大区NF 北佛片区JAX01</v>
      </c>
      <c r="I386" t="s">
        <v>177</v>
      </c>
      <c r="J386" t="s">
        <v>221</v>
      </c>
      <c r="K386" s="15">
        <v>0.208333333333333</v>
      </c>
      <c r="L386" s="15" t="s">
        <v>222</v>
      </c>
      <c r="M386" s="15"/>
      <c r="N386" t="s">
        <v>148</v>
      </c>
      <c r="O386" s="20" t="str">
        <f t="shared" si="36"/>
        <v>不正确</v>
      </c>
      <c r="P386" s="21">
        <v>0</v>
      </c>
      <c r="Q386" s="21">
        <v>0</v>
      </c>
      <c r="R386" s="21">
        <v>0</v>
      </c>
      <c r="S386" s="21">
        <f t="shared" si="37"/>
        <v>0</v>
      </c>
      <c r="T386" s="21">
        <f t="shared" si="38"/>
        <v>0</v>
      </c>
      <c r="U386" s="21" t="str">
        <f t="shared" si="39"/>
        <v>否</v>
      </c>
      <c r="V386" s="21">
        <f>VLOOKUP($C386,[4]Sheet1!$B:$AN,39,FALSE)</f>
        <v>0</v>
      </c>
      <c r="W386" s="21">
        <v>0</v>
      </c>
      <c r="X386" s="23">
        <v>0</v>
      </c>
      <c r="Y386" s="23">
        <v>4</v>
      </c>
      <c r="Z386" s="25">
        <f t="shared" si="40"/>
        <v>4</v>
      </c>
      <c r="AA386" s="25" t="str">
        <f t="shared" si="41"/>
        <v>是</v>
      </c>
      <c r="AB386" t="s">
        <v>148</v>
      </c>
      <c r="AC386" t="e">
        <f>VLOOKUP(C386,[1]Sheet1!$C:$O,13,FALSE)</f>
        <v>#N/A</v>
      </c>
      <c r="AD386" t="str">
        <f>VLOOKUP($H386,'[3]0509人员排班情况 副本'!$G:$U,12,FALSE)</f>
        <v>Natalia (Natalia Padilla),孙婕 Jasmine（Sunjie）</v>
      </c>
      <c r="AE386" t="str">
        <f>VLOOKUP($H386,'[3]0509人员排班情况 副本'!$G:$U,13,FALSE)</f>
        <v>贺子强Jeff (Ziqiang He)</v>
      </c>
      <c r="AF386" t="str">
        <f>VLOOKUP($H386,'[3]0509人员排班情况 副本'!$G:$U,14,FALSE)</f>
        <v>黄燕娜 Nana (Yanna Huang)</v>
      </c>
      <c r="AG386">
        <f>VLOOKUP($H386,'[3]0509人员排班情况 副本'!$G:$U,15,FALSE)</f>
        <v>0</v>
      </c>
    </row>
    <row r="387" customHeight="1" spans="1:33">
      <c r="A387" t="s">
        <v>202</v>
      </c>
      <c r="B387" t="s">
        <v>1359</v>
      </c>
      <c r="C387" t="s">
        <v>1360</v>
      </c>
      <c r="D387" t="s">
        <v>48</v>
      </c>
      <c r="E387" t="s">
        <v>51</v>
      </c>
      <c r="F387" t="s">
        <v>839</v>
      </c>
      <c r="H387" t="str">
        <f t="shared" si="35"/>
        <v>Ground项目部OG 美西区运营支持组</v>
      </c>
      <c r="I387" t="s">
        <v>326</v>
      </c>
      <c r="J387" t="s">
        <v>236</v>
      </c>
      <c r="K387" s="15">
        <v>0.395833333333333</v>
      </c>
      <c r="L387" s="15" t="s">
        <v>218</v>
      </c>
      <c r="M387" s="15">
        <v>0.473611111111111</v>
      </c>
      <c r="N387" t="s">
        <v>1361</v>
      </c>
      <c r="O387" s="20" t="str">
        <f t="shared" si="36"/>
        <v>不正确</v>
      </c>
      <c r="P387" s="21">
        <v>0</v>
      </c>
      <c r="Q387" s="21">
        <v>8.42</v>
      </c>
      <c r="R387" s="21">
        <v>0</v>
      </c>
      <c r="S387" s="21">
        <f t="shared" si="37"/>
        <v>8.42</v>
      </c>
      <c r="T387" s="21">
        <f t="shared" si="38"/>
        <v>0.42</v>
      </c>
      <c r="U387" s="21" t="str">
        <f t="shared" si="39"/>
        <v>是</v>
      </c>
      <c r="V387" s="21">
        <f>VLOOKUP($C387,[4]Sheet1!$B:$AN,39,FALSE)</f>
        <v>16.47</v>
      </c>
      <c r="W387" s="21">
        <v>0</v>
      </c>
      <c r="X387" s="23">
        <v>3</v>
      </c>
      <c r="Y387" s="23">
        <v>4</v>
      </c>
      <c r="Z387" s="25">
        <f t="shared" si="40"/>
        <v>1</v>
      </c>
      <c r="AA387" s="25" t="str">
        <f t="shared" si="41"/>
        <v>是</v>
      </c>
      <c r="AB387" t="s">
        <v>148</v>
      </c>
      <c r="AC387" t="e">
        <f>VLOOKUP(C387,[1]Sheet1!$C:$O,13,FALSE)</f>
        <v>#N/A</v>
      </c>
      <c r="AD387" t="str">
        <f>VLOOKUP($H387,'[3]0509人员排班情况 副本'!$G:$U,12,FALSE)</f>
        <v>王安琪 (Anqi Wang),张朱同 Thomson（Zhutong Zhang）</v>
      </c>
      <c r="AE387" t="str">
        <f>VLOOKUP($H387,'[3]0509人员排班情况 副本'!$G:$U,13,FALSE)</f>
        <v>陈锦昭</v>
      </c>
      <c r="AF387">
        <f>VLOOKUP($H387,'[3]0509人员排班情况 副本'!$G:$U,14,FALSE)</f>
        <v>0</v>
      </c>
      <c r="AG387">
        <f>VLOOKUP($H387,'[3]0509人员排班情况 副本'!$G:$U,15,FALSE)</f>
        <v>0</v>
      </c>
    </row>
    <row r="388" customHeight="1" spans="1:33">
      <c r="A388" t="s">
        <v>202</v>
      </c>
      <c r="B388" t="s">
        <v>1362</v>
      </c>
      <c r="C388" t="s">
        <v>1363</v>
      </c>
      <c r="D388" t="s">
        <v>31</v>
      </c>
      <c r="E388" t="s">
        <v>41</v>
      </c>
      <c r="F388" t="s">
        <v>210</v>
      </c>
      <c r="G388" t="s">
        <v>112</v>
      </c>
      <c r="H388" t="str">
        <f t="shared" ref="H388:H451" si="42">D388&amp;E388&amp;F388</f>
        <v>GL 大湖大区ORD.H操作组</v>
      </c>
      <c r="I388" t="s">
        <v>156</v>
      </c>
      <c r="J388" t="s">
        <v>655</v>
      </c>
      <c r="K388" s="15">
        <v>0.583333333333333</v>
      </c>
      <c r="L388" s="15" t="s">
        <v>656</v>
      </c>
      <c r="M388" s="15">
        <v>0.527083333333333</v>
      </c>
      <c r="N388" t="s">
        <v>656</v>
      </c>
      <c r="O388" s="20" t="str">
        <f t="shared" ref="O388:O451" si="43">IFERROR(IF(ABS(M388-K388)&lt;=1/24,"正确","不正确"),"/")</f>
        <v>不正确</v>
      </c>
      <c r="P388" s="21">
        <v>0</v>
      </c>
      <c r="Q388" s="21">
        <v>9.35</v>
      </c>
      <c r="R388" s="21">
        <v>0</v>
      </c>
      <c r="S388" s="21">
        <f t="shared" ref="S388:S451" si="44">Q388+R388</f>
        <v>9.35</v>
      </c>
      <c r="T388" s="21">
        <f t="shared" ref="T388:T451" si="45">IF(S388-8&gt;0,S388-8,0)</f>
        <v>1.35</v>
      </c>
      <c r="U388" s="21" t="str">
        <f t="shared" ref="U388:U451" si="46">IF(T388=0,"否","是")</f>
        <v>是</v>
      </c>
      <c r="V388" s="21">
        <f>VLOOKUP($C388,[4]Sheet1!$B:$AN,39,FALSE)</f>
        <v>19.3</v>
      </c>
      <c r="W388" s="21">
        <v>19.15</v>
      </c>
      <c r="X388" s="23">
        <v>3</v>
      </c>
      <c r="Y388" s="23">
        <v>4</v>
      </c>
      <c r="Z388" s="25">
        <f t="shared" ref="Z388:Z451" si="47">IF(Y388-X388&gt;=0,Y388-X388,0)</f>
        <v>1</v>
      </c>
      <c r="AA388" s="25" t="str">
        <f t="shared" ref="AA388:AA451" si="48">IF(J388="","否","是")</f>
        <v>是</v>
      </c>
      <c r="AB388" t="s">
        <v>148</v>
      </c>
      <c r="AC388" t="e">
        <f>VLOOKUP(C388,[1]Sheet1!$C:$O,13,FALSE)</f>
        <v>#N/A</v>
      </c>
      <c r="AD388" t="str">
        <f>VLOOKUP($H388,'[3]0509人员排班情况 副本'!$G:$U,12,FALSE)</f>
        <v>王晓丹 Jasmine（Xiaodan Wang）,周延舒Isabel（Yanshu Zhou）</v>
      </c>
      <c r="AE388" t="str">
        <f>VLOOKUP($H388,'[3]0509人员排班情况 副本'!$G:$U,13,FALSE)</f>
        <v>张骥Ji Zhang (Ji Zhang)</v>
      </c>
      <c r="AF388" t="str">
        <f>VLOOKUP($H388,'[3]0509人员排班情况 副本'!$G:$U,14,FALSE)</f>
        <v>Minqing (Minqing Xu),罗煜雄 Mike (Yuxiong Luo)</v>
      </c>
      <c r="AG388">
        <f>VLOOKUP($H388,'[3]0509人员排班情况 副本'!$G:$U,15,FALSE)</f>
        <v>0</v>
      </c>
    </row>
    <row r="389" customHeight="1" spans="1:33">
      <c r="A389" t="s">
        <v>202</v>
      </c>
      <c r="B389" t="s">
        <v>1364</v>
      </c>
      <c r="C389" t="s">
        <v>1365</v>
      </c>
      <c r="D389" t="s">
        <v>8</v>
      </c>
      <c r="E389" t="s">
        <v>1366</v>
      </c>
      <c r="F389" t="s">
        <v>148</v>
      </c>
      <c r="H389" t="str">
        <f t="shared" si="42"/>
        <v>AD 行政部美西组</v>
      </c>
      <c r="I389" t="s">
        <v>1208</v>
      </c>
      <c r="J389" t="s">
        <v>236</v>
      </c>
      <c r="K389" s="15">
        <v>0.395833333333333</v>
      </c>
      <c r="L389" s="15" t="s">
        <v>218</v>
      </c>
      <c r="M389" s="15">
        <v>0.409027777777778</v>
      </c>
      <c r="N389" t="s">
        <v>1367</v>
      </c>
      <c r="O389" s="20" t="str">
        <f t="shared" si="43"/>
        <v>正确</v>
      </c>
      <c r="P389" s="21">
        <v>0</v>
      </c>
      <c r="Q389" s="21">
        <v>8.02</v>
      </c>
      <c r="R389" s="21">
        <v>0</v>
      </c>
      <c r="S389" s="21">
        <f t="shared" si="44"/>
        <v>8.02</v>
      </c>
      <c r="T389" s="21">
        <f t="shared" si="45"/>
        <v>0.0199999999999996</v>
      </c>
      <c r="U389" s="21" t="str">
        <f t="shared" si="46"/>
        <v>是</v>
      </c>
      <c r="V389" s="21">
        <f>VLOOKUP($C389,[4]Sheet1!$B:$AN,39,FALSE)</f>
        <v>15.8</v>
      </c>
      <c r="W389" s="21">
        <v>0</v>
      </c>
      <c r="X389" s="23">
        <v>2</v>
      </c>
      <c r="Y389" s="23">
        <v>4</v>
      </c>
      <c r="Z389" s="25">
        <f t="shared" si="47"/>
        <v>2</v>
      </c>
      <c r="AA389" s="25" t="str">
        <f t="shared" si="48"/>
        <v>是</v>
      </c>
      <c r="AB389" t="s">
        <v>148</v>
      </c>
      <c r="AC389" t="e">
        <f>VLOOKUP(C389,[1]Sheet1!$C:$O,13,FALSE)</f>
        <v>#N/A</v>
      </c>
      <c r="AD389" t="str">
        <f>VLOOKUP($H389,'[3]0509人员排班情况 副本'!$G:$U,12,FALSE)</f>
        <v>袁博闻(Bowen Yuan)</v>
      </c>
      <c r="AE389">
        <f>VLOOKUP($H389,'[3]0509人员排班情况 副本'!$G:$U,13,FALSE)</f>
        <v>0</v>
      </c>
      <c r="AF389">
        <f>VLOOKUP($H389,'[3]0509人员排班情况 副本'!$G:$U,14,FALSE)</f>
        <v>0</v>
      </c>
      <c r="AG389">
        <f>VLOOKUP($H389,'[3]0509人员排班情况 副本'!$G:$U,15,FALSE)</f>
        <v>0</v>
      </c>
    </row>
    <row r="390" customHeight="1" spans="1:33">
      <c r="A390" t="s">
        <v>202</v>
      </c>
      <c r="B390" t="s">
        <v>1368</v>
      </c>
      <c r="C390" t="s">
        <v>1369</v>
      </c>
      <c r="D390" t="s">
        <v>48</v>
      </c>
      <c r="E390" t="s">
        <v>50</v>
      </c>
      <c r="F390" t="s">
        <v>194</v>
      </c>
      <c r="H390" t="str">
        <f t="shared" si="42"/>
        <v>Ground项目部OG 美南区AT303</v>
      </c>
      <c r="I390" t="s">
        <v>687</v>
      </c>
      <c r="J390" t="s">
        <v>217</v>
      </c>
      <c r="K390" s="15">
        <v>0.395833333333333</v>
      </c>
      <c r="L390" s="15" t="s">
        <v>218</v>
      </c>
      <c r="M390" s="15"/>
      <c r="N390" t="s">
        <v>148</v>
      </c>
      <c r="O390" s="20" t="s">
        <v>116</v>
      </c>
      <c r="P390" s="21">
        <v>0</v>
      </c>
      <c r="Q390" s="21">
        <v>0</v>
      </c>
      <c r="R390" s="21">
        <v>0</v>
      </c>
      <c r="S390" s="21">
        <f t="shared" si="44"/>
        <v>0</v>
      </c>
      <c r="T390" s="21">
        <f t="shared" si="45"/>
        <v>0</v>
      </c>
      <c r="U390" s="21" t="str">
        <f t="shared" si="46"/>
        <v>否</v>
      </c>
      <c r="V390" s="21">
        <f>VLOOKUP($C390,[4]Sheet1!$B:$AN,39,FALSE)</f>
        <v>5.25</v>
      </c>
      <c r="W390" s="21">
        <v>0</v>
      </c>
      <c r="X390" s="23">
        <v>0</v>
      </c>
      <c r="Y390" s="23">
        <v>0</v>
      </c>
      <c r="Z390" s="25">
        <f t="shared" si="47"/>
        <v>0</v>
      </c>
      <c r="AA390" s="25" t="str">
        <f t="shared" si="48"/>
        <v>是</v>
      </c>
      <c r="AB390" t="s">
        <v>148</v>
      </c>
      <c r="AC390" t="e">
        <f>VLOOKUP(C390,[1]Sheet1!$C:$O,13,FALSE)</f>
        <v>#N/A</v>
      </c>
      <c r="AD390" t="str">
        <f>VLOOKUP($H390,'[3]0509人员排班情况 副本'!$G:$U,12,FALSE)</f>
        <v>王安琪 (Anqi Wang),张朱同 Thomson（Zhutong Zhang）</v>
      </c>
      <c r="AE390" t="str">
        <f>VLOOKUP($H390,'[3]0509人员排班情况 副本'!$G:$U,13,FALSE)</f>
        <v>陈锦昭</v>
      </c>
      <c r="AF390" t="str">
        <f>VLOOKUP($H390,'[3]0509人员排班情况 副本'!$G:$U,14,FALSE)</f>
        <v>金筱燕Sharon（Xiaoyan Jin）</v>
      </c>
      <c r="AG390">
        <f>VLOOKUP($H390,'[3]0509人员排班情况 副本'!$G:$U,15,FALSE)</f>
        <v>0</v>
      </c>
    </row>
    <row r="391" customHeight="1" spans="1:33">
      <c r="A391" t="s">
        <v>202</v>
      </c>
      <c r="B391" t="s">
        <v>1370</v>
      </c>
      <c r="C391" t="s">
        <v>1371</v>
      </c>
      <c r="D391" t="s">
        <v>68</v>
      </c>
      <c r="E391" t="s">
        <v>72</v>
      </c>
      <c r="F391" t="s">
        <v>148</v>
      </c>
      <c r="H391" t="str">
        <f t="shared" si="42"/>
        <v>NE 东北大区BUF01</v>
      </c>
      <c r="I391" t="s">
        <v>177</v>
      </c>
      <c r="J391" t="s">
        <v>343</v>
      </c>
      <c r="K391" s="15">
        <v>0.25</v>
      </c>
      <c r="L391" s="15" t="s">
        <v>344</v>
      </c>
      <c r="M391" s="15"/>
      <c r="N391" t="s">
        <v>148</v>
      </c>
      <c r="O391" s="20" t="str">
        <f t="shared" si="43"/>
        <v>不正确</v>
      </c>
      <c r="P391" s="21">
        <v>0</v>
      </c>
      <c r="Q391" s="21">
        <v>0</v>
      </c>
      <c r="R391" s="21">
        <v>0</v>
      </c>
      <c r="S391" s="21">
        <f t="shared" si="44"/>
        <v>0</v>
      </c>
      <c r="T391" s="21">
        <f t="shared" si="45"/>
        <v>0</v>
      </c>
      <c r="U391" s="21" t="str">
        <f t="shared" si="46"/>
        <v>否</v>
      </c>
      <c r="V391" s="21">
        <f>VLOOKUP($C391,[4]Sheet1!$B:$AN,39,FALSE)</f>
        <v>0</v>
      </c>
      <c r="W391" s="21">
        <v>0</v>
      </c>
      <c r="X391" s="23">
        <v>0</v>
      </c>
      <c r="Y391" s="23">
        <v>0</v>
      </c>
      <c r="Z391" s="25">
        <f t="shared" si="47"/>
        <v>0</v>
      </c>
      <c r="AA391" s="25" t="str">
        <f t="shared" si="48"/>
        <v>是</v>
      </c>
      <c r="AB391" t="s">
        <v>1372</v>
      </c>
      <c r="AC391" t="e">
        <f>VLOOKUP(C391,[1]Sheet1!$C:$O,13,FALSE)</f>
        <v>#N/A</v>
      </c>
      <c r="AD391" t="str">
        <f>VLOOKUP($H391,'[3]0509人员排班情况 副本'!$G:$U,12,FALSE)</f>
        <v>孙可君Monica（Kejun Sun）</v>
      </c>
      <c r="AE391" t="str">
        <f>VLOOKUP($H391,'[3]0509人员排班情况 副本'!$G:$U,13,FALSE)</f>
        <v>马聪Cong (Cong Ma)</v>
      </c>
      <c r="AF391">
        <f>VLOOKUP($H391,'[3]0509人员排班情况 副本'!$G:$U,14,FALSE)</f>
        <v>0</v>
      </c>
      <c r="AG391">
        <f>VLOOKUP($H391,'[3]0509人员排班情况 副本'!$G:$U,15,FALSE)</f>
        <v>0</v>
      </c>
    </row>
    <row r="392" customHeight="1" spans="1:33">
      <c r="A392" t="s">
        <v>202</v>
      </c>
      <c r="B392" t="s">
        <v>1373</v>
      </c>
      <c r="C392" t="s">
        <v>1374</v>
      </c>
      <c r="D392" t="s">
        <v>100</v>
      </c>
      <c r="E392" t="s">
        <v>101</v>
      </c>
      <c r="F392" t="s">
        <v>166</v>
      </c>
      <c r="G392" t="s">
        <v>112</v>
      </c>
      <c r="H392" t="str">
        <f t="shared" si="42"/>
        <v>WE 美西大区CNO.H综办组</v>
      </c>
      <c r="I392" t="s">
        <v>167</v>
      </c>
      <c r="J392" t="s">
        <v>295</v>
      </c>
      <c r="K392" s="15">
        <v>0.375</v>
      </c>
      <c r="L392" s="15" t="s">
        <v>296</v>
      </c>
      <c r="M392" s="15">
        <v>0.378472222222222</v>
      </c>
      <c r="N392" t="s">
        <v>1314</v>
      </c>
      <c r="O392" s="20" t="str">
        <f t="shared" si="43"/>
        <v>正确</v>
      </c>
      <c r="P392" s="21">
        <v>0</v>
      </c>
      <c r="Q392" s="21">
        <v>9.95</v>
      </c>
      <c r="R392" s="21">
        <v>0</v>
      </c>
      <c r="S392" s="21">
        <f t="shared" si="44"/>
        <v>9.95</v>
      </c>
      <c r="T392" s="21">
        <f t="shared" si="45"/>
        <v>1.95</v>
      </c>
      <c r="U392" s="21" t="str">
        <f t="shared" si="46"/>
        <v>是</v>
      </c>
      <c r="V392" s="21">
        <f>VLOOKUP($C392,[4]Sheet1!$B:$AN,39,FALSE)</f>
        <v>19.57</v>
      </c>
      <c r="W392" s="21">
        <v>0</v>
      </c>
      <c r="X392" s="23">
        <v>4</v>
      </c>
      <c r="Y392" s="23">
        <v>4</v>
      </c>
      <c r="Z392" s="25">
        <f t="shared" si="47"/>
        <v>0</v>
      </c>
      <c r="AA392" s="25" t="str">
        <f t="shared" si="48"/>
        <v>是</v>
      </c>
      <c r="AB392" t="s">
        <v>148</v>
      </c>
      <c r="AC392" t="e">
        <f>VLOOKUP(C392,[1]Sheet1!$C:$O,13,FALSE)</f>
        <v>#N/A</v>
      </c>
      <c r="AD392" t="str">
        <f>VLOOKUP($H392,'[3]0509人员排班情况 副本'!$G:$U,12,FALSE)</f>
        <v>王骞Ariel（Qian Wang）,叶秀芳Freya (Xiufang Ye)</v>
      </c>
      <c r="AE392" t="str">
        <f>VLOOKUP($H392,'[3]0509人员排班情况 副本'!$G:$U,13,FALSE)</f>
        <v>常哲</v>
      </c>
      <c r="AF392" t="str">
        <f>VLOOKUP($H392,'[3]0509人员排班情况 副本'!$G:$U,14,FALSE)</f>
        <v>Minqing (Minqing Xu),罗煜雄 Mike (Yuxiong Luo)</v>
      </c>
      <c r="AG392">
        <f>VLOOKUP($H392,'[3]0509人员排班情况 副本'!$G:$U,15,FALSE)</f>
        <v>0</v>
      </c>
    </row>
    <row r="393" customHeight="1" spans="1:33">
      <c r="A393" t="s">
        <v>202</v>
      </c>
      <c r="B393" t="s">
        <v>1375</v>
      </c>
      <c r="C393" t="s">
        <v>1376</v>
      </c>
      <c r="D393" t="s">
        <v>48</v>
      </c>
      <c r="E393" t="s">
        <v>51</v>
      </c>
      <c r="F393" t="s">
        <v>772</v>
      </c>
      <c r="H393" t="str">
        <f t="shared" si="42"/>
        <v>Ground项目部OG 美西区LA917</v>
      </c>
      <c r="I393" t="s">
        <v>1377</v>
      </c>
      <c r="J393" t="s">
        <v>295</v>
      </c>
      <c r="K393" s="15">
        <v>0.375</v>
      </c>
      <c r="L393" s="15" t="s">
        <v>296</v>
      </c>
      <c r="M393" s="15"/>
      <c r="N393" t="s">
        <v>148</v>
      </c>
      <c r="O393" s="20" t="str">
        <f t="shared" si="43"/>
        <v>不正确</v>
      </c>
      <c r="P393" s="21">
        <v>0</v>
      </c>
      <c r="Q393" s="21">
        <v>0</v>
      </c>
      <c r="R393" s="21">
        <v>0</v>
      </c>
      <c r="S393" s="21">
        <f t="shared" si="44"/>
        <v>0</v>
      </c>
      <c r="T393" s="21">
        <f t="shared" si="45"/>
        <v>0</v>
      </c>
      <c r="U393" s="21" t="str">
        <f t="shared" si="46"/>
        <v>否</v>
      </c>
      <c r="V393" s="21">
        <f>VLOOKUP($C393,[4]Sheet1!$B:$AN,39,FALSE)</f>
        <v>0</v>
      </c>
      <c r="W393" s="21">
        <v>0</v>
      </c>
      <c r="X393" s="23">
        <v>0</v>
      </c>
      <c r="Y393" s="23">
        <v>4</v>
      </c>
      <c r="Z393" s="25">
        <f t="shared" si="47"/>
        <v>4</v>
      </c>
      <c r="AA393" s="25" t="str">
        <f t="shared" si="48"/>
        <v>是</v>
      </c>
      <c r="AB393" t="s">
        <v>148</v>
      </c>
      <c r="AC393" t="e">
        <f>VLOOKUP(C393,[1]Sheet1!$C:$O,13,FALSE)</f>
        <v>#N/A</v>
      </c>
      <c r="AD393" t="str">
        <f>VLOOKUP($H393,'[3]0509人员排班情况 副本'!$G:$U,12,FALSE)</f>
        <v>王安琪 (Anqi Wang),张朱同 Thomson（Zhutong Zhang）</v>
      </c>
      <c r="AE393" t="str">
        <f>VLOOKUP($H393,'[3]0509人员排班情况 副本'!$G:$U,13,FALSE)</f>
        <v>陈锦昭</v>
      </c>
      <c r="AF393" t="str">
        <f>VLOOKUP($H393,'[3]0509人员排班情况 副本'!$G:$U,14,FALSE)</f>
        <v>宋佳牧 Dorian (Jiamu Song)</v>
      </c>
      <c r="AG393">
        <f>VLOOKUP($H393,'[3]0509人员排班情况 副本'!$G:$U,15,FALSE)</f>
        <v>0</v>
      </c>
    </row>
    <row r="394" customHeight="1" spans="1:33">
      <c r="A394" t="s">
        <v>202</v>
      </c>
      <c r="B394" t="s">
        <v>1378</v>
      </c>
      <c r="C394" t="s">
        <v>1379</v>
      </c>
      <c r="D394" t="s">
        <v>100</v>
      </c>
      <c r="E394" t="s">
        <v>101</v>
      </c>
      <c r="F394" t="s">
        <v>148</v>
      </c>
      <c r="G394" t="s">
        <v>112</v>
      </c>
      <c r="H394" t="str">
        <f t="shared" si="42"/>
        <v>WE 美西大区CNO.H</v>
      </c>
      <c r="I394" t="s">
        <v>965</v>
      </c>
      <c r="J394" t="s">
        <v>407</v>
      </c>
      <c r="K394" s="15">
        <v>0.354166666666667</v>
      </c>
      <c r="L394" s="15" t="s">
        <v>254</v>
      </c>
      <c r="M394" s="15"/>
      <c r="N394" t="s">
        <v>1380</v>
      </c>
      <c r="O394" s="20" t="str">
        <f t="shared" si="43"/>
        <v>不正确</v>
      </c>
      <c r="P394" s="21">
        <v>0</v>
      </c>
      <c r="Q394" s="21">
        <v>0</v>
      </c>
      <c r="R394" s="21">
        <v>0</v>
      </c>
      <c r="S394" s="21">
        <f t="shared" si="44"/>
        <v>0</v>
      </c>
      <c r="T394" s="21">
        <f t="shared" si="45"/>
        <v>0</v>
      </c>
      <c r="U394" s="21" t="str">
        <f t="shared" si="46"/>
        <v>否</v>
      </c>
      <c r="V394" s="21">
        <f>VLOOKUP($C394,[4]Sheet1!$B:$AN,39,FALSE)</f>
        <v>0</v>
      </c>
      <c r="W394" s="21">
        <v>0</v>
      </c>
      <c r="X394" s="23">
        <v>2</v>
      </c>
      <c r="Y394" s="23">
        <v>4</v>
      </c>
      <c r="Z394" s="25">
        <f t="shared" si="47"/>
        <v>2</v>
      </c>
      <c r="AA394" s="25" t="str">
        <f t="shared" si="48"/>
        <v>是</v>
      </c>
      <c r="AB394" t="s">
        <v>148</v>
      </c>
      <c r="AC394" t="e">
        <f>VLOOKUP(C394,[1]Sheet1!$C:$O,13,FALSE)</f>
        <v>#N/A</v>
      </c>
      <c r="AD394" t="str">
        <f>VLOOKUP($H394,'[3]0509人员排班情况 副本'!$G:$U,12,FALSE)</f>
        <v>王骞Ariel（Qian Wang）,叶秀芳Freya (Xiufang Ye)</v>
      </c>
      <c r="AE394" t="str">
        <f>VLOOKUP($H394,'[3]0509人员排班情况 副本'!$G:$U,13,FALSE)</f>
        <v>常哲</v>
      </c>
      <c r="AF394">
        <f>VLOOKUP($H394,'[3]0509人员排班情况 副本'!$G:$U,14,FALSE)</f>
        <v>0</v>
      </c>
      <c r="AG394">
        <f>VLOOKUP($H394,'[3]0509人员排班情况 副本'!$G:$U,15,FALSE)</f>
        <v>0</v>
      </c>
    </row>
    <row r="395" customHeight="1" spans="1:33">
      <c r="A395" t="s">
        <v>202</v>
      </c>
      <c r="B395" t="s">
        <v>1381</v>
      </c>
      <c r="C395" t="s">
        <v>1382</v>
      </c>
      <c r="D395" t="s">
        <v>100</v>
      </c>
      <c r="E395" t="s">
        <v>44</v>
      </c>
      <c r="F395" t="s">
        <v>148</v>
      </c>
      <c r="H395" t="str">
        <f t="shared" si="42"/>
        <v>WE 美西大区车辆管理部</v>
      </c>
      <c r="I395" t="s">
        <v>769</v>
      </c>
      <c r="J395" t="s">
        <v>236</v>
      </c>
      <c r="K395" s="15">
        <v>0.395833333333333</v>
      </c>
      <c r="L395" s="15" t="s">
        <v>218</v>
      </c>
      <c r="M395" s="15">
        <v>0.4</v>
      </c>
      <c r="N395" t="s">
        <v>951</v>
      </c>
      <c r="O395" s="20" t="str">
        <f t="shared" si="43"/>
        <v>正确</v>
      </c>
      <c r="P395" s="21">
        <v>0</v>
      </c>
      <c r="Q395" s="21">
        <v>10.13</v>
      </c>
      <c r="R395" s="21">
        <v>0</v>
      </c>
      <c r="S395" s="21">
        <f t="shared" si="44"/>
        <v>10.13</v>
      </c>
      <c r="T395" s="21">
        <f t="shared" si="45"/>
        <v>2.13</v>
      </c>
      <c r="U395" s="21" t="str">
        <f t="shared" si="46"/>
        <v>是</v>
      </c>
      <c r="V395" s="21">
        <f>VLOOKUP($C395,[4]Sheet1!$B:$AN,39,FALSE)</f>
        <v>22.25</v>
      </c>
      <c r="W395" s="21">
        <v>0</v>
      </c>
      <c r="X395" s="23">
        <v>2</v>
      </c>
      <c r="Y395" s="23">
        <v>4</v>
      </c>
      <c r="Z395" s="25">
        <f t="shared" si="47"/>
        <v>2</v>
      </c>
      <c r="AA395" s="25" t="str">
        <f t="shared" si="48"/>
        <v>是</v>
      </c>
      <c r="AB395" t="s">
        <v>148</v>
      </c>
      <c r="AC395" t="e">
        <f>VLOOKUP(C395,[1]Sheet1!$C:$O,13,FALSE)</f>
        <v>#N/A</v>
      </c>
      <c r="AD395" t="str">
        <f>VLOOKUP($H395,'[3]0509人员排班情况 副本'!$G:$U,12,FALSE)</f>
        <v>王骞Ariel（Qian Wang）,叶秀芳Freya (Xiufang Ye)</v>
      </c>
      <c r="AE395" t="str">
        <f>VLOOKUP($H395,'[3]0509人员排班情况 副本'!$G:$U,13,FALSE)</f>
        <v>常哲</v>
      </c>
      <c r="AF395">
        <f>VLOOKUP($H395,'[3]0509人员排班情况 副本'!$G:$U,14,FALSE)</f>
        <v>0</v>
      </c>
      <c r="AG395">
        <f>VLOOKUP($H395,'[3]0509人员排班情况 副本'!$G:$U,15,FALSE)</f>
        <v>0</v>
      </c>
    </row>
    <row r="396" customHeight="1" spans="1:33">
      <c r="A396" t="s">
        <v>202</v>
      </c>
      <c r="B396" t="s">
        <v>1383</v>
      </c>
      <c r="C396" t="s">
        <v>1384</v>
      </c>
      <c r="D396" t="s">
        <v>100</v>
      </c>
      <c r="E396" t="s">
        <v>103</v>
      </c>
      <c r="F396" t="s">
        <v>210</v>
      </c>
      <c r="G396" t="s">
        <v>112</v>
      </c>
      <c r="H396" t="str">
        <f t="shared" si="42"/>
        <v>WE 美西大区LAV.H操作组</v>
      </c>
      <c r="I396" t="s">
        <v>281</v>
      </c>
      <c r="J396" t="s">
        <v>655</v>
      </c>
      <c r="K396" s="15">
        <v>0.583333333333333</v>
      </c>
      <c r="L396" s="15" t="s">
        <v>656</v>
      </c>
      <c r="M396" s="15">
        <v>0.605555555555556</v>
      </c>
      <c r="N396" t="s">
        <v>148</v>
      </c>
      <c r="O396" s="20" t="str">
        <f t="shared" si="43"/>
        <v>正确</v>
      </c>
      <c r="P396" s="21">
        <v>0</v>
      </c>
      <c r="Q396" s="21">
        <v>0</v>
      </c>
      <c r="R396" s="21">
        <v>0</v>
      </c>
      <c r="S396" s="21">
        <f t="shared" si="44"/>
        <v>0</v>
      </c>
      <c r="T396" s="21">
        <f t="shared" si="45"/>
        <v>0</v>
      </c>
      <c r="U396" s="21" t="str">
        <f t="shared" si="46"/>
        <v>否</v>
      </c>
      <c r="V396" s="21">
        <f>VLOOKUP($C396,[4]Sheet1!$B:$AN,39,FALSE)</f>
        <v>12.32</v>
      </c>
      <c r="W396" s="21">
        <v>0</v>
      </c>
      <c r="X396" s="23">
        <v>3</v>
      </c>
      <c r="Y396" s="23">
        <v>4</v>
      </c>
      <c r="Z396" s="25">
        <f t="shared" si="47"/>
        <v>1</v>
      </c>
      <c r="AA396" s="25" t="str">
        <f t="shared" si="48"/>
        <v>是</v>
      </c>
      <c r="AB396" t="s">
        <v>148</v>
      </c>
      <c r="AC396" t="e">
        <f>VLOOKUP(C396,[1]Sheet1!$C:$O,13,FALSE)</f>
        <v>#N/A</v>
      </c>
      <c r="AD396" t="str">
        <f>VLOOKUP($H396,'[3]0509人员排班情况 副本'!$G:$U,12,FALSE)</f>
        <v>王骞Ariel（Qian Wang）,叶秀芳Freya (Xiufang Ye)</v>
      </c>
      <c r="AE396" t="str">
        <f>VLOOKUP($H396,'[3]0509人员排班情况 副本'!$G:$U,13,FALSE)</f>
        <v>常哲</v>
      </c>
      <c r="AF396" t="str">
        <f>VLOOKUP($H396,'[3]0509人员排班情况 副本'!$G:$U,14,FALSE)</f>
        <v>Minqing (Minqing Xu),罗煜雄 Mike (Yuxiong Luo)</v>
      </c>
      <c r="AG396">
        <f>VLOOKUP($H396,'[3]0509人员排班情况 副本'!$G:$U,15,FALSE)</f>
        <v>0</v>
      </c>
    </row>
    <row r="397" customHeight="1" spans="1:33">
      <c r="A397" t="s">
        <v>202</v>
      </c>
      <c r="B397" t="s">
        <v>1385</v>
      </c>
      <c r="C397" t="s">
        <v>1386</v>
      </c>
      <c r="D397" t="s">
        <v>58</v>
      </c>
      <c r="E397" t="s">
        <v>61</v>
      </c>
      <c r="F397" t="s">
        <v>166</v>
      </c>
      <c r="G397" t="s">
        <v>112</v>
      </c>
      <c r="H397" t="str">
        <f t="shared" si="42"/>
        <v>MS 中南大区ATL.H综办组</v>
      </c>
      <c r="I397" t="s">
        <v>167</v>
      </c>
      <c r="J397" t="s">
        <v>746</v>
      </c>
      <c r="K397" s="15">
        <v>0.4375</v>
      </c>
      <c r="L397" s="15" t="s">
        <v>491</v>
      </c>
      <c r="M397" s="15">
        <v>0.442361111111111</v>
      </c>
      <c r="N397" t="s">
        <v>1387</v>
      </c>
      <c r="O397" s="20" t="str">
        <f t="shared" si="43"/>
        <v>正确</v>
      </c>
      <c r="P397" s="21">
        <v>0</v>
      </c>
      <c r="Q397" s="21">
        <v>8.68</v>
      </c>
      <c r="R397" s="21">
        <v>0</v>
      </c>
      <c r="S397" s="21">
        <f t="shared" si="44"/>
        <v>8.68</v>
      </c>
      <c r="T397" s="21">
        <f t="shared" si="45"/>
        <v>0.68</v>
      </c>
      <c r="U397" s="21" t="str">
        <f t="shared" si="46"/>
        <v>是</v>
      </c>
      <c r="V397" s="21">
        <f>VLOOKUP($C397,[4]Sheet1!$B:$AN,39,FALSE)</f>
        <v>16.15</v>
      </c>
      <c r="W397" s="21">
        <v>0</v>
      </c>
      <c r="X397" s="23">
        <v>4</v>
      </c>
      <c r="Y397" s="23">
        <v>4</v>
      </c>
      <c r="Z397" s="25">
        <f t="shared" si="47"/>
        <v>0</v>
      </c>
      <c r="AA397" s="25" t="str">
        <f t="shared" si="48"/>
        <v>是</v>
      </c>
      <c r="AB397" t="s">
        <v>148</v>
      </c>
      <c r="AC397" t="e">
        <f>VLOOKUP(C397,[1]Sheet1!$C:$O,13,FALSE)</f>
        <v>#N/A</v>
      </c>
      <c r="AD397" t="str">
        <f>VLOOKUP($H397,'[3]0509人员排班情况 副本'!$G:$U,12,FALSE)</f>
        <v>欧阳迎春Flower（Yingchun Ouyang）</v>
      </c>
      <c r="AE397" t="str">
        <f>VLOOKUP($H397,'[3]0509人员排班情况 副本'!$G:$U,13,FALSE)</f>
        <v>杨云飞</v>
      </c>
      <c r="AF397" t="str">
        <f>VLOOKUP($H397,'[3]0509人员排班情况 副本'!$G:$U,14,FALSE)</f>
        <v>Minqing (Minqing Xu),罗煜雄 Mike (Yuxiong Luo),明杰麟Jennie (Jielin Ming)</v>
      </c>
      <c r="AG397" t="str">
        <f>VLOOKUP($H397,'[3]0509人员排班情况 副本'!$G:$U,15,FALSE)</f>
        <v>文艳平</v>
      </c>
    </row>
    <row r="398" customHeight="1" spans="1:33">
      <c r="A398" t="s">
        <v>202</v>
      </c>
      <c r="B398" t="s">
        <v>1388</v>
      </c>
      <c r="C398" t="s">
        <v>1389</v>
      </c>
      <c r="D398" t="s">
        <v>31</v>
      </c>
      <c r="E398" t="s">
        <v>41</v>
      </c>
      <c r="F398" t="s">
        <v>312</v>
      </c>
      <c r="G398" t="s">
        <v>112</v>
      </c>
      <c r="H398" t="str">
        <f t="shared" si="42"/>
        <v>GL 大湖大区ORD.H异常处理组</v>
      </c>
      <c r="I398" t="s">
        <v>313</v>
      </c>
      <c r="J398" t="s">
        <v>295</v>
      </c>
      <c r="K398" s="15">
        <v>0.375</v>
      </c>
      <c r="L398" s="15" t="s">
        <v>296</v>
      </c>
      <c r="M398" s="15">
        <v>0.361805555555556</v>
      </c>
      <c r="N398" t="s">
        <v>1390</v>
      </c>
      <c r="O398" s="20" t="str">
        <f t="shared" si="43"/>
        <v>正确</v>
      </c>
      <c r="P398" s="21">
        <v>0</v>
      </c>
      <c r="Q398" s="21">
        <v>8.4</v>
      </c>
      <c r="R398" s="21">
        <v>0</v>
      </c>
      <c r="S398" s="21">
        <f t="shared" si="44"/>
        <v>8.4</v>
      </c>
      <c r="T398" s="21">
        <f t="shared" si="45"/>
        <v>0.4</v>
      </c>
      <c r="U398" s="21" t="str">
        <f t="shared" si="46"/>
        <v>是</v>
      </c>
      <c r="V398" s="21">
        <f>VLOOKUP($C398,[4]Sheet1!$B:$AN,39,FALSE)</f>
        <v>8.4</v>
      </c>
      <c r="W398" s="21">
        <v>0</v>
      </c>
      <c r="X398" s="23">
        <v>4</v>
      </c>
      <c r="Y398" s="23">
        <v>4</v>
      </c>
      <c r="Z398" s="25">
        <f t="shared" si="47"/>
        <v>0</v>
      </c>
      <c r="AA398" s="25" t="str">
        <f t="shared" si="48"/>
        <v>是</v>
      </c>
      <c r="AB398" t="s">
        <v>148</v>
      </c>
      <c r="AC398" t="e">
        <f>VLOOKUP(C398,[1]Sheet1!$C:$O,13,FALSE)</f>
        <v>#N/A</v>
      </c>
      <c r="AD398" t="str">
        <f>VLOOKUP($H398,'[3]0509人员排班情况 副本'!$G:$U,12,FALSE)</f>
        <v>王晓丹 Jasmine（Xiaodan Wang）,周延舒Isabel（Yanshu Zhou）</v>
      </c>
      <c r="AE398" t="str">
        <f>VLOOKUP($H398,'[3]0509人员排班情况 副本'!$G:$U,13,FALSE)</f>
        <v>张骥Ji Zhang (Ji Zhang)</v>
      </c>
      <c r="AF398" t="str">
        <f>VLOOKUP($H398,'[3]0509人员排班情况 副本'!$G:$U,14,FALSE)</f>
        <v>Minqing (Minqing Xu),罗煜雄 Mike (Yuxiong Luo)</v>
      </c>
      <c r="AG398">
        <f>VLOOKUP($H398,'[3]0509人员排班情况 副本'!$G:$U,15,FALSE)</f>
        <v>0</v>
      </c>
    </row>
    <row r="399" customHeight="1" spans="1:33">
      <c r="A399" t="s">
        <v>202</v>
      </c>
      <c r="B399" t="s">
        <v>1391</v>
      </c>
      <c r="C399" t="s">
        <v>1392</v>
      </c>
      <c r="D399" t="s">
        <v>88</v>
      </c>
      <c r="E399" t="s">
        <v>631</v>
      </c>
      <c r="F399" t="s">
        <v>148</v>
      </c>
      <c r="H399" t="str">
        <f t="shared" si="42"/>
        <v>OM 操作管理部实施运营组</v>
      </c>
      <c r="I399" t="s">
        <v>1294</v>
      </c>
      <c r="J399" t="s">
        <v>236</v>
      </c>
      <c r="K399" s="15">
        <v>0.395833333333333</v>
      </c>
      <c r="L399" s="15" t="s">
        <v>218</v>
      </c>
      <c r="M399" s="15"/>
      <c r="N399" t="s">
        <v>148</v>
      </c>
      <c r="O399" s="20" t="str">
        <f t="shared" si="43"/>
        <v>不正确</v>
      </c>
      <c r="P399" s="21">
        <v>0</v>
      </c>
      <c r="Q399" s="21">
        <v>0</v>
      </c>
      <c r="R399" s="21">
        <v>0</v>
      </c>
      <c r="S399" s="21">
        <f t="shared" si="44"/>
        <v>0</v>
      </c>
      <c r="T399" s="21">
        <f t="shared" si="45"/>
        <v>0</v>
      </c>
      <c r="U399" s="21" t="str">
        <f t="shared" si="46"/>
        <v>否</v>
      </c>
      <c r="V399" s="21">
        <f>VLOOKUP($C399,[4]Sheet1!$B:$AN,39,FALSE)</f>
        <v>0</v>
      </c>
      <c r="W399" s="21">
        <v>0</v>
      </c>
      <c r="X399" s="23">
        <v>0</v>
      </c>
      <c r="Y399" s="23">
        <v>4</v>
      </c>
      <c r="Z399" s="25">
        <f t="shared" si="47"/>
        <v>4</v>
      </c>
      <c r="AA399" s="25" t="str">
        <f t="shared" si="48"/>
        <v>是</v>
      </c>
      <c r="AB399" t="s">
        <v>148</v>
      </c>
      <c r="AC399" t="e">
        <f>VLOOKUP(C399,[1]Sheet1!$C:$O,13,FALSE)</f>
        <v>#N/A</v>
      </c>
      <c r="AD399" t="str">
        <f>VLOOKUP($H399,'[3]0509人员排班情况 副本'!$G:$U,12,FALSE)</f>
        <v>袁博闻(Bowen Yuan)</v>
      </c>
      <c r="AE399">
        <f>VLOOKUP($H399,'[3]0509人员排班情况 副本'!$G:$U,13,FALSE)</f>
        <v>0</v>
      </c>
      <c r="AF399">
        <f>VLOOKUP($H399,'[3]0509人员排班情况 副本'!$G:$U,14,FALSE)</f>
        <v>0</v>
      </c>
      <c r="AG399">
        <f>VLOOKUP($H399,'[3]0509人员排班情况 副本'!$G:$U,15,FALSE)</f>
        <v>0</v>
      </c>
    </row>
    <row r="400" customHeight="1" spans="1:33">
      <c r="A400" t="s">
        <v>202</v>
      </c>
      <c r="B400" t="s">
        <v>1393</v>
      </c>
      <c r="C400" t="s">
        <v>1394</v>
      </c>
      <c r="D400" t="s">
        <v>92</v>
      </c>
      <c r="E400" t="s">
        <v>95</v>
      </c>
      <c r="F400" t="s">
        <v>1395</v>
      </c>
      <c r="H400" t="str">
        <f t="shared" si="42"/>
        <v>TX 德州大区GC 墨湾片区JAN01</v>
      </c>
      <c r="I400" t="s">
        <v>177</v>
      </c>
      <c r="J400" t="s">
        <v>437</v>
      </c>
      <c r="K400" s="15">
        <v>0.229166666666667</v>
      </c>
      <c r="L400" s="15" t="s">
        <v>438</v>
      </c>
      <c r="M400" s="15"/>
      <c r="N400" t="s">
        <v>148</v>
      </c>
      <c r="O400" s="20" t="str">
        <f t="shared" si="43"/>
        <v>不正确</v>
      </c>
      <c r="P400" s="21">
        <v>0</v>
      </c>
      <c r="Q400" s="21">
        <v>0</v>
      </c>
      <c r="R400" s="21">
        <v>0</v>
      </c>
      <c r="S400" s="21">
        <f t="shared" si="44"/>
        <v>0</v>
      </c>
      <c r="T400" s="21">
        <f t="shared" si="45"/>
        <v>0</v>
      </c>
      <c r="U400" s="21" t="str">
        <f t="shared" si="46"/>
        <v>否</v>
      </c>
      <c r="V400" s="21">
        <f>VLOOKUP($C400,[4]Sheet1!$B:$AN,39,FALSE)</f>
        <v>0</v>
      </c>
      <c r="W400" s="21">
        <v>0</v>
      </c>
      <c r="X400" s="23">
        <v>0</v>
      </c>
      <c r="Y400" s="23">
        <v>4</v>
      </c>
      <c r="Z400" s="25">
        <f t="shared" si="47"/>
        <v>4</v>
      </c>
      <c r="AA400" s="25" t="str">
        <f t="shared" si="48"/>
        <v>是</v>
      </c>
      <c r="AB400" t="s">
        <v>148</v>
      </c>
      <c r="AC400" t="e">
        <f>VLOOKUP(C400,[1]Sheet1!$C:$O,13,FALSE)</f>
        <v>#N/A</v>
      </c>
      <c r="AD400" t="str">
        <f>VLOOKUP($H400,'[3]0509人员排班情况 副本'!$G:$U,12,FALSE)</f>
        <v>肖芦莉Lily (Luli Xiao)</v>
      </c>
      <c r="AE400" t="str">
        <f>VLOOKUP($H400,'[3]0509人员排班情况 副本'!$G:$U,13,FALSE)</f>
        <v>张骥Ji Zhang (Ji Zhang)</v>
      </c>
      <c r="AF400" t="str">
        <f>VLOOKUP($H400,'[3]0509人员排班情况 副本'!$G:$U,14,FALSE)</f>
        <v>金磊Brian（LEI JIN）</v>
      </c>
      <c r="AG400">
        <f>VLOOKUP($H400,'[3]0509人员排班情况 副本'!$G:$U,15,FALSE)</f>
        <v>0</v>
      </c>
    </row>
    <row r="401" customHeight="1" spans="1:33">
      <c r="A401" t="s">
        <v>202</v>
      </c>
      <c r="B401" t="s">
        <v>1396</v>
      </c>
      <c r="C401" t="s">
        <v>1397</v>
      </c>
      <c r="D401" t="s">
        <v>100</v>
      </c>
      <c r="E401" t="s">
        <v>106</v>
      </c>
      <c r="F401" t="s">
        <v>1398</v>
      </c>
      <c r="H401" t="str">
        <f t="shared" si="42"/>
        <v>WE 美西大区SC 南加片区HNL01</v>
      </c>
      <c r="I401" t="s">
        <v>177</v>
      </c>
      <c r="J401" t="s">
        <v>217</v>
      </c>
      <c r="K401" s="15">
        <v>0.395833333333333</v>
      </c>
      <c r="L401" s="15" t="s">
        <v>218</v>
      </c>
      <c r="M401" s="15"/>
      <c r="N401" t="s">
        <v>148</v>
      </c>
      <c r="O401" s="20" t="s">
        <v>116</v>
      </c>
      <c r="P401" s="21">
        <v>0</v>
      </c>
      <c r="Q401" s="21">
        <v>0</v>
      </c>
      <c r="R401" s="21">
        <v>0</v>
      </c>
      <c r="S401" s="21">
        <f t="shared" si="44"/>
        <v>0</v>
      </c>
      <c r="T401" s="21">
        <f t="shared" si="45"/>
        <v>0</v>
      </c>
      <c r="U401" s="21" t="str">
        <f t="shared" si="46"/>
        <v>否</v>
      </c>
      <c r="V401" s="21">
        <f>VLOOKUP($C401,[4]Sheet1!$B:$AN,39,FALSE)</f>
        <v>0</v>
      </c>
      <c r="W401" s="21">
        <v>0</v>
      </c>
      <c r="X401" s="23">
        <v>0</v>
      </c>
      <c r="Y401" s="23">
        <v>0</v>
      </c>
      <c r="Z401" s="25">
        <f t="shared" si="47"/>
        <v>0</v>
      </c>
      <c r="AA401" s="25" t="str">
        <f t="shared" si="48"/>
        <v>是</v>
      </c>
      <c r="AB401" t="s">
        <v>148</v>
      </c>
      <c r="AC401" t="e">
        <f>VLOOKUP(C401,[1]Sheet1!$C:$O,13,FALSE)</f>
        <v>#N/A</v>
      </c>
      <c r="AD401" t="str">
        <f>VLOOKUP($H401,'[3]0509人员排班情况 副本'!$G:$U,12,FALSE)</f>
        <v>王骞Ariel（Qian Wang）,叶秀芳Freya (Xiufang Ye)</v>
      </c>
      <c r="AE401" t="str">
        <f>VLOOKUP($H401,'[3]0509人员排班情况 副本'!$G:$U,13,FALSE)</f>
        <v>常哲</v>
      </c>
      <c r="AF401" t="str">
        <f>VLOOKUP($H401,'[3]0509人员排班情况 副本'!$G:$U,14,FALSE)</f>
        <v>尤梦楠Yuko（Mengnan You）</v>
      </c>
      <c r="AG401">
        <f>VLOOKUP($H401,'[3]0509人员排班情况 副本'!$G:$U,15,FALSE)</f>
        <v>0</v>
      </c>
    </row>
    <row r="402" customHeight="1" spans="1:33">
      <c r="A402" t="s">
        <v>202</v>
      </c>
      <c r="B402" t="s">
        <v>1399</v>
      </c>
      <c r="C402" t="s">
        <v>1400</v>
      </c>
      <c r="D402" t="s">
        <v>100</v>
      </c>
      <c r="E402" t="s">
        <v>107</v>
      </c>
      <c r="F402" t="s">
        <v>1006</v>
      </c>
      <c r="H402" t="str">
        <f t="shared" si="42"/>
        <v>WE 美西大区SP 西雅图·波特兰片区SEA.H</v>
      </c>
      <c r="I402" t="s">
        <v>167</v>
      </c>
      <c r="J402" t="s">
        <v>533</v>
      </c>
      <c r="K402" s="15">
        <v>0.604166666666667</v>
      </c>
      <c r="L402" s="15" t="s">
        <v>534</v>
      </c>
      <c r="M402" s="15">
        <v>0.591666666666667</v>
      </c>
      <c r="N402" t="s">
        <v>1401</v>
      </c>
      <c r="O402" s="20" t="str">
        <f t="shared" si="43"/>
        <v>正确</v>
      </c>
      <c r="P402" s="21">
        <v>0</v>
      </c>
      <c r="Q402" s="21">
        <v>5.32</v>
      </c>
      <c r="R402" s="21">
        <v>0</v>
      </c>
      <c r="S402" s="21">
        <f t="shared" si="44"/>
        <v>5.32</v>
      </c>
      <c r="T402" s="21">
        <f t="shared" si="45"/>
        <v>0</v>
      </c>
      <c r="U402" s="21" t="str">
        <f t="shared" si="46"/>
        <v>否</v>
      </c>
      <c r="V402" s="21">
        <f>VLOOKUP($C402,[4]Sheet1!$B:$AN,39,FALSE)</f>
        <v>15.37</v>
      </c>
      <c r="W402" s="21">
        <v>0</v>
      </c>
      <c r="X402" s="23">
        <v>3</v>
      </c>
      <c r="Y402" s="23">
        <v>4</v>
      </c>
      <c r="Z402" s="25">
        <f t="shared" si="47"/>
        <v>1</v>
      </c>
      <c r="AA402" s="25" t="str">
        <f t="shared" si="48"/>
        <v>是</v>
      </c>
      <c r="AB402" t="s">
        <v>148</v>
      </c>
      <c r="AC402" t="e">
        <f>VLOOKUP(C402,[1]Sheet1!$C:$O,13,FALSE)</f>
        <v>#N/A</v>
      </c>
      <c r="AD402" t="str">
        <f>VLOOKUP($H402,'[3]0509人员排班情况 副本'!$G:$U,12,FALSE)</f>
        <v>王骞Ariel（Qian Wang）,叶秀芳Freya (Xiufang Ye)</v>
      </c>
      <c r="AE402" t="str">
        <f>VLOOKUP($H402,'[3]0509人员排班情况 副本'!$G:$U,13,FALSE)</f>
        <v>常哲</v>
      </c>
      <c r="AF402" t="str">
        <f>VLOOKUP($H402,'[3]0509人员排班情况 副本'!$G:$U,14,FALSE)</f>
        <v>尤梦楠Yuko（Mengnan You）</v>
      </c>
      <c r="AG402">
        <f>VLOOKUP($H402,'[3]0509人员排班情况 副本'!$G:$U,15,FALSE)</f>
        <v>0</v>
      </c>
    </row>
    <row r="403" customHeight="1" spans="1:33">
      <c r="A403" t="s">
        <v>202</v>
      </c>
      <c r="B403" t="s">
        <v>1402</v>
      </c>
      <c r="C403" t="s">
        <v>1403</v>
      </c>
      <c r="D403" t="s">
        <v>15</v>
      </c>
      <c r="E403" t="s">
        <v>17</v>
      </c>
      <c r="F403" t="s">
        <v>243</v>
      </c>
      <c r="G403" t="s">
        <v>112</v>
      </c>
      <c r="H403" t="str">
        <f t="shared" si="42"/>
        <v>FL 佛州大区MCO.H调度组</v>
      </c>
      <c r="I403" t="s">
        <v>160</v>
      </c>
      <c r="J403" t="s">
        <v>217</v>
      </c>
      <c r="K403" s="15">
        <v>0.395833333333333</v>
      </c>
      <c r="L403" s="15" t="s">
        <v>218</v>
      </c>
      <c r="M403" s="15"/>
      <c r="N403" t="s">
        <v>148</v>
      </c>
      <c r="O403" s="20" t="s">
        <v>116</v>
      </c>
      <c r="P403" s="21">
        <v>0</v>
      </c>
      <c r="Q403" s="21">
        <v>0</v>
      </c>
      <c r="R403" s="21">
        <v>0</v>
      </c>
      <c r="S403" s="21">
        <f t="shared" si="44"/>
        <v>0</v>
      </c>
      <c r="T403" s="21">
        <f t="shared" si="45"/>
        <v>0</v>
      </c>
      <c r="U403" s="21" t="str">
        <f t="shared" si="46"/>
        <v>否</v>
      </c>
      <c r="V403" s="21">
        <f>VLOOKUP($C403,[4]Sheet1!$B:$AN,39,FALSE)</f>
        <v>11.7</v>
      </c>
      <c r="W403" s="21">
        <v>15.43</v>
      </c>
      <c r="X403" s="23">
        <v>0</v>
      </c>
      <c r="Y403" s="23">
        <v>0</v>
      </c>
      <c r="Z403" s="25">
        <f t="shared" si="47"/>
        <v>0</v>
      </c>
      <c r="AA403" s="25" t="str">
        <f t="shared" si="48"/>
        <v>是</v>
      </c>
      <c r="AB403" t="s">
        <v>148</v>
      </c>
      <c r="AC403" t="e">
        <f>VLOOKUP(C403,[1]Sheet1!$C:$O,13,FALSE)</f>
        <v>#N/A</v>
      </c>
      <c r="AD403" t="str">
        <f>VLOOKUP($H403,'[3]0509人员排班情况 副本'!$G:$U,12,FALSE)</f>
        <v>Natalia (Natalia Padilla),孙婕 Jasmine（Sunjie）</v>
      </c>
      <c r="AE403" t="str">
        <f>VLOOKUP($H403,'[3]0509人员排班情况 副本'!$G:$U,13,FALSE)</f>
        <v>贺子强Jeff (Ziqiang He)</v>
      </c>
      <c r="AF403" t="str">
        <f>VLOOKUP($H403,'[3]0509人员排班情况 副本'!$G:$U,14,FALSE)</f>
        <v>Minqing (Minqing Xu),罗煜雄 Mike (Yuxiong Luo)</v>
      </c>
      <c r="AG403">
        <f>VLOOKUP($H403,'[3]0509人员排班情况 副本'!$G:$U,15,FALSE)</f>
        <v>0</v>
      </c>
    </row>
    <row r="404" customHeight="1" spans="1:33">
      <c r="A404" t="s">
        <v>202</v>
      </c>
      <c r="B404" t="s">
        <v>1404</v>
      </c>
      <c r="C404" t="s">
        <v>1405</v>
      </c>
      <c r="D404" t="s">
        <v>11</v>
      </c>
      <c r="E404" t="s">
        <v>148</v>
      </c>
      <c r="F404" t="s">
        <v>148</v>
      </c>
      <c r="H404" t="str">
        <f t="shared" si="42"/>
        <v>BM 品牌市场部</v>
      </c>
      <c r="I404" t="s">
        <v>1406</v>
      </c>
      <c r="J404" t="s">
        <v>236</v>
      </c>
      <c r="K404" s="15">
        <v>0.395833333333333</v>
      </c>
      <c r="L404" s="15" t="s">
        <v>218</v>
      </c>
      <c r="M404" s="15">
        <v>0.395833333333333</v>
      </c>
      <c r="N404" t="s">
        <v>218</v>
      </c>
      <c r="O404" s="20" t="str">
        <f t="shared" si="43"/>
        <v>正确</v>
      </c>
      <c r="P404" s="21">
        <v>0</v>
      </c>
      <c r="Q404" s="21">
        <v>8</v>
      </c>
      <c r="R404" s="21">
        <v>0</v>
      </c>
      <c r="S404" s="21">
        <f t="shared" si="44"/>
        <v>8</v>
      </c>
      <c r="T404" s="21">
        <f t="shared" si="45"/>
        <v>0</v>
      </c>
      <c r="U404" s="21" t="str">
        <f t="shared" si="46"/>
        <v>否</v>
      </c>
      <c r="V404" s="21">
        <f>VLOOKUP($C404,[4]Sheet1!$B:$AN,39,FALSE)</f>
        <v>16</v>
      </c>
      <c r="W404" s="21">
        <v>24</v>
      </c>
      <c r="X404" s="23">
        <v>2</v>
      </c>
      <c r="Y404" s="23">
        <v>0</v>
      </c>
      <c r="Z404" s="25">
        <f t="shared" si="47"/>
        <v>0</v>
      </c>
      <c r="AA404" s="25" t="str">
        <f t="shared" si="48"/>
        <v>是</v>
      </c>
      <c r="AB404" t="s">
        <v>495</v>
      </c>
      <c r="AC404" t="e">
        <f>VLOOKUP(C404,[1]Sheet1!$C:$O,13,FALSE)</f>
        <v>#N/A</v>
      </c>
      <c r="AD404" t="str">
        <f>VLOOKUP($H404,'[3]0509人员排班情况 副本'!$G:$U,12,FALSE)</f>
        <v>袁博闻(Bowen Yuan)</v>
      </c>
      <c r="AE404">
        <f>VLOOKUP($H404,'[3]0509人员排班情况 副本'!$G:$U,13,FALSE)</f>
        <v>0</v>
      </c>
      <c r="AF404">
        <f>VLOOKUP($H404,'[3]0509人员排班情况 副本'!$G:$U,14,FALSE)</f>
        <v>0</v>
      </c>
      <c r="AG404">
        <f>VLOOKUP($H404,'[3]0509人员排班情况 副本'!$G:$U,15,FALSE)</f>
        <v>0</v>
      </c>
    </row>
    <row r="405" customHeight="1" spans="1:33">
      <c r="A405" t="s">
        <v>202</v>
      </c>
      <c r="B405" t="s">
        <v>1407</v>
      </c>
      <c r="C405" t="s">
        <v>1408</v>
      </c>
      <c r="D405" t="s">
        <v>48</v>
      </c>
      <c r="E405" t="s">
        <v>49</v>
      </c>
      <c r="F405" t="s">
        <v>839</v>
      </c>
      <c r="H405" t="str">
        <f t="shared" si="42"/>
        <v>Ground项目部OG 美东区运营支持组</v>
      </c>
      <c r="I405" t="s">
        <v>326</v>
      </c>
      <c r="J405" t="s">
        <v>211</v>
      </c>
      <c r="K405" s="15">
        <v>0.333333333333333</v>
      </c>
      <c r="L405" s="15" t="s">
        <v>212</v>
      </c>
      <c r="M405" s="15"/>
      <c r="N405" t="s">
        <v>148</v>
      </c>
      <c r="O405" s="20" t="str">
        <f t="shared" si="43"/>
        <v>不正确</v>
      </c>
      <c r="P405" s="21">
        <v>0</v>
      </c>
      <c r="Q405" s="21">
        <v>0</v>
      </c>
      <c r="R405" s="21">
        <v>0</v>
      </c>
      <c r="S405" s="21">
        <f t="shared" si="44"/>
        <v>0</v>
      </c>
      <c r="T405" s="21">
        <f t="shared" si="45"/>
        <v>0</v>
      </c>
      <c r="U405" s="21" t="str">
        <f t="shared" si="46"/>
        <v>否</v>
      </c>
      <c r="V405" s="21">
        <f>VLOOKUP($C405,[4]Sheet1!$B:$AN,39,FALSE)</f>
        <v>0</v>
      </c>
      <c r="W405" s="21">
        <v>0</v>
      </c>
      <c r="X405" s="23">
        <v>0</v>
      </c>
      <c r="Y405" s="23">
        <v>4</v>
      </c>
      <c r="Z405" s="25">
        <f t="shared" si="47"/>
        <v>4</v>
      </c>
      <c r="AA405" s="25" t="str">
        <f t="shared" si="48"/>
        <v>是</v>
      </c>
      <c r="AB405" t="s">
        <v>148</v>
      </c>
      <c r="AC405" t="e">
        <f>VLOOKUP(C405,[1]Sheet1!$C:$O,13,FALSE)</f>
        <v>#N/A</v>
      </c>
      <c r="AD405" t="str">
        <f>VLOOKUP($H405,'[3]0509人员排班情况 副本'!$G:$U,12,FALSE)</f>
        <v>王安琪 (Anqi Wang),张朱同 Thomson（Zhutong Zhang）</v>
      </c>
      <c r="AE405" t="str">
        <f>VLOOKUP($H405,'[3]0509人员排班情况 副本'!$G:$U,13,FALSE)</f>
        <v>陈锦昭</v>
      </c>
      <c r="AF405">
        <f>VLOOKUP($H405,'[3]0509人员排班情况 副本'!$G:$U,14,FALSE)</f>
        <v>0</v>
      </c>
      <c r="AG405">
        <f>VLOOKUP($H405,'[3]0509人员排班情况 副本'!$G:$U,15,FALSE)</f>
        <v>0</v>
      </c>
    </row>
    <row r="406" customHeight="1" spans="1:33">
      <c r="A406" t="s">
        <v>202</v>
      </c>
      <c r="B406" t="s">
        <v>1409</v>
      </c>
      <c r="C406" t="s">
        <v>1410</v>
      </c>
      <c r="D406" t="s">
        <v>88</v>
      </c>
      <c r="E406" t="s">
        <v>631</v>
      </c>
      <c r="F406" t="s">
        <v>148</v>
      </c>
      <c r="H406" t="str">
        <f t="shared" si="42"/>
        <v>OM 操作管理部实施运营组</v>
      </c>
      <c r="I406" t="s">
        <v>1411</v>
      </c>
      <c r="J406" t="s">
        <v>236</v>
      </c>
      <c r="K406" s="15">
        <v>0.395833333333333</v>
      </c>
      <c r="L406" s="15" t="s">
        <v>218</v>
      </c>
      <c r="M406" s="15"/>
      <c r="N406" t="s">
        <v>148</v>
      </c>
      <c r="O406" s="20" t="str">
        <f t="shared" si="43"/>
        <v>不正确</v>
      </c>
      <c r="P406" s="21">
        <v>0</v>
      </c>
      <c r="Q406" s="21">
        <v>0</v>
      </c>
      <c r="R406" s="21">
        <v>0</v>
      </c>
      <c r="S406" s="21">
        <f t="shared" si="44"/>
        <v>0</v>
      </c>
      <c r="T406" s="21">
        <f t="shared" si="45"/>
        <v>0</v>
      </c>
      <c r="U406" s="21" t="str">
        <f t="shared" si="46"/>
        <v>否</v>
      </c>
      <c r="V406" s="21">
        <f>VLOOKUP($C406,[4]Sheet1!$B:$AN,39,FALSE)</f>
        <v>0</v>
      </c>
      <c r="W406" s="21">
        <v>0</v>
      </c>
      <c r="X406" s="23">
        <v>0</v>
      </c>
      <c r="Y406" s="23">
        <v>4</v>
      </c>
      <c r="Z406" s="25">
        <f t="shared" si="47"/>
        <v>4</v>
      </c>
      <c r="AA406" s="25" t="str">
        <f t="shared" si="48"/>
        <v>是</v>
      </c>
      <c r="AB406" t="s">
        <v>148</v>
      </c>
      <c r="AC406" t="e">
        <f>VLOOKUP(C406,[1]Sheet1!$C:$O,13,FALSE)</f>
        <v>#N/A</v>
      </c>
      <c r="AD406" t="str">
        <f>VLOOKUP($H406,'[3]0509人员排班情况 副本'!$G:$U,12,FALSE)</f>
        <v>袁博闻(Bowen Yuan)</v>
      </c>
      <c r="AE406">
        <f>VLOOKUP($H406,'[3]0509人员排班情况 副本'!$G:$U,13,FALSE)</f>
        <v>0</v>
      </c>
      <c r="AF406">
        <f>VLOOKUP($H406,'[3]0509人员排班情况 副本'!$G:$U,14,FALSE)</f>
        <v>0</v>
      </c>
      <c r="AG406">
        <f>VLOOKUP($H406,'[3]0509人员排班情况 副本'!$G:$U,15,FALSE)</f>
        <v>0</v>
      </c>
    </row>
    <row r="407" customHeight="1" spans="1:33">
      <c r="A407" t="s">
        <v>202</v>
      </c>
      <c r="B407" t="s">
        <v>1412</v>
      </c>
      <c r="C407" t="s">
        <v>1413</v>
      </c>
      <c r="D407" t="s">
        <v>68</v>
      </c>
      <c r="E407" t="s">
        <v>44</v>
      </c>
      <c r="F407" t="s">
        <v>148</v>
      </c>
      <c r="H407" t="str">
        <f t="shared" si="42"/>
        <v>NE 东北大区车辆管理部</v>
      </c>
      <c r="I407" t="s">
        <v>968</v>
      </c>
      <c r="J407" t="s">
        <v>295</v>
      </c>
      <c r="K407" s="15">
        <v>0.375</v>
      </c>
      <c r="L407" s="15" t="s">
        <v>296</v>
      </c>
      <c r="M407" s="15">
        <v>0.343055555555556</v>
      </c>
      <c r="N407" t="s">
        <v>1209</v>
      </c>
      <c r="O407" s="20" t="str">
        <f t="shared" si="43"/>
        <v>正确</v>
      </c>
      <c r="P407" s="21">
        <v>0</v>
      </c>
      <c r="Q407" s="21">
        <v>10.48</v>
      </c>
      <c r="R407" s="21">
        <v>0</v>
      </c>
      <c r="S407" s="21">
        <f t="shared" si="44"/>
        <v>10.48</v>
      </c>
      <c r="T407" s="21">
        <f t="shared" si="45"/>
        <v>2.48</v>
      </c>
      <c r="U407" s="21" t="str">
        <f t="shared" si="46"/>
        <v>是</v>
      </c>
      <c r="V407" s="21">
        <f>VLOOKUP($C407,[4]Sheet1!$B:$AN,39,FALSE)</f>
        <v>10.48</v>
      </c>
      <c r="W407" s="21">
        <v>0</v>
      </c>
      <c r="X407" s="23">
        <v>2</v>
      </c>
      <c r="Y407" s="23">
        <v>4</v>
      </c>
      <c r="Z407" s="25">
        <f t="shared" si="47"/>
        <v>2</v>
      </c>
      <c r="AA407" s="25" t="str">
        <f t="shared" si="48"/>
        <v>是</v>
      </c>
      <c r="AB407" t="s">
        <v>148</v>
      </c>
      <c r="AC407" t="e">
        <f>VLOOKUP(C407,[1]Sheet1!$C:$O,13,FALSE)</f>
        <v>#N/A</v>
      </c>
      <c r="AD407" t="str">
        <f>VLOOKUP($H407,'[3]0509人员排班情况 副本'!$G:$U,12,FALSE)</f>
        <v>孙可君Monica（Kejun Sun）</v>
      </c>
      <c r="AE407" t="str">
        <f>VLOOKUP($H407,'[3]0509人员排班情况 副本'!$G:$U,13,FALSE)</f>
        <v>马聪Cong (Cong Ma)</v>
      </c>
      <c r="AF407">
        <f>VLOOKUP($H407,'[3]0509人员排班情况 副本'!$G:$U,14,FALSE)</f>
        <v>0</v>
      </c>
      <c r="AG407">
        <f>VLOOKUP($H407,'[3]0509人员排班情况 副本'!$G:$U,15,FALSE)</f>
        <v>0</v>
      </c>
    </row>
    <row r="408" customHeight="1" spans="1:33">
      <c r="A408" t="s">
        <v>202</v>
      </c>
      <c r="B408" t="s">
        <v>1414</v>
      </c>
      <c r="C408" t="s">
        <v>1415</v>
      </c>
      <c r="D408" t="s">
        <v>68</v>
      </c>
      <c r="E408" t="s">
        <v>44</v>
      </c>
      <c r="F408" t="s">
        <v>148</v>
      </c>
      <c r="H408" t="str">
        <f t="shared" si="42"/>
        <v>NE 东北大区车辆管理部</v>
      </c>
      <c r="I408" t="s">
        <v>968</v>
      </c>
      <c r="J408" t="s">
        <v>295</v>
      </c>
      <c r="K408" s="15">
        <v>0.375</v>
      </c>
      <c r="L408" s="15" t="s">
        <v>296</v>
      </c>
      <c r="M408" s="15">
        <v>0.397916666666667</v>
      </c>
      <c r="N408" t="s">
        <v>1416</v>
      </c>
      <c r="O408" s="20" t="str">
        <f t="shared" si="43"/>
        <v>正确</v>
      </c>
      <c r="P408" s="21">
        <v>0</v>
      </c>
      <c r="Q408" s="21">
        <v>8.9</v>
      </c>
      <c r="R408" s="21">
        <v>0</v>
      </c>
      <c r="S408" s="21">
        <f t="shared" si="44"/>
        <v>8.9</v>
      </c>
      <c r="T408" s="21">
        <f t="shared" si="45"/>
        <v>0.9</v>
      </c>
      <c r="U408" s="21" t="str">
        <f t="shared" si="46"/>
        <v>是</v>
      </c>
      <c r="V408" s="21">
        <f>VLOOKUP($C408,[4]Sheet1!$B:$AN,39,FALSE)</f>
        <v>17.23</v>
      </c>
      <c r="W408" s="21">
        <v>0</v>
      </c>
      <c r="X408" s="23">
        <v>2</v>
      </c>
      <c r="Y408" s="23">
        <v>4</v>
      </c>
      <c r="Z408" s="25">
        <f t="shared" si="47"/>
        <v>2</v>
      </c>
      <c r="AA408" s="25" t="str">
        <f t="shared" si="48"/>
        <v>是</v>
      </c>
      <c r="AB408" t="s">
        <v>148</v>
      </c>
      <c r="AC408" t="e">
        <f>VLOOKUP(C408,[1]Sheet1!$C:$O,13,FALSE)</f>
        <v>#N/A</v>
      </c>
      <c r="AD408" t="str">
        <f>VLOOKUP($H408,'[3]0509人员排班情况 副本'!$G:$U,12,FALSE)</f>
        <v>孙可君Monica（Kejun Sun）</v>
      </c>
      <c r="AE408" t="str">
        <f>VLOOKUP($H408,'[3]0509人员排班情况 副本'!$G:$U,13,FALSE)</f>
        <v>马聪Cong (Cong Ma)</v>
      </c>
      <c r="AF408">
        <f>VLOOKUP($H408,'[3]0509人员排班情况 副本'!$G:$U,14,FALSE)</f>
        <v>0</v>
      </c>
      <c r="AG408">
        <f>VLOOKUP($H408,'[3]0509人员排班情况 副本'!$G:$U,15,FALSE)</f>
        <v>0</v>
      </c>
    </row>
    <row r="409" customHeight="1" spans="1:33">
      <c r="A409" t="s">
        <v>202</v>
      </c>
      <c r="B409" t="s">
        <v>1417</v>
      </c>
      <c r="C409" t="s">
        <v>1418</v>
      </c>
      <c r="D409" t="s">
        <v>100</v>
      </c>
      <c r="E409" t="s">
        <v>103</v>
      </c>
      <c r="F409" t="s">
        <v>243</v>
      </c>
      <c r="G409" t="s">
        <v>112</v>
      </c>
      <c r="H409" t="str">
        <f t="shared" si="42"/>
        <v>WE 美西大区LAV.H调度组</v>
      </c>
      <c r="I409" t="s">
        <v>160</v>
      </c>
      <c r="J409" t="s">
        <v>330</v>
      </c>
      <c r="K409" s="15">
        <v>0.625</v>
      </c>
      <c r="L409" s="15" t="s">
        <v>331</v>
      </c>
      <c r="M409" s="15">
        <v>0.645138888888889</v>
      </c>
      <c r="N409" t="s">
        <v>148</v>
      </c>
      <c r="O409" s="20" t="str">
        <f t="shared" si="43"/>
        <v>正确</v>
      </c>
      <c r="P409" s="21">
        <v>0</v>
      </c>
      <c r="Q409" s="21">
        <v>0</v>
      </c>
      <c r="R409" s="21">
        <v>0</v>
      </c>
      <c r="S409" s="21">
        <f t="shared" si="44"/>
        <v>0</v>
      </c>
      <c r="T409" s="21">
        <f t="shared" si="45"/>
        <v>0</v>
      </c>
      <c r="U409" s="21" t="str">
        <f t="shared" si="46"/>
        <v>否</v>
      </c>
      <c r="V409" s="21">
        <f>VLOOKUP($C409,[4]Sheet1!$B:$AN,39,FALSE)</f>
        <v>0</v>
      </c>
      <c r="W409" s="21">
        <v>0</v>
      </c>
      <c r="X409" s="23">
        <v>3</v>
      </c>
      <c r="Y409" s="23">
        <v>4</v>
      </c>
      <c r="Z409" s="25">
        <f t="shared" si="47"/>
        <v>1</v>
      </c>
      <c r="AA409" s="25" t="str">
        <f t="shared" si="48"/>
        <v>是</v>
      </c>
      <c r="AB409" t="s">
        <v>148</v>
      </c>
      <c r="AC409" t="e">
        <f>VLOOKUP(C409,[1]Sheet1!$C:$O,13,FALSE)</f>
        <v>#N/A</v>
      </c>
      <c r="AD409" t="str">
        <f>VLOOKUP($H409,'[3]0509人员排班情况 副本'!$G:$U,12,FALSE)</f>
        <v>王骞Ariel（Qian Wang）,叶秀芳Freya (Xiufang Ye)</v>
      </c>
      <c r="AE409" t="str">
        <f>VLOOKUP($H409,'[3]0509人员排班情况 副本'!$G:$U,13,FALSE)</f>
        <v>常哲</v>
      </c>
      <c r="AF409" t="str">
        <f>VLOOKUP($H409,'[3]0509人员排班情况 副本'!$G:$U,14,FALSE)</f>
        <v>Minqing (Minqing Xu),罗煜雄 Mike (Yuxiong Luo)</v>
      </c>
      <c r="AG409">
        <f>VLOOKUP($H409,'[3]0509人员排班情况 副本'!$G:$U,15,FALSE)</f>
        <v>0</v>
      </c>
    </row>
    <row r="410" customHeight="1" spans="1:33">
      <c r="A410" t="s">
        <v>202</v>
      </c>
      <c r="B410" t="s">
        <v>1419</v>
      </c>
      <c r="C410" t="s">
        <v>1420</v>
      </c>
      <c r="D410" t="s">
        <v>99</v>
      </c>
      <c r="E410" t="s">
        <v>677</v>
      </c>
      <c r="F410" t="s">
        <v>864</v>
      </c>
      <c r="H410" t="str">
        <f t="shared" si="42"/>
        <v>US人力资源部美洲HRBP组招聘组</v>
      </c>
      <c r="I410" t="s">
        <v>865</v>
      </c>
      <c r="J410" t="s">
        <v>236</v>
      </c>
      <c r="K410" s="15">
        <v>0.395833333333333</v>
      </c>
      <c r="L410" s="15" t="s">
        <v>218</v>
      </c>
      <c r="M410" s="15">
        <v>0.388888888888889</v>
      </c>
      <c r="N410" t="s">
        <v>1421</v>
      </c>
      <c r="O410" s="20" t="str">
        <f t="shared" si="43"/>
        <v>正确</v>
      </c>
      <c r="P410" s="21">
        <v>0</v>
      </c>
      <c r="Q410" s="21">
        <v>8.98</v>
      </c>
      <c r="R410" s="21">
        <v>0</v>
      </c>
      <c r="S410" s="21">
        <f t="shared" si="44"/>
        <v>8.98</v>
      </c>
      <c r="T410" s="21">
        <f t="shared" si="45"/>
        <v>0.98</v>
      </c>
      <c r="U410" s="21" t="str">
        <f t="shared" si="46"/>
        <v>是</v>
      </c>
      <c r="V410" s="21">
        <f>VLOOKUP($C410,[4]Sheet1!$B:$AN,39,FALSE)</f>
        <v>17.36</v>
      </c>
      <c r="W410" s="21">
        <v>0</v>
      </c>
      <c r="X410" s="23">
        <v>4</v>
      </c>
      <c r="Y410" s="23">
        <v>4</v>
      </c>
      <c r="Z410" s="25">
        <f t="shared" si="47"/>
        <v>0</v>
      </c>
      <c r="AA410" s="25" t="str">
        <f t="shared" si="48"/>
        <v>是</v>
      </c>
      <c r="AB410" t="s">
        <v>148</v>
      </c>
      <c r="AC410" t="e">
        <f>VLOOKUP(C410,[1]Sheet1!$C:$O,13,FALSE)</f>
        <v>#N/A</v>
      </c>
      <c r="AD410" t="str">
        <f>VLOOKUP($H410,'[3]0509人员排班情况 副本'!$G:$U,12,FALSE)</f>
        <v>袁博闻(Bowen Yuan)</v>
      </c>
      <c r="AE410">
        <f>VLOOKUP($H410,'[3]0509人员排班情况 副本'!$G:$U,13,FALSE)</f>
        <v>0</v>
      </c>
      <c r="AF410">
        <f>VLOOKUP($H410,'[3]0509人员排班情况 副本'!$G:$U,14,FALSE)</f>
        <v>0</v>
      </c>
      <c r="AG410">
        <f>VLOOKUP($H410,'[3]0509人员排班情况 副本'!$G:$U,15,FALSE)</f>
        <v>0</v>
      </c>
    </row>
    <row r="411" customHeight="1" spans="1:33">
      <c r="A411" t="s">
        <v>202</v>
      </c>
      <c r="B411" t="s">
        <v>1422</v>
      </c>
      <c r="C411" t="s">
        <v>1423</v>
      </c>
      <c r="D411" t="s">
        <v>92</v>
      </c>
      <c r="E411" t="s">
        <v>148</v>
      </c>
      <c r="F411" t="s">
        <v>148</v>
      </c>
      <c r="H411" t="str">
        <f t="shared" si="42"/>
        <v>TX 德州大区</v>
      </c>
      <c r="I411" t="s">
        <v>1424</v>
      </c>
      <c r="J411" t="s">
        <v>249</v>
      </c>
      <c r="K411" s="15">
        <v>0.458333333333333</v>
      </c>
      <c r="L411" s="15" t="s">
        <v>250</v>
      </c>
      <c r="M411" s="15"/>
      <c r="N411" t="s">
        <v>148</v>
      </c>
      <c r="O411" s="20" t="str">
        <f t="shared" si="43"/>
        <v>不正确</v>
      </c>
      <c r="P411" s="21">
        <v>0</v>
      </c>
      <c r="Q411" s="21">
        <v>0</v>
      </c>
      <c r="R411" s="21">
        <v>0</v>
      </c>
      <c r="S411" s="21">
        <f t="shared" si="44"/>
        <v>0</v>
      </c>
      <c r="T411" s="21">
        <f t="shared" si="45"/>
        <v>0</v>
      </c>
      <c r="U411" s="21" t="str">
        <f t="shared" si="46"/>
        <v>否</v>
      </c>
      <c r="V411" s="21">
        <f>VLOOKUP($C411,[4]Sheet1!$B:$AN,39,FALSE)</f>
        <v>0</v>
      </c>
      <c r="W411" s="21">
        <v>0</v>
      </c>
      <c r="X411" s="23">
        <v>0</v>
      </c>
      <c r="Y411" s="23">
        <v>4</v>
      </c>
      <c r="Z411" s="25">
        <f t="shared" si="47"/>
        <v>4</v>
      </c>
      <c r="AA411" s="25" t="str">
        <f t="shared" si="48"/>
        <v>是</v>
      </c>
      <c r="AB411" t="s">
        <v>148</v>
      </c>
      <c r="AC411" t="e">
        <f>VLOOKUP(C411,[1]Sheet1!$C:$O,13,FALSE)</f>
        <v>#N/A</v>
      </c>
      <c r="AD411" t="str">
        <f>VLOOKUP($H411,'[3]0509人员排班情况 副本'!$G:$U,12,FALSE)</f>
        <v>肖芦莉Lily (Luli Xiao)</v>
      </c>
      <c r="AE411" t="str">
        <f>VLOOKUP($H411,'[3]0509人员排班情况 副本'!$G:$U,13,FALSE)</f>
        <v>张骥Ji Zhang (Ji Zhang)</v>
      </c>
      <c r="AF411">
        <f>VLOOKUP($H411,'[3]0509人员排班情况 副本'!$G:$U,14,FALSE)</f>
        <v>0</v>
      </c>
      <c r="AG411">
        <f>VLOOKUP($H411,'[3]0509人员排班情况 副本'!$G:$U,15,FALSE)</f>
        <v>0</v>
      </c>
    </row>
    <row r="412" customHeight="1" spans="1:33">
      <c r="A412" t="s">
        <v>202</v>
      </c>
      <c r="B412" t="s">
        <v>1425</v>
      </c>
      <c r="C412" t="s">
        <v>1426</v>
      </c>
      <c r="D412" t="s">
        <v>15</v>
      </c>
      <c r="E412" t="s">
        <v>24</v>
      </c>
      <c r="F412" t="s">
        <v>21</v>
      </c>
      <c r="H412" t="str">
        <f t="shared" si="42"/>
        <v>FL 佛州大区SF 南佛片区MIA01</v>
      </c>
      <c r="I412" t="s">
        <v>177</v>
      </c>
      <c r="J412" t="s">
        <v>217</v>
      </c>
      <c r="K412" s="15">
        <v>0.395833333333333</v>
      </c>
      <c r="L412" s="15" t="s">
        <v>218</v>
      </c>
      <c r="M412" s="15"/>
      <c r="N412" t="s">
        <v>148</v>
      </c>
      <c r="O412" s="20" t="s">
        <v>116</v>
      </c>
      <c r="P412" s="21">
        <v>0</v>
      </c>
      <c r="Q412" s="21">
        <v>0</v>
      </c>
      <c r="R412" s="21">
        <v>0</v>
      </c>
      <c r="S412" s="21">
        <f t="shared" si="44"/>
        <v>0</v>
      </c>
      <c r="T412" s="21">
        <f t="shared" si="45"/>
        <v>0</v>
      </c>
      <c r="U412" s="21" t="str">
        <f t="shared" si="46"/>
        <v>否</v>
      </c>
      <c r="V412" s="21">
        <f>VLOOKUP($C412,[4]Sheet1!$B:$AN,39,FALSE)</f>
        <v>0</v>
      </c>
      <c r="W412" s="21">
        <v>0</v>
      </c>
      <c r="X412" s="23">
        <v>0</v>
      </c>
      <c r="Y412" s="23">
        <v>0</v>
      </c>
      <c r="Z412" s="25">
        <f t="shared" si="47"/>
        <v>0</v>
      </c>
      <c r="AA412" s="25" t="str">
        <f t="shared" si="48"/>
        <v>是</v>
      </c>
      <c r="AB412" t="s">
        <v>148</v>
      </c>
      <c r="AC412" t="e">
        <f>VLOOKUP(C412,[1]Sheet1!$C:$O,13,FALSE)</f>
        <v>#N/A</v>
      </c>
      <c r="AD412" t="str">
        <f>VLOOKUP($H412,'[3]0509人员排班情况 副本'!$G:$U,12,FALSE)</f>
        <v>Natalia (Natalia Padilla),孙婕 Jasmine（Sunjie）</v>
      </c>
      <c r="AE412" t="str">
        <f>VLOOKUP($H412,'[3]0509人员排班情况 副本'!$G:$U,13,FALSE)</f>
        <v>贺子强Jeff (Ziqiang He)</v>
      </c>
      <c r="AF412" t="str">
        <f>VLOOKUP($H412,'[3]0509人员排班情况 副本'!$G:$U,14,FALSE)</f>
        <v>王航 Hang (Hang Wang)</v>
      </c>
      <c r="AG412">
        <f>VLOOKUP($H412,'[3]0509人员排班情况 副本'!$G:$U,15,FALSE)</f>
        <v>0</v>
      </c>
    </row>
    <row r="413" customHeight="1" spans="1:33">
      <c r="A413" t="s">
        <v>202</v>
      </c>
      <c r="B413" t="s">
        <v>1427</v>
      </c>
      <c r="C413" t="s">
        <v>1428</v>
      </c>
      <c r="D413" t="s">
        <v>68</v>
      </c>
      <c r="E413" t="s">
        <v>81</v>
      </c>
      <c r="F413" t="s">
        <v>506</v>
      </c>
      <c r="H413" t="str">
        <f t="shared" si="42"/>
        <v>NE 东北大区NY 纽约片区BDR01</v>
      </c>
      <c r="I413" t="s">
        <v>177</v>
      </c>
      <c r="J413" t="s">
        <v>437</v>
      </c>
      <c r="K413" s="15">
        <v>0.229166666666667</v>
      </c>
      <c r="L413" s="15" t="s">
        <v>438</v>
      </c>
      <c r="M413" s="15">
        <v>0.185416666666667</v>
      </c>
      <c r="N413" t="s">
        <v>1429</v>
      </c>
      <c r="O413" s="20" t="str">
        <f t="shared" si="43"/>
        <v>不正确</v>
      </c>
      <c r="P413" s="21">
        <v>0</v>
      </c>
      <c r="Q413" s="21">
        <v>8.08</v>
      </c>
      <c r="R413" s="21">
        <v>0</v>
      </c>
      <c r="S413" s="21">
        <f t="shared" si="44"/>
        <v>8.08</v>
      </c>
      <c r="T413" s="21">
        <f t="shared" si="45"/>
        <v>0.0800000000000001</v>
      </c>
      <c r="U413" s="21" t="str">
        <f t="shared" si="46"/>
        <v>是</v>
      </c>
      <c r="V413" s="21">
        <f>VLOOKUP($C413,[4]Sheet1!$B:$AN,39,FALSE)</f>
        <v>16.51</v>
      </c>
      <c r="W413" s="21">
        <v>0</v>
      </c>
      <c r="X413" s="23">
        <v>4</v>
      </c>
      <c r="Y413" s="23">
        <v>4</v>
      </c>
      <c r="Z413" s="25">
        <f t="shared" si="47"/>
        <v>0</v>
      </c>
      <c r="AA413" s="25" t="str">
        <f t="shared" si="48"/>
        <v>是</v>
      </c>
      <c r="AB413" t="s">
        <v>148</v>
      </c>
      <c r="AC413" t="e">
        <f>VLOOKUP(C413,[1]Sheet1!$C:$O,13,FALSE)</f>
        <v>#N/A</v>
      </c>
      <c r="AD413" t="str">
        <f>VLOOKUP($H413,'[3]0509人员排班情况 副本'!$G:$U,12,FALSE)</f>
        <v>孙可君Monica（Kejun Sun）</v>
      </c>
      <c r="AE413" t="str">
        <f>VLOOKUP($H413,'[3]0509人员排班情况 副本'!$G:$U,13,FALSE)</f>
        <v>马聪Cong (Cong Ma)</v>
      </c>
      <c r="AF413" t="str">
        <f>VLOOKUP($H413,'[3]0509人员排班情况 副本'!$G:$U,14,FALSE)</f>
        <v>朱晗宇 Peter (Hanyu Zhu)</v>
      </c>
      <c r="AG413">
        <f>VLOOKUP($H413,'[3]0509人员排班情况 副本'!$G:$U,15,FALSE)</f>
        <v>0</v>
      </c>
    </row>
    <row r="414" customHeight="1" spans="1:33">
      <c r="A414" t="s">
        <v>202</v>
      </c>
      <c r="B414" t="s">
        <v>1430</v>
      </c>
      <c r="C414" t="s">
        <v>1431</v>
      </c>
      <c r="D414" t="s">
        <v>31</v>
      </c>
      <c r="E414" t="s">
        <v>32</v>
      </c>
      <c r="F414" t="s">
        <v>148</v>
      </c>
      <c r="H414" t="str">
        <f t="shared" si="42"/>
        <v>GL 大湖大区CLE01</v>
      </c>
      <c r="I414" t="s">
        <v>177</v>
      </c>
      <c r="J414" t="s">
        <v>343</v>
      </c>
      <c r="K414" s="15">
        <v>0.25</v>
      </c>
      <c r="L414" s="15" t="s">
        <v>344</v>
      </c>
      <c r="M414" s="15">
        <v>0.265972222222222</v>
      </c>
      <c r="N414" t="s">
        <v>1432</v>
      </c>
      <c r="O414" s="20" t="str">
        <f t="shared" si="43"/>
        <v>正确</v>
      </c>
      <c r="P414" s="21">
        <v>1</v>
      </c>
      <c r="Q414" s="21">
        <v>9.78</v>
      </c>
      <c r="R414" s="21">
        <v>1</v>
      </c>
      <c r="S414" s="21">
        <f t="shared" si="44"/>
        <v>10.78</v>
      </c>
      <c r="T414" s="21">
        <f t="shared" si="45"/>
        <v>2.78</v>
      </c>
      <c r="U414" s="21" t="str">
        <f t="shared" si="46"/>
        <v>是</v>
      </c>
      <c r="V414" s="21">
        <f>VLOOKUP($C414,[4]Sheet1!$B:$AN,39,FALSE)</f>
        <v>9.78</v>
      </c>
      <c r="W414" s="21">
        <v>0</v>
      </c>
      <c r="X414" s="23">
        <v>4</v>
      </c>
      <c r="Y414" s="23">
        <v>4</v>
      </c>
      <c r="Z414" s="25">
        <f t="shared" si="47"/>
        <v>0</v>
      </c>
      <c r="AA414" s="25" t="str">
        <f t="shared" si="48"/>
        <v>是</v>
      </c>
      <c r="AB414" t="s">
        <v>1034</v>
      </c>
      <c r="AC414" t="e">
        <f>VLOOKUP(C414,[1]Sheet1!$C:$O,13,FALSE)</f>
        <v>#N/A</v>
      </c>
      <c r="AD414" t="str">
        <f>VLOOKUP($H414,'[3]0509人员排班情况 副本'!$G:$U,12,FALSE)</f>
        <v>王晓丹 Jasmine（Xiaodan Wang）,周延舒Isabel（Yanshu Zhou）</v>
      </c>
      <c r="AE414" t="str">
        <f>VLOOKUP($H414,'[3]0509人员排班情况 副本'!$G:$U,13,FALSE)</f>
        <v>张骥Ji Zhang (Ji Zhang)</v>
      </c>
      <c r="AF414">
        <f>VLOOKUP($H414,'[3]0509人员排班情况 副本'!$G:$U,14,FALSE)</f>
        <v>0</v>
      </c>
      <c r="AG414">
        <f>VLOOKUP($H414,'[3]0509人员排班情况 副本'!$G:$U,15,FALSE)</f>
        <v>0</v>
      </c>
    </row>
    <row r="415" customHeight="1" spans="1:33">
      <c r="A415" t="s">
        <v>202</v>
      </c>
      <c r="B415" t="s">
        <v>1433</v>
      </c>
      <c r="C415" t="s">
        <v>1434</v>
      </c>
      <c r="D415" t="s">
        <v>92</v>
      </c>
      <c r="E415" t="s">
        <v>94</v>
      </c>
      <c r="F415" t="s">
        <v>312</v>
      </c>
      <c r="G415" t="s">
        <v>112</v>
      </c>
      <c r="H415" t="str">
        <f t="shared" si="42"/>
        <v>TX 德州大区DFW.H异常处理组</v>
      </c>
      <c r="I415" t="s">
        <v>313</v>
      </c>
      <c r="J415" t="s">
        <v>295</v>
      </c>
      <c r="K415" s="15">
        <v>0.375</v>
      </c>
      <c r="L415" s="15" t="s">
        <v>296</v>
      </c>
      <c r="M415" s="15">
        <v>0.379166666666667</v>
      </c>
      <c r="N415" t="s">
        <v>1435</v>
      </c>
      <c r="O415" s="20" t="str">
        <f t="shared" si="43"/>
        <v>正确</v>
      </c>
      <c r="P415" s="21">
        <v>0</v>
      </c>
      <c r="Q415" s="21">
        <v>10.02</v>
      </c>
      <c r="R415" s="21">
        <v>0</v>
      </c>
      <c r="S415" s="21">
        <f t="shared" si="44"/>
        <v>10.02</v>
      </c>
      <c r="T415" s="21">
        <f t="shared" si="45"/>
        <v>2.02</v>
      </c>
      <c r="U415" s="21" t="str">
        <f t="shared" si="46"/>
        <v>是</v>
      </c>
      <c r="V415" s="21">
        <f>VLOOKUP($C415,[4]Sheet1!$B:$AN,39,FALSE)</f>
        <v>20.45</v>
      </c>
      <c r="W415" s="21">
        <v>0</v>
      </c>
      <c r="X415" s="23">
        <v>4</v>
      </c>
      <c r="Y415" s="23">
        <v>4</v>
      </c>
      <c r="Z415" s="25">
        <f t="shared" si="47"/>
        <v>0</v>
      </c>
      <c r="AA415" s="25" t="str">
        <f t="shared" si="48"/>
        <v>是</v>
      </c>
      <c r="AB415" t="s">
        <v>148</v>
      </c>
      <c r="AC415" t="e">
        <f>VLOOKUP(C415,[1]Sheet1!$C:$O,13,FALSE)</f>
        <v>#N/A</v>
      </c>
      <c r="AD415" t="str">
        <f>VLOOKUP($H415,'[3]0509人员排班情况 副本'!$G:$U,12,FALSE)</f>
        <v>肖芦莉Lily (Luli Xiao)</v>
      </c>
      <c r="AE415" t="str">
        <f>VLOOKUP($H415,'[3]0509人员排班情况 副本'!$G:$U,13,FALSE)</f>
        <v>张骥Ji Zhang (Ji Zhang)</v>
      </c>
      <c r="AF415" t="str">
        <f>VLOOKUP($H415,'[3]0509人员排班情况 副本'!$G:$U,14,FALSE)</f>
        <v>Minqing (Minqing Xu),罗煜雄 Mike (Yuxiong Luo)</v>
      </c>
      <c r="AG415">
        <f>VLOOKUP($H415,'[3]0509人员排班情况 副本'!$G:$U,15,FALSE)</f>
        <v>0</v>
      </c>
    </row>
    <row r="416" customHeight="1" spans="1:33">
      <c r="A416" t="s">
        <v>202</v>
      </c>
      <c r="B416" t="s">
        <v>1436</v>
      </c>
      <c r="C416" t="s">
        <v>1437</v>
      </c>
      <c r="D416" t="s">
        <v>92</v>
      </c>
      <c r="E416" t="s">
        <v>96</v>
      </c>
      <c r="F416" t="s">
        <v>210</v>
      </c>
      <c r="G416" t="s">
        <v>112</v>
      </c>
      <c r="H416" t="str">
        <f t="shared" si="42"/>
        <v>TX 德州大区IAH.H操作组</v>
      </c>
      <c r="I416" t="s">
        <v>281</v>
      </c>
      <c r="J416" t="s">
        <v>217</v>
      </c>
      <c r="K416" s="15">
        <v>0.395833333333333</v>
      </c>
      <c r="L416" s="15" t="s">
        <v>218</v>
      </c>
      <c r="M416" s="15"/>
      <c r="N416" t="s">
        <v>148</v>
      </c>
      <c r="O416" s="20" t="s">
        <v>116</v>
      </c>
      <c r="P416" s="21">
        <v>0</v>
      </c>
      <c r="Q416" s="21">
        <v>0</v>
      </c>
      <c r="R416" s="21">
        <v>0</v>
      </c>
      <c r="S416" s="21">
        <f t="shared" si="44"/>
        <v>0</v>
      </c>
      <c r="T416" s="21">
        <f t="shared" si="45"/>
        <v>0</v>
      </c>
      <c r="U416" s="21" t="str">
        <f t="shared" si="46"/>
        <v>否</v>
      </c>
      <c r="V416" s="21">
        <f>VLOOKUP($C416,[4]Sheet1!$B:$AN,39,FALSE)</f>
        <v>0</v>
      </c>
      <c r="W416" s="21">
        <v>0</v>
      </c>
      <c r="X416" s="23">
        <v>0</v>
      </c>
      <c r="Y416" s="23">
        <v>0</v>
      </c>
      <c r="Z416" s="25">
        <f t="shared" si="47"/>
        <v>0</v>
      </c>
      <c r="AA416" s="25" t="str">
        <f t="shared" si="48"/>
        <v>是</v>
      </c>
      <c r="AB416" t="s">
        <v>148</v>
      </c>
      <c r="AC416" t="e">
        <f>VLOOKUP(C416,[1]Sheet1!$C:$O,13,FALSE)</f>
        <v>#N/A</v>
      </c>
      <c r="AD416" t="str">
        <f>VLOOKUP($H416,'[3]0509人员排班情况 副本'!$G:$U,12,FALSE)</f>
        <v>肖芦莉Lily (Luli Xiao)</v>
      </c>
      <c r="AE416" t="str">
        <f>VLOOKUP($H416,'[3]0509人员排班情况 副本'!$G:$U,13,FALSE)</f>
        <v>张骥Ji Zhang (Ji Zhang)</v>
      </c>
      <c r="AF416" t="str">
        <f>VLOOKUP($H416,'[3]0509人员排班情况 副本'!$G:$U,14,FALSE)</f>
        <v>Minqing (Minqing Xu),罗煜雄 Mike (Yuxiong Luo)</v>
      </c>
      <c r="AG416">
        <f>VLOOKUP($H416,'[3]0509人员排班情况 副本'!$G:$U,15,FALSE)</f>
        <v>0</v>
      </c>
    </row>
    <row r="417" customHeight="1" spans="1:33">
      <c r="A417" t="s">
        <v>202</v>
      </c>
      <c r="B417" t="s">
        <v>1438</v>
      </c>
      <c r="C417" t="s">
        <v>1439</v>
      </c>
      <c r="D417" t="s">
        <v>92</v>
      </c>
      <c r="E417" t="s">
        <v>95</v>
      </c>
      <c r="F417" t="s">
        <v>798</v>
      </c>
      <c r="H417" t="str">
        <f t="shared" si="42"/>
        <v>TX 德州大区GC 墨湾片区IAH01</v>
      </c>
      <c r="I417" t="s">
        <v>177</v>
      </c>
      <c r="J417" t="s">
        <v>217</v>
      </c>
      <c r="K417" s="15">
        <v>0.395833333333333</v>
      </c>
      <c r="L417" s="15" t="s">
        <v>218</v>
      </c>
      <c r="M417" s="15"/>
      <c r="N417" t="s">
        <v>148</v>
      </c>
      <c r="O417" s="20" t="s">
        <v>116</v>
      </c>
      <c r="P417" s="21">
        <v>0</v>
      </c>
      <c r="Q417" s="21">
        <v>0</v>
      </c>
      <c r="R417" s="21">
        <v>0</v>
      </c>
      <c r="S417" s="21">
        <f t="shared" si="44"/>
        <v>0</v>
      </c>
      <c r="T417" s="21">
        <f t="shared" si="45"/>
        <v>0</v>
      </c>
      <c r="U417" s="21" t="str">
        <f t="shared" si="46"/>
        <v>否</v>
      </c>
      <c r="V417" s="21">
        <f>VLOOKUP($C417,[4]Sheet1!$B:$AN,39,FALSE)</f>
        <v>0</v>
      </c>
      <c r="W417" s="21">
        <v>0</v>
      </c>
      <c r="X417" s="23">
        <v>0</v>
      </c>
      <c r="Y417" s="23">
        <v>0</v>
      </c>
      <c r="Z417" s="25">
        <f t="shared" si="47"/>
        <v>0</v>
      </c>
      <c r="AA417" s="25" t="str">
        <f t="shared" si="48"/>
        <v>是</v>
      </c>
      <c r="AB417" t="s">
        <v>148</v>
      </c>
      <c r="AC417" t="e">
        <f>VLOOKUP(C417,[1]Sheet1!$C:$O,13,FALSE)</f>
        <v>#N/A</v>
      </c>
      <c r="AD417" t="str">
        <f>VLOOKUP($H417,'[3]0509人员排班情况 副本'!$G:$U,12,FALSE)</f>
        <v>肖芦莉Lily (Luli Xiao)</v>
      </c>
      <c r="AE417" t="str">
        <f>VLOOKUP($H417,'[3]0509人员排班情况 副本'!$G:$U,13,FALSE)</f>
        <v>张骥Ji Zhang (Ji Zhang)</v>
      </c>
      <c r="AF417" t="str">
        <f>VLOOKUP($H417,'[3]0509人员排班情况 副本'!$G:$U,14,FALSE)</f>
        <v>金磊Brian（LEI JIN）</v>
      </c>
      <c r="AG417">
        <f>VLOOKUP($H417,'[3]0509人员排班情况 副本'!$G:$U,15,FALSE)</f>
        <v>0</v>
      </c>
    </row>
    <row r="418" customHeight="1" spans="1:33">
      <c r="A418" t="s">
        <v>202</v>
      </c>
      <c r="B418" t="s">
        <v>1440</v>
      </c>
      <c r="C418" t="s">
        <v>1441</v>
      </c>
      <c r="D418" t="s">
        <v>31</v>
      </c>
      <c r="E418" t="s">
        <v>41</v>
      </c>
      <c r="F418" t="s">
        <v>312</v>
      </c>
      <c r="G418" t="s">
        <v>112</v>
      </c>
      <c r="H418" t="str">
        <f t="shared" si="42"/>
        <v>GL 大湖大区ORD.H异常处理组</v>
      </c>
      <c r="I418" t="s">
        <v>778</v>
      </c>
      <c r="J418" t="s">
        <v>295</v>
      </c>
      <c r="K418" s="15">
        <v>0.375</v>
      </c>
      <c r="L418" s="15" t="s">
        <v>296</v>
      </c>
      <c r="M418" s="15">
        <v>0.371527777777778</v>
      </c>
      <c r="N418" t="s">
        <v>1390</v>
      </c>
      <c r="O418" s="20" t="str">
        <f t="shared" si="43"/>
        <v>正确</v>
      </c>
      <c r="P418" s="21">
        <v>0</v>
      </c>
      <c r="Q418" s="21">
        <v>8.17</v>
      </c>
      <c r="R418" s="21">
        <v>0</v>
      </c>
      <c r="S418" s="21">
        <f t="shared" si="44"/>
        <v>8.17</v>
      </c>
      <c r="T418" s="21">
        <f t="shared" si="45"/>
        <v>0.17</v>
      </c>
      <c r="U418" s="21" t="str">
        <f t="shared" si="46"/>
        <v>是</v>
      </c>
      <c r="V418" s="21">
        <f>VLOOKUP($C418,[4]Sheet1!$B:$AN,39,FALSE)</f>
        <v>16.75</v>
      </c>
      <c r="W418" s="21">
        <v>0</v>
      </c>
      <c r="X418" s="23">
        <v>4</v>
      </c>
      <c r="Y418" s="23">
        <v>4</v>
      </c>
      <c r="Z418" s="25">
        <f t="shared" si="47"/>
        <v>0</v>
      </c>
      <c r="AA418" s="25" t="str">
        <f t="shared" si="48"/>
        <v>是</v>
      </c>
      <c r="AB418" t="s">
        <v>148</v>
      </c>
      <c r="AC418" t="e">
        <f>VLOOKUP(C418,[1]Sheet1!$C:$O,13,FALSE)</f>
        <v>#N/A</v>
      </c>
      <c r="AD418" t="str">
        <f>VLOOKUP($H418,'[3]0509人员排班情况 副本'!$G:$U,12,FALSE)</f>
        <v>王晓丹 Jasmine（Xiaodan Wang）,周延舒Isabel（Yanshu Zhou）</v>
      </c>
      <c r="AE418" t="str">
        <f>VLOOKUP($H418,'[3]0509人员排班情况 副本'!$G:$U,13,FALSE)</f>
        <v>张骥Ji Zhang (Ji Zhang)</v>
      </c>
      <c r="AF418" t="str">
        <f>VLOOKUP($H418,'[3]0509人员排班情况 副本'!$G:$U,14,FALSE)</f>
        <v>Minqing (Minqing Xu),罗煜雄 Mike (Yuxiong Luo)</v>
      </c>
      <c r="AG418">
        <f>VLOOKUP($H418,'[3]0509人员排班情况 副本'!$G:$U,15,FALSE)</f>
        <v>0</v>
      </c>
    </row>
    <row r="419" customHeight="1" spans="1:33">
      <c r="A419" t="s">
        <v>202</v>
      </c>
      <c r="B419" t="s">
        <v>1442</v>
      </c>
      <c r="C419" t="s">
        <v>1443</v>
      </c>
      <c r="D419" t="s">
        <v>58</v>
      </c>
      <c r="E419" t="s">
        <v>65</v>
      </c>
      <c r="F419" t="s">
        <v>148</v>
      </c>
      <c r="G419" t="s">
        <v>112</v>
      </c>
      <c r="H419" t="str">
        <f t="shared" si="42"/>
        <v>MS 中南大区PDK.H</v>
      </c>
      <c r="I419" t="s">
        <v>654</v>
      </c>
      <c r="J419" t="s">
        <v>304</v>
      </c>
      <c r="K419" s="15">
        <v>0.666666666666667</v>
      </c>
      <c r="L419" s="15" t="s">
        <v>305</v>
      </c>
      <c r="M419" s="15">
        <v>0.694444444444444</v>
      </c>
      <c r="N419" t="s">
        <v>148</v>
      </c>
      <c r="O419" s="20" t="str">
        <f t="shared" si="43"/>
        <v>正确</v>
      </c>
      <c r="P419" s="21">
        <v>0</v>
      </c>
      <c r="Q419" s="21">
        <v>0</v>
      </c>
      <c r="R419" s="21">
        <v>0</v>
      </c>
      <c r="S419" s="21">
        <f t="shared" si="44"/>
        <v>0</v>
      </c>
      <c r="T419" s="21">
        <f t="shared" si="45"/>
        <v>0</v>
      </c>
      <c r="U419" s="21" t="str">
        <f t="shared" si="46"/>
        <v>否</v>
      </c>
      <c r="V419" s="21">
        <f>VLOOKUP($C419,[4]Sheet1!$B:$AN,39,FALSE)</f>
        <v>0</v>
      </c>
      <c r="W419" s="21">
        <v>0</v>
      </c>
      <c r="X419" s="23">
        <v>1</v>
      </c>
      <c r="Y419" s="23">
        <v>4</v>
      </c>
      <c r="Z419" s="25">
        <f t="shared" si="47"/>
        <v>3</v>
      </c>
      <c r="AA419" s="25" t="str">
        <f t="shared" si="48"/>
        <v>是</v>
      </c>
      <c r="AB419" t="s">
        <v>148</v>
      </c>
      <c r="AC419" t="s">
        <v>1444</v>
      </c>
      <c r="AD419" t="s">
        <v>1445</v>
      </c>
      <c r="AE419" t="s">
        <v>1446</v>
      </c>
      <c r="AF419" t="s">
        <v>1447</v>
      </c>
      <c r="AG419" t="s">
        <v>1448</v>
      </c>
    </row>
    <row r="420" customHeight="1" spans="1:33">
      <c r="A420" t="s">
        <v>202</v>
      </c>
      <c r="B420" t="s">
        <v>1449</v>
      </c>
      <c r="C420" t="s">
        <v>1450</v>
      </c>
      <c r="D420" t="s">
        <v>15</v>
      </c>
      <c r="E420" t="s">
        <v>17</v>
      </c>
      <c r="F420" t="s">
        <v>243</v>
      </c>
      <c r="G420" t="s">
        <v>112</v>
      </c>
      <c r="H420" t="str">
        <f t="shared" si="42"/>
        <v>FL 佛州大区MCO.H调度组</v>
      </c>
      <c r="I420" t="s">
        <v>160</v>
      </c>
      <c r="J420" t="s">
        <v>217</v>
      </c>
      <c r="K420" s="15">
        <v>0.395833333333333</v>
      </c>
      <c r="L420" s="15" t="s">
        <v>218</v>
      </c>
      <c r="M420" s="15"/>
      <c r="N420" t="s">
        <v>148</v>
      </c>
      <c r="O420" s="20" t="s">
        <v>116</v>
      </c>
      <c r="P420" s="21">
        <v>0</v>
      </c>
      <c r="Q420" s="21">
        <v>0</v>
      </c>
      <c r="R420" s="21">
        <v>0</v>
      </c>
      <c r="S420" s="21">
        <f t="shared" si="44"/>
        <v>0</v>
      </c>
      <c r="T420" s="21">
        <f t="shared" si="45"/>
        <v>0</v>
      </c>
      <c r="U420" s="21" t="str">
        <f t="shared" si="46"/>
        <v>否</v>
      </c>
      <c r="V420" s="21">
        <f>VLOOKUP($C420,[4]Sheet1!$B:$AN,39,FALSE)</f>
        <v>0</v>
      </c>
      <c r="W420" s="21">
        <v>0</v>
      </c>
      <c r="X420" s="23">
        <v>0</v>
      </c>
      <c r="Y420" s="23">
        <v>0</v>
      </c>
      <c r="Z420" s="25">
        <f t="shared" si="47"/>
        <v>0</v>
      </c>
      <c r="AA420" s="25" t="str">
        <f t="shared" si="48"/>
        <v>是</v>
      </c>
      <c r="AB420" t="s">
        <v>148</v>
      </c>
      <c r="AC420" t="e">
        <f>VLOOKUP(C420,[1]Sheet1!$C:$O,13,FALSE)</f>
        <v>#N/A</v>
      </c>
      <c r="AD420" t="str">
        <f>VLOOKUP($H420,'[3]0509人员排班情况 副本'!$G:$U,12,FALSE)</f>
        <v>Natalia (Natalia Padilla),孙婕 Jasmine（Sunjie）</v>
      </c>
      <c r="AE420" t="str">
        <f>VLOOKUP($H420,'[3]0509人员排班情况 副本'!$G:$U,13,FALSE)</f>
        <v>贺子强Jeff (Ziqiang He)</v>
      </c>
      <c r="AF420" t="str">
        <f>VLOOKUP($H420,'[3]0509人员排班情况 副本'!$G:$U,14,FALSE)</f>
        <v>Minqing (Minqing Xu),罗煜雄 Mike (Yuxiong Luo)</v>
      </c>
      <c r="AG420">
        <f>VLOOKUP($H420,'[3]0509人员排班情况 副本'!$G:$U,15,FALSE)</f>
        <v>0</v>
      </c>
    </row>
    <row r="421" customHeight="1" spans="1:33">
      <c r="A421" t="s">
        <v>202</v>
      </c>
      <c r="B421" t="s">
        <v>1451</v>
      </c>
      <c r="C421" t="s">
        <v>1452</v>
      </c>
      <c r="D421" t="s">
        <v>68</v>
      </c>
      <c r="E421" t="s">
        <v>29</v>
      </c>
      <c r="F421" t="s">
        <v>200</v>
      </c>
      <c r="H421" t="str">
        <f t="shared" si="42"/>
        <v>NE 东北大区运营支持部区域支持组</v>
      </c>
      <c r="I421" t="s">
        <v>1453</v>
      </c>
      <c r="J421" t="s">
        <v>236</v>
      </c>
      <c r="K421" s="15">
        <v>0.395833333333333</v>
      </c>
      <c r="L421" s="15" t="s">
        <v>218</v>
      </c>
      <c r="M421" s="15">
        <v>0.288888888888889</v>
      </c>
      <c r="N421" t="s">
        <v>530</v>
      </c>
      <c r="O421" s="20" t="str">
        <f t="shared" si="43"/>
        <v>不正确</v>
      </c>
      <c r="P421" s="21">
        <v>0</v>
      </c>
      <c r="Q421" s="21">
        <v>10.7</v>
      </c>
      <c r="R421" s="21">
        <v>0</v>
      </c>
      <c r="S421" s="21">
        <f t="shared" si="44"/>
        <v>10.7</v>
      </c>
      <c r="T421" s="21">
        <f t="shared" si="45"/>
        <v>2.7</v>
      </c>
      <c r="U421" s="21" t="str">
        <f t="shared" si="46"/>
        <v>是</v>
      </c>
      <c r="V421" s="21">
        <f>VLOOKUP($C421,[4]Sheet1!$B:$AN,39,FALSE)</f>
        <v>22.12</v>
      </c>
      <c r="W421" s="21">
        <v>21.15</v>
      </c>
      <c r="X421" s="23">
        <v>2</v>
      </c>
      <c r="Y421" s="23">
        <v>4</v>
      </c>
      <c r="Z421" s="25">
        <f t="shared" si="47"/>
        <v>2</v>
      </c>
      <c r="AA421" s="25" t="str">
        <f t="shared" si="48"/>
        <v>是</v>
      </c>
      <c r="AB421" t="s">
        <v>148</v>
      </c>
      <c r="AC421" t="e">
        <f>VLOOKUP(C421,[1]Sheet1!$C:$O,13,FALSE)</f>
        <v>#N/A</v>
      </c>
      <c r="AD421" t="str">
        <f>VLOOKUP($H421,'[3]0509人员排班情况 副本'!$G:$U,12,FALSE)</f>
        <v>孙可君Monica（Kejun Sun）</v>
      </c>
      <c r="AE421" t="str">
        <f>VLOOKUP($H421,'[3]0509人员排班情况 副本'!$G:$U,13,FALSE)</f>
        <v>马聪Cong (Cong Ma)</v>
      </c>
      <c r="AF421">
        <f>VLOOKUP($H421,'[3]0509人员排班情况 副本'!$G:$U,14,FALSE)</f>
        <v>0</v>
      </c>
      <c r="AG421">
        <f>VLOOKUP($H421,'[3]0509人员排班情况 副本'!$G:$U,15,FALSE)</f>
        <v>0</v>
      </c>
    </row>
    <row r="422" customHeight="1" spans="1:33">
      <c r="A422" t="s">
        <v>202</v>
      </c>
      <c r="B422" t="s">
        <v>1454</v>
      </c>
      <c r="C422" t="s">
        <v>1455</v>
      </c>
      <c r="D422" t="s">
        <v>58</v>
      </c>
      <c r="E422" t="s">
        <v>66</v>
      </c>
      <c r="F422" t="s">
        <v>1051</v>
      </c>
      <c r="H422" t="str">
        <f t="shared" si="42"/>
        <v>MS 中南大区RE 北卡和东南海岸片区RDU01</v>
      </c>
      <c r="I422" t="s">
        <v>177</v>
      </c>
      <c r="J422" t="s">
        <v>221</v>
      </c>
      <c r="K422" s="15">
        <v>0.208333333333333</v>
      </c>
      <c r="L422" s="15" t="s">
        <v>222</v>
      </c>
      <c r="M422" s="15">
        <v>0.206944444444444</v>
      </c>
      <c r="N422" t="s">
        <v>148</v>
      </c>
      <c r="O422" s="20" t="str">
        <f t="shared" si="43"/>
        <v>正确</v>
      </c>
      <c r="P422" s="21">
        <v>0</v>
      </c>
      <c r="Q422" s="21">
        <v>0</v>
      </c>
      <c r="R422" s="21">
        <v>0</v>
      </c>
      <c r="S422" s="21">
        <f t="shared" si="44"/>
        <v>0</v>
      </c>
      <c r="T422" s="21">
        <f t="shared" si="45"/>
        <v>0</v>
      </c>
      <c r="U422" s="21" t="str">
        <f t="shared" si="46"/>
        <v>否</v>
      </c>
      <c r="V422" s="21">
        <f>VLOOKUP($C422,[4]Sheet1!$B:$AN,39,FALSE)</f>
        <v>6</v>
      </c>
      <c r="W422" s="21">
        <v>1.32</v>
      </c>
      <c r="X422" s="23">
        <v>3</v>
      </c>
      <c r="Y422" s="23">
        <v>4</v>
      </c>
      <c r="Z422" s="25">
        <f t="shared" si="47"/>
        <v>1</v>
      </c>
      <c r="AA422" s="25" t="str">
        <f t="shared" si="48"/>
        <v>是</v>
      </c>
      <c r="AB422" t="s">
        <v>148</v>
      </c>
      <c r="AC422" t="e">
        <f>VLOOKUP(C422,[1]Sheet1!$C:$O,13,FALSE)</f>
        <v>#N/A</v>
      </c>
      <c r="AD422" t="str">
        <f>VLOOKUP($H422,'[3]0509人员排班情况 副本'!$G:$U,12,FALSE)</f>
        <v>欧阳迎春Flower（Yingchun Ouyang）</v>
      </c>
      <c r="AE422" t="str">
        <f>VLOOKUP($H422,'[3]0509人员排班情况 副本'!$G:$U,13,FALSE)</f>
        <v>杨云飞</v>
      </c>
      <c r="AF422" t="str">
        <f>VLOOKUP($H422,'[3]0509人员排班情况 副本'!$G:$U,14,FALSE)</f>
        <v>张森 (Sen Zhang)</v>
      </c>
      <c r="AG422">
        <f>VLOOKUP($H422,'[3]0509人员排班情况 副本'!$G:$U,15,FALSE)</f>
        <v>0</v>
      </c>
    </row>
    <row r="423" customHeight="1" spans="1:33">
      <c r="A423" t="s">
        <v>202</v>
      </c>
      <c r="B423" t="s">
        <v>1456</v>
      </c>
      <c r="C423" t="s">
        <v>1457</v>
      </c>
      <c r="D423" t="s">
        <v>58</v>
      </c>
      <c r="E423" t="s">
        <v>61</v>
      </c>
      <c r="F423" t="s">
        <v>210</v>
      </c>
      <c r="G423" t="s">
        <v>112</v>
      </c>
      <c r="H423" t="str">
        <f t="shared" si="42"/>
        <v>MS 中南大区ATL.H操作组</v>
      </c>
      <c r="I423" t="s">
        <v>156</v>
      </c>
      <c r="J423" t="s">
        <v>407</v>
      </c>
      <c r="K423" s="15">
        <v>0.354166666666667</v>
      </c>
      <c r="L423" s="15" t="s">
        <v>254</v>
      </c>
      <c r="M423" s="15">
        <v>0.352777777777778</v>
      </c>
      <c r="N423" t="s">
        <v>1458</v>
      </c>
      <c r="O423" s="20" t="str">
        <f t="shared" si="43"/>
        <v>正确</v>
      </c>
      <c r="P423" s="21">
        <v>0</v>
      </c>
      <c r="Q423" s="21">
        <v>10.67</v>
      </c>
      <c r="R423" s="21">
        <v>0</v>
      </c>
      <c r="S423" s="21">
        <f t="shared" si="44"/>
        <v>10.67</v>
      </c>
      <c r="T423" s="21">
        <f t="shared" si="45"/>
        <v>2.67</v>
      </c>
      <c r="U423" s="21" t="str">
        <f t="shared" si="46"/>
        <v>是</v>
      </c>
      <c r="V423" s="21">
        <f>VLOOKUP($C423,[4]Sheet1!$B:$AN,39,FALSE)</f>
        <v>19.09</v>
      </c>
      <c r="W423" s="21">
        <v>0</v>
      </c>
      <c r="X423" s="23">
        <v>4</v>
      </c>
      <c r="Y423" s="23">
        <v>4</v>
      </c>
      <c r="Z423" s="25">
        <f t="shared" si="47"/>
        <v>0</v>
      </c>
      <c r="AA423" s="25" t="str">
        <f t="shared" si="48"/>
        <v>是</v>
      </c>
      <c r="AB423" t="s">
        <v>148</v>
      </c>
      <c r="AC423" t="e">
        <f>VLOOKUP(C423,[1]Sheet1!$C:$O,13,FALSE)</f>
        <v>#N/A</v>
      </c>
      <c r="AD423" t="str">
        <f>VLOOKUP($H423,'[3]0509人员排班情况 副本'!$G:$U,12,FALSE)</f>
        <v>欧阳迎春Flower（Yingchun Ouyang）</v>
      </c>
      <c r="AE423" t="str">
        <f>VLOOKUP($H423,'[3]0509人员排班情况 副本'!$G:$U,13,FALSE)</f>
        <v>杨云飞</v>
      </c>
      <c r="AF423" t="str">
        <f>VLOOKUP($H423,'[3]0509人员排班情况 副本'!$G:$U,14,FALSE)</f>
        <v>Minqing (Minqing Xu),罗煜雄 Mike (Yuxiong Luo),明杰麟Jennie (Jielin Ming)</v>
      </c>
      <c r="AG423" t="str">
        <f>VLOOKUP($H423,'[3]0509人员排班情况 副本'!$G:$U,15,FALSE)</f>
        <v>文艳平</v>
      </c>
    </row>
    <row r="424" customHeight="1" spans="1:33">
      <c r="A424" t="s">
        <v>202</v>
      </c>
      <c r="B424" t="s">
        <v>1459</v>
      </c>
      <c r="C424" t="s">
        <v>1460</v>
      </c>
      <c r="D424" t="s">
        <v>92</v>
      </c>
      <c r="E424" t="s">
        <v>29</v>
      </c>
      <c r="F424" t="s">
        <v>200</v>
      </c>
      <c r="H424" t="str">
        <f t="shared" si="42"/>
        <v>TX 德州大区运营支持部区域支持组</v>
      </c>
      <c r="I424" t="s">
        <v>201</v>
      </c>
      <c r="J424" t="s">
        <v>295</v>
      </c>
      <c r="K424" s="15">
        <v>0.375</v>
      </c>
      <c r="L424" s="15" t="s">
        <v>296</v>
      </c>
      <c r="M424" s="15">
        <v>0.375</v>
      </c>
      <c r="N424" t="s">
        <v>408</v>
      </c>
      <c r="O424" s="20" t="str">
        <f t="shared" si="43"/>
        <v>正确</v>
      </c>
      <c r="P424" s="21">
        <v>0</v>
      </c>
      <c r="Q424" s="21">
        <v>8.73</v>
      </c>
      <c r="R424" s="21">
        <v>0</v>
      </c>
      <c r="S424" s="21">
        <f t="shared" si="44"/>
        <v>8.73</v>
      </c>
      <c r="T424" s="21">
        <f t="shared" si="45"/>
        <v>0.73</v>
      </c>
      <c r="U424" s="21" t="str">
        <f t="shared" si="46"/>
        <v>是</v>
      </c>
      <c r="V424" s="21">
        <f>VLOOKUP($C424,[4]Sheet1!$B:$AN,39,FALSE)</f>
        <v>8.73</v>
      </c>
      <c r="W424" s="21">
        <v>0</v>
      </c>
      <c r="X424" s="23">
        <v>5</v>
      </c>
      <c r="Y424" s="23">
        <v>4</v>
      </c>
      <c r="Z424" s="25">
        <f t="shared" si="47"/>
        <v>0</v>
      </c>
      <c r="AA424" s="25" t="str">
        <f t="shared" si="48"/>
        <v>是</v>
      </c>
      <c r="AB424" t="s">
        <v>148</v>
      </c>
      <c r="AC424" t="e">
        <f>VLOOKUP(C424,[1]Sheet1!$C:$O,13,FALSE)</f>
        <v>#N/A</v>
      </c>
      <c r="AD424" t="str">
        <f>VLOOKUP($H424,'[3]0509人员排班情况 副本'!$G:$U,12,FALSE)</f>
        <v>肖芦莉Lily (Luli Xiao)</v>
      </c>
      <c r="AE424" t="str">
        <f>VLOOKUP($H424,'[3]0509人员排班情况 副本'!$G:$U,13,FALSE)</f>
        <v>张骥Ji Zhang (Ji Zhang)</v>
      </c>
      <c r="AF424">
        <f>VLOOKUP($H424,'[3]0509人员排班情况 副本'!$G:$U,14,FALSE)</f>
        <v>0</v>
      </c>
      <c r="AG424">
        <f>VLOOKUP($H424,'[3]0509人员排班情况 副本'!$G:$U,15,FALSE)</f>
        <v>0</v>
      </c>
    </row>
    <row r="425" customHeight="1" spans="1:33">
      <c r="A425" t="s">
        <v>202</v>
      </c>
      <c r="B425" t="s">
        <v>1461</v>
      </c>
      <c r="C425" t="s">
        <v>1462</v>
      </c>
      <c r="D425" t="s">
        <v>31</v>
      </c>
      <c r="E425" t="s">
        <v>43</v>
      </c>
      <c r="F425" t="s">
        <v>42</v>
      </c>
      <c r="H425" t="str">
        <f t="shared" si="42"/>
        <v>GL 大湖大区WG 西大湖片区ORD01</v>
      </c>
      <c r="I425" t="s">
        <v>177</v>
      </c>
      <c r="J425" t="s">
        <v>221</v>
      </c>
      <c r="K425" s="15">
        <v>0.208333333333333</v>
      </c>
      <c r="L425" s="15" t="s">
        <v>222</v>
      </c>
      <c r="M425" s="15">
        <v>0.3</v>
      </c>
      <c r="N425" t="s">
        <v>1463</v>
      </c>
      <c r="O425" s="20" t="str">
        <f t="shared" si="43"/>
        <v>不正确</v>
      </c>
      <c r="P425" s="21">
        <v>0</v>
      </c>
      <c r="Q425" s="21">
        <v>10.58</v>
      </c>
      <c r="R425" s="21">
        <v>0</v>
      </c>
      <c r="S425" s="21">
        <f t="shared" si="44"/>
        <v>10.58</v>
      </c>
      <c r="T425" s="21">
        <f t="shared" si="45"/>
        <v>2.58</v>
      </c>
      <c r="U425" s="21" t="str">
        <f t="shared" si="46"/>
        <v>是</v>
      </c>
      <c r="V425" s="21">
        <f>VLOOKUP($C425,[4]Sheet1!$B:$AN,39,FALSE)</f>
        <v>23.26</v>
      </c>
      <c r="W425" s="21">
        <v>0</v>
      </c>
      <c r="X425" s="23">
        <v>2</v>
      </c>
      <c r="Y425" s="23">
        <v>4</v>
      </c>
      <c r="Z425" s="25">
        <f t="shared" si="47"/>
        <v>2</v>
      </c>
      <c r="AA425" s="25" t="str">
        <f t="shared" si="48"/>
        <v>是</v>
      </c>
      <c r="AB425" t="s">
        <v>148</v>
      </c>
      <c r="AC425" t="e">
        <f>VLOOKUP(C425,[1]Sheet1!$C:$O,13,FALSE)</f>
        <v>#N/A</v>
      </c>
      <c r="AD425" t="str">
        <f>VLOOKUP($H425,'[3]0509人员排班情况 副本'!$G:$U,12,FALSE)</f>
        <v>王晓丹 Jasmine（Xiaodan Wang）,周延舒Isabel（Yanshu Zhou）</v>
      </c>
      <c r="AE425" t="str">
        <f>VLOOKUP($H425,'[3]0509人员排班情况 副本'!$G:$U,13,FALSE)</f>
        <v>张骥Ji Zhang (Ji Zhang)</v>
      </c>
      <c r="AF425" t="str">
        <f>VLOOKUP($H425,'[3]0509人员排班情况 副本'!$G:$U,14,FALSE)</f>
        <v>易至聪Zac (Zhicong Yi),尚青蓓 Suki （Qingbei Shang）</v>
      </c>
      <c r="AG425">
        <f>VLOOKUP($H425,'[3]0509人员排班情况 副本'!$G:$U,15,FALSE)</f>
        <v>0</v>
      </c>
    </row>
    <row r="426" customHeight="1" spans="1:33">
      <c r="A426" t="s">
        <v>202</v>
      </c>
      <c r="B426" t="s">
        <v>1464</v>
      </c>
      <c r="C426" t="s">
        <v>1465</v>
      </c>
      <c r="D426" t="s">
        <v>92</v>
      </c>
      <c r="E426" t="s">
        <v>45</v>
      </c>
      <c r="F426" t="s">
        <v>148</v>
      </c>
      <c r="H426" t="str">
        <f t="shared" si="42"/>
        <v>TX 德州大区揽收部</v>
      </c>
      <c r="I426" t="s">
        <v>608</v>
      </c>
      <c r="J426" t="s">
        <v>347</v>
      </c>
      <c r="K426" s="15">
        <v>0.541666666666667</v>
      </c>
      <c r="L426" s="15" t="s">
        <v>348</v>
      </c>
      <c r="M426" s="15">
        <v>0.522916666666667</v>
      </c>
      <c r="N426" t="s">
        <v>1466</v>
      </c>
      <c r="O426" s="20" t="str">
        <f t="shared" si="43"/>
        <v>正确</v>
      </c>
      <c r="P426" s="21">
        <v>0</v>
      </c>
      <c r="Q426" s="21">
        <v>8.08</v>
      </c>
      <c r="R426" s="21">
        <v>0</v>
      </c>
      <c r="S426" s="21">
        <f t="shared" si="44"/>
        <v>8.08</v>
      </c>
      <c r="T426" s="21">
        <f t="shared" si="45"/>
        <v>0.0800000000000001</v>
      </c>
      <c r="U426" s="21" t="str">
        <f t="shared" si="46"/>
        <v>是</v>
      </c>
      <c r="V426" s="21">
        <f>VLOOKUP($C426,[4]Sheet1!$B:$AN,39,FALSE)</f>
        <v>17.38</v>
      </c>
      <c r="W426" s="21">
        <v>0</v>
      </c>
      <c r="X426" s="23">
        <v>4</v>
      </c>
      <c r="Y426" s="23">
        <v>4</v>
      </c>
      <c r="Z426" s="25">
        <f t="shared" si="47"/>
        <v>0</v>
      </c>
      <c r="AA426" s="25" t="str">
        <f t="shared" si="48"/>
        <v>是</v>
      </c>
      <c r="AB426" t="s">
        <v>148</v>
      </c>
      <c r="AC426" t="e">
        <f>VLOOKUP(C426,[1]Sheet1!$C:$O,13,FALSE)</f>
        <v>#N/A</v>
      </c>
      <c r="AD426" t="str">
        <f>VLOOKUP($H426,'[3]0509人员排班情况 副本'!$G:$U,12,FALSE)</f>
        <v>肖芦莉Lily (Luli Xiao)</v>
      </c>
      <c r="AE426" t="str">
        <f>VLOOKUP($H426,'[3]0509人员排班情况 副本'!$G:$U,13,FALSE)</f>
        <v>张骥Ji Zhang (Ji Zhang)</v>
      </c>
      <c r="AF426">
        <f>VLOOKUP($H426,'[3]0509人员排班情况 副本'!$G:$U,14,FALSE)</f>
        <v>0</v>
      </c>
      <c r="AG426">
        <f>VLOOKUP($H426,'[3]0509人员排班情况 副本'!$G:$U,15,FALSE)</f>
        <v>0</v>
      </c>
    </row>
    <row r="427" customHeight="1" spans="1:33">
      <c r="A427" t="s">
        <v>202</v>
      </c>
      <c r="B427" t="s">
        <v>1467</v>
      </c>
      <c r="C427" t="s">
        <v>1468</v>
      </c>
      <c r="D427" t="s">
        <v>100</v>
      </c>
      <c r="E427" t="s">
        <v>104</v>
      </c>
      <c r="F427" t="s">
        <v>744</v>
      </c>
      <c r="H427" t="str">
        <f t="shared" si="42"/>
        <v>WE 美西大区LA揽收部揽收调度组</v>
      </c>
      <c r="I427" t="s">
        <v>608</v>
      </c>
      <c r="J427" t="s">
        <v>746</v>
      </c>
      <c r="K427" s="15">
        <v>0.4375</v>
      </c>
      <c r="L427" s="15" t="s">
        <v>491</v>
      </c>
      <c r="M427" s="15">
        <v>0.403472222222222</v>
      </c>
      <c r="N427" t="s">
        <v>1466</v>
      </c>
      <c r="O427" s="20" t="str">
        <f t="shared" si="43"/>
        <v>正确</v>
      </c>
      <c r="P427" s="21">
        <v>0</v>
      </c>
      <c r="Q427" s="21">
        <v>10.95</v>
      </c>
      <c r="R427" s="21">
        <v>0</v>
      </c>
      <c r="S427" s="21">
        <f t="shared" si="44"/>
        <v>10.95</v>
      </c>
      <c r="T427" s="21">
        <f t="shared" si="45"/>
        <v>2.95</v>
      </c>
      <c r="U427" s="21" t="str">
        <f t="shared" si="46"/>
        <v>是</v>
      </c>
      <c r="V427" s="21">
        <f>VLOOKUP($C427,[4]Sheet1!$B:$AN,39,FALSE)</f>
        <v>10.95</v>
      </c>
      <c r="W427" s="21">
        <v>0</v>
      </c>
      <c r="X427" s="23">
        <v>2</v>
      </c>
      <c r="Y427" s="23">
        <v>4</v>
      </c>
      <c r="Z427" s="25">
        <f t="shared" si="47"/>
        <v>2</v>
      </c>
      <c r="AA427" s="25" t="str">
        <f t="shared" si="48"/>
        <v>是</v>
      </c>
      <c r="AB427" t="s">
        <v>148</v>
      </c>
      <c r="AC427" t="e">
        <f>VLOOKUP(C427,[1]Sheet1!$C:$O,13,FALSE)</f>
        <v>#N/A</v>
      </c>
      <c r="AD427" t="str">
        <f>VLOOKUP($H427,'[3]0509人员排班情况 副本'!$G:$U,12,FALSE)</f>
        <v>王骞Ariel（Qian Wang）,叶秀芳Freya (Xiufang Ye)</v>
      </c>
      <c r="AE427" t="str">
        <f>VLOOKUP($H427,'[3]0509人员排班情况 副本'!$G:$U,13,FALSE)</f>
        <v>常哲</v>
      </c>
      <c r="AF427">
        <f>VLOOKUP($H427,'[3]0509人员排班情况 副本'!$G:$U,14,FALSE)</f>
        <v>0</v>
      </c>
      <c r="AG427">
        <f>VLOOKUP($H427,'[3]0509人员排班情况 副本'!$G:$U,15,FALSE)</f>
        <v>0</v>
      </c>
    </row>
    <row r="428" customHeight="1" spans="1:33">
      <c r="A428" t="s">
        <v>202</v>
      </c>
      <c r="B428" t="s">
        <v>1469</v>
      </c>
      <c r="C428" t="s">
        <v>1470</v>
      </c>
      <c r="D428" t="s">
        <v>48</v>
      </c>
      <c r="E428" t="s">
        <v>49</v>
      </c>
      <c r="F428" t="s">
        <v>802</v>
      </c>
      <c r="H428" t="str">
        <f t="shared" si="42"/>
        <v>Ground项目部OG 美东区BO021</v>
      </c>
      <c r="I428" t="s">
        <v>177</v>
      </c>
      <c r="J428" t="s">
        <v>211</v>
      </c>
      <c r="K428" s="15">
        <v>0.333333333333333</v>
      </c>
      <c r="L428" s="15" t="s">
        <v>212</v>
      </c>
      <c r="M428" s="15">
        <v>0.359027777777778</v>
      </c>
      <c r="N428" t="s">
        <v>628</v>
      </c>
      <c r="O428" s="20" t="str">
        <f t="shared" si="43"/>
        <v>正确</v>
      </c>
      <c r="P428" s="21">
        <v>0</v>
      </c>
      <c r="Q428" s="21">
        <v>7.4</v>
      </c>
      <c r="R428" s="21">
        <v>0</v>
      </c>
      <c r="S428" s="21">
        <f t="shared" si="44"/>
        <v>7.4</v>
      </c>
      <c r="T428" s="21">
        <f t="shared" si="45"/>
        <v>0</v>
      </c>
      <c r="U428" s="21" t="str">
        <f t="shared" si="46"/>
        <v>否</v>
      </c>
      <c r="V428" s="21">
        <f>VLOOKUP($C428,[4]Sheet1!$B:$AN,39,FALSE)</f>
        <v>14.62</v>
      </c>
      <c r="W428" s="21">
        <v>0</v>
      </c>
      <c r="X428" s="23">
        <v>2</v>
      </c>
      <c r="Y428" s="23">
        <v>4</v>
      </c>
      <c r="Z428" s="25">
        <f t="shared" si="47"/>
        <v>2</v>
      </c>
      <c r="AA428" s="25" t="str">
        <f t="shared" si="48"/>
        <v>是</v>
      </c>
      <c r="AB428" t="s">
        <v>148</v>
      </c>
      <c r="AC428" t="e">
        <f>VLOOKUP(C428,[1]Sheet1!$C:$O,13,FALSE)</f>
        <v>#N/A</v>
      </c>
      <c r="AD428" t="str">
        <f>VLOOKUP($H428,'[3]0509人员排班情况 副本'!$G:$U,12,FALSE)</f>
        <v>王安琪 (Anqi Wang),张朱同 Thomson（Zhutong Zhang）</v>
      </c>
      <c r="AE428" t="str">
        <f>VLOOKUP($H428,'[3]0509人员排班情况 副本'!$G:$U,13,FALSE)</f>
        <v>陈锦昭</v>
      </c>
      <c r="AF428" t="str">
        <f>VLOOKUP($H428,'[3]0509人员排班情况 副本'!$G:$U,14,FALSE)</f>
        <v>欧和枫 Henry (HeFeng Ou)</v>
      </c>
      <c r="AG428">
        <f>VLOOKUP($H428,'[3]0509人员排班情况 副本'!$G:$U,15,FALSE)</f>
        <v>0</v>
      </c>
    </row>
    <row r="429" customHeight="1" spans="1:33">
      <c r="A429" t="s">
        <v>202</v>
      </c>
      <c r="B429" t="s">
        <v>1471</v>
      </c>
      <c r="C429" t="s">
        <v>1472</v>
      </c>
      <c r="D429" t="s">
        <v>31</v>
      </c>
      <c r="E429" t="s">
        <v>29</v>
      </c>
      <c r="F429" t="s">
        <v>148</v>
      </c>
      <c r="H429" t="str">
        <f t="shared" si="42"/>
        <v>GL 大湖大区运营支持部</v>
      </c>
      <c r="I429" t="s">
        <v>1473</v>
      </c>
      <c r="J429" t="s">
        <v>347</v>
      </c>
      <c r="K429" s="15">
        <v>0.541666666666667</v>
      </c>
      <c r="L429" s="15" t="s">
        <v>348</v>
      </c>
      <c r="M429" s="15"/>
      <c r="N429" t="s">
        <v>148</v>
      </c>
      <c r="O429" s="20" t="str">
        <f t="shared" si="43"/>
        <v>不正确</v>
      </c>
      <c r="P429" s="21">
        <v>0</v>
      </c>
      <c r="Q429" s="21">
        <v>0</v>
      </c>
      <c r="R429" s="21">
        <v>0</v>
      </c>
      <c r="S429" s="21">
        <f t="shared" si="44"/>
        <v>0</v>
      </c>
      <c r="T429" s="21">
        <f t="shared" si="45"/>
        <v>0</v>
      </c>
      <c r="U429" s="21" t="str">
        <f t="shared" si="46"/>
        <v>否</v>
      </c>
      <c r="V429" s="21">
        <f>VLOOKUP($C429,[4]Sheet1!$B:$AN,39,FALSE)</f>
        <v>0</v>
      </c>
      <c r="W429" s="21">
        <v>0</v>
      </c>
      <c r="X429" s="23">
        <v>0</v>
      </c>
      <c r="Y429" s="23">
        <v>4</v>
      </c>
      <c r="Z429" s="25">
        <f t="shared" si="47"/>
        <v>4</v>
      </c>
      <c r="AA429" s="25" t="str">
        <f t="shared" si="48"/>
        <v>是</v>
      </c>
      <c r="AB429" t="s">
        <v>148</v>
      </c>
      <c r="AC429" t="e">
        <f>VLOOKUP(C429,[1]Sheet1!$C:$O,13,FALSE)</f>
        <v>#N/A</v>
      </c>
      <c r="AD429" t="str">
        <f>VLOOKUP($H429,'[3]0509人员排班情况 副本'!$G:$U,12,FALSE)</f>
        <v>王晓丹 Jasmine（Xiaodan Wang）,周延舒Isabel（Yanshu Zhou）</v>
      </c>
      <c r="AE429" t="str">
        <f>VLOOKUP($H429,'[3]0509人员排班情况 副本'!$G:$U,13,FALSE)</f>
        <v>张骥Ji Zhang (Ji Zhang)</v>
      </c>
      <c r="AF429">
        <f>VLOOKUP($H429,'[3]0509人员排班情况 副本'!$G:$U,14,FALSE)</f>
        <v>0</v>
      </c>
      <c r="AG429">
        <f>VLOOKUP($H429,'[3]0509人员排班情况 副本'!$G:$U,15,FALSE)</f>
        <v>0</v>
      </c>
    </row>
    <row r="430" customHeight="1" spans="1:33">
      <c r="A430" t="s">
        <v>202</v>
      </c>
      <c r="B430" t="s">
        <v>1474</v>
      </c>
      <c r="C430" t="s">
        <v>1475</v>
      </c>
      <c r="D430" t="s">
        <v>48</v>
      </c>
      <c r="E430" t="s">
        <v>51</v>
      </c>
      <c r="F430" t="s">
        <v>563</v>
      </c>
      <c r="G430" t="s">
        <v>112</v>
      </c>
      <c r="H430" t="str">
        <f t="shared" si="42"/>
        <v>Ground项目部OG 美西区CNO.G</v>
      </c>
      <c r="I430" t="s">
        <v>156</v>
      </c>
      <c r="J430" t="s">
        <v>295</v>
      </c>
      <c r="K430" s="15">
        <v>0.375</v>
      </c>
      <c r="L430" s="15" t="s">
        <v>296</v>
      </c>
      <c r="M430" s="15"/>
      <c r="N430" t="s">
        <v>148</v>
      </c>
      <c r="O430" s="20" t="str">
        <f t="shared" si="43"/>
        <v>不正确</v>
      </c>
      <c r="P430" s="21">
        <v>0</v>
      </c>
      <c r="Q430" s="21">
        <v>0</v>
      </c>
      <c r="R430" s="21">
        <v>0</v>
      </c>
      <c r="S430" s="21">
        <f t="shared" si="44"/>
        <v>0</v>
      </c>
      <c r="T430" s="21">
        <f t="shared" si="45"/>
        <v>0</v>
      </c>
      <c r="U430" s="21" t="str">
        <f t="shared" si="46"/>
        <v>否</v>
      </c>
      <c r="V430" s="21">
        <f>VLOOKUP($C430,[4]Sheet1!$B:$AN,39,FALSE)</f>
        <v>0</v>
      </c>
      <c r="W430" s="21">
        <v>0</v>
      </c>
      <c r="X430" s="23">
        <v>0</v>
      </c>
      <c r="Y430" s="23">
        <v>0</v>
      </c>
      <c r="Z430" s="25">
        <f t="shared" si="47"/>
        <v>0</v>
      </c>
      <c r="AA430" s="25" t="str">
        <f t="shared" si="48"/>
        <v>是</v>
      </c>
      <c r="AB430" t="s">
        <v>1476</v>
      </c>
      <c r="AC430" t="e">
        <f>VLOOKUP(C430,[1]Sheet1!$C:$O,13,FALSE)</f>
        <v>#N/A</v>
      </c>
      <c r="AD430" t="str">
        <f>VLOOKUP($H430,'[3]0509人员排班情况 副本'!$G:$U,12,FALSE)</f>
        <v>王安琪 (Anqi Wang),张朱同 Thomson（Zhutong Zhang）</v>
      </c>
      <c r="AE430" t="str">
        <f>VLOOKUP($H430,'[3]0509人员排班情况 副本'!$G:$U,13,FALSE)</f>
        <v>陈锦昭</v>
      </c>
      <c r="AF430" t="str">
        <f>VLOOKUP($H430,'[3]0509人员排班情况 副本'!$G:$U,14,FALSE)</f>
        <v>张弘毅 Hongyi （Hongyi Zhang）</v>
      </c>
      <c r="AG430">
        <f>VLOOKUP($H430,'[3]0509人员排班情况 副本'!$G:$U,15,FALSE)</f>
        <v>0</v>
      </c>
    </row>
    <row r="431" customHeight="1" spans="1:33">
      <c r="A431" t="s">
        <v>202</v>
      </c>
      <c r="B431" t="s">
        <v>1477</v>
      </c>
      <c r="C431" t="s">
        <v>1478</v>
      </c>
      <c r="D431" t="s">
        <v>58</v>
      </c>
      <c r="E431" t="s">
        <v>64</v>
      </c>
      <c r="F431" t="s">
        <v>176</v>
      </c>
      <c r="H431" t="str">
        <f t="shared" si="42"/>
        <v>MS 中南大区CS 夏洛特及周边片区CLT01</v>
      </c>
      <c r="I431" t="s">
        <v>177</v>
      </c>
      <c r="J431" t="s">
        <v>1324</v>
      </c>
      <c r="K431" s="15">
        <v>0.791666666666667</v>
      </c>
      <c r="L431" s="15" t="s">
        <v>1325</v>
      </c>
      <c r="M431" s="15"/>
      <c r="N431" t="s">
        <v>148</v>
      </c>
      <c r="O431" s="20" t="str">
        <f t="shared" si="43"/>
        <v>不正确</v>
      </c>
      <c r="P431" s="21">
        <v>0</v>
      </c>
      <c r="Q431" s="21">
        <v>0</v>
      </c>
      <c r="R431" s="21">
        <v>0</v>
      </c>
      <c r="S431" s="21">
        <f t="shared" si="44"/>
        <v>0</v>
      </c>
      <c r="T431" s="21">
        <f t="shared" si="45"/>
        <v>0</v>
      </c>
      <c r="U431" s="21" t="str">
        <f t="shared" si="46"/>
        <v>否</v>
      </c>
      <c r="V431" s="21">
        <f>VLOOKUP($C431,[4]Sheet1!$B:$AN,39,FALSE)</f>
        <v>0</v>
      </c>
      <c r="W431" s="21">
        <v>0</v>
      </c>
      <c r="X431" s="23">
        <v>0</v>
      </c>
      <c r="Y431" s="23">
        <v>0</v>
      </c>
      <c r="Z431" s="25">
        <f t="shared" si="47"/>
        <v>0</v>
      </c>
      <c r="AA431" s="25" t="str">
        <f t="shared" si="48"/>
        <v>是</v>
      </c>
      <c r="AB431" t="s">
        <v>1479</v>
      </c>
      <c r="AC431" t="e">
        <f>VLOOKUP(C431,[1]Sheet1!$C:$O,13,FALSE)</f>
        <v>#N/A</v>
      </c>
      <c r="AD431" t="str">
        <f>VLOOKUP($H431,'[3]0509人员排班情况 副本'!$G:$U,12,FALSE)</f>
        <v>欧阳迎春Flower（Yingchun Ouyang）</v>
      </c>
      <c r="AE431" t="str">
        <f>VLOOKUP($H431,'[3]0509人员排班情况 副本'!$G:$U,13,FALSE)</f>
        <v>杨云飞</v>
      </c>
      <c r="AF431" t="str">
        <f>VLOOKUP($H431,'[3]0509人员排班情况 副本'!$G:$U,14,FALSE)</f>
        <v>郭丞芸Lexie(Chengyun Kuo)</v>
      </c>
      <c r="AG431">
        <f>VLOOKUP($H431,'[3]0509人员排班情况 副本'!$G:$U,15,FALSE)</f>
        <v>0</v>
      </c>
    </row>
    <row r="432" customHeight="1" spans="1:33">
      <c r="A432" t="s">
        <v>202</v>
      </c>
      <c r="B432" t="s">
        <v>1480</v>
      </c>
      <c r="C432" t="s">
        <v>1481</v>
      </c>
      <c r="D432" t="s">
        <v>68</v>
      </c>
      <c r="E432" t="s">
        <v>29</v>
      </c>
      <c r="F432" t="s">
        <v>200</v>
      </c>
      <c r="H432" t="str">
        <f t="shared" si="42"/>
        <v>NE 东北大区运营支持部区域支持组</v>
      </c>
      <c r="I432" t="s">
        <v>195</v>
      </c>
      <c r="J432" t="s">
        <v>236</v>
      </c>
      <c r="K432" s="15">
        <v>0.395833333333333</v>
      </c>
      <c r="L432" s="15" t="s">
        <v>218</v>
      </c>
      <c r="M432" s="15"/>
      <c r="N432" t="s">
        <v>148</v>
      </c>
      <c r="O432" s="20" t="str">
        <f t="shared" si="43"/>
        <v>不正确</v>
      </c>
      <c r="P432" s="21">
        <v>0</v>
      </c>
      <c r="Q432" s="21">
        <v>0</v>
      </c>
      <c r="R432" s="21">
        <v>0</v>
      </c>
      <c r="S432" s="21">
        <f t="shared" si="44"/>
        <v>0</v>
      </c>
      <c r="T432" s="21">
        <f t="shared" si="45"/>
        <v>0</v>
      </c>
      <c r="U432" s="21" t="str">
        <f t="shared" si="46"/>
        <v>否</v>
      </c>
      <c r="V432" s="21">
        <f>VLOOKUP($C432,[4]Sheet1!$B:$AN,39,FALSE)</f>
        <v>0</v>
      </c>
      <c r="W432" s="21">
        <v>0</v>
      </c>
      <c r="X432" s="23">
        <v>0</v>
      </c>
      <c r="Y432" s="23">
        <v>0</v>
      </c>
      <c r="Z432" s="25">
        <f t="shared" si="47"/>
        <v>0</v>
      </c>
      <c r="AA432" s="25" t="str">
        <f t="shared" si="48"/>
        <v>是</v>
      </c>
      <c r="AB432" t="s">
        <v>1482</v>
      </c>
      <c r="AC432" t="e">
        <f>VLOOKUP(C432,[1]Sheet1!$C:$O,13,FALSE)</f>
        <v>#N/A</v>
      </c>
      <c r="AD432" t="str">
        <f>VLOOKUP($H432,'[3]0509人员排班情况 副本'!$G:$U,12,FALSE)</f>
        <v>孙可君Monica（Kejun Sun）</v>
      </c>
      <c r="AE432" t="str">
        <f>VLOOKUP($H432,'[3]0509人员排班情况 副本'!$G:$U,13,FALSE)</f>
        <v>马聪Cong (Cong Ma)</v>
      </c>
      <c r="AF432">
        <f>VLOOKUP($H432,'[3]0509人员排班情况 副本'!$G:$U,14,FALSE)</f>
        <v>0</v>
      </c>
      <c r="AG432">
        <f>VLOOKUP($H432,'[3]0509人员排班情况 副本'!$G:$U,15,FALSE)</f>
        <v>0</v>
      </c>
    </row>
    <row r="433" customHeight="1" spans="1:33">
      <c r="A433" t="s">
        <v>202</v>
      </c>
      <c r="B433" t="s">
        <v>1483</v>
      </c>
      <c r="C433" t="s">
        <v>1484</v>
      </c>
      <c r="D433" t="s">
        <v>48</v>
      </c>
      <c r="E433" t="s">
        <v>51</v>
      </c>
      <c r="F433" t="s">
        <v>772</v>
      </c>
      <c r="H433" t="str">
        <f t="shared" si="42"/>
        <v>Ground项目部OG 美西区LA917</v>
      </c>
      <c r="I433" t="s">
        <v>687</v>
      </c>
      <c r="J433" t="s">
        <v>217</v>
      </c>
      <c r="K433" s="15">
        <v>0.395833333333333</v>
      </c>
      <c r="L433" s="15" t="s">
        <v>218</v>
      </c>
      <c r="M433" s="15"/>
      <c r="N433" t="s">
        <v>148</v>
      </c>
      <c r="O433" s="20" t="s">
        <v>116</v>
      </c>
      <c r="P433" s="21">
        <v>0</v>
      </c>
      <c r="Q433" s="21">
        <v>0</v>
      </c>
      <c r="R433" s="21">
        <v>0</v>
      </c>
      <c r="S433" s="21">
        <f t="shared" si="44"/>
        <v>0</v>
      </c>
      <c r="T433" s="21">
        <f t="shared" si="45"/>
        <v>0</v>
      </c>
      <c r="U433" s="21" t="str">
        <f t="shared" si="46"/>
        <v>否</v>
      </c>
      <c r="V433" s="21">
        <f>VLOOKUP($C433,[4]Sheet1!$B:$AN,39,FALSE)</f>
        <v>8.97</v>
      </c>
      <c r="W433" s="21">
        <v>0</v>
      </c>
      <c r="X433" s="23">
        <v>0</v>
      </c>
      <c r="Y433" s="23">
        <v>0</v>
      </c>
      <c r="Z433" s="25">
        <f t="shared" si="47"/>
        <v>0</v>
      </c>
      <c r="AA433" s="25" t="str">
        <f t="shared" si="48"/>
        <v>是</v>
      </c>
      <c r="AB433" t="s">
        <v>148</v>
      </c>
      <c r="AC433" t="e">
        <f>VLOOKUP(C433,[1]Sheet1!$C:$O,13,FALSE)</f>
        <v>#N/A</v>
      </c>
      <c r="AD433" t="str">
        <f>VLOOKUP($H433,'[3]0509人员排班情况 副本'!$G:$U,12,FALSE)</f>
        <v>王安琪 (Anqi Wang),张朱同 Thomson（Zhutong Zhang）</v>
      </c>
      <c r="AE433" t="str">
        <f>VLOOKUP($H433,'[3]0509人员排班情况 副本'!$G:$U,13,FALSE)</f>
        <v>陈锦昭</v>
      </c>
      <c r="AF433" t="str">
        <f>VLOOKUP($H433,'[3]0509人员排班情况 副本'!$G:$U,14,FALSE)</f>
        <v>宋佳牧 Dorian (Jiamu Song)</v>
      </c>
      <c r="AG433">
        <f>VLOOKUP($H433,'[3]0509人员排班情况 副本'!$G:$U,15,FALSE)</f>
        <v>0</v>
      </c>
    </row>
    <row r="434" customHeight="1" spans="1:33">
      <c r="A434" t="s">
        <v>202</v>
      </c>
      <c r="B434" t="s">
        <v>1485</v>
      </c>
      <c r="C434" t="s">
        <v>1486</v>
      </c>
      <c r="D434" t="s">
        <v>68</v>
      </c>
      <c r="E434" t="s">
        <v>73</v>
      </c>
      <c r="F434" t="s">
        <v>275</v>
      </c>
      <c r="G434" t="s">
        <v>112</v>
      </c>
      <c r="H434" t="str">
        <f t="shared" si="42"/>
        <v>NE 东北大区BWI.H分拣组</v>
      </c>
      <c r="I434" t="s">
        <v>303</v>
      </c>
      <c r="J434" t="s">
        <v>295</v>
      </c>
      <c r="K434" s="15">
        <v>0.375</v>
      </c>
      <c r="L434" s="15" t="s">
        <v>296</v>
      </c>
      <c r="M434" s="15"/>
      <c r="N434" t="s">
        <v>148</v>
      </c>
      <c r="O434" s="20" t="str">
        <f t="shared" si="43"/>
        <v>不正确</v>
      </c>
      <c r="P434" s="21">
        <v>0</v>
      </c>
      <c r="Q434" s="21">
        <v>0</v>
      </c>
      <c r="R434" s="21">
        <v>0</v>
      </c>
      <c r="S434" s="21">
        <f t="shared" si="44"/>
        <v>0</v>
      </c>
      <c r="T434" s="21">
        <f t="shared" si="45"/>
        <v>0</v>
      </c>
      <c r="U434" s="21" t="str">
        <f t="shared" si="46"/>
        <v>否</v>
      </c>
      <c r="V434" s="21">
        <f>VLOOKUP($C434,[4]Sheet1!$B:$AN,39,FALSE)</f>
        <v>8.77</v>
      </c>
      <c r="W434" s="21">
        <v>0</v>
      </c>
      <c r="X434" s="23">
        <v>0</v>
      </c>
      <c r="Y434" s="23">
        <v>0</v>
      </c>
      <c r="Z434" s="25">
        <f t="shared" si="47"/>
        <v>0</v>
      </c>
      <c r="AA434" s="25" t="str">
        <f t="shared" si="48"/>
        <v>是</v>
      </c>
      <c r="AB434" t="s">
        <v>690</v>
      </c>
      <c r="AC434" t="e">
        <f>VLOOKUP(C434,[1]Sheet1!$C:$O,13,FALSE)</f>
        <v>#N/A</v>
      </c>
      <c r="AD434" t="str">
        <f>VLOOKUP($H434,'[3]0509人员排班情况 副本'!$G:$U,12,FALSE)</f>
        <v>孙可君Monica（Kejun Sun）</v>
      </c>
      <c r="AE434" t="str">
        <f>VLOOKUP($H434,'[3]0509人员排班情况 副本'!$G:$U,13,FALSE)</f>
        <v>马聪Cong (Cong Ma)</v>
      </c>
      <c r="AF434" t="str">
        <f>VLOOKUP($H434,'[3]0509人员排班情况 副本'!$G:$U,14,FALSE)</f>
        <v>张双甫(Shuangfu Zhang)</v>
      </c>
      <c r="AG434">
        <f>VLOOKUP($H434,'[3]0509人员排班情况 副本'!$G:$U,15,FALSE)</f>
        <v>0</v>
      </c>
    </row>
    <row r="435" customHeight="1" spans="1:33">
      <c r="A435" t="s">
        <v>202</v>
      </c>
      <c r="B435" t="s">
        <v>1487</v>
      </c>
      <c r="C435" t="s">
        <v>1488</v>
      </c>
      <c r="D435" t="s">
        <v>92</v>
      </c>
      <c r="E435" t="s">
        <v>93</v>
      </c>
      <c r="F435" t="s">
        <v>1489</v>
      </c>
      <c r="H435" t="str">
        <f t="shared" si="42"/>
        <v>TX 德州大区CT 中德州片区AUS01</v>
      </c>
      <c r="I435" t="s">
        <v>177</v>
      </c>
      <c r="J435" t="s">
        <v>437</v>
      </c>
      <c r="K435" s="15">
        <v>0.229166666666667</v>
      </c>
      <c r="L435" s="15" t="s">
        <v>438</v>
      </c>
      <c r="M435" s="15">
        <v>0.202777777777778</v>
      </c>
      <c r="N435" t="s">
        <v>148</v>
      </c>
      <c r="O435" s="20" t="str">
        <f t="shared" si="43"/>
        <v>正确</v>
      </c>
      <c r="P435" s="21">
        <v>0</v>
      </c>
      <c r="Q435" s="21">
        <v>0</v>
      </c>
      <c r="R435" s="21">
        <v>0</v>
      </c>
      <c r="S435" s="21">
        <f t="shared" si="44"/>
        <v>0</v>
      </c>
      <c r="T435" s="21">
        <f t="shared" si="45"/>
        <v>0</v>
      </c>
      <c r="U435" s="21" t="str">
        <f t="shared" si="46"/>
        <v>否</v>
      </c>
      <c r="V435" s="21">
        <f>VLOOKUP($C435,[4]Sheet1!$B:$AN,39,FALSE)</f>
        <v>0</v>
      </c>
      <c r="W435" s="21">
        <v>0</v>
      </c>
      <c r="X435" s="23">
        <v>2</v>
      </c>
      <c r="Y435" s="23">
        <v>4</v>
      </c>
      <c r="Z435" s="25">
        <f t="shared" si="47"/>
        <v>2</v>
      </c>
      <c r="AA435" s="25" t="str">
        <f t="shared" si="48"/>
        <v>是</v>
      </c>
      <c r="AB435" t="s">
        <v>148</v>
      </c>
      <c r="AC435" t="e">
        <f>VLOOKUP(C435,[1]Sheet1!$C:$O,13,FALSE)</f>
        <v>#N/A</v>
      </c>
      <c r="AD435" t="str">
        <f>VLOOKUP($H435,'[3]0509人员排班情况 副本'!$G:$U,12,FALSE)</f>
        <v>肖芦莉Lily (Luli Xiao)</v>
      </c>
      <c r="AE435" t="str">
        <f>VLOOKUP($H435,'[3]0509人员排班情况 副本'!$G:$U,13,FALSE)</f>
        <v>张骥Ji Zhang (Ji Zhang)</v>
      </c>
      <c r="AF435" t="str">
        <f>VLOOKUP($H435,'[3]0509人员排班情况 副本'!$G:$U,14,FALSE)</f>
        <v>马铭 Ming (Ming Ma)</v>
      </c>
      <c r="AG435">
        <f>VLOOKUP($H435,'[3]0509人员排班情况 副本'!$G:$U,15,FALSE)</f>
        <v>0</v>
      </c>
    </row>
    <row r="436" customHeight="1" spans="1:33">
      <c r="A436" t="s">
        <v>202</v>
      </c>
      <c r="B436" t="s">
        <v>1490</v>
      </c>
      <c r="C436" t="s">
        <v>1491</v>
      </c>
      <c r="D436" t="s">
        <v>68</v>
      </c>
      <c r="E436" t="s">
        <v>75</v>
      </c>
      <c r="F436" t="s">
        <v>890</v>
      </c>
      <c r="H436" t="str">
        <f t="shared" si="42"/>
        <v>NE 东北大区DC 华盛顿片区ORF01</v>
      </c>
      <c r="I436" t="s">
        <v>177</v>
      </c>
      <c r="J436" t="s">
        <v>217</v>
      </c>
      <c r="K436" s="15">
        <v>0.395833333333333</v>
      </c>
      <c r="L436" s="15" t="s">
        <v>218</v>
      </c>
      <c r="M436" s="15"/>
      <c r="N436" t="s">
        <v>148</v>
      </c>
      <c r="O436" s="20" t="s">
        <v>116</v>
      </c>
      <c r="P436" s="21">
        <v>0</v>
      </c>
      <c r="Q436" s="21">
        <v>0</v>
      </c>
      <c r="R436" s="21">
        <v>0</v>
      </c>
      <c r="S436" s="21">
        <f t="shared" si="44"/>
        <v>0</v>
      </c>
      <c r="T436" s="21">
        <f t="shared" si="45"/>
        <v>0</v>
      </c>
      <c r="U436" s="21" t="str">
        <f t="shared" si="46"/>
        <v>否</v>
      </c>
      <c r="V436" s="21">
        <f>VLOOKUP($C436,[4]Sheet1!$B:$AN,39,FALSE)</f>
        <v>8.5</v>
      </c>
      <c r="W436" s="21">
        <v>0</v>
      </c>
      <c r="X436" s="23">
        <v>0</v>
      </c>
      <c r="Y436" s="23">
        <v>0</v>
      </c>
      <c r="Z436" s="25">
        <f t="shared" si="47"/>
        <v>0</v>
      </c>
      <c r="AA436" s="25" t="str">
        <f t="shared" si="48"/>
        <v>是</v>
      </c>
      <c r="AB436" t="s">
        <v>148</v>
      </c>
      <c r="AC436" t="e">
        <f>VLOOKUP(C436,[1]Sheet1!$C:$O,13,FALSE)</f>
        <v>#N/A</v>
      </c>
      <c r="AD436" t="str">
        <f>VLOOKUP($H436,'[3]0509人员排班情况 副本'!$G:$U,12,FALSE)</f>
        <v>孙可君Monica（Kejun Sun）</v>
      </c>
      <c r="AE436" t="str">
        <f>VLOOKUP($H436,'[3]0509人员排班情况 副本'!$G:$U,13,FALSE)</f>
        <v>马聪Cong (Cong Ma)</v>
      </c>
      <c r="AF436" t="str">
        <f>VLOOKUP($H436,'[3]0509人员排班情况 副本'!$G:$U,14,FALSE)</f>
        <v>朱晗宇 Peter (Hanyu Zhu)</v>
      </c>
      <c r="AG436">
        <f>VLOOKUP($H436,'[3]0509人员排班情况 副本'!$G:$U,15,FALSE)</f>
        <v>0</v>
      </c>
    </row>
    <row r="437" customHeight="1" spans="1:33">
      <c r="A437" t="s">
        <v>202</v>
      </c>
      <c r="B437" t="s">
        <v>1492</v>
      </c>
      <c r="C437" t="s">
        <v>1493</v>
      </c>
      <c r="D437" t="s">
        <v>12</v>
      </c>
      <c r="E437" t="s">
        <v>1494</v>
      </c>
      <c r="F437" t="s">
        <v>148</v>
      </c>
      <c r="H437" t="str">
        <f t="shared" si="42"/>
        <v>CM 运力管理部美东运力组</v>
      </c>
      <c r="I437" t="s">
        <v>1495</v>
      </c>
      <c r="J437" t="s">
        <v>236</v>
      </c>
      <c r="K437" s="15">
        <v>0.395833333333333</v>
      </c>
      <c r="L437" s="15" t="s">
        <v>218</v>
      </c>
      <c r="M437" s="15">
        <v>0.480555555555556</v>
      </c>
      <c r="N437" t="s">
        <v>148</v>
      </c>
      <c r="O437" s="20" t="str">
        <f t="shared" si="43"/>
        <v>不正确</v>
      </c>
      <c r="P437" s="21">
        <v>0</v>
      </c>
      <c r="Q437" s="21">
        <v>0</v>
      </c>
      <c r="R437" s="21">
        <v>0</v>
      </c>
      <c r="S437" s="21">
        <f t="shared" si="44"/>
        <v>0</v>
      </c>
      <c r="T437" s="21">
        <f t="shared" si="45"/>
        <v>0</v>
      </c>
      <c r="U437" s="21" t="str">
        <f t="shared" si="46"/>
        <v>否</v>
      </c>
      <c r="V437" s="21">
        <f>VLOOKUP($C437,[4]Sheet1!$B:$AN,39,FALSE)</f>
        <v>0</v>
      </c>
      <c r="W437" s="21">
        <v>0</v>
      </c>
      <c r="X437" s="23">
        <v>1</v>
      </c>
      <c r="Y437" s="23">
        <v>4</v>
      </c>
      <c r="Z437" s="25">
        <f t="shared" si="47"/>
        <v>3</v>
      </c>
      <c r="AA437" s="25" t="str">
        <f t="shared" si="48"/>
        <v>是</v>
      </c>
      <c r="AB437" t="s">
        <v>148</v>
      </c>
      <c r="AC437" t="e">
        <f>VLOOKUP(C437,[1]Sheet1!$C:$O,13,FALSE)</f>
        <v>#N/A</v>
      </c>
      <c r="AD437" t="str">
        <f>VLOOKUP($H437,'[3]0509人员排班情况 副本'!$G:$U,12,FALSE)</f>
        <v>袁博闻(Bowen Yuan)</v>
      </c>
      <c r="AE437">
        <f>VLOOKUP($H437,'[3]0509人员排班情况 副本'!$G:$U,13,FALSE)</f>
        <v>0</v>
      </c>
      <c r="AF437">
        <f>VLOOKUP($H437,'[3]0509人员排班情况 副本'!$G:$U,14,FALSE)</f>
        <v>0</v>
      </c>
      <c r="AG437">
        <f>VLOOKUP($H437,'[3]0509人员排班情况 副本'!$G:$U,15,FALSE)</f>
        <v>0</v>
      </c>
    </row>
    <row r="438" customHeight="1" spans="1:33">
      <c r="A438" t="s">
        <v>202</v>
      </c>
      <c r="B438" t="s">
        <v>1496</v>
      </c>
      <c r="C438" t="s">
        <v>1497</v>
      </c>
      <c r="D438" t="s">
        <v>31</v>
      </c>
      <c r="E438" t="s">
        <v>39</v>
      </c>
      <c r="F438" t="s">
        <v>148</v>
      </c>
      <c r="H438" t="str">
        <f t="shared" si="42"/>
        <v>GL 大湖大区MKE01</v>
      </c>
      <c r="I438" t="s">
        <v>177</v>
      </c>
      <c r="J438" t="s">
        <v>221</v>
      </c>
      <c r="K438" s="15">
        <v>0.208333333333333</v>
      </c>
      <c r="L438" s="15" t="s">
        <v>222</v>
      </c>
      <c r="M438" s="15"/>
      <c r="N438" t="s">
        <v>148</v>
      </c>
      <c r="O438" s="20" t="str">
        <f t="shared" si="43"/>
        <v>不正确</v>
      </c>
      <c r="P438" s="21">
        <v>0</v>
      </c>
      <c r="Q438" s="21">
        <v>0</v>
      </c>
      <c r="R438" s="21">
        <v>0</v>
      </c>
      <c r="S438" s="21">
        <f t="shared" si="44"/>
        <v>0</v>
      </c>
      <c r="T438" s="21">
        <f t="shared" si="45"/>
        <v>0</v>
      </c>
      <c r="U438" s="21" t="str">
        <f t="shared" si="46"/>
        <v>否</v>
      </c>
      <c r="V438" s="21">
        <f>VLOOKUP($C438,[4]Sheet1!$B:$AN,39,FALSE)</f>
        <v>0</v>
      </c>
      <c r="W438" s="21">
        <v>0</v>
      </c>
      <c r="X438" s="23">
        <v>0</v>
      </c>
      <c r="Y438" s="23">
        <v>4</v>
      </c>
      <c r="Z438" s="25">
        <f t="shared" si="47"/>
        <v>4</v>
      </c>
      <c r="AA438" s="25" t="str">
        <f t="shared" si="48"/>
        <v>是</v>
      </c>
      <c r="AB438" t="s">
        <v>148</v>
      </c>
      <c r="AC438" t="e">
        <f>VLOOKUP(C438,[1]Sheet1!$C:$O,13,FALSE)</f>
        <v>#N/A</v>
      </c>
      <c r="AD438" t="str">
        <f>VLOOKUP($H438,'[3]0509人员排班情况 副本'!$G:$U,12,FALSE)</f>
        <v>王晓丹 Jasmine（Xiaodan Wang）,周延舒Isabel（Yanshu Zhou）</v>
      </c>
      <c r="AE438" t="str">
        <f>VLOOKUP($H438,'[3]0509人员排班情况 副本'!$G:$U,13,FALSE)</f>
        <v>张骥Ji Zhang (Ji Zhang)</v>
      </c>
      <c r="AF438">
        <f>VLOOKUP($H438,'[3]0509人员排班情况 副本'!$G:$U,14,FALSE)</f>
        <v>0</v>
      </c>
      <c r="AG438">
        <f>VLOOKUP($H438,'[3]0509人员排班情况 副本'!$G:$U,15,FALSE)</f>
        <v>0</v>
      </c>
    </row>
    <row r="439" customHeight="1" spans="1:33">
      <c r="A439" t="s">
        <v>202</v>
      </c>
      <c r="B439" t="s">
        <v>1498</v>
      </c>
      <c r="C439" t="s">
        <v>1499</v>
      </c>
      <c r="D439" t="s">
        <v>68</v>
      </c>
      <c r="E439" t="s">
        <v>80</v>
      </c>
      <c r="F439" t="s">
        <v>546</v>
      </c>
      <c r="H439" t="str">
        <f t="shared" si="42"/>
        <v>NE 东北大区MA 新英格兰片区MHT01</v>
      </c>
      <c r="I439" t="s">
        <v>406</v>
      </c>
      <c r="J439" t="s">
        <v>343</v>
      </c>
      <c r="K439" s="15">
        <v>0.25</v>
      </c>
      <c r="L439" s="15" t="s">
        <v>344</v>
      </c>
      <c r="M439" s="15">
        <v>0.24375</v>
      </c>
      <c r="N439" t="s">
        <v>1500</v>
      </c>
      <c r="O439" s="20" t="str">
        <f t="shared" si="43"/>
        <v>正确</v>
      </c>
      <c r="P439" s="21">
        <v>0</v>
      </c>
      <c r="Q439" s="21">
        <v>8.25</v>
      </c>
      <c r="R439" s="21">
        <v>0</v>
      </c>
      <c r="S439" s="21">
        <f t="shared" si="44"/>
        <v>8.25</v>
      </c>
      <c r="T439" s="21">
        <f t="shared" si="45"/>
        <v>0.25</v>
      </c>
      <c r="U439" s="21" t="str">
        <f t="shared" si="46"/>
        <v>是</v>
      </c>
      <c r="V439" s="21">
        <f>VLOOKUP($C439,[4]Sheet1!$B:$AN,39,FALSE)</f>
        <v>16.38</v>
      </c>
      <c r="W439" s="21">
        <v>0</v>
      </c>
      <c r="X439" s="23">
        <v>4</v>
      </c>
      <c r="Y439" s="23">
        <v>4</v>
      </c>
      <c r="Z439" s="25">
        <f t="shared" si="47"/>
        <v>0</v>
      </c>
      <c r="AA439" s="25" t="str">
        <f t="shared" si="48"/>
        <v>是</v>
      </c>
      <c r="AB439" t="s">
        <v>148</v>
      </c>
      <c r="AC439" t="e">
        <f>VLOOKUP(C439,[1]Sheet1!$C:$O,13,FALSE)</f>
        <v>#N/A</v>
      </c>
      <c r="AD439" t="str">
        <f>VLOOKUP($H439,'[3]0509人员排班情况 副本'!$G:$U,12,FALSE)</f>
        <v>孙可君Monica（Kejun Sun）</v>
      </c>
      <c r="AE439" t="str">
        <f>VLOOKUP($H439,'[3]0509人员排班情况 副本'!$G:$U,13,FALSE)</f>
        <v>马聪Cong (Cong Ma)</v>
      </c>
      <c r="AF439" t="str">
        <f>VLOOKUP($H439,'[3]0509人员排班情况 副本'!$G:$U,14,FALSE)</f>
        <v>朱晗宇 Peter (Hanyu Zhu)</v>
      </c>
      <c r="AG439">
        <f>VLOOKUP($H439,'[3]0509人员排班情况 副本'!$G:$U,15,FALSE)</f>
        <v>0</v>
      </c>
    </row>
    <row r="440" customHeight="1" spans="1:33">
      <c r="A440" t="s">
        <v>202</v>
      </c>
      <c r="B440" t="s">
        <v>1501</v>
      </c>
      <c r="C440" t="s">
        <v>1502</v>
      </c>
      <c r="D440" t="s">
        <v>15</v>
      </c>
      <c r="E440" t="s">
        <v>24</v>
      </c>
      <c r="F440" t="s">
        <v>28</v>
      </c>
      <c r="H440" t="str">
        <f t="shared" si="42"/>
        <v>FL 佛州大区SF 南佛片区WPB01</v>
      </c>
      <c r="I440" t="s">
        <v>177</v>
      </c>
      <c r="J440" t="s">
        <v>343</v>
      </c>
      <c r="K440" s="15">
        <v>0.25</v>
      </c>
      <c r="L440" s="15" t="s">
        <v>344</v>
      </c>
      <c r="M440" s="15">
        <v>0.24375</v>
      </c>
      <c r="N440" t="s">
        <v>1503</v>
      </c>
      <c r="O440" s="20" t="str">
        <f t="shared" si="43"/>
        <v>正确</v>
      </c>
      <c r="P440" s="21">
        <v>0</v>
      </c>
      <c r="Q440" s="21">
        <v>7.72</v>
      </c>
      <c r="R440" s="21">
        <v>0</v>
      </c>
      <c r="S440" s="21">
        <f t="shared" si="44"/>
        <v>7.72</v>
      </c>
      <c r="T440" s="21">
        <f t="shared" si="45"/>
        <v>0</v>
      </c>
      <c r="U440" s="21" t="str">
        <f t="shared" si="46"/>
        <v>否</v>
      </c>
      <c r="V440" s="21">
        <f>VLOOKUP($C440,[4]Sheet1!$B:$AN,39,FALSE)</f>
        <v>16.19</v>
      </c>
      <c r="W440" s="21">
        <v>0</v>
      </c>
      <c r="X440" s="23">
        <v>4</v>
      </c>
      <c r="Y440" s="23">
        <v>4</v>
      </c>
      <c r="Z440" s="25">
        <f t="shared" si="47"/>
        <v>0</v>
      </c>
      <c r="AA440" s="25" t="str">
        <f t="shared" si="48"/>
        <v>是</v>
      </c>
      <c r="AB440" t="s">
        <v>148</v>
      </c>
      <c r="AC440" t="e">
        <f>VLOOKUP(C440,[1]Sheet1!$C:$O,13,FALSE)</f>
        <v>#N/A</v>
      </c>
      <c r="AD440" t="str">
        <f>VLOOKUP($H440,'[3]0509人员排班情况 副本'!$G:$U,12,FALSE)</f>
        <v>Natalia (Natalia Padilla),孙婕 Jasmine（Sunjie）</v>
      </c>
      <c r="AE440" t="str">
        <f>VLOOKUP($H440,'[3]0509人员排班情况 副本'!$G:$U,13,FALSE)</f>
        <v>贺子强Jeff (Ziqiang He)</v>
      </c>
      <c r="AF440" t="str">
        <f>VLOOKUP($H440,'[3]0509人员排班情况 副本'!$G:$U,14,FALSE)</f>
        <v>曹杨清清(Encore)</v>
      </c>
      <c r="AG440">
        <f>VLOOKUP($H440,'[3]0509人员排班情况 副本'!$G:$U,15,FALSE)</f>
        <v>0</v>
      </c>
    </row>
    <row r="441" customHeight="1" spans="1:33">
      <c r="A441" t="s">
        <v>202</v>
      </c>
      <c r="B441" t="s">
        <v>1504</v>
      </c>
      <c r="C441" t="s">
        <v>1505</v>
      </c>
      <c r="D441" t="s">
        <v>58</v>
      </c>
      <c r="E441" t="s">
        <v>61</v>
      </c>
      <c r="F441" t="s">
        <v>166</v>
      </c>
      <c r="G441" t="s">
        <v>112</v>
      </c>
      <c r="H441" t="str">
        <f t="shared" si="42"/>
        <v>MS 中南大区ATL.H综办组</v>
      </c>
      <c r="I441" t="s">
        <v>167</v>
      </c>
      <c r="J441" t="s">
        <v>295</v>
      </c>
      <c r="K441" s="15">
        <v>0.375</v>
      </c>
      <c r="L441" s="15" t="s">
        <v>296</v>
      </c>
      <c r="M441" s="15">
        <v>0.372222222222222</v>
      </c>
      <c r="N441" t="s">
        <v>1506</v>
      </c>
      <c r="O441" s="20" t="str">
        <f t="shared" si="43"/>
        <v>正确</v>
      </c>
      <c r="P441" s="21">
        <v>0</v>
      </c>
      <c r="Q441" s="21">
        <v>10.95</v>
      </c>
      <c r="R441" s="21">
        <v>0</v>
      </c>
      <c r="S441" s="21">
        <f t="shared" si="44"/>
        <v>10.95</v>
      </c>
      <c r="T441" s="21">
        <f t="shared" si="45"/>
        <v>2.95</v>
      </c>
      <c r="U441" s="21" t="str">
        <f t="shared" si="46"/>
        <v>是</v>
      </c>
      <c r="V441" s="21">
        <f>VLOOKUP($C441,[4]Sheet1!$B:$AN,39,FALSE)</f>
        <v>19.4</v>
      </c>
      <c r="W441" s="21">
        <v>0</v>
      </c>
      <c r="X441" s="23">
        <v>4</v>
      </c>
      <c r="Y441" s="23">
        <v>4</v>
      </c>
      <c r="Z441" s="25">
        <f t="shared" si="47"/>
        <v>0</v>
      </c>
      <c r="AA441" s="25" t="str">
        <f t="shared" si="48"/>
        <v>是</v>
      </c>
      <c r="AB441" t="s">
        <v>148</v>
      </c>
      <c r="AC441" t="e">
        <f>VLOOKUP(C441,[1]Sheet1!$C:$O,13,FALSE)</f>
        <v>#N/A</v>
      </c>
      <c r="AD441" t="str">
        <f>VLOOKUP($H441,'[3]0509人员排班情况 副本'!$G:$U,12,FALSE)</f>
        <v>欧阳迎春Flower（Yingchun Ouyang）</v>
      </c>
      <c r="AE441" t="str">
        <f>VLOOKUP($H441,'[3]0509人员排班情况 副本'!$G:$U,13,FALSE)</f>
        <v>杨云飞</v>
      </c>
      <c r="AF441" t="str">
        <f>VLOOKUP($H441,'[3]0509人员排班情况 副本'!$G:$U,14,FALSE)</f>
        <v>Minqing (Minqing Xu),罗煜雄 Mike (Yuxiong Luo),明杰麟Jennie (Jielin Ming)</v>
      </c>
      <c r="AG441" t="str">
        <f>VLOOKUP($H441,'[3]0509人员排班情况 副本'!$G:$U,15,FALSE)</f>
        <v>文艳平</v>
      </c>
    </row>
    <row r="442" customHeight="1" spans="1:33">
      <c r="A442" t="s">
        <v>202</v>
      </c>
      <c r="B442" t="s">
        <v>1507</v>
      </c>
      <c r="C442" t="s">
        <v>1508</v>
      </c>
      <c r="D442" t="s">
        <v>92</v>
      </c>
      <c r="E442" t="s">
        <v>96</v>
      </c>
      <c r="F442" t="s">
        <v>166</v>
      </c>
      <c r="G442" t="s">
        <v>112</v>
      </c>
      <c r="H442" t="str">
        <f t="shared" si="42"/>
        <v>TX 德州大区IAH.H综办组</v>
      </c>
      <c r="I442" t="s">
        <v>1284</v>
      </c>
      <c r="J442" t="s">
        <v>400</v>
      </c>
      <c r="K442" s="15">
        <v>0.5</v>
      </c>
      <c r="L442" s="15" t="s">
        <v>401</v>
      </c>
      <c r="M442" s="15">
        <v>0.476388888888889</v>
      </c>
      <c r="N442" t="s">
        <v>1509</v>
      </c>
      <c r="O442" s="20" t="str">
        <f t="shared" si="43"/>
        <v>正确</v>
      </c>
      <c r="P442" s="21">
        <v>0</v>
      </c>
      <c r="Q442" s="21">
        <v>8.63</v>
      </c>
      <c r="R442" s="21">
        <v>0</v>
      </c>
      <c r="S442" s="21">
        <f t="shared" si="44"/>
        <v>8.63</v>
      </c>
      <c r="T442" s="21">
        <f t="shared" si="45"/>
        <v>0.630000000000001</v>
      </c>
      <c r="U442" s="21" t="str">
        <f t="shared" si="46"/>
        <v>是</v>
      </c>
      <c r="V442" s="21">
        <f>VLOOKUP($C442,[4]Sheet1!$B:$AN,39,FALSE)</f>
        <v>17.41</v>
      </c>
      <c r="W442" s="21">
        <v>5.49</v>
      </c>
      <c r="X442" s="23">
        <v>4</v>
      </c>
      <c r="Y442" s="23">
        <v>4</v>
      </c>
      <c r="Z442" s="25">
        <f t="shared" si="47"/>
        <v>0</v>
      </c>
      <c r="AA442" s="25" t="str">
        <f t="shared" si="48"/>
        <v>是</v>
      </c>
      <c r="AB442" t="s">
        <v>148</v>
      </c>
      <c r="AC442" t="e">
        <f>VLOOKUP(C442,[1]Sheet1!$C:$O,13,FALSE)</f>
        <v>#N/A</v>
      </c>
      <c r="AD442" t="str">
        <f>VLOOKUP($H442,'[3]0509人员排班情况 副本'!$G:$U,12,FALSE)</f>
        <v>肖芦莉Lily (Luli Xiao)</v>
      </c>
      <c r="AE442" t="str">
        <f>VLOOKUP($H442,'[3]0509人员排班情况 副本'!$G:$U,13,FALSE)</f>
        <v>张骥Ji Zhang (Ji Zhang)</v>
      </c>
      <c r="AF442" t="str">
        <f>VLOOKUP($H442,'[3]0509人员排班情况 副本'!$G:$U,14,FALSE)</f>
        <v>Minqing (Minqing Xu),罗煜雄 Mike (Yuxiong Luo)</v>
      </c>
      <c r="AG442">
        <f>VLOOKUP($H442,'[3]0509人员排班情况 副本'!$G:$U,15,FALSE)</f>
        <v>0</v>
      </c>
    </row>
    <row r="443" customHeight="1" spans="1:33">
      <c r="A443" t="s">
        <v>202</v>
      </c>
      <c r="B443" t="s">
        <v>1510</v>
      </c>
      <c r="C443" t="s">
        <v>1511</v>
      </c>
      <c r="D443" t="s">
        <v>31</v>
      </c>
      <c r="E443" t="s">
        <v>43</v>
      </c>
      <c r="F443" t="s">
        <v>148</v>
      </c>
      <c r="H443" t="str">
        <f t="shared" si="42"/>
        <v>GL 大湖大区WG 西大湖片区</v>
      </c>
      <c r="I443" t="s">
        <v>173</v>
      </c>
      <c r="J443" t="s">
        <v>221</v>
      </c>
      <c r="K443" s="15">
        <v>0.208333333333333</v>
      </c>
      <c r="L443" s="15" t="s">
        <v>222</v>
      </c>
      <c r="M443" s="15"/>
      <c r="N443" t="s">
        <v>148</v>
      </c>
      <c r="O443" s="20" t="str">
        <f t="shared" si="43"/>
        <v>不正确</v>
      </c>
      <c r="P443" s="21">
        <v>0</v>
      </c>
      <c r="Q443" s="21">
        <v>0</v>
      </c>
      <c r="R443" s="21">
        <v>0</v>
      </c>
      <c r="S443" s="21">
        <f t="shared" si="44"/>
        <v>0</v>
      </c>
      <c r="T443" s="21">
        <f t="shared" si="45"/>
        <v>0</v>
      </c>
      <c r="U443" s="21" t="str">
        <f t="shared" si="46"/>
        <v>否</v>
      </c>
      <c r="V443" s="21">
        <f>VLOOKUP($C443,[4]Sheet1!$B:$AN,39,FALSE)</f>
        <v>0</v>
      </c>
      <c r="W443" s="21">
        <v>0</v>
      </c>
      <c r="X443" s="23">
        <v>0</v>
      </c>
      <c r="Y443" s="23">
        <v>4</v>
      </c>
      <c r="Z443" s="25">
        <f t="shared" si="47"/>
        <v>4</v>
      </c>
      <c r="AA443" s="25" t="str">
        <f t="shared" si="48"/>
        <v>是</v>
      </c>
      <c r="AB443" t="s">
        <v>148</v>
      </c>
      <c r="AC443" t="e">
        <f>VLOOKUP(C443,[1]Sheet1!$C:$O,13,FALSE)</f>
        <v>#N/A</v>
      </c>
      <c r="AD443" t="str">
        <f>VLOOKUP($H443,'[3]0509人员排班情况 副本'!$G:$U,12,FALSE)</f>
        <v>王晓丹 Jasmine（Xiaodan Wang）,周延舒Isabel（Yanshu Zhou）</v>
      </c>
      <c r="AE443" t="str">
        <f>VLOOKUP($H443,'[3]0509人员排班情况 副本'!$G:$U,13,FALSE)</f>
        <v>张骥Ji Zhang (Ji Zhang)</v>
      </c>
      <c r="AF443">
        <f>VLOOKUP($H443,'[3]0509人员排班情况 副本'!$G:$U,14,FALSE)</f>
        <v>0</v>
      </c>
      <c r="AG443">
        <f>VLOOKUP($H443,'[3]0509人员排班情况 副本'!$G:$U,15,FALSE)</f>
        <v>0</v>
      </c>
    </row>
    <row r="444" customHeight="1" spans="1:33">
      <c r="A444" t="s">
        <v>202</v>
      </c>
      <c r="B444" t="s">
        <v>1512</v>
      </c>
      <c r="C444" t="s">
        <v>1513</v>
      </c>
      <c r="D444" t="s">
        <v>58</v>
      </c>
      <c r="E444" t="s">
        <v>63</v>
      </c>
      <c r="F444" t="s">
        <v>275</v>
      </c>
      <c r="G444" t="s">
        <v>112</v>
      </c>
      <c r="H444" t="str">
        <f t="shared" si="42"/>
        <v>MS 中南大区CLT.H分拣组</v>
      </c>
      <c r="I444" t="s">
        <v>276</v>
      </c>
      <c r="J444" t="s">
        <v>236</v>
      </c>
      <c r="K444" s="15">
        <v>0.395833333333333</v>
      </c>
      <c r="L444" s="15" t="s">
        <v>218</v>
      </c>
      <c r="M444" s="15">
        <v>0.348611111111111</v>
      </c>
      <c r="N444" t="s">
        <v>1514</v>
      </c>
      <c r="O444" s="20" t="str">
        <f t="shared" si="43"/>
        <v>不正确</v>
      </c>
      <c r="P444" s="21">
        <v>0</v>
      </c>
      <c r="Q444" s="21">
        <v>10.52</v>
      </c>
      <c r="R444" s="21">
        <v>0</v>
      </c>
      <c r="S444" s="21">
        <f t="shared" si="44"/>
        <v>10.52</v>
      </c>
      <c r="T444" s="21">
        <f t="shared" si="45"/>
        <v>2.52</v>
      </c>
      <c r="U444" s="21" t="str">
        <f t="shared" si="46"/>
        <v>是</v>
      </c>
      <c r="V444" s="21">
        <f>VLOOKUP($C444,[4]Sheet1!$B:$AN,39,FALSE)</f>
        <v>21.79</v>
      </c>
      <c r="W444" s="21">
        <v>0</v>
      </c>
      <c r="X444" s="23">
        <v>4</v>
      </c>
      <c r="Y444" s="23">
        <v>4</v>
      </c>
      <c r="Z444" s="25">
        <f t="shared" si="47"/>
        <v>0</v>
      </c>
      <c r="AA444" s="25" t="str">
        <f t="shared" si="48"/>
        <v>是</v>
      </c>
      <c r="AB444" t="s">
        <v>148</v>
      </c>
      <c r="AC444" t="e">
        <f>VLOOKUP(C444,[1]Sheet1!$C:$O,13,FALSE)</f>
        <v>#N/A</v>
      </c>
      <c r="AD444" t="str">
        <f>VLOOKUP($H444,'[3]0509人员排班情况 副本'!$G:$U,12,FALSE)</f>
        <v>欧阳迎春Flower（Yingchun Ouyang）</v>
      </c>
      <c r="AE444" t="str">
        <f>VLOOKUP($H444,'[3]0509人员排班情况 副本'!$G:$U,13,FALSE)</f>
        <v>杨云飞</v>
      </c>
      <c r="AF444" t="str">
        <f>VLOOKUP($H444,'[3]0509人员排班情况 副本'!$G:$U,14,FALSE)</f>
        <v>张双甫(Shuangfu Zhang)</v>
      </c>
      <c r="AG444">
        <f>VLOOKUP($H444,'[3]0509人员排班情况 副本'!$G:$U,15,FALSE)</f>
        <v>0</v>
      </c>
    </row>
    <row r="445" customHeight="1" spans="1:33">
      <c r="A445" t="s">
        <v>202</v>
      </c>
      <c r="B445" t="s">
        <v>1515</v>
      </c>
      <c r="C445" t="s">
        <v>1516</v>
      </c>
      <c r="D445" t="s">
        <v>92</v>
      </c>
      <c r="E445" t="s">
        <v>94</v>
      </c>
      <c r="F445" t="s">
        <v>243</v>
      </c>
      <c r="G445" t="s">
        <v>112</v>
      </c>
      <c r="H445" t="str">
        <f t="shared" si="42"/>
        <v>TX 德州大区DFW.H调度组</v>
      </c>
      <c r="I445" t="s">
        <v>244</v>
      </c>
      <c r="J445" t="s">
        <v>217</v>
      </c>
      <c r="K445" s="15">
        <v>0.395833333333333</v>
      </c>
      <c r="L445" s="15" t="s">
        <v>218</v>
      </c>
      <c r="M445" s="15"/>
      <c r="N445" t="s">
        <v>148</v>
      </c>
      <c r="O445" s="20" t="s">
        <v>116</v>
      </c>
      <c r="P445" s="21">
        <v>0</v>
      </c>
      <c r="Q445" s="21">
        <v>0</v>
      </c>
      <c r="R445" s="21">
        <v>0</v>
      </c>
      <c r="S445" s="21">
        <f t="shared" si="44"/>
        <v>0</v>
      </c>
      <c r="T445" s="21">
        <f t="shared" si="45"/>
        <v>0</v>
      </c>
      <c r="U445" s="21" t="str">
        <f t="shared" si="46"/>
        <v>否</v>
      </c>
      <c r="V445" s="21">
        <f>VLOOKUP($C445,[4]Sheet1!$B:$AN,39,FALSE)</f>
        <v>0</v>
      </c>
      <c r="W445" s="21">
        <v>0</v>
      </c>
      <c r="X445" s="23">
        <v>0</v>
      </c>
      <c r="Y445" s="23">
        <v>0</v>
      </c>
      <c r="Z445" s="25">
        <f t="shared" si="47"/>
        <v>0</v>
      </c>
      <c r="AA445" s="25" t="str">
        <f t="shared" si="48"/>
        <v>是</v>
      </c>
      <c r="AB445" t="s">
        <v>148</v>
      </c>
      <c r="AC445" t="e">
        <f>VLOOKUP(C445,[1]Sheet1!$C:$O,13,FALSE)</f>
        <v>#N/A</v>
      </c>
      <c r="AD445" t="str">
        <f>VLOOKUP($H445,'[3]0509人员排班情况 副本'!$G:$U,12,FALSE)</f>
        <v>肖芦莉Lily (Luli Xiao)</v>
      </c>
      <c r="AE445" t="str">
        <f>VLOOKUP($H445,'[3]0509人员排班情况 副本'!$G:$U,13,FALSE)</f>
        <v>张骥Ji Zhang (Ji Zhang)</v>
      </c>
      <c r="AF445" t="str">
        <f>VLOOKUP($H445,'[3]0509人员排班情况 副本'!$G:$U,14,FALSE)</f>
        <v>Minqing (Minqing Xu),罗煜雄 Mike (Yuxiong Luo)</v>
      </c>
      <c r="AG445">
        <f>VLOOKUP($H445,'[3]0509人员排班情况 副本'!$G:$U,15,FALSE)</f>
        <v>0</v>
      </c>
    </row>
    <row r="446" customHeight="1" spans="1:33">
      <c r="A446" t="s">
        <v>202</v>
      </c>
      <c r="B446" t="s">
        <v>1517</v>
      </c>
      <c r="C446" t="s">
        <v>1518</v>
      </c>
      <c r="D446" t="s">
        <v>15</v>
      </c>
      <c r="E446" t="s">
        <v>24</v>
      </c>
      <c r="F446" t="s">
        <v>28</v>
      </c>
      <c r="H446" t="str">
        <f t="shared" si="42"/>
        <v>FL 佛州大区SF 南佛片区WPB01</v>
      </c>
      <c r="I446" t="s">
        <v>687</v>
      </c>
      <c r="J446" t="s">
        <v>211</v>
      </c>
      <c r="K446" s="15">
        <v>0.333333333333333</v>
      </c>
      <c r="L446" s="15" t="s">
        <v>212</v>
      </c>
      <c r="M446" s="15">
        <v>0.322916666666667</v>
      </c>
      <c r="N446" t="s">
        <v>1519</v>
      </c>
      <c r="O446" s="20" t="str">
        <f t="shared" si="43"/>
        <v>正确</v>
      </c>
      <c r="P446" s="21">
        <v>0</v>
      </c>
      <c r="Q446" s="21">
        <v>13.65</v>
      </c>
      <c r="R446" s="21">
        <v>0</v>
      </c>
      <c r="S446" s="21">
        <f t="shared" si="44"/>
        <v>13.65</v>
      </c>
      <c r="T446" s="21">
        <f t="shared" si="45"/>
        <v>5.65</v>
      </c>
      <c r="U446" s="21" t="str">
        <f t="shared" si="46"/>
        <v>是</v>
      </c>
      <c r="V446" s="21">
        <f>VLOOKUP($C446,[4]Sheet1!$B:$AN,39,FALSE)</f>
        <v>29.25</v>
      </c>
      <c r="W446" s="21">
        <v>0</v>
      </c>
      <c r="X446" s="23">
        <v>6</v>
      </c>
      <c r="Y446" s="23">
        <v>4</v>
      </c>
      <c r="Z446" s="25">
        <f t="shared" si="47"/>
        <v>0</v>
      </c>
      <c r="AA446" s="25" t="str">
        <f t="shared" si="48"/>
        <v>是</v>
      </c>
      <c r="AB446" t="s">
        <v>148</v>
      </c>
      <c r="AC446" t="e">
        <f>VLOOKUP(C446,[1]Sheet1!$C:$O,13,FALSE)</f>
        <v>#N/A</v>
      </c>
      <c r="AD446" t="str">
        <f>VLOOKUP($H446,'[3]0509人员排班情况 副本'!$G:$U,12,FALSE)</f>
        <v>Natalia (Natalia Padilla),孙婕 Jasmine（Sunjie）</v>
      </c>
      <c r="AE446" t="str">
        <f>VLOOKUP($H446,'[3]0509人员排班情况 副本'!$G:$U,13,FALSE)</f>
        <v>贺子强Jeff (Ziqiang He)</v>
      </c>
      <c r="AF446" t="str">
        <f>VLOOKUP($H446,'[3]0509人员排班情况 副本'!$G:$U,14,FALSE)</f>
        <v>曹杨清清(Encore)</v>
      </c>
      <c r="AG446">
        <f>VLOOKUP($H446,'[3]0509人员排班情况 副本'!$G:$U,15,FALSE)</f>
        <v>0</v>
      </c>
    </row>
    <row r="447" customHeight="1" spans="1:33">
      <c r="A447" t="s">
        <v>202</v>
      </c>
      <c r="B447" t="s">
        <v>1520</v>
      </c>
      <c r="C447" t="s">
        <v>1521</v>
      </c>
      <c r="D447" t="s">
        <v>14</v>
      </c>
      <c r="E447" t="s">
        <v>1522</v>
      </c>
      <c r="F447" t="s">
        <v>148</v>
      </c>
      <c r="H447" t="str">
        <f t="shared" si="42"/>
        <v>DO 数字运营部美国项目交付组</v>
      </c>
      <c r="I447" t="s">
        <v>1523</v>
      </c>
      <c r="J447" t="s">
        <v>295</v>
      </c>
      <c r="K447" s="15">
        <v>0.375</v>
      </c>
      <c r="L447" s="15" t="s">
        <v>296</v>
      </c>
      <c r="M447" s="15"/>
      <c r="N447" t="s">
        <v>148</v>
      </c>
      <c r="O447" s="20" t="str">
        <f t="shared" si="43"/>
        <v>不正确</v>
      </c>
      <c r="P447" s="21">
        <v>0</v>
      </c>
      <c r="Q447" s="21">
        <v>0</v>
      </c>
      <c r="R447" s="21">
        <v>0</v>
      </c>
      <c r="S447" s="21">
        <f t="shared" si="44"/>
        <v>0</v>
      </c>
      <c r="T447" s="21">
        <f t="shared" si="45"/>
        <v>0</v>
      </c>
      <c r="U447" s="21" t="str">
        <f t="shared" si="46"/>
        <v>否</v>
      </c>
      <c r="V447" s="21">
        <f>VLOOKUP($C447,[4]Sheet1!$B:$AN,39,FALSE)</f>
        <v>0</v>
      </c>
      <c r="W447" s="21">
        <v>0</v>
      </c>
      <c r="X447" s="23">
        <v>0</v>
      </c>
      <c r="Y447" s="23">
        <v>0</v>
      </c>
      <c r="Z447" s="25">
        <f t="shared" si="47"/>
        <v>0</v>
      </c>
      <c r="AA447" s="25" t="str">
        <f t="shared" si="48"/>
        <v>是</v>
      </c>
      <c r="AB447" t="s">
        <v>1011</v>
      </c>
      <c r="AC447" t="e">
        <f>VLOOKUP(C447,[1]Sheet1!$C:$O,13,FALSE)</f>
        <v>#N/A</v>
      </c>
      <c r="AD447" t="str">
        <f>VLOOKUP($H447,'[3]0509人员排班情况 副本'!$G:$U,12,FALSE)</f>
        <v>袁博闻(Bowen Yuan)</v>
      </c>
      <c r="AE447">
        <f>VLOOKUP($H447,'[3]0509人员排班情况 副本'!$G:$U,13,FALSE)</f>
        <v>0</v>
      </c>
      <c r="AF447">
        <f>VLOOKUP($H447,'[3]0509人员排班情况 副本'!$G:$U,14,FALSE)</f>
        <v>0</v>
      </c>
      <c r="AG447">
        <f>VLOOKUP($H447,'[3]0509人员排班情况 副本'!$G:$U,15,FALSE)</f>
        <v>0</v>
      </c>
    </row>
    <row r="448" customHeight="1" spans="1:33">
      <c r="A448" t="s">
        <v>202</v>
      </c>
      <c r="B448" t="s">
        <v>1524</v>
      </c>
      <c r="C448" t="s">
        <v>1525</v>
      </c>
      <c r="D448" t="s">
        <v>68</v>
      </c>
      <c r="E448" t="s">
        <v>78</v>
      </c>
      <c r="F448" t="s">
        <v>166</v>
      </c>
      <c r="G448" t="s">
        <v>112</v>
      </c>
      <c r="H448" t="str">
        <f t="shared" si="42"/>
        <v>NE 东北大区JFK.H综办组</v>
      </c>
      <c r="I448" t="s">
        <v>167</v>
      </c>
      <c r="J448" t="s">
        <v>282</v>
      </c>
      <c r="K448" s="15">
        <v>0.416666666666667</v>
      </c>
      <c r="L448" s="15" t="s">
        <v>283</v>
      </c>
      <c r="M448" s="15">
        <v>0.416666666666667</v>
      </c>
      <c r="N448" t="s">
        <v>661</v>
      </c>
      <c r="O448" s="20" t="str">
        <f t="shared" si="43"/>
        <v>正确</v>
      </c>
      <c r="P448" s="21">
        <v>0</v>
      </c>
      <c r="Q448" s="21">
        <v>8.6</v>
      </c>
      <c r="R448" s="21">
        <v>0</v>
      </c>
      <c r="S448" s="21">
        <f t="shared" si="44"/>
        <v>8.6</v>
      </c>
      <c r="T448" s="21">
        <f t="shared" si="45"/>
        <v>0.6</v>
      </c>
      <c r="U448" s="21" t="str">
        <f t="shared" si="46"/>
        <v>是</v>
      </c>
      <c r="V448" s="21">
        <f>VLOOKUP($C448,[4]Sheet1!$B:$AN,39,FALSE)</f>
        <v>17.27</v>
      </c>
      <c r="W448" s="21">
        <v>0</v>
      </c>
      <c r="X448" s="23">
        <v>4</v>
      </c>
      <c r="Y448" s="23">
        <v>4</v>
      </c>
      <c r="Z448" s="25">
        <f t="shared" si="47"/>
        <v>0</v>
      </c>
      <c r="AA448" s="25" t="str">
        <f t="shared" si="48"/>
        <v>是</v>
      </c>
      <c r="AB448" t="s">
        <v>148</v>
      </c>
      <c r="AC448" t="e">
        <f>VLOOKUP(C448,[1]Sheet1!$C:$O,13,FALSE)</f>
        <v>#N/A</v>
      </c>
      <c r="AD448" t="str">
        <f>VLOOKUP($H448,'[3]0509人员排班情况 副本'!$G:$U,12,FALSE)</f>
        <v>孙可君Monica（Kejun Sun）</v>
      </c>
      <c r="AE448" t="str">
        <f>VLOOKUP($H448,'[3]0509人员排班情况 副本'!$G:$U,13,FALSE)</f>
        <v>马聪Cong (Cong Ma)</v>
      </c>
      <c r="AF448" t="str">
        <f>VLOOKUP($H448,'[3]0509人员排班情况 副本'!$G:$U,14,FALSE)</f>
        <v>Minqing (Minqing Xu),罗煜雄 Mike (Yuxiong Luo)</v>
      </c>
      <c r="AG448">
        <f>VLOOKUP($H448,'[3]0509人员排班情况 副本'!$G:$U,15,FALSE)</f>
        <v>0</v>
      </c>
    </row>
    <row r="449" customHeight="1" spans="1:33">
      <c r="A449" t="s">
        <v>202</v>
      </c>
      <c r="B449" t="s">
        <v>1526</v>
      </c>
      <c r="C449" t="s">
        <v>1527</v>
      </c>
      <c r="D449" t="s">
        <v>58</v>
      </c>
      <c r="E449" t="s">
        <v>60</v>
      </c>
      <c r="F449" t="s">
        <v>155</v>
      </c>
      <c r="H449" t="str">
        <f t="shared" si="42"/>
        <v>MS 中南大区AS 亚特兰大和南阿拉巴马片区MOB01</v>
      </c>
      <c r="I449" t="s">
        <v>177</v>
      </c>
      <c r="J449" t="s">
        <v>229</v>
      </c>
      <c r="K449" s="15">
        <v>0.270833333333333</v>
      </c>
      <c r="L449" s="15" t="s">
        <v>230</v>
      </c>
      <c r="M449" s="15">
        <v>0.274305555555556</v>
      </c>
      <c r="N449" t="s">
        <v>148</v>
      </c>
      <c r="O449" s="20" t="str">
        <f t="shared" si="43"/>
        <v>正确</v>
      </c>
      <c r="P449" s="21">
        <v>7</v>
      </c>
      <c r="Q449" s="21">
        <v>0</v>
      </c>
      <c r="R449" s="21">
        <v>7</v>
      </c>
      <c r="S449" s="21">
        <f t="shared" si="44"/>
        <v>7</v>
      </c>
      <c r="T449" s="21">
        <f t="shared" si="45"/>
        <v>0</v>
      </c>
      <c r="U449" s="21" t="str">
        <f t="shared" si="46"/>
        <v>否</v>
      </c>
      <c r="V449" s="21">
        <f>VLOOKUP($C449,[4]Sheet1!$B:$AN,39,FALSE)</f>
        <v>7</v>
      </c>
      <c r="W449" s="21">
        <v>0</v>
      </c>
      <c r="X449" s="23">
        <v>2</v>
      </c>
      <c r="Y449" s="23">
        <v>4</v>
      </c>
      <c r="Z449" s="25">
        <f t="shared" si="47"/>
        <v>2</v>
      </c>
      <c r="AA449" s="25" t="str">
        <f t="shared" si="48"/>
        <v>是</v>
      </c>
      <c r="AB449" t="s">
        <v>1528</v>
      </c>
      <c r="AC449" t="e">
        <f>VLOOKUP(C449,[1]Sheet1!$C:$O,13,FALSE)</f>
        <v>#N/A</v>
      </c>
      <c r="AD449" t="str">
        <f>VLOOKUP($H449,'[3]0509人员排班情况 副本'!$G:$U,12,FALSE)</f>
        <v>欧阳迎春Flower（Yingchun Ouyang）</v>
      </c>
      <c r="AE449" t="str">
        <f>VLOOKUP($H449,'[3]0509人员排班情况 副本'!$G:$U,13,FALSE)</f>
        <v>杨云飞</v>
      </c>
      <c r="AF449" t="str">
        <f>VLOOKUP($H449,'[3]0509人员排班情况 副本'!$G:$U,14,FALSE)</f>
        <v>曾令桓（Linghuan Zeng）</v>
      </c>
      <c r="AG449">
        <f>VLOOKUP($H449,'[3]0509人员排班情况 副本'!$G:$U,15,FALSE)</f>
        <v>0</v>
      </c>
    </row>
    <row r="450" customHeight="1" spans="1:33">
      <c r="A450" t="s">
        <v>202</v>
      </c>
      <c r="B450" t="s">
        <v>1529</v>
      </c>
      <c r="C450" t="s">
        <v>1530</v>
      </c>
      <c r="D450" t="s">
        <v>13</v>
      </c>
      <c r="E450" t="s">
        <v>614</v>
      </c>
      <c r="F450" t="s">
        <v>615</v>
      </c>
      <c r="H450" t="str">
        <f t="shared" si="42"/>
        <v>CS 客户服务部消费者客服组海外客服组</v>
      </c>
      <c r="I450" t="s">
        <v>1531</v>
      </c>
      <c r="J450" t="s">
        <v>236</v>
      </c>
      <c r="K450" s="15">
        <v>0.395833333333333</v>
      </c>
      <c r="L450" s="15" t="s">
        <v>218</v>
      </c>
      <c r="M450" s="15">
        <v>0.393055555555556</v>
      </c>
      <c r="N450" t="s">
        <v>699</v>
      </c>
      <c r="O450" s="20" t="str">
        <f t="shared" si="43"/>
        <v>正确</v>
      </c>
      <c r="P450" s="21">
        <v>0</v>
      </c>
      <c r="Q450" s="21">
        <v>8.08</v>
      </c>
      <c r="R450" s="21">
        <v>0</v>
      </c>
      <c r="S450" s="21">
        <f t="shared" si="44"/>
        <v>8.08</v>
      </c>
      <c r="T450" s="21">
        <f t="shared" si="45"/>
        <v>0.0800000000000001</v>
      </c>
      <c r="U450" s="21" t="str">
        <f t="shared" si="46"/>
        <v>是</v>
      </c>
      <c r="V450" s="21">
        <f>VLOOKUP($C450,[4]Sheet1!$B:$AN,39,FALSE)</f>
        <v>8.08</v>
      </c>
      <c r="W450" s="21">
        <v>0</v>
      </c>
      <c r="X450" s="23">
        <v>4</v>
      </c>
      <c r="Y450" s="23">
        <v>4</v>
      </c>
      <c r="Z450" s="25">
        <f t="shared" si="47"/>
        <v>0</v>
      </c>
      <c r="AA450" s="25" t="str">
        <f t="shared" si="48"/>
        <v>是</v>
      </c>
      <c r="AB450" t="s">
        <v>148</v>
      </c>
      <c r="AC450" t="e">
        <f>VLOOKUP(C450,[1]Sheet1!$C:$O,13,FALSE)</f>
        <v>#N/A</v>
      </c>
      <c r="AD450" t="str">
        <f>VLOOKUP($H450,'[3]0509人员排班情况 副本'!$G:$U,12,FALSE)</f>
        <v>袁博闻(Bowen Yuan)</v>
      </c>
      <c r="AE450">
        <f>VLOOKUP($H450,'[3]0509人员排班情况 副本'!$G:$U,13,FALSE)</f>
        <v>0</v>
      </c>
      <c r="AF450">
        <f>VLOOKUP($H450,'[3]0509人员排班情况 副本'!$G:$U,14,FALSE)</f>
        <v>0</v>
      </c>
      <c r="AG450">
        <f>VLOOKUP($H450,'[3]0509人员排班情况 副本'!$G:$U,15,FALSE)</f>
        <v>0</v>
      </c>
    </row>
    <row r="451" customHeight="1" spans="1:33">
      <c r="A451" t="s">
        <v>202</v>
      </c>
      <c r="B451" t="s">
        <v>1532</v>
      </c>
      <c r="C451" t="s">
        <v>1533</v>
      </c>
      <c r="D451" t="s">
        <v>99</v>
      </c>
      <c r="E451" t="s">
        <v>677</v>
      </c>
      <c r="F451" t="s">
        <v>1083</v>
      </c>
      <c r="H451" t="str">
        <f t="shared" si="42"/>
        <v>US人力资源部美洲HRBP组东北区HR组</v>
      </c>
      <c r="I451" t="s">
        <v>1156</v>
      </c>
      <c r="J451" t="s">
        <v>236</v>
      </c>
      <c r="K451" s="15">
        <v>0.395833333333333</v>
      </c>
      <c r="L451" s="15" t="s">
        <v>218</v>
      </c>
      <c r="M451" s="15">
        <v>0.364583333333333</v>
      </c>
      <c r="N451" t="s">
        <v>1534</v>
      </c>
      <c r="O451" s="20" t="str">
        <f t="shared" si="43"/>
        <v>正确</v>
      </c>
      <c r="P451" s="21">
        <v>0</v>
      </c>
      <c r="Q451" s="21">
        <v>13.38</v>
      </c>
      <c r="R451" s="21">
        <v>0</v>
      </c>
      <c r="S451" s="21">
        <f t="shared" si="44"/>
        <v>13.38</v>
      </c>
      <c r="T451" s="21">
        <f t="shared" si="45"/>
        <v>5.38</v>
      </c>
      <c r="U451" s="21" t="str">
        <f t="shared" si="46"/>
        <v>是</v>
      </c>
      <c r="V451" s="21">
        <f>VLOOKUP($C451,[4]Sheet1!$B:$AN,39,FALSE)</f>
        <v>22.26</v>
      </c>
      <c r="W451" s="21">
        <v>0</v>
      </c>
      <c r="X451" s="23">
        <v>2</v>
      </c>
      <c r="Y451" s="23">
        <v>4</v>
      </c>
      <c r="Z451" s="25">
        <f t="shared" si="47"/>
        <v>2</v>
      </c>
      <c r="AA451" s="25" t="str">
        <f t="shared" si="48"/>
        <v>是</v>
      </c>
      <c r="AB451" t="s">
        <v>148</v>
      </c>
      <c r="AC451" t="e">
        <f>VLOOKUP(C451,[1]Sheet1!$C:$O,13,FALSE)</f>
        <v>#N/A</v>
      </c>
      <c r="AD451" t="str">
        <f>VLOOKUP($H451,'[3]0509人员排班情况 副本'!$G:$U,12,FALSE)</f>
        <v>袁博闻(Bowen Yuan)</v>
      </c>
      <c r="AE451">
        <f>VLOOKUP($H451,'[3]0509人员排班情况 副本'!$G:$U,13,FALSE)</f>
        <v>0</v>
      </c>
      <c r="AF451">
        <f>VLOOKUP($H451,'[3]0509人员排班情况 副本'!$G:$U,14,FALSE)</f>
        <v>0</v>
      </c>
      <c r="AG451">
        <f>VLOOKUP($H451,'[3]0509人员排班情况 副本'!$G:$U,15,FALSE)</f>
        <v>0</v>
      </c>
    </row>
    <row r="452" customHeight="1" spans="1:33">
      <c r="A452" t="s">
        <v>202</v>
      </c>
      <c r="B452" t="s">
        <v>1535</v>
      </c>
      <c r="C452" t="s">
        <v>1536</v>
      </c>
      <c r="D452" t="s">
        <v>92</v>
      </c>
      <c r="E452" t="s">
        <v>94</v>
      </c>
      <c r="F452" t="s">
        <v>210</v>
      </c>
      <c r="G452" t="s">
        <v>112</v>
      </c>
      <c r="H452" t="str">
        <f t="shared" ref="H452:H515" si="49">D452&amp;E452&amp;F452</f>
        <v>TX 德州大区DFW.H操作组</v>
      </c>
      <c r="I452" t="s">
        <v>156</v>
      </c>
      <c r="J452" t="s">
        <v>330</v>
      </c>
      <c r="K452" s="15">
        <v>0.625</v>
      </c>
      <c r="L452" s="15" t="s">
        <v>331</v>
      </c>
      <c r="M452" s="15">
        <v>0.701388888888889</v>
      </c>
      <c r="N452" t="s">
        <v>1537</v>
      </c>
      <c r="O452" s="20" t="str">
        <f t="shared" ref="O452:O515" si="50">IFERROR(IF(ABS(M452-K452)&lt;=1/24,"正确","不正确"),"/")</f>
        <v>不正确</v>
      </c>
      <c r="P452" s="21">
        <v>0</v>
      </c>
      <c r="Q452" s="21">
        <v>3.98</v>
      </c>
      <c r="R452" s="21">
        <v>0</v>
      </c>
      <c r="S452" s="21">
        <f t="shared" ref="S452:S515" si="51">Q452+R452</f>
        <v>3.98</v>
      </c>
      <c r="T452" s="21">
        <f t="shared" ref="T452:T515" si="52">IF(S452-8&gt;0,S452-8,0)</f>
        <v>0</v>
      </c>
      <c r="U452" s="21" t="str">
        <f t="shared" ref="U452:U515" si="53">IF(T452=0,"否","是")</f>
        <v>否</v>
      </c>
      <c r="V452" s="21">
        <f>VLOOKUP($C452,[4]Sheet1!$B:$AN,39,FALSE)</f>
        <v>16.51</v>
      </c>
      <c r="W452" s="21">
        <v>0</v>
      </c>
      <c r="X452" s="23">
        <v>3</v>
      </c>
      <c r="Y452" s="23">
        <v>4</v>
      </c>
      <c r="Z452" s="25">
        <f t="shared" ref="Z452:Z515" si="54">IF(Y452-X452&gt;=0,Y452-X452,0)</f>
        <v>1</v>
      </c>
      <c r="AA452" s="25" t="str">
        <f t="shared" ref="AA452:AA515" si="55">IF(J452="","否","是")</f>
        <v>是</v>
      </c>
      <c r="AB452" t="s">
        <v>148</v>
      </c>
      <c r="AC452" t="e">
        <f>VLOOKUP(C452,[1]Sheet1!$C:$O,13,FALSE)</f>
        <v>#N/A</v>
      </c>
      <c r="AD452" t="str">
        <f>VLOOKUP($H452,'[3]0509人员排班情况 副本'!$G:$U,12,FALSE)</f>
        <v>肖芦莉Lily (Luli Xiao)</v>
      </c>
      <c r="AE452" t="str">
        <f>VLOOKUP($H452,'[3]0509人员排班情况 副本'!$G:$U,13,FALSE)</f>
        <v>张骥Ji Zhang (Ji Zhang)</v>
      </c>
      <c r="AF452" t="str">
        <f>VLOOKUP($H452,'[3]0509人员排班情况 副本'!$G:$U,14,FALSE)</f>
        <v>Minqing (Minqing Xu),罗煜雄 Mike (Yuxiong Luo)</v>
      </c>
      <c r="AG452">
        <f>VLOOKUP($H452,'[3]0509人员排班情况 副本'!$G:$U,15,FALSE)</f>
        <v>0</v>
      </c>
    </row>
    <row r="453" customHeight="1" spans="1:33">
      <c r="A453" t="s">
        <v>202</v>
      </c>
      <c r="B453" t="s">
        <v>1538</v>
      </c>
      <c r="C453" t="s">
        <v>1539</v>
      </c>
      <c r="D453" t="s">
        <v>15</v>
      </c>
      <c r="E453" t="s">
        <v>19</v>
      </c>
      <c r="F453" t="s">
        <v>148</v>
      </c>
      <c r="H453" t="str">
        <f t="shared" si="49"/>
        <v>FL 佛州大区MF 中佛片区</v>
      </c>
      <c r="I453" t="s">
        <v>682</v>
      </c>
      <c r="J453" t="s">
        <v>343</v>
      </c>
      <c r="K453" s="15">
        <v>0.25</v>
      </c>
      <c r="L453" s="15" t="s">
        <v>344</v>
      </c>
      <c r="M453" s="15"/>
      <c r="N453" t="s">
        <v>148</v>
      </c>
      <c r="O453" s="20" t="str">
        <f t="shared" si="50"/>
        <v>不正确</v>
      </c>
      <c r="P453" s="21">
        <v>0</v>
      </c>
      <c r="Q453" s="21">
        <v>0</v>
      </c>
      <c r="R453" s="21">
        <v>0</v>
      </c>
      <c r="S453" s="21">
        <f t="shared" si="51"/>
        <v>0</v>
      </c>
      <c r="T453" s="21">
        <f t="shared" si="52"/>
        <v>0</v>
      </c>
      <c r="U453" s="21" t="str">
        <f t="shared" si="53"/>
        <v>否</v>
      </c>
      <c r="V453" s="21">
        <f>VLOOKUP($C453,[4]Sheet1!$B:$AN,39,FALSE)</f>
        <v>9.08</v>
      </c>
      <c r="W453" s="21">
        <v>0</v>
      </c>
      <c r="X453" s="23">
        <v>0</v>
      </c>
      <c r="Y453" s="23">
        <v>4</v>
      </c>
      <c r="Z453" s="25">
        <f t="shared" si="54"/>
        <v>4</v>
      </c>
      <c r="AA453" s="25" t="str">
        <f t="shared" si="55"/>
        <v>是</v>
      </c>
      <c r="AB453" t="s">
        <v>148</v>
      </c>
      <c r="AC453" t="e">
        <f>VLOOKUP(C453,[1]Sheet1!$C:$O,13,FALSE)</f>
        <v>#N/A</v>
      </c>
      <c r="AD453" t="str">
        <f>VLOOKUP($H453,'[3]0509人员排班情况 副本'!$G:$U,12,FALSE)</f>
        <v>Natalia (Natalia Padilla),孙婕 Jasmine（Sunjie）</v>
      </c>
      <c r="AE453" t="str">
        <f>VLOOKUP($H453,'[3]0509人员排班情况 副本'!$G:$U,13,FALSE)</f>
        <v>贺子强Jeff (Ziqiang He)</v>
      </c>
      <c r="AF453">
        <f>VLOOKUP($H453,'[3]0509人员排班情况 副本'!$G:$U,14,FALSE)</f>
        <v>0</v>
      </c>
      <c r="AG453">
        <f>VLOOKUP($H453,'[3]0509人员排班情况 副本'!$G:$U,15,FALSE)</f>
        <v>0</v>
      </c>
    </row>
    <row r="454" customHeight="1" spans="1:33">
      <c r="A454" t="s">
        <v>202</v>
      </c>
      <c r="B454" t="s">
        <v>1540</v>
      </c>
      <c r="C454" t="s">
        <v>1541</v>
      </c>
      <c r="D454" t="s">
        <v>68</v>
      </c>
      <c r="E454" t="s">
        <v>29</v>
      </c>
      <c r="F454" t="s">
        <v>200</v>
      </c>
      <c r="H454" t="str">
        <f t="shared" si="49"/>
        <v>NE 东北大区运营支持部区域支持组</v>
      </c>
      <c r="I454" t="s">
        <v>201</v>
      </c>
      <c r="J454" t="s">
        <v>236</v>
      </c>
      <c r="K454" s="15">
        <v>0.395833333333333</v>
      </c>
      <c r="L454" s="15" t="s">
        <v>218</v>
      </c>
      <c r="M454" s="15">
        <v>0.326388888888889</v>
      </c>
      <c r="N454" t="s">
        <v>1514</v>
      </c>
      <c r="O454" s="20" t="str">
        <f t="shared" si="50"/>
        <v>不正确</v>
      </c>
      <c r="P454" s="21">
        <v>0</v>
      </c>
      <c r="Q454" s="21">
        <v>11.05</v>
      </c>
      <c r="R454" s="21">
        <v>0</v>
      </c>
      <c r="S454" s="21">
        <f t="shared" si="51"/>
        <v>11.05</v>
      </c>
      <c r="T454" s="21">
        <f t="shared" si="52"/>
        <v>3.05</v>
      </c>
      <c r="U454" s="21" t="str">
        <f t="shared" si="53"/>
        <v>是</v>
      </c>
      <c r="V454" s="21">
        <f>VLOOKUP($C454,[4]Sheet1!$B:$AN,39,FALSE)</f>
        <v>21.83</v>
      </c>
      <c r="W454" s="21">
        <v>0</v>
      </c>
      <c r="X454" s="23">
        <v>2</v>
      </c>
      <c r="Y454" s="23">
        <v>4</v>
      </c>
      <c r="Z454" s="25">
        <f t="shared" si="54"/>
        <v>2</v>
      </c>
      <c r="AA454" s="25" t="str">
        <f t="shared" si="55"/>
        <v>是</v>
      </c>
      <c r="AB454" t="s">
        <v>148</v>
      </c>
      <c r="AC454" t="e">
        <f>VLOOKUP(C454,[1]Sheet1!$C:$O,13,FALSE)</f>
        <v>#N/A</v>
      </c>
      <c r="AD454" t="str">
        <f>VLOOKUP($H454,'[3]0509人员排班情况 副本'!$G:$U,12,FALSE)</f>
        <v>孙可君Monica（Kejun Sun）</v>
      </c>
      <c r="AE454" t="str">
        <f>VLOOKUP($H454,'[3]0509人员排班情况 副本'!$G:$U,13,FALSE)</f>
        <v>马聪Cong (Cong Ma)</v>
      </c>
      <c r="AF454">
        <f>VLOOKUP($H454,'[3]0509人员排班情况 副本'!$G:$U,14,FALSE)</f>
        <v>0</v>
      </c>
      <c r="AG454">
        <f>VLOOKUP($H454,'[3]0509人员排班情况 副本'!$G:$U,15,FALSE)</f>
        <v>0</v>
      </c>
    </row>
    <row r="455" customHeight="1" spans="1:33">
      <c r="A455" t="s">
        <v>202</v>
      </c>
      <c r="B455" t="s">
        <v>1542</v>
      </c>
      <c r="C455" t="s">
        <v>1543</v>
      </c>
      <c r="D455" t="s">
        <v>8</v>
      </c>
      <c r="E455" t="s">
        <v>1366</v>
      </c>
      <c r="F455" t="s">
        <v>148</v>
      </c>
      <c r="H455" t="str">
        <f t="shared" si="49"/>
        <v>AD 行政部美西组</v>
      </c>
      <c r="I455" t="s">
        <v>1208</v>
      </c>
      <c r="J455" t="s">
        <v>236</v>
      </c>
      <c r="K455" s="15">
        <v>0.395833333333333</v>
      </c>
      <c r="L455" s="15" t="s">
        <v>218</v>
      </c>
      <c r="M455" s="15">
        <v>0.404166666666667</v>
      </c>
      <c r="N455" t="s">
        <v>843</v>
      </c>
      <c r="O455" s="20" t="str">
        <f t="shared" si="50"/>
        <v>正确</v>
      </c>
      <c r="P455" s="21">
        <v>0</v>
      </c>
      <c r="Q455" s="21">
        <v>7.85</v>
      </c>
      <c r="R455" s="21">
        <v>0</v>
      </c>
      <c r="S455" s="21">
        <f t="shared" si="51"/>
        <v>7.85</v>
      </c>
      <c r="T455" s="21">
        <f t="shared" si="52"/>
        <v>0</v>
      </c>
      <c r="U455" s="21" t="str">
        <f t="shared" si="53"/>
        <v>否</v>
      </c>
      <c r="V455" s="21">
        <f>VLOOKUP($C455,[4]Sheet1!$B:$AN,39,FALSE)</f>
        <v>15.47</v>
      </c>
      <c r="W455" s="21">
        <v>0</v>
      </c>
      <c r="X455" s="23">
        <v>2</v>
      </c>
      <c r="Y455" s="23">
        <v>4</v>
      </c>
      <c r="Z455" s="25">
        <f t="shared" si="54"/>
        <v>2</v>
      </c>
      <c r="AA455" s="25" t="str">
        <f t="shared" si="55"/>
        <v>是</v>
      </c>
      <c r="AB455" t="s">
        <v>148</v>
      </c>
      <c r="AC455" t="e">
        <f>VLOOKUP(C455,[1]Sheet1!$C:$O,13,FALSE)</f>
        <v>#N/A</v>
      </c>
      <c r="AD455" t="str">
        <f>VLOOKUP($H455,'[3]0509人员排班情况 副本'!$G:$U,12,FALSE)</f>
        <v>袁博闻(Bowen Yuan)</v>
      </c>
      <c r="AE455">
        <f>VLOOKUP($H455,'[3]0509人员排班情况 副本'!$G:$U,13,FALSE)</f>
        <v>0</v>
      </c>
      <c r="AF455">
        <f>VLOOKUP($H455,'[3]0509人员排班情况 副本'!$G:$U,14,FALSE)</f>
        <v>0</v>
      </c>
      <c r="AG455">
        <f>VLOOKUP($H455,'[3]0509人员排班情况 副本'!$G:$U,15,FALSE)</f>
        <v>0</v>
      </c>
    </row>
    <row r="456" customHeight="1" spans="1:33">
      <c r="A456" t="s">
        <v>202</v>
      </c>
      <c r="B456" t="s">
        <v>1544</v>
      </c>
      <c r="C456" t="s">
        <v>1545</v>
      </c>
      <c r="D456" t="s">
        <v>48</v>
      </c>
      <c r="E456" t="s">
        <v>53</v>
      </c>
      <c r="F456" t="s">
        <v>1099</v>
      </c>
      <c r="H456" t="str">
        <f t="shared" si="49"/>
        <v>Ground项目部派送管理部运力开发组</v>
      </c>
      <c r="I456" t="s">
        <v>1215</v>
      </c>
      <c r="J456" t="s">
        <v>236</v>
      </c>
      <c r="K456" s="15">
        <v>0.395833333333333</v>
      </c>
      <c r="L456" s="15" t="s">
        <v>218</v>
      </c>
      <c r="M456" s="15"/>
      <c r="N456" t="s">
        <v>148</v>
      </c>
      <c r="O456" s="20" t="str">
        <f t="shared" si="50"/>
        <v>不正确</v>
      </c>
      <c r="P456" s="21">
        <v>0</v>
      </c>
      <c r="Q456" s="21">
        <v>0</v>
      </c>
      <c r="R456" s="21">
        <v>0</v>
      </c>
      <c r="S456" s="21">
        <f t="shared" si="51"/>
        <v>0</v>
      </c>
      <c r="T456" s="21">
        <f t="shared" si="52"/>
        <v>0</v>
      </c>
      <c r="U456" s="21" t="str">
        <f t="shared" si="53"/>
        <v>否</v>
      </c>
      <c r="V456" s="21">
        <f>VLOOKUP($C456,[4]Sheet1!$B:$AN,39,FALSE)</f>
        <v>5.73</v>
      </c>
      <c r="W456" s="21">
        <v>0</v>
      </c>
      <c r="X456" s="23">
        <v>0</v>
      </c>
      <c r="Y456" s="23">
        <v>0</v>
      </c>
      <c r="Z456" s="25">
        <f t="shared" si="54"/>
        <v>0</v>
      </c>
      <c r="AA456" s="25" t="str">
        <f t="shared" si="55"/>
        <v>是</v>
      </c>
      <c r="AB456" t="s">
        <v>1546</v>
      </c>
      <c r="AC456" t="e">
        <f>VLOOKUP(C456,[1]Sheet1!$C:$O,13,FALSE)</f>
        <v>#N/A</v>
      </c>
      <c r="AD456" t="str">
        <f>VLOOKUP($H456,'[3]0509人员排班情况 副本'!$G:$U,12,FALSE)</f>
        <v>王安琪 (Anqi Wang),张朱同 Thomson（Zhutong Zhang）</v>
      </c>
      <c r="AE456" t="str">
        <f>VLOOKUP($H456,'[3]0509人员排班情况 副本'!$G:$U,13,FALSE)</f>
        <v>陈锦昭</v>
      </c>
      <c r="AF456">
        <f>VLOOKUP($H456,'[3]0509人员排班情况 副本'!$G:$U,14,FALSE)</f>
        <v>0</v>
      </c>
      <c r="AG456">
        <f>VLOOKUP($H456,'[3]0509人员排班情况 副本'!$G:$U,15,FALSE)</f>
        <v>0</v>
      </c>
    </row>
    <row r="457" customHeight="1" spans="1:33">
      <c r="A457" t="s">
        <v>202</v>
      </c>
      <c r="B457" t="s">
        <v>1547</v>
      </c>
      <c r="C457" t="s">
        <v>1548</v>
      </c>
      <c r="D457" t="s">
        <v>8</v>
      </c>
      <c r="E457" t="s">
        <v>1549</v>
      </c>
      <c r="F457" t="s">
        <v>148</v>
      </c>
      <c r="H457" t="str">
        <f t="shared" si="49"/>
        <v>AD 行政部美中组</v>
      </c>
      <c r="I457" t="s">
        <v>1550</v>
      </c>
      <c r="J457" t="s">
        <v>236</v>
      </c>
      <c r="K457" s="15">
        <v>0.395833333333333</v>
      </c>
      <c r="L457" s="15" t="s">
        <v>218</v>
      </c>
      <c r="M457" s="15">
        <v>0.389583333333333</v>
      </c>
      <c r="N457" t="s">
        <v>1551</v>
      </c>
      <c r="O457" s="20" t="str">
        <f t="shared" si="50"/>
        <v>正确</v>
      </c>
      <c r="P457" s="21">
        <v>0</v>
      </c>
      <c r="Q457" s="21">
        <v>8.82</v>
      </c>
      <c r="R457" s="21">
        <v>0</v>
      </c>
      <c r="S457" s="21">
        <f t="shared" si="51"/>
        <v>8.82</v>
      </c>
      <c r="T457" s="21">
        <f t="shared" si="52"/>
        <v>0.82</v>
      </c>
      <c r="U457" s="21" t="str">
        <f t="shared" si="53"/>
        <v>是</v>
      </c>
      <c r="V457" s="21">
        <f>VLOOKUP($C457,[4]Sheet1!$B:$AN,39,FALSE)</f>
        <v>17.6</v>
      </c>
      <c r="W457" s="21">
        <v>0</v>
      </c>
      <c r="X457" s="23">
        <v>4</v>
      </c>
      <c r="Y457" s="23">
        <v>4</v>
      </c>
      <c r="Z457" s="25">
        <f t="shared" si="54"/>
        <v>0</v>
      </c>
      <c r="AA457" s="25" t="str">
        <f t="shared" si="55"/>
        <v>是</v>
      </c>
      <c r="AB457" t="s">
        <v>148</v>
      </c>
      <c r="AC457" t="e">
        <f>VLOOKUP(C457,[1]Sheet1!$C:$O,13,FALSE)</f>
        <v>#N/A</v>
      </c>
      <c r="AD457" t="str">
        <f>VLOOKUP($H457,'[3]0509人员排班情况 副本'!$G:$U,12,FALSE)</f>
        <v>袁博闻(Bowen Yuan)</v>
      </c>
      <c r="AE457">
        <f>VLOOKUP($H457,'[3]0509人员排班情况 副本'!$G:$U,13,FALSE)</f>
        <v>0</v>
      </c>
      <c r="AF457">
        <f>VLOOKUP($H457,'[3]0509人员排班情况 副本'!$G:$U,14,FALSE)</f>
        <v>0</v>
      </c>
      <c r="AG457">
        <f>VLOOKUP($H457,'[3]0509人员排班情况 副本'!$G:$U,15,FALSE)</f>
        <v>0</v>
      </c>
    </row>
    <row r="458" customHeight="1" spans="1:33">
      <c r="A458" t="s">
        <v>202</v>
      </c>
      <c r="B458" t="s">
        <v>1552</v>
      </c>
      <c r="C458" t="s">
        <v>1553</v>
      </c>
      <c r="D458" t="s">
        <v>31</v>
      </c>
      <c r="E458" t="s">
        <v>41</v>
      </c>
      <c r="F458" t="s">
        <v>850</v>
      </c>
      <c r="G458" t="s">
        <v>112</v>
      </c>
      <c r="H458" t="str">
        <f t="shared" si="49"/>
        <v>GL 大湖大区ORD.H维保组</v>
      </c>
      <c r="I458" t="s">
        <v>954</v>
      </c>
      <c r="J458" t="s">
        <v>413</v>
      </c>
      <c r="K458" s="15">
        <v>0.9375</v>
      </c>
      <c r="L458" s="15" t="s">
        <v>414</v>
      </c>
      <c r="M458" s="15">
        <v>0.931944444444444</v>
      </c>
      <c r="N458" t="s">
        <v>148</v>
      </c>
      <c r="O458" s="20" t="str">
        <f t="shared" si="50"/>
        <v>正确</v>
      </c>
      <c r="P458" s="21">
        <v>0</v>
      </c>
      <c r="Q458" s="21">
        <v>0</v>
      </c>
      <c r="R458" s="21">
        <v>0</v>
      </c>
      <c r="S458" s="21">
        <f t="shared" si="51"/>
        <v>0</v>
      </c>
      <c r="T458" s="21">
        <f t="shared" si="52"/>
        <v>0</v>
      </c>
      <c r="U458" s="21" t="str">
        <f t="shared" si="53"/>
        <v>否</v>
      </c>
      <c r="V458" s="21">
        <f>VLOOKUP($C458,[4]Sheet1!$B:$AN,39,FALSE)</f>
        <v>8.62</v>
      </c>
      <c r="W458" s="21">
        <v>0</v>
      </c>
      <c r="X458" s="23">
        <v>2</v>
      </c>
      <c r="Y458" s="23">
        <v>4</v>
      </c>
      <c r="Z458" s="25">
        <f t="shared" si="54"/>
        <v>2</v>
      </c>
      <c r="AA458" s="25" t="str">
        <f t="shared" si="55"/>
        <v>是</v>
      </c>
      <c r="AB458" t="s">
        <v>148</v>
      </c>
      <c r="AC458" t="e">
        <f>VLOOKUP(C458,[1]Sheet1!$C:$O,13,FALSE)</f>
        <v>#N/A</v>
      </c>
      <c r="AD458" t="str">
        <f>VLOOKUP($H458,'[3]0509人员排班情况 副本'!$G:$U,12,FALSE)</f>
        <v>王晓丹 Jasmine（Xiaodan Wang）,周延舒Isabel（Yanshu Zhou）</v>
      </c>
      <c r="AE458" t="str">
        <f>VLOOKUP($H458,'[3]0509人员排班情况 副本'!$G:$U,13,FALSE)</f>
        <v>张骥Ji Zhang (Ji Zhang)</v>
      </c>
      <c r="AF458" t="str">
        <f>VLOOKUP($H458,'[3]0509人员排班情况 副本'!$G:$U,14,FALSE)</f>
        <v>章峻铭 J (Junming Zhang)</v>
      </c>
      <c r="AG458">
        <f>VLOOKUP($H458,'[3]0509人员排班情况 副本'!$G:$U,15,FALSE)</f>
        <v>0</v>
      </c>
    </row>
    <row r="459" customHeight="1" spans="1:33">
      <c r="A459" t="s">
        <v>202</v>
      </c>
      <c r="B459" t="s">
        <v>1554</v>
      </c>
      <c r="C459" t="s">
        <v>1555</v>
      </c>
      <c r="D459" t="s">
        <v>88</v>
      </c>
      <c r="E459" t="s">
        <v>631</v>
      </c>
      <c r="F459" t="s">
        <v>148</v>
      </c>
      <c r="H459" t="str">
        <f t="shared" si="49"/>
        <v>OM 操作管理部实施运营组</v>
      </c>
      <c r="I459" t="s">
        <v>1556</v>
      </c>
      <c r="J459" t="s">
        <v>236</v>
      </c>
      <c r="K459" s="15">
        <v>0.395833333333333</v>
      </c>
      <c r="L459" s="15" t="s">
        <v>218</v>
      </c>
      <c r="M459" s="15"/>
      <c r="N459" t="s">
        <v>148</v>
      </c>
      <c r="O459" s="20" t="str">
        <f t="shared" si="50"/>
        <v>不正确</v>
      </c>
      <c r="P459" s="21">
        <v>0</v>
      </c>
      <c r="Q459" s="21">
        <v>0</v>
      </c>
      <c r="R459" s="21">
        <v>0</v>
      </c>
      <c r="S459" s="21">
        <f t="shared" si="51"/>
        <v>0</v>
      </c>
      <c r="T459" s="21">
        <f t="shared" si="52"/>
        <v>0</v>
      </c>
      <c r="U459" s="21" t="str">
        <f t="shared" si="53"/>
        <v>否</v>
      </c>
      <c r="V459" s="21">
        <f>VLOOKUP($C459,[4]Sheet1!$B:$AN,39,FALSE)</f>
        <v>0</v>
      </c>
      <c r="W459" s="21">
        <v>0</v>
      </c>
      <c r="X459" s="23">
        <v>0</v>
      </c>
      <c r="Y459" s="23">
        <v>0</v>
      </c>
      <c r="Z459" s="25">
        <f t="shared" si="54"/>
        <v>0</v>
      </c>
      <c r="AA459" s="25" t="str">
        <f t="shared" si="55"/>
        <v>是</v>
      </c>
      <c r="AB459" t="s">
        <v>339</v>
      </c>
      <c r="AC459" t="e">
        <f>VLOOKUP(C459,[1]Sheet1!$C:$O,13,FALSE)</f>
        <v>#N/A</v>
      </c>
      <c r="AD459" t="str">
        <f>VLOOKUP($H459,'[3]0509人员排班情况 副本'!$G:$U,12,FALSE)</f>
        <v>袁博闻(Bowen Yuan)</v>
      </c>
      <c r="AE459">
        <f>VLOOKUP($H459,'[3]0509人员排班情况 副本'!$G:$U,13,FALSE)</f>
        <v>0</v>
      </c>
      <c r="AF459">
        <f>VLOOKUP($H459,'[3]0509人员排班情况 副本'!$G:$U,14,FALSE)</f>
        <v>0</v>
      </c>
      <c r="AG459">
        <f>VLOOKUP($H459,'[3]0509人员排班情况 副本'!$G:$U,15,FALSE)</f>
        <v>0</v>
      </c>
    </row>
    <row r="460" customHeight="1" spans="1:33">
      <c r="A460" t="s">
        <v>202</v>
      </c>
      <c r="B460" t="s">
        <v>1557</v>
      </c>
      <c r="C460" t="s">
        <v>1558</v>
      </c>
      <c r="D460" t="s">
        <v>58</v>
      </c>
      <c r="E460" t="s">
        <v>63</v>
      </c>
      <c r="F460" t="s">
        <v>275</v>
      </c>
      <c r="G460" t="s">
        <v>112</v>
      </c>
      <c r="H460" t="str">
        <f t="shared" si="49"/>
        <v>MS 中南大区CLT.H分拣组</v>
      </c>
      <c r="I460" t="s">
        <v>276</v>
      </c>
      <c r="J460" t="s">
        <v>217</v>
      </c>
      <c r="K460" s="15">
        <v>0.395833333333333</v>
      </c>
      <c r="L460" s="15" t="s">
        <v>218</v>
      </c>
      <c r="M460" s="15"/>
      <c r="N460" t="s">
        <v>148</v>
      </c>
      <c r="O460" s="20" t="s">
        <v>116</v>
      </c>
      <c r="P460" s="21">
        <v>0</v>
      </c>
      <c r="Q460" s="21">
        <v>0</v>
      </c>
      <c r="R460" s="21">
        <v>0</v>
      </c>
      <c r="S460" s="21">
        <f t="shared" si="51"/>
        <v>0</v>
      </c>
      <c r="T460" s="21">
        <f t="shared" si="52"/>
        <v>0</v>
      </c>
      <c r="U460" s="21" t="str">
        <f t="shared" si="53"/>
        <v>否</v>
      </c>
      <c r="V460" s="21">
        <f>VLOOKUP($C460,[4]Sheet1!$B:$AN,39,FALSE)</f>
        <v>9.68</v>
      </c>
      <c r="W460" s="21">
        <v>0</v>
      </c>
      <c r="X460" s="23">
        <v>0</v>
      </c>
      <c r="Y460" s="23">
        <v>0</v>
      </c>
      <c r="Z460" s="25">
        <f t="shared" si="54"/>
        <v>0</v>
      </c>
      <c r="AA460" s="25" t="str">
        <f t="shared" si="55"/>
        <v>是</v>
      </c>
      <c r="AB460" t="s">
        <v>148</v>
      </c>
      <c r="AC460" t="e">
        <f>VLOOKUP(C460,[1]Sheet1!$C:$O,13,FALSE)</f>
        <v>#N/A</v>
      </c>
      <c r="AD460" t="str">
        <f>VLOOKUP($H460,'[3]0509人员排班情况 副本'!$G:$U,12,FALSE)</f>
        <v>欧阳迎春Flower（Yingchun Ouyang）</v>
      </c>
      <c r="AE460" t="str">
        <f>VLOOKUP($H460,'[3]0509人员排班情况 副本'!$G:$U,13,FALSE)</f>
        <v>杨云飞</v>
      </c>
      <c r="AF460" t="str">
        <f>VLOOKUP($H460,'[3]0509人员排班情况 副本'!$G:$U,14,FALSE)</f>
        <v>张双甫(Shuangfu Zhang)</v>
      </c>
      <c r="AG460">
        <f>VLOOKUP($H460,'[3]0509人员排班情况 副本'!$G:$U,15,FALSE)</f>
        <v>0</v>
      </c>
    </row>
    <row r="461" customHeight="1" spans="1:33">
      <c r="A461" t="s">
        <v>202</v>
      </c>
      <c r="B461" t="s">
        <v>1559</v>
      </c>
      <c r="C461" t="s">
        <v>1560</v>
      </c>
      <c r="D461" t="s">
        <v>15</v>
      </c>
      <c r="E461" t="s">
        <v>27</v>
      </c>
      <c r="F461" t="s">
        <v>25</v>
      </c>
      <c r="H461" t="str">
        <f t="shared" si="49"/>
        <v>FL 佛州大区WF 西佛片区SRQ01</v>
      </c>
      <c r="I461" t="s">
        <v>177</v>
      </c>
      <c r="J461" t="s">
        <v>205</v>
      </c>
      <c r="K461" s="15">
        <v>0.166666666666667</v>
      </c>
      <c r="L461" s="15" t="s">
        <v>206</v>
      </c>
      <c r="M461" s="15">
        <v>0.197916666666667</v>
      </c>
      <c r="N461" t="s">
        <v>1561</v>
      </c>
      <c r="O461" s="20" t="str">
        <f t="shared" si="50"/>
        <v>正确</v>
      </c>
      <c r="P461" s="21">
        <v>0</v>
      </c>
      <c r="Q461" s="21">
        <v>8.6</v>
      </c>
      <c r="R461" s="21">
        <v>0</v>
      </c>
      <c r="S461" s="21">
        <f t="shared" si="51"/>
        <v>8.6</v>
      </c>
      <c r="T461" s="21">
        <f t="shared" si="52"/>
        <v>0.6</v>
      </c>
      <c r="U461" s="21" t="str">
        <f t="shared" si="53"/>
        <v>是</v>
      </c>
      <c r="V461" s="21">
        <f>VLOOKUP($C461,[4]Sheet1!$B:$AN,39,FALSE)</f>
        <v>8.6</v>
      </c>
      <c r="W461" s="21">
        <v>0</v>
      </c>
      <c r="X461" s="23">
        <v>4</v>
      </c>
      <c r="Y461" s="23">
        <v>4</v>
      </c>
      <c r="Z461" s="25">
        <f t="shared" si="54"/>
        <v>0</v>
      </c>
      <c r="AA461" s="25" t="str">
        <f t="shared" si="55"/>
        <v>是</v>
      </c>
      <c r="AB461" t="s">
        <v>148</v>
      </c>
      <c r="AC461" t="e">
        <f>VLOOKUP(C461,[1]Sheet1!$C:$O,13,FALSE)</f>
        <v>#N/A</v>
      </c>
      <c r="AD461" t="str">
        <f>VLOOKUP($H461,'[3]0509人员排班情况 副本'!$G:$U,12,FALSE)</f>
        <v>Natalia (Natalia Padilla),孙婕 Jasmine（Sunjie）</v>
      </c>
      <c r="AE461" t="str">
        <f>VLOOKUP($H461,'[3]0509人员排班情况 副本'!$G:$U,13,FALSE)</f>
        <v>贺子强Jeff (Ziqiang He)</v>
      </c>
      <c r="AF461" t="str">
        <f>VLOOKUP($H461,'[3]0509人员排班情况 副本'!$G:$U,14,FALSE)</f>
        <v>于文康 Henry (Wenkang Yu)</v>
      </c>
      <c r="AG461">
        <f>VLOOKUP($H461,'[3]0509人员排班情况 副本'!$G:$U,15,FALSE)</f>
        <v>0</v>
      </c>
    </row>
    <row r="462" customHeight="1" spans="1:33">
      <c r="A462" t="s">
        <v>202</v>
      </c>
      <c r="B462" t="s">
        <v>1562</v>
      </c>
      <c r="C462" t="s">
        <v>1563</v>
      </c>
      <c r="D462" t="s">
        <v>58</v>
      </c>
      <c r="E462" t="s">
        <v>29</v>
      </c>
      <c r="F462" t="s">
        <v>200</v>
      </c>
      <c r="H462" t="str">
        <f t="shared" si="49"/>
        <v>MS 中南大区运营支持部区域支持组</v>
      </c>
      <c r="I462" t="s">
        <v>1564</v>
      </c>
      <c r="J462" t="s">
        <v>236</v>
      </c>
      <c r="K462" s="15">
        <v>0.395833333333333</v>
      </c>
      <c r="L462" s="15" t="s">
        <v>218</v>
      </c>
      <c r="M462" s="15"/>
      <c r="N462" t="s">
        <v>148</v>
      </c>
      <c r="O462" s="20" t="str">
        <f t="shared" si="50"/>
        <v>不正确</v>
      </c>
      <c r="P462" s="21">
        <v>0</v>
      </c>
      <c r="Q462" s="21">
        <v>0</v>
      </c>
      <c r="R462" s="21">
        <v>0</v>
      </c>
      <c r="S462" s="21">
        <f t="shared" si="51"/>
        <v>0</v>
      </c>
      <c r="T462" s="21">
        <f t="shared" si="52"/>
        <v>0</v>
      </c>
      <c r="U462" s="21" t="str">
        <f t="shared" si="53"/>
        <v>否</v>
      </c>
      <c r="V462" s="21">
        <f>VLOOKUP($C462,[4]Sheet1!$B:$AN,39,FALSE)</f>
        <v>0</v>
      </c>
      <c r="W462" s="21">
        <v>0</v>
      </c>
      <c r="X462" s="23">
        <v>0</v>
      </c>
      <c r="Y462" s="23">
        <v>0</v>
      </c>
      <c r="Z462" s="25">
        <f t="shared" si="54"/>
        <v>0</v>
      </c>
      <c r="AA462" s="25" t="str">
        <f t="shared" si="55"/>
        <v>是</v>
      </c>
      <c r="AB462" t="s">
        <v>339</v>
      </c>
      <c r="AC462" t="e">
        <f>VLOOKUP(C462,[1]Sheet1!$C:$O,13,FALSE)</f>
        <v>#N/A</v>
      </c>
      <c r="AD462" t="str">
        <f>VLOOKUP($H462,'[3]0509人员排班情况 副本'!$G:$U,12,FALSE)</f>
        <v>欧阳迎春Flower（Yingchun Ouyang）</v>
      </c>
      <c r="AE462" t="str">
        <f>VLOOKUP($H462,'[3]0509人员排班情况 副本'!$G:$U,13,FALSE)</f>
        <v>杨云飞</v>
      </c>
      <c r="AF462">
        <f>VLOOKUP($H462,'[3]0509人员排班情况 副本'!$G:$U,14,FALSE)</f>
        <v>0</v>
      </c>
      <c r="AG462">
        <f>VLOOKUP($H462,'[3]0509人员排班情况 副本'!$G:$U,15,FALSE)</f>
        <v>0</v>
      </c>
    </row>
    <row r="463" customHeight="1" spans="1:33">
      <c r="A463" t="s">
        <v>202</v>
      </c>
      <c r="B463" t="s">
        <v>1565</v>
      </c>
      <c r="C463" t="s">
        <v>1566</v>
      </c>
      <c r="D463" t="s">
        <v>99</v>
      </c>
      <c r="E463" t="s">
        <v>677</v>
      </c>
      <c r="F463" t="s">
        <v>1063</v>
      </c>
      <c r="H463" t="str">
        <f t="shared" si="49"/>
        <v>US人力资源部美洲HRBP组中南区HR组</v>
      </c>
      <c r="I463" t="s">
        <v>1084</v>
      </c>
      <c r="J463" t="s">
        <v>236</v>
      </c>
      <c r="K463" s="15">
        <v>0.395833333333333</v>
      </c>
      <c r="L463" s="15" t="s">
        <v>218</v>
      </c>
      <c r="M463" s="15"/>
      <c r="N463" t="s">
        <v>148</v>
      </c>
      <c r="O463" s="20" t="str">
        <f t="shared" si="50"/>
        <v>不正确</v>
      </c>
      <c r="P463" s="21">
        <v>0</v>
      </c>
      <c r="Q463" s="21">
        <v>0</v>
      </c>
      <c r="R463" s="21">
        <v>0</v>
      </c>
      <c r="S463" s="21">
        <f t="shared" si="51"/>
        <v>0</v>
      </c>
      <c r="T463" s="21">
        <f t="shared" si="52"/>
        <v>0</v>
      </c>
      <c r="U463" s="21" t="str">
        <f t="shared" si="53"/>
        <v>否</v>
      </c>
      <c r="V463" s="21">
        <f>VLOOKUP($C463,[4]Sheet1!$B:$AN,39,FALSE)</f>
        <v>0</v>
      </c>
      <c r="W463" s="21">
        <v>0</v>
      </c>
      <c r="X463" s="23">
        <v>0</v>
      </c>
      <c r="Y463" s="23">
        <v>0</v>
      </c>
      <c r="Z463" s="25">
        <f t="shared" si="54"/>
        <v>0</v>
      </c>
      <c r="AA463" s="25" t="str">
        <f t="shared" si="55"/>
        <v>是</v>
      </c>
      <c r="AB463" t="s">
        <v>1567</v>
      </c>
      <c r="AC463" t="e">
        <f>VLOOKUP(C463,[1]Sheet1!$C:$O,13,FALSE)</f>
        <v>#N/A</v>
      </c>
      <c r="AD463" t="str">
        <f>VLOOKUP($H463,'[3]0509人员排班情况 副本'!$G:$U,12,FALSE)</f>
        <v>袁博闻(Bowen Yuan)</v>
      </c>
      <c r="AE463">
        <f>VLOOKUP($H463,'[3]0509人员排班情况 副本'!$G:$U,13,FALSE)</f>
        <v>0</v>
      </c>
      <c r="AF463">
        <f>VLOOKUP($H463,'[3]0509人员排班情况 副本'!$G:$U,14,FALSE)</f>
        <v>0</v>
      </c>
      <c r="AG463">
        <f>VLOOKUP($H463,'[3]0509人员排班情况 副本'!$G:$U,15,FALSE)</f>
        <v>0</v>
      </c>
    </row>
    <row r="464" customHeight="1" spans="1:33">
      <c r="A464" t="s">
        <v>202</v>
      </c>
      <c r="B464" t="s">
        <v>1568</v>
      </c>
      <c r="C464" t="s">
        <v>1569</v>
      </c>
      <c r="D464" t="s">
        <v>31</v>
      </c>
      <c r="E464" t="s">
        <v>41</v>
      </c>
      <c r="F464" t="s">
        <v>243</v>
      </c>
      <c r="G464" t="s">
        <v>112</v>
      </c>
      <c r="H464" t="str">
        <f t="shared" si="49"/>
        <v>GL 大湖大区ORD.H调度组</v>
      </c>
      <c r="I464" t="s">
        <v>160</v>
      </c>
      <c r="J464" t="s">
        <v>413</v>
      </c>
      <c r="K464" s="15">
        <v>0.9375</v>
      </c>
      <c r="L464" s="15" t="s">
        <v>414</v>
      </c>
      <c r="M464" s="15">
        <v>0.9375</v>
      </c>
      <c r="N464" t="s">
        <v>148</v>
      </c>
      <c r="O464" s="20" t="str">
        <f t="shared" si="50"/>
        <v>正确</v>
      </c>
      <c r="P464" s="21">
        <v>0</v>
      </c>
      <c r="Q464" s="21">
        <v>0</v>
      </c>
      <c r="R464" s="21">
        <v>0</v>
      </c>
      <c r="S464" s="21">
        <f t="shared" si="51"/>
        <v>0</v>
      </c>
      <c r="T464" s="21">
        <f t="shared" si="52"/>
        <v>0</v>
      </c>
      <c r="U464" s="21" t="str">
        <f t="shared" si="53"/>
        <v>否</v>
      </c>
      <c r="V464" s="21">
        <f>VLOOKUP($C464,[4]Sheet1!$B:$AN,39,FALSE)</f>
        <v>8.17</v>
      </c>
      <c r="W464" s="21">
        <v>0</v>
      </c>
      <c r="X464" s="23">
        <v>1</v>
      </c>
      <c r="Y464" s="23">
        <v>4</v>
      </c>
      <c r="Z464" s="25">
        <f t="shared" si="54"/>
        <v>3</v>
      </c>
      <c r="AA464" s="25" t="str">
        <f t="shared" si="55"/>
        <v>是</v>
      </c>
      <c r="AB464" t="s">
        <v>148</v>
      </c>
      <c r="AC464" t="e">
        <f>VLOOKUP(C464,[1]Sheet1!$C:$O,13,FALSE)</f>
        <v>#N/A</v>
      </c>
      <c r="AD464" t="str">
        <f>VLOOKUP($H464,'[3]0509人员排班情况 副本'!$G:$U,12,FALSE)</f>
        <v>王晓丹 Jasmine（Xiaodan Wang）,周延舒Isabel（Yanshu Zhou）</v>
      </c>
      <c r="AE464" t="str">
        <f>VLOOKUP($H464,'[3]0509人员排班情况 副本'!$G:$U,13,FALSE)</f>
        <v>张骥Ji Zhang (Ji Zhang)</v>
      </c>
      <c r="AF464" t="str">
        <f>VLOOKUP($H464,'[3]0509人员排班情况 副本'!$G:$U,14,FALSE)</f>
        <v>Minqing (Minqing Xu),罗煜雄 Mike (Yuxiong Luo)</v>
      </c>
      <c r="AG464">
        <f>VLOOKUP($H464,'[3]0509人员排班情况 副本'!$G:$U,15,FALSE)</f>
        <v>0</v>
      </c>
    </row>
    <row r="465" customHeight="1" spans="1:33">
      <c r="A465" t="s">
        <v>202</v>
      </c>
      <c r="B465" t="s">
        <v>1570</v>
      </c>
      <c r="C465" t="s">
        <v>1571</v>
      </c>
      <c r="D465" t="s">
        <v>88</v>
      </c>
      <c r="E465" t="s">
        <v>631</v>
      </c>
      <c r="F465" t="s">
        <v>148</v>
      </c>
      <c r="H465" t="str">
        <f t="shared" si="49"/>
        <v>OM 操作管理部实施运营组</v>
      </c>
      <c r="I465" t="s">
        <v>632</v>
      </c>
      <c r="J465" t="s">
        <v>236</v>
      </c>
      <c r="K465" s="15">
        <v>0.395833333333333</v>
      </c>
      <c r="L465" s="15" t="s">
        <v>218</v>
      </c>
      <c r="M465" s="15"/>
      <c r="N465" t="s">
        <v>148</v>
      </c>
      <c r="O465" s="20" t="str">
        <f t="shared" si="50"/>
        <v>不正确</v>
      </c>
      <c r="P465" s="21">
        <v>0</v>
      </c>
      <c r="Q465" s="21">
        <v>0</v>
      </c>
      <c r="R465" s="21">
        <v>0</v>
      </c>
      <c r="S465" s="21">
        <f t="shared" si="51"/>
        <v>0</v>
      </c>
      <c r="T465" s="21">
        <f t="shared" si="52"/>
        <v>0</v>
      </c>
      <c r="U465" s="21" t="str">
        <f t="shared" si="53"/>
        <v>否</v>
      </c>
      <c r="V465" s="21">
        <f>VLOOKUP($C465,[4]Sheet1!$B:$AN,39,FALSE)</f>
        <v>0</v>
      </c>
      <c r="W465" s="21">
        <v>5.36</v>
      </c>
      <c r="X465" s="23">
        <v>0</v>
      </c>
      <c r="Y465" s="23">
        <v>0</v>
      </c>
      <c r="Z465" s="25">
        <f t="shared" si="54"/>
        <v>0</v>
      </c>
      <c r="AA465" s="25" t="str">
        <f t="shared" si="55"/>
        <v>是</v>
      </c>
      <c r="AB465" t="s">
        <v>339</v>
      </c>
      <c r="AC465" t="e">
        <f>VLOOKUP(C465,[1]Sheet1!$C:$O,13,FALSE)</f>
        <v>#N/A</v>
      </c>
      <c r="AD465" t="str">
        <f>VLOOKUP($H465,'[3]0509人员排班情况 副本'!$G:$U,12,FALSE)</f>
        <v>袁博闻(Bowen Yuan)</v>
      </c>
      <c r="AE465">
        <f>VLOOKUP($H465,'[3]0509人员排班情况 副本'!$G:$U,13,FALSE)</f>
        <v>0</v>
      </c>
      <c r="AF465">
        <f>VLOOKUP($H465,'[3]0509人员排班情况 副本'!$G:$U,14,FALSE)</f>
        <v>0</v>
      </c>
      <c r="AG465">
        <f>VLOOKUP($H465,'[3]0509人员排班情况 副本'!$G:$U,15,FALSE)</f>
        <v>0</v>
      </c>
    </row>
    <row r="466" customHeight="1" spans="1:33">
      <c r="A466" t="s">
        <v>202</v>
      </c>
      <c r="B466" t="s">
        <v>1572</v>
      </c>
      <c r="C466" t="s">
        <v>1573</v>
      </c>
      <c r="D466" t="s">
        <v>15</v>
      </c>
      <c r="E466" t="s">
        <v>21</v>
      </c>
      <c r="F466" t="s">
        <v>148</v>
      </c>
      <c r="H466" t="str">
        <f t="shared" si="49"/>
        <v>FL 佛州大区MIA01</v>
      </c>
      <c r="I466" t="s">
        <v>177</v>
      </c>
      <c r="J466" t="s">
        <v>229</v>
      </c>
      <c r="K466" s="15">
        <v>0.270833333333333</v>
      </c>
      <c r="L466" s="15" t="s">
        <v>230</v>
      </c>
      <c r="M466" s="15"/>
      <c r="N466" t="s">
        <v>1116</v>
      </c>
      <c r="O466" s="20" t="str">
        <f t="shared" si="50"/>
        <v>不正确</v>
      </c>
      <c r="P466" s="21">
        <v>0</v>
      </c>
      <c r="Q466" s="21">
        <v>0</v>
      </c>
      <c r="R466" s="21">
        <v>0</v>
      </c>
      <c r="S466" s="21">
        <f t="shared" si="51"/>
        <v>0</v>
      </c>
      <c r="T466" s="21">
        <f t="shared" si="52"/>
        <v>0</v>
      </c>
      <c r="U466" s="21" t="str">
        <f t="shared" si="53"/>
        <v>否</v>
      </c>
      <c r="V466" s="21">
        <f>VLOOKUP($C466,[4]Sheet1!$B:$AN,39,FALSE)</f>
        <v>8.88</v>
      </c>
      <c r="W466" s="21">
        <v>0</v>
      </c>
      <c r="X466" s="23">
        <v>3</v>
      </c>
      <c r="Y466" s="23">
        <v>4</v>
      </c>
      <c r="Z466" s="25">
        <f t="shared" si="54"/>
        <v>1</v>
      </c>
      <c r="AA466" s="25" t="str">
        <f t="shared" si="55"/>
        <v>是</v>
      </c>
      <c r="AB466" t="s">
        <v>148</v>
      </c>
      <c r="AC466" t="e">
        <f>VLOOKUP(C466,[1]Sheet1!$C:$O,13,FALSE)</f>
        <v>#N/A</v>
      </c>
      <c r="AD466" t="str">
        <f>VLOOKUP($H466,'[3]0509人员排班情况 副本'!$G:$U,12,FALSE)</f>
        <v>Natalia (Natalia Padilla),孙婕 Jasmine（Sunjie）</v>
      </c>
      <c r="AE466" t="str">
        <f>VLOOKUP($H466,'[3]0509人员排班情况 副本'!$G:$U,13,FALSE)</f>
        <v>贺子强Jeff (Ziqiang He)</v>
      </c>
      <c r="AF466">
        <f>VLOOKUP($H466,'[3]0509人员排班情况 副本'!$G:$U,14,FALSE)</f>
        <v>0</v>
      </c>
      <c r="AG466">
        <f>VLOOKUP($H466,'[3]0509人员排班情况 副本'!$G:$U,15,FALSE)</f>
        <v>0</v>
      </c>
    </row>
    <row r="467" customHeight="1" spans="1:33">
      <c r="A467" t="s">
        <v>202</v>
      </c>
      <c r="B467" t="s">
        <v>1574</v>
      </c>
      <c r="C467" t="s">
        <v>1575</v>
      </c>
      <c r="D467" t="s">
        <v>31</v>
      </c>
      <c r="E467" t="s">
        <v>40</v>
      </c>
      <c r="F467" t="s">
        <v>1576</v>
      </c>
      <c r="H467" t="str">
        <f t="shared" si="49"/>
        <v>GL 大湖大区NM 中西部北片区STL01</v>
      </c>
      <c r="I467" t="s">
        <v>177</v>
      </c>
      <c r="J467" t="s">
        <v>437</v>
      </c>
      <c r="K467" s="15">
        <v>0.229166666666667</v>
      </c>
      <c r="L467" s="15" t="s">
        <v>438</v>
      </c>
      <c r="M467" s="15">
        <v>0.263194444444444</v>
      </c>
      <c r="N467" t="s">
        <v>1048</v>
      </c>
      <c r="O467" s="20" t="str">
        <f t="shared" si="50"/>
        <v>正确</v>
      </c>
      <c r="P467" s="21">
        <v>0</v>
      </c>
      <c r="Q467" s="21">
        <v>12.07</v>
      </c>
      <c r="R467" s="21">
        <v>0</v>
      </c>
      <c r="S467" s="21">
        <f t="shared" si="51"/>
        <v>12.07</v>
      </c>
      <c r="T467" s="21">
        <f t="shared" si="52"/>
        <v>4.07</v>
      </c>
      <c r="U467" s="21" t="str">
        <f t="shared" si="53"/>
        <v>是</v>
      </c>
      <c r="V467" s="21">
        <f>VLOOKUP($C467,[4]Sheet1!$B:$AN,39,FALSE)</f>
        <v>18.09</v>
      </c>
      <c r="W467" s="21">
        <v>0</v>
      </c>
      <c r="X467" s="23">
        <v>3</v>
      </c>
      <c r="Y467" s="23">
        <v>4</v>
      </c>
      <c r="Z467" s="25">
        <f t="shared" si="54"/>
        <v>1</v>
      </c>
      <c r="AA467" s="25" t="str">
        <f t="shared" si="55"/>
        <v>是</v>
      </c>
      <c r="AB467" t="s">
        <v>148</v>
      </c>
      <c r="AC467" t="e">
        <f>VLOOKUP(C467,[1]Sheet1!$C:$O,13,FALSE)</f>
        <v>#N/A</v>
      </c>
      <c r="AD467" t="str">
        <f>VLOOKUP($H467,'[3]0509人员排班情况 副本'!$G:$U,12,FALSE)</f>
        <v>王晓丹 Jasmine（Xiaodan Wang）,周延舒Isabel（Yanshu Zhou）</v>
      </c>
      <c r="AE467" t="str">
        <f>VLOOKUP($H467,'[3]0509人员排班情况 副本'!$G:$U,13,FALSE)</f>
        <v>张骥Ji Zhang (Ji Zhang)</v>
      </c>
      <c r="AF467" t="str">
        <f>VLOOKUP($H467,'[3]0509人员排班情况 副本'!$G:$U,14,FALSE)</f>
        <v>武杰 Jay（Jie Wu）,尚青蓓 Suki （Qingbei Shang）</v>
      </c>
      <c r="AG467">
        <f>VLOOKUP($H467,'[3]0509人员排班情况 副本'!$G:$U,15,FALSE)</f>
        <v>0</v>
      </c>
    </row>
    <row r="468" customHeight="1" spans="1:33">
      <c r="A468" t="s">
        <v>202</v>
      </c>
      <c r="B468" t="s">
        <v>1577</v>
      </c>
      <c r="C468" t="s">
        <v>1578</v>
      </c>
      <c r="D468" t="s">
        <v>100</v>
      </c>
      <c r="E468" t="s">
        <v>106</v>
      </c>
      <c r="F468" t="s">
        <v>1579</v>
      </c>
      <c r="H468" t="str">
        <f t="shared" si="49"/>
        <v>WE 美西大区SC 南加片区SAN01</v>
      </c>
      <c r="I468" t="s">
        <v>156</v>
      </c>
      <c r="J468" t="s">
        <v>217</v>
      </c>
      <c r="K468" s="15">
        <v>0.395833333333333</v>
      </c>
      <c r="L468" s="15" t="s">
        <v>218</v>
      </c>
      <c r="M468" s="15"/>
      <c r="N468" t="s">
        <v>1580</v>
      </c>
      <c r="O468" s="20" t="str">
        <f t="shared" si="50"/>
        <v>不正确</v>
      </c>
      <c r="P468" s="21">
        <v>0</v>
      </c>
      <c r="Q468" s="21">
        <v>0</v>
      </c>
      <c r="R468" s="21">
        <v>0</v>
      </c>
      <c r="S468" s="21">
        <f t="shared" si="51"/>
        <v>0</v>
      </c>
      <c r="T468" s="21">
        <f t="shared" si="52"/>
        <v>0</v>
      </c>
      <c r="U468" s="21" t="str">
        <f t="shared" si="53"/>
        <v>否</v>
      </c>
      <c r="V468" s="21">
        <f>VLOOKUP($C468,[4]Sheet1!$B:$AN,39,FALSE)</f>
        <v>8.48</v>
      </c>
      <c r="W468" s="21">
        <v>0</v>
      </c>
      <c r="X468" s="23">
        <v>1</v>
      </c>
      <c r="Y468" s="23">
        <v>0</v>
      </c>
      <c r="Z468" s="25">
        <f t="shared" si="54"/>
        <v>0</v>
      </c>
      <c r="AA468" s="25" t="str">
        <f t="shared" si="55"/>
        <v>是</v>
      </c>
      <c r="AB468" t="s">
        <v>148</v>
      </c>
      <c r="AC468" t="e">
        <f>VLOOKUP(C468,[1]Sheet1!$C:$O,13,FALSE)</f>
        <v>#N/A</v>
      </c>
      <c r="AD468" t="str">
        <f>VLOOKUP($H468,'[3]0509人员排班情况 副本'!$G:$U,12,FALSE)</f>
        <v>王骞Ariel（Qian Wang）,叶秀芳Freya (Xiufang Ye)</v>
      </c>
      <c r="AE468" t="str">
        <f>VLOOKUP($H468,'[3]0509人员排班情况 副本'!$G:$U,13,FALSE)</f>
        <v>常哲</v>
      </c>
      <c r="AF468" t="str">
        <f>VLOOKUP($H468,'[3]0509人员排班情况 副本'!$G:$U,14,FALSE)</f>
        <v>尤梦楠Yuko（Mengnan You）</v>
      </c>
      <c r="AG468">
        <f>VLOOKUP($H468,'[3]0509人员排班情况 副本'!$G:$U,15,FALSE)</f>
        <v>0</v>
      </c>
    </row>
    <row r="469" customHeight="1" spans="1:33">
      <c r="A469" t="s">
        <v>202</v>
      </c>
      <c r="B469" t="s">
        <v>1581</v>
      </c>
      <c r="C469" t="s">
        <v>1582</v>
      </c>
      <c r="D469" t="s">
        <v>15</v>
      </c>
      <c r="E469" t="s">
        <v>24</v>
      </c>
      <c r="F469" t="s">
        <v>21</v>
      </c>
      <c r="H469" t="str">
        <f t="shared" si="49"/>
        <v>FL 佛州大区SF 南佛片区MIA01</v>
      </c>
      <c r="I469" t="s">
        <v>177</v>
      </c>
      <c r="J469" t="s">
        <v>295</v>
      </c>
      <c r="K469" s="15">
        <v>0.375</v>
      </c>
      <c r="L469" s="15" t="s">
        <v>296</v>
      </c>
      <c r="M469" s="15"/>
      <c r="N469" t="s">
        <v>148</v>
      </c>
      <c r="O469" s="20" t="str">
        <f t="shared" si="50"/>
        <v>不正确</v>
      </c>
      <c r="P469" s="21">
        <v>0</v>
      </c>
      <c r="Q469" s="21">
        <v>0</v>
      </c>
      <c r="R469" s="21">
        <v>0</v>
      </c>
      <c r="S469" s="21">
        <f t="shared" si="51"/>
        <v>0</v>
      </c>
      <c r="T469" s="21">
        <f t="shared" si="52"/>
        <v>0</v>
      </c>
      <c r="U469" s="21" t="str">
        <f t="shared" si="53"/>
        <v>否</v>
      </c>
      <c r="V469" s="21">
        <f>VLOOKUP($C469,[4]Sheet1!$B:$AN,39,FALSE)</f>
        <v>0</v>
      </c>
      <c r="W469" s="21">
        <v>0</v>
      </c>
      <c r="X469" s="23">
        <v>0</v>
      </c>
      <c r="Y469" s="23">
        <v>4</v>
      </c>
      <c r="Z469" s="25">
        <f t="shared" si="54"/>
        <v>4</v>
      </c>
      <c r="AA469" s="25" t="str">
        <f t="shared" si="55"/>
        <v>是</v>
      </c>
      <c r="AB469" t="s">
        <v>148</v>
      </c>
      <c r="AC469" t="e">
        <f>VLOOKUP(C469,[1]Sheet1!$C:$O,13,FALSE)</f>
        <v>#N/A</v>
      </c>
      <c r="AD469" t="str">
        <f>VLOOKUP($H469,'[3]0509人员排班情况 副本'!$G:$U,12,FALSE)</f>
        <v>Natalia (Natalia Padilla),孙婕 Jasmine（Sunjie）</v>
      </c>
      <c r="AE469" t="str">
        <f>VLOOKUP($H469,'[3]0509人员排班情况 副本'!$G:$U,13,FALSE)</f>
        <v>贺子强Jeff (Ziqiang He)</v>
      </c>
      <c r="AF469" t="str">
        <f>VLOOKUP($H469,'[3]0509人员排班情况 副本'!$G:$U,14,FALSE)</f>
        <v>王航 Hang (Hang Wang)</v>
      </c>
      <c r="AG469">
        <f>VLOOKUP($H469,'[3]0509人员排班情况 副本'!$G:$U,15,FALSE)</f>
        <v>0</v>
      </c>
    </row>
    <row r="470" customHeight="1" spans="1:33">
      <c r="A470" t="s">
        <v>202</v>
      </c>
      <c r="B470" t="s">
        <v>1583</v>
      </c>
      <c r="C470" t="s">
        <v>1584</v>
      </c>
      <c r="D470" t="s">
        <v>48</v>
      </c>
      <c r="E470" t="s">
        <v>51</v>
      </c>
      <c r="F470" t="s">
        <v>1585</v>
      </c>
      <c r="H470" t="str">
        <f t="shared" si="49"/>
        <v>Ground项目部OG 美西区PT972</v>
      </c>
      <c r="I470" t="s">
        <v>177</v>
      </c>
      <c r="J470" t="s">
        <v>221</v>
      </c>
      <c r="K470" s="15">
        <v>0.208333333333333</v>
      </c>
      <c r="L470" s="15" t="s">
        <v>222</v>
      </c>
      <c r="M470" s="15">
        <v>0.270833333333333</v>
      </c>
      <c r="N470" t="s">
        <v>230</v>
      </c>
      <c r="O470" s="20" t="str">
        <f t="shared" si="50"/>
        <v>不正确</v>
      </c>
      <c r="P470" s="21">
        <v>0</v>
      </c>
      <c r="Q470" s="21">
        <v>8</v>
      </c>
      <c r="R470" s="21">
        <v>0</v>
      </c>
      <c r="S470" s="21">
        <f t="shared" si="51"/>
        <v>8</v>
      </c>
      <c r="T470" s="21">
        <f t="shared" si="52"/>
        <v>0</v>
      </c>
      <c r="U470" s="21" t="str">
        <f t="shared" si="53"/>
        <v>否</v>
      </c>
      <c r="V470" s="21">
        <f>VLOOKUP($C470,[4]Sheet1!$B:$AN,39,FALSE)</f>
        <v>8</v>
      </c>
      <c r="W470" s="21">
        <v>0</v>
      </c>
      <c r="X470" s="23">
        <v>4</v>
      </c>
      <c r="Y470" s="23">
        <v>4</v>
      </c>
      <c r="Z470" s="25">
        <f t="shared" si="54"/>
        <v>0</v>
      </c>
      <c r="AA470" s="25" t="str">
        <f t="shared" si="55"/>
        <v>是</v>
      </c>
      <c r="AB470" t="s">
        <v>148</v>
      </c>
      <c r="AC470" t="e">
        <f>VLOOKUP(C470,[1]Sheet1!$C:$O,13,FALSE)</f>
        <v>#N/A</v>
      </c>
      <c r="AD470" t="str">
        <f>VLOOKUP($H470,'[3]0509人员排班情况 副本'!$G:$U,12,FALSE)</f>
        <v>王安琪 (Anqi Wang),张朱同 Thomson（Zhutong Zhang）</v>
      </c>
      <c r="AE470" t="str">
        <f>VLOOKUP($H470,'[3]0509人员排班情况 副本'!$G:$U,13,FALSE)</f>
        <v>陈锦昭</v>
      </c>
      <c r="AF470" t="str">
        <f>VLOOKUP($H470,'[3]0509人员排班情况 副本'!$G:$U,14,FALSE)</f>
        <v>张潇予（Angelia）Xiaoyu Zhang</v>
      </c>
      <c r="AG470">
        <f>VLOOKUP($H470,'[3]0509人员排班情况 副本'!$G:$U,15,FALSE)</f>
        <v>0</v>
      </c>
    </row>
    <row r="471" customHeight="1" spans="1:33">
      <c r="A471" t="s">
        <v>202</v>
      </c>
      <c r="B471" t="s">
        <v>1586</v>
      </c>
      <c r="C471" t="s">
        <v>1587</v>
      </c>
      <c r="D471" t="s">
        <v>58</v>
      </c>
      <c r="E471" t="s">
        <v>61</v>
      </c>
      <c r="F471" t="s">
        <v>850</v>
      </c>
      <c r="G471" t="s">
        <v>112</v>
      </c>
      <c r="H471" t="str">
        <f t="shared" si="49"/>
        <v>MS 中南大区ATL.H维保组</v>
      </c>
      <c r="I471" t="s">
        <v>851</v>
      </c>
      <c r="J471" t="s">
        <v>347</v>
      </c>
      <c r="K471" s="15">
        <v>0.541666666666667</v>
      </c>
      <c r="L471" s="15" t="s">
        <v>348</v>
      </c>
      <c r="M471" s="15">
        <v>0.423611111111111</v>
      </c>
      <c r="N471" t="s">
        <v>1588</v>
      </c>
      <c r="O471" s="20" t="str">
        <f t="shared" si="50"/>
        <v>不正确</v>
      </c>
      <c r="P471" s="21">
        <v>0</v>
      </c>
      <c r="Q471" s="21">
        <v>11.12</v>
      </c>
      <c r="R471" s="21">
        <v>0</v>
      </c>
      <c r="S471" s="21">
        <f t="shared" si="51"/>
        <v>11.12</v>
      </c>
      <c r="T471" s="21">
        <f t="shared" si="52"/>
        <v>3.12</v>
      </c>
      <c r="U471" s="21" t="str">
        <f t="shared" si="53"/>
        <v>是</v>
      </c>
      <c r="V471" s="21">
        <f>VLOOKUP($C471,[4]Sheet1!$B:$AN,39,FALSE)</f>
        <v>20.34</v>
      </c>
      <c r="W471" s="21">
        <v>0</v>
      </c>
      <c r="X471" s="23">
        <v>4</v>
      </c>
      <c r="Y471" s="23">
        <v>4</v>
      </c>
      <c r="Z471" s="25">
        <f t="shared" si="54"/>
        <v>0</v>
      </c>
      <c r="AA471" s="25" t="str">
        <f t="shared" si="55"/>
        <v>是</v>
      </c>
      <c r="AB471" t="s">
        <v>148</v>
      </c>
      <c r="AC471" t="e">
        <f>VLOOKUP(C471,[1]Sheet1!$C:$O,13,FALSE)</f>
        <v>#N/A</v>
      </c>
      <c r="AD471" t="str">
        <f>VLOOKUP($H471,'[3]0509人员排班情况 副本'!$G:$U,12,FALSE)</f>
        <v>欧阳迎春Flower（Yingchun Ouyang）</v>
      </c>
      <c r="AE471" t="str">
        <f>VLOOKUP($H471,'[3]0509人员排班情况 副本'!$G:$U,13,FALSE)</f>
        <v>杨云飞</v>
      </c>
      <c r="AF471" t="str">
        <f>VLOOKUP($H471,'[3]0509人员排班情况 副本'!$G:$U,14,FALSE)</f>
        <v>章峻铭 J (Junming Zhang),明杰麟Jennie (Jielin Ming)</v>
      </c>
      <c r="AG471" t="str">
        <f>VLOOKUP($H471,'[3]0509人员排班情况 副本'!$G:$U,15,FALSE)</f>
        <v>文艳平</v>
      </c>
    </row>
    <row r="472" customHeight="1" spans="1:33">
      <c r="A472" t="s">
        <v>202</v>
      </c>
      <c r="B472" t="s">
        <v>1589</v>
      </c>
      <c r="C472" t="s">
        <v>1590</v>
      </c>
      <c r="D472" t="s">
        <v>56</v>
      </c>
      <c r="E472" t="s">
        <v>913</v>
      </c>
      <c r="F472" t="s">
        <v>148</v>
      </c>
      <c r="H472" t="str">
        <f t="shared" si="49"/>
        <v>IC 跨境客户部海外客户组</v>
      </c>
      <c r="I472" t="s">
        <v>1591</v>
      </c>
      <c r="J472" t="s">
        <v>236</v>
      </c>
      <c r="K472" s="15">
        <v>0.395833333333333</v>
      </c>
      <c r="L472" s="15" t="s">
        <v>218</v>
      </c>
      <c r="M472" s="15">
        <v>0.450694444444444</v>
      </c>
      <c r="N472" t="s">
        <v>1592</v>
      </c>
      <c r="O472" s="20" t="str">
        <f t="shared" si="50"/>
        <v>不正确</v>
      </c>
      <c r="P472" s="21">
        <v>0</v>
      </c>
      <c r="Q472" s="21">
        <v>8.02</v>
      </c>
      <c r="R472" s="21">
        <v>0</v>
      </c>
      <c r="S472" s="21">
        <f t="shared" si="51"/>
        <v>8.02</v>
      </c>
      <c r="T472" s="21">
        <f t="shared" si="52"/>
        <v>0.0199999999999996</v>
      </c>
      <c r="U472" s="21" t="str">
        <f t="shared" si="53"/>
        <v>是</v>
      </c>
      <c r="V472" s="21">
        <f>VLOOKUP($C472,[4]Sheet1!$B:$AN,39,FALSE)</f>
        <v>8.02</v>
      </c>
      <c r="W472" s="21">
        <v>0</v>
      </c>
      <c r="X472" s="23">
        <v>2</v>
      </c>
      <c r="Y472" s="23">
        <v>4</v>
      </c>
      <c r="Z472" s="25">
        <f t="shared" si="54"/>
        <v>2</v>
      </c>
      <c r="AA472" s="25" t="str">
        <f t="shared" si="55"/>
        <v>是</v>
      </c>
      <c r="AB472" t="s">
        <v>148</v>
      </c>
      <c r="AC472" t="e">
        <f>VLOOKUP(C472,[1]Sheet1!$C:$O,13,FALSE)</f>
        <v>#N/A</v>
      </c>
      <c r="AD472" t="str">
        <f>VLOOKUP($H472,'[3]0509人员排班情况 副本'!$G:$U,12,FALSE)</f>
        <v>袁博闻(Bowen Yuan)</v>
      </c>
      <c r="AE472">
        <f>VLOOKUP($H472,'[3]0509人员排班情况 副本'!$G:$U,13,FALSE)</f>
        <v>0</v>
      </c>
      <c r="AF472">
        <f>VLOOKUP($H472,'[3]0509人员排班情况 副本'!$G:$U,14,FALSE)</f>
        <v>0</v>
      </c>
      <c r="AG472">
        <f>VLOOKUP($H472,'[3]0509人员排班情况 副本'!$G:$U,15,FALSE)</f>
        <v>0</v>
      </c>
    </row>
    <row r="473" customHeight="1" spans="1:33">
      <c r="A473" t="s">
        <v>202</v>
      </c>
      <c r="B473" t="s">
        <v>1593</v>
      </c>
      <c r="C473" t="s">
        <v>1594</v>
      </c>
      <c r="D473" t="s">
        <v>31</v>
      </c>
      <c r="E473" t="s">
        <v>43</v>
      </c>
      <c r="F473" t="s">
        <v>1595</v>
      </c>
      <c r="H473" t="str">
        <f t="shared" si="49"/>
        <v>GL 大湖大区WG 西大湖片区GRR01</v>
      </c>
      <c r="I473" t="s">
        <v>177</v>
      </c>
      <c r="J473" t="s">
        <v>221</v>
      </c>
      <c r="K473" s="15">
        <v>0.208333333333333</v>
      </c>
      <c r="L473" s="15" t="s">
        <v>222</v>
      </c>
      <c r="M473" s="15">
        <v>0.208333333333333</v>
      </c>
      <c r="N473" t="s">
        <v>222</v>
      </c>
      <c r="O473" s="20" t="str">
        <f t="shared" si="50"/>
        <v>正确</v>
      </c>
      <c r="P473" s="21">
        <v>0</v>
      </c>
      <c r="Q473" s="21">
        <v>8</v>
      </c>
      <c r="R473" s="21">
        <v>0</v>
      </c>
      <c r="S473" s="21">
        <f t="shared" si="51"/>
        <v>8</v>
      </c>
      <c r="T473" s="21">
        <f t="shared" si="52"/>
        <v>0</v>
      </c>
      <c r="U473" s="21" t="str">
        <f t="shared" si="53"/>
        <v>否</v>
      </c>
      <c r="V473" s="21">
        <f>VLOOKUP($C473,[4]Sheet1!$B:$AN,39,FALSE)</f>
        <v>16</v>
      </c>
      <c r="W473" s="21">
        <v>0</v>
      </c>
      <c r="X473" s="23">
        <v>2</v>
      </c>
      <c r="Y473" s="23">
        <v>4</v>
      </c>
      <c r="Z473" s="25">
        <f t="shared" si="54"/>
        <v>2</v>
      </c>
      <c r="AA473" s="25" t="str">
        <f t="shared" si="55"/>
        <v>是</v>
      </c>
      <c r="AB473" t="s">
        <v>148</v>
      </c>
      <c r="AC473" t="e">
        <f>VLOOKUP(C473,[1]Sheet1!$C:$O,13,FALSE)</f>
        <v>#N/A</v>
      </c>
      <c r="AD473" t="str">
        <f>VLOOKUP($H473,'[3]0509人员排班情况 副本'!$G:$U,12,FALSE)</f>
        <v>王晓丹 Jasmine（Xiaodan Wang）,周延舒Isabel（Yanshu Zhou）</v>
      </c>
      <c r="AE473" t="str">
        <f>VLOOKUP($H473,'[3]0509人员排班情况 副本'!$G:$U,13,FALSE)</f>
        <v>张骥Ji Zhang (Ji Zhang)</v>
      </c>
      <c r="AF473">
        <f>VLOOKUP($H473,'[3]0509人员排班情况 副本'!$G:$U,14,FALSE)</f>
        <v>0</v>
      </c>
      <c r="AG473">
        <f>VLOOKUP($H473,'[3]0509人员排班情况 副本'!$G:$U,15,FALSE)</f>
        <v>0</v>
      </c>
    </row>
    <row r="474" customHeight="1" spans="1:33">
      <c r="A474" t="s">
        <v>202</v>
      </c>
      <c r="B474" t="s">
        <v>1596</v>
      </c>
      <c r="C474" t="s">
        <v>1597</v>
      </c>
      <c r="D474" t="s">
        <v>68</v>
      </c>
      <c r="E474" t="s">
        <v>76</v>
      </c>
      <c r="F474" t="s">
        <v>166</v>
      </c>
      <c r="G474" t="s">
        <v>112</v>
      </c>
      <c r="H474" t="str">
        <f t="shared" si="49"/>
        <v>NE 东北大区EWR.H综办组</v>
      </c>
      <c r="I474" t="s">
        <v>167</v>
      </c>
      <c r="J474" t="s">
        <v>211</v>
      </c>
      <c r="K474" s="15">
        <v>0.333333333333333</v>
      </c>
      <c r="L474" s="15" t="s">
        <v>212</v>
      </c>
      <c r="M474" s="15">
        <v>0.3375</v>
      </c>
      <c r="N474" t="s">
        <v>1598</v>
      </c>
      <c r="O474" s="20" t="str">
        <f t="shared" si="50"/>
        <v>正确</v>
      </c>
      <c r="P474" s="21">
        <v>0</v>
      </c>
      <c r="Q474" s="21">
        <v>9.57</v>
      </c>
      <c r="R474" s="21">
        <v>0</v>
      </c>
      <c r="S474" s="21">
        <f t="shared" si="51"/>
        <v>9.57</v>
      </c>
      <c r="T474" s="21">
        <f t="shared" si="52"/>
        <v>1.57</v>
      </c>
      <c r="U474" s="21" t="str">
        <f t="shared" si="53"/>
        <v>是</v>
      </c>
      <c r="V474" s="21">
        <f>VLOOKUP($C474,[4]Sheet1!$B:$AN,39,FALSE)</f>
        <v>18.2</v>
      </c>
      <c r="W474" s="21">
        <v>0</v>
      </c>
      <c r="X474" s="23">
        <v>4</v>
      </c>
      <c r="Y474" s="23">
        <v>4</v>
      </c>
      <c r="Z474" s="25">
        <f t="shared" si="54"/>
        <v>0</v>
      </c>
      <c r="AA474" s="25" t="str">
        <f t="shared" si="55"/>
        <v>是</v>
      </c>
      <c r="AB474" t="s">
        <v>148</v>
      </c>
      <c r="AC474" t="e">
        <f>VLOOKUP(C474,[1]Sheet1!$C:$O,13,FALSE)</f>
        <v>#N/A</v>
      </c>
      <c r="AD474" t="str">
        <f>VLOOKUP($H474,'[3]0509人员排班情况 副本'!$G:$U,12,FALSE)</f>
        <v>孙可君Monica（Kejun Sun）</v>
      </c>
      <c r="AE474" t="str">
        <f>VLOOKUP($H474,'[3]0509人员排班情况 副本'!$G:$U,13,FALSE)</f>
        <v>马聪Cong (Cong Ma)</v>
      </c>
      <c r="AF474" t="str">
        <f>VLOOKUP($H474,'[3]0509人员排班情况 副本'!$G:$U,14,FALSE)</f>
        <v>Minqing (Minqing Xu),罗煜雄 Mike (Yuxiong Luo)</v>
      </c>
      <c r="AG474">
        <f>VLOOKUP($H474,'[3]0509人员排班情况 副本'!$G:$U,15,FALSE)</f>
        <v>0</v>
      </c>
    </row>
    <row r="475" customHeight="1" spans="1:33">
      <c r="A475" t="s">
        <v>202</v>
      </c>
      <c r="B475" t="s">
        <v>1599</v>
      </c>
      <c r="C475" t="s">
        <v>1600</v>
      </c>
      <c r="D475" t="s">
        <v>48</v>
      </c>
      <c r="E475" t="s">
        <v>53</v>
      </c>
      <c r="F475" t="s">
        <v>1099</v>
      </c>
      <c r="H475" t="str">
        <f t="shared" si="49"/>
        <v>Ground项目部派送管理部运力开发组</v>
      </c>
      <c r="I475" t="s">
        <v>1601</v>
      </c>
      <c r="J475" t="s">
        <v>295</v>
      </c>
      <c r="K475" s="15">
        <v>0.375</v>
      </c>
      <c r="L475" s="15" t="s">
        <v>296</v>
      </c>
      <c r="M475" s="15"/>
      <c r="N475" t="s">
        <v>148</v>
      </c>
      <c r="O475" s="20" t="str">
        <f t="shared" si="50"/>
        <v>不正确</v>
      </c>
      <c r="P475" s="21">
        <v>0</v>
      </c>
      <c r="Q475" s="21">
        <v>0</v>
      </c>
      <c r="R475" s="21">
        <v>0</v>
      </c>
      <c r="S475" s="21">
        <f t="shared" si="51"/>
        <v>0</v>
      </c>
      <c r="T475" s="21">
        <f t="shared" si="52"/>
        <v>0</v>
      </c>
      <c r="U475" s="21" t="str">
        <f t="shared" si="53"/>
        <v>否</v>
      </c>
      <c r="V475" s="21">
        <f>VLOOKUP($C475,[4]Sheet1!$B:$AN,39,FALSE)</f>
        <v>0</v>
      </c>
      <c r="W475" s="21">
        <v>0</v>
      </c>
      <c r="X475" s="23">
        <v>0</v>
      </c>
      <c r="Y475" s="23">
        <v>0</v>
      </c>
      <c r="Z475" s="25">
        <f t="shared" si="54"/>
        <v>0</v>
      </c>
      <c r="AA475" s="25" t="str">
        <f t="shared" si="55"/>
        <v>是</v>
      </c>
      <c r="AB475" t="s">
        <v>1602</v>
      </c>
      <c r="AC475" t="e">
        <f>VLOOKUP(C475,[1]Sheet1!$C:$O,13,FALSE)</f>
        <v>#N/A</v>
      </c>
      <c r="AD475" t="str">
        <f>VLOOKUP($H475,'[3]0509人员排班情况 副本'!$G:$U,12,FALSE)</f>
        <v>王安琪 (Anqi Wang),张朱同 Thomson（Zhutong Zhang）</v>
      </c>
      <c r="AE475" t="str">
        <f>VLOOKUP($H475,'[3]0509人员排班情况 副本'!$G:$U,13,FALSE)</f>
        <v>陈锦昭</v>
      </c>
      <c r="AF475">
        <f>VLOOKUP($H475,'[3]0509人员排班情况 副本'!$G:$U,14,FALSE)</f>
        <v>0</v>
      </c>
      <c r="AG475">
        <f>VLOOKUP($H475,'[3]0509人员排班情况 副本'!$G:$U,15,FALSE)</f>
        <v>0</v>
      </c>
    </row>
    <row r="476" customHeight="1" spans="1:33">
      <c r="A476" t="s">
        <v>202</v>
      </c>
      <c r="B476" t="s">
        <v>1603</v>
      </c>
      <c r="C476" t="s">
        <v>1604</v>
      </c>
      <c r="D476" t="s">
        <v>15</v>
      </c>
      <c r="E476" t="s">
        <v>22</v>
      </c>
      <c r="F476" t="s">
        <v>369</v>
      </c>
      <c r="H476" t="str">
        <f t="shared" si="49"/>
        <v>FL 佛州大区NF 北佛片区TAL01</v>
      </c>
      <c r="I476" t="s">
        <v>177</v>
      </c>
      <c r="J476" t="s">
        <v>221</v>
      </c>
      <c r="K476" s="15">
        <v>0.208333333333333</v>
      </c>
      <c r="L476" s="15" t="s">
        <v>222</v>
      </c>
      <c r="M476" s="15">
        <v>0.216666666666667</v>
      </c>
      <c r="N476" t="s">
        <v>370</v>
      </c>
      <c r="O476" s="20" t="str">
        <f t="shared" si="50"/>
        <v>正确</v>
      </c>
      <c r="P476" s="21">
        <v>0</v>
      </c>
      <c r="Q476" s="21">
        <v>7.87</v>
      </c>
      <c r="R476" s="21">
        <v>0</v>
      </c>
      <c r="S476" s="21">
        <f t="shared" si="51"/>
        <v>7.87</v>
      </c>
      <c r="T476" s="21">
        <f t="shared" si="52"/>
        <v>0</v>
      </c>
      <c r="U476" s="21" t="str">
        <f t="shared" si="53"/>
        <v>否</v>
      </c>
      <c r="V476" s="21">
        <f>VLOOKUP($C476,[4]Sheet1!$B:$AN,39,FALSE)</f>
        <v>7.87</v>
      </c>
      <c r="W476" s="21">
        <v>0</v>
      </c>
      <c r="X476" s="23">
        <v>4</v>
      </c>
      <c r="Y476" s="23">
        <v>4</v>
      </c>
      <c r="Z476" s="25">
        <f t="shared" si="54"/>
        <v>0</v>
      </c>
      <c r="AA476" s="25" t="str">
        <f t="shared" si="55"/>
        <v>是</v>
      </c>
      <c r="AB476" t="s">
        <v>148</v>
      </c>
      <c r="AC476" t="e">
        <f>VLOOKUP(C476,[1]Sheet1!$C:$O,13,FALSE)</f>
        <v>#N/A</v>
      </c>
      <c r="AD476" t="str">
        <f>VLOOKUP($H476,'[3]0509人员排班情况 副本'!$G:$U,12,FALSE)</f>
        <v>Natalia (Natalia Padilla),孙婕 Jasmine（Sunjie）</v>
      </c>
      <c r="AE476" t="str">
        <f>VLOOKUP($H476,'[3]0509人员排班情况 副本'!$G:$U,13,FALSE)</f>
        <v>贺子强Jeff (Ziqiang He)</v>
      </c>
      <c r="AF476" t="str">
        <f>VLOOKUP($H476,'[3]0509人员排班情况 副本'!$G:$U,14,FALSE)</f>
        <v>黄燕娜 Nana (Yanna Huang)</v>
      </c>
      <c r="AG476">
        <f>VLOOKUP($H476,'[3]0509人员排班情况 副本'!$G:$U,15,FALSE)</f>
        <v>0</v>
      </c>
    </row>
    <row r="477" customHeight="1" spans="1:33">
      <c r="A477" t="s">
        <v>202</v>
      </c>
      <c r="B477" t="s">
        <v>1605</v>
      </c>
      <c r="C477" t="s">
        <v>1606</v>
      </c>
      <c r="D477" t="s">
        <v>8</v>
      </c>
      <c r="E477" t="s">
        <v>1366</v>
      </c>
      <c r="F477" t="s">
        <v>148</v>
      </c>
      <c r="H477" t="str">
        <f t="shared" si="49"/>
        <v>AD 行政部美西组</v>
      </c>
      <c r="I477" t="s">
        <v>1607</v>
      </c>
      <c r="J477" t="s">
        <v>236</v>
      </c>
      <c r="K477" s="15">
        <v>0.395833333333333</v>
      </c>
      <c r="L477" s="15" t="s">
        <v>218</v>
      </c>
      <c r="M477" s="15">
        <v>0.397916666666667</v>
      </c>
      <c r="N477" t="s">
        <v>1401</v>
      </c>
      <c r="O477" s="20" t="str">
        <f t="shared" si="50"/>
        <v>正确</v>
      </c>
      <c r="P477" s="21">
        <v>0</v>
      </c>
      <c r="Q477" s="21">
        <v>9.97</v>
      </c>
      <c r="R477" s="21">
        <v>0</v>
      </c>
      <c r="S477" s="21">
        <f t="shared" si="51"/>
        <v>9.97</v>
      </c>
      <c r="T477" s="21">
        <f t="shared" si="52"/>
        <v>1.97</v>
      </c>
      <c r="U477" s="21" t="str">
        <f t="shared" si="53"/>
        <v>是</v>
      </c>
      <c r="V477" s="21">
        <f>VLOOKUP($C477,[4]Sheet1!$B:$AN,39,FALSE)</f>
        <v>9.97</v>
      </c>
      <c r="W477" s="21">
        <v>0</v>
      </c>
      <c r="X477" s="23">
        <v>2</v>
      </c>
      <c r="Y477" s="23">
        <v>4</v>
      </c>
      <c r="Z477" s="25">
        <f t="shared" si="54"/>
        <v>2</v>
      </c>
      <c r="AA477" s="25" t="str">
        <f t="shared" si="55"/>
        <v>是</v>
      </c>
      <c r="AB477" t="s">
        <v>148</v>
      </c>
      <c r="AC477" t="e">
        <f>VLOOKUP(C477,[1]Sheet1!$C:$O,13,FALSE)</f>
        <v>#N/A</v>
      </c>
      <c r="AD477" t="str">
        <f>VLOOKUP($H477,'[3]0509人员排班情况 副本'!$G:$U,12,FALSE)</f>
        <v>袁博闻(Bowen Yuan)</v>
      </c>
      <c r="AE477">
        <f>VLOOKUP($H477,'[3]0509人员排班情况 副本'!$G:$U,13,FALSE)</f>
        <v>0</v>
      </c>
      <c r="AF477">
        <f>VLOOKUP($H477,'[3]0509人员排班情况 副本'!$G:$U,14,FALSE)</f>
        <v>0</v>
      </c>
      <c r="AG477">
        <f>VLOOKUP($H477,'[3]0509人员排班情况 副本'!$G:$U,15,FALSE)</f>
        <v>0</v>
      </c>
    </row>
    <row r="478" customHeight="1" spans="1:33">
      <c r="A478" t="s">
        <v>202</v>
      </c>
      <c r="B478" t="s">
        <v>1608</v>
      </c>
      <c r="C478" t="s">
        <v>1609</v>
      </c>
      <c r="D478" t="s">
        <v>100</v>
      </c>
      <c r="E478" t="s">
        <v>103</v>
      </c>
      <c r="F478" t="s">
        <v>243</v>
      </c>
      <c r="G478" t="s">
        <v>112</v>
      </c>
      <c r="H478" t="str">
        <f t="shared" si="49"/>
        <v>WE 美西大区LAV.H调度组</v>
      </c>
      <c r="I478" t="s">
        <v>160</v>
      </c>
      <c r="J478" t="s">
        <v>221</v>
      </c>
      <c r="K478" s="15">
        <v>0.208333333333333</v>
      </c>
      <c r="L478" s="15" t="s">
        <v>222</v>
      </c>
      <c r="M478" s="15">
        <v>0.16875</v>
      </c>
      <c r="N478" t="s">
        <v>1610</v>
      </c>
      <c r="O478" s="20" t="str">
        <f t="shared" si="50"/>
        <v>正确</v>
      </c>
      <c r="P478" s="21">
        <v>0</v>
      </c>
      <c r="Q478" s="21">
        <v>16.52</v>
      </c>
      <c r="R478" s="21">
        <v>0</v>
      </c>
      <c r="S478" s="21">
        <f t="shared" si="51"/>
        <v>16.52</v>
      </c>
      <c r="T478" s="21">
        <f t="shared" si="52"/>
        <v>8.52</v>
      </c>
      <c r="U478" s="21" t="str">
        <f t="shared" si="53"/>
        <v>是</v>
      </c>
      <c r="V478" s="21">
        <f>VLOOKUP($C478,[4]Sheet1!$B:$AN,39,FALSE)</f>
        <v>34.09</v>
      </c>
      <c r="W478" s="21">
        <v>9.92</v>
      </c>
      <c r="X478" s="23">
        <v>3</v>
      </c>
      <c r="Y478" s="23">
        <v>4</v>
      </c>
      <c r="Z478" s="25">
        <f t="shared" si="54"/>
        <v>1</v>
      </c>
      <c r="AA478" s="25" t="str">
        <f t="shared" si="55"/>
        <v>是</v>
      </c>
      <c r="AB478" t="s">
        <v>148</v>
      </c>
      <c r="AC478" t="e">
        <f>VLOOKUP(C478,[1]Sheet1!$C:$O,13,FALSE)</f>
        <v>#N/A</v>
      </c>
      <c r="AD478" t="str">
        <f>VLOOKUP($H478,'[3]0509人员排班情况 副本'!$G:$U,12,FALSE)</f>
        <v>王骞Ariel（Qian Wang）,叶秀芳Freya (Xiufang Ye)</v>
      </c>
      <c r="AE478" t="str">
        <f>VLOOKUP($H478,'[3]0509人员排班情况 副本'!$G:$U,13,FALSE)</f>
        <v>常哲</v>
      </c>
      <c r="AF478" t="str">
        <f>VLOOKUP($H478,'[3]0509人员排班情况 副本'!$G:$U,14,FALSE)</f>
        <v>Minqing (Minqing Xu),罗煜雄 Mike (Yuxiong Luo)</v>
      </c>
      <c r="AG478">
        <f>VLOOKUP($H478,'[3]0509人员排班情况 副本'!$G:$U,15,FALSE)</f>
        <v>0</v>
      </c>
    </row>
    <row r="479" customHeight="1" spans="1:33">
      <c r="A479" t="s">
        <v>202</v>
      </c>
      <c r="B479" t="s">
        <v>1611</v>
      </c>
      <c r="C479" t="s">
        <v>1612</v>
      </c>
      <c r="D479" t="s">
        <v>99</v>
      </c>
      <c r="E479" t="s">
        <v>677</v>
      </c>
      <c r="F479" t="s">
        <v>864</v>
      </c>
      <c r="H479" t="str">
        <f t="shared" si="49"/>
        <v>US人力资源部美洲HRBP组招聘组</v>
      </c>
      <c r="I479" t="s">
        <v>865</v>
      </c>
      <c r="J479" t="s">
        <v>236</v>
      </c>
      <c r="K479" s="15">
        <v>0.395833333333333</v>
      </c>
      <c r="L479" s="15" t="s">
        <v>218</v>
      </c>
      <c r="M479" s="15">
        <v>0.423611111111111</v>
      </c>
      <c r="N479" t="s">
        <v>1401</v>
      </c>
      <c r="O479" s="20" t="str">
        <f t="shared" si="50"/>
        <v>正确</v>
      </c>
      <c r="P479" s="21">
        <v>0</v>
      </c>
      <c r="Q479" s="21">
        <v>9.35</v>
      </c>
      <c r="R479" s="21">
        <v>0</v>
      </c>
      <c r="S479" s="21">
        <f t="shared" si="51"/>
        <v>9.35</v>
      </c>
      <c r="T479" s="21">
        <f t="shared" si="52"/>
        <v>1.35</v>
      </c>
      <c r="U479" s="21" t="str">
        <f t="shared" si="53"/>
        <v>是</v>
      </c>
      <c r="V479" s="21">
        <f>VLOOKUP($C479,[4]Sheet1!$B:$AN,39,FALSE)</f>
        <v>9.35</v>
      </c>
      <c r="W479" s="21">
        <v>0</v>
      </c>
      <c r="X479" s="23">
        <v>2</v>
      </c>
      <c r="Y479" s="23">
        <v>4</v>
      </c>
      <c r="Z479" s="25">
        <f t="shared" si="54"/>
        <v>2</v>
      </c>
      <c r="AA479" s="25" t="str">
        <f t="shared" si="55"/>
        <v>是</v>
      </c>
      <c r="AB479" t="s">
        <v>148</v>
      </c>
      <c r="AC479" t="e">
        <f>VLOOKUP(C479,[1]Sheet1!$C:$O,13,FALSE)</f>
        <v>#N/A</v>
      </c>
      <c r="AD479" t="str">
        <f>VLOOKUP($H479,'[3]0509人员排班情况 副本'!$G:$U,12,FALSE)</f>
        <v>袁博闻(Bowen Yuan)</v>
      </c>
      <c r="AE479">
        <f>VLOOKUP($H479,'[3]0509人员排班情况 副本'!$G:$U,13,FALSE)</f>
        <v>0</v>
      </c>
      <c r="AF479">
        <f>VLOOKUP($H479,'[3]0509人员排班情况 副本'!$G:$U,14,FALSE)</f>
        <v>0</v>
      </c>
      <c r="AG479">
        <f>VLOOKUP($H479,'[3]0509人员排班情况 副本'!$G:$U,15,FALSE)</f>
        <v>0</v>
      </c>
    </row>
    <row r="480" customHeight="1" spans="1:33">
      <c r="A480" t="s">
        <v>202</v>
      </c>
      <c r="B480" t="s">
        <v>1613</v>
      </c>
      <c r="C480" t="s">
        <v>1614</v>
      </c>
      <c r="D480" t="s">
        <v>88</v>
      </c>
      <c r="E480" t="s">
        <v>846</v>
      </c>
      <c r="F480" t="s">
        <v>148</v>
      </c>
      <c r="H480" t="str">
        <f t="shared" si="49"/>
        <v>OM 操作管理部仓库租赁组</v>
      </c>
      <c r="I480" t="s">
        <v>1615</v>
      </c>
      <c r="J480" t="s">
        <v>236</v>
      </c>
      <c r="K480" s="15">
        <v>0.395833333333333</v>
      </c>
      <c r="L480" s="15" t="s">
        <v>218</v>
      </c>
      <c r="M480" s="15"/>
      <c r="N480" t="s">
        <v>148</v>
      </c>
      <c r="O480" s="20" t="str">
        <f t="shared" si="50"/>
        <v>不正确</v>
      </c>
      <c r="P480" s="21">
        <v>0</v>
      </c>
      <c r="Q480" s="21">
        <v>0</v>
      </c>
      <c r="R480" s="21">
        <v>0</v>
      </c>
      <c r="S480" s="21">
        <f t="shared" si="51"/>
        <v>0</v>
      </c>
      <c r="T480" s="21">
        <f t="shared" si="52"/>
        <v>0</v>
      </c>
      <c r="U480" s="21" t="str">
        <f t="shared" si="53"/>
        <v>否</v>
      </c>
      <c r="V480" s="21">
        <f>VLOOKUP($C480,[4]Sheet1!$B:$AN,39,FALSE)</f>
        <v>0</v>
      </c>
      <c r="W480" s="21">
        <v>0</v>
      </c>
      <c r="X480" s="23">
        <v>0</v>
      </c>
      <c r="Y480" s="23">
        <v>0</v>
      </c>
      <c r="Z480" s="25">
        <f t="shared" si="54"/>
        <v>0</v>
      </c>
      <c r="AA480" s="25" t="str">
        <f t="shared" si="55"/>
        <v>是</v>
      </c>
      <c r="AB480" t="s">
        <v>339</v>
      </c>
      <c r="AC480" t="e">
        <f>VLOOKUP(C480,[1]Sheet1!$C:$O,13,FALSE)</f>
        <v>#N/A</v>
      </c>
      <c r="AD480" t="str">
        <f>VLOOKUP($H480,'[3]0509人员排班情况 副本'!$G:$U,12,FALSE)</f>
        <v>袁博闻(Bowen Yuan)</v>
      </c>
      <c r="AE480">
        <f>VLOOKUP($H480,'[3]0509人员排班情况 副本'!$G:$U,13,FALSE)</f>
        <v>0</v>
      </c>
      <c r="AF480">
        <f>VLOOKUP($H480,'[3]0509人员排班情况 副本'!$G:$U,14,FALSE)</f>
        <v>0</v>
      </c>
      <c r="AG480">
        <f>VLOOKUP($H480,'[3]0509人员排班情况 副本'!$G:$U,15,FALSE)</f>
        <v>0</v>
      </c>
    </row>
    <row r="481" customHeight="1" spans="1:33">
      <c r="A481" t="s">
        <v>202</v>
      </c>
      <c r="B481" t="s">
        <v>1616</v>
      </c>
      <c r="C481" t="s">
        <v>1617</v>
      </c>
      <c r="D481" t="s">
        <v>99</v>
      </c>
      <c r="E481" t="s">
        <v>677</v>
      </c>
      <c r="F481" t="s">
        <v>1054</v>
      </c>
      <c r="H481" t="str">
        <f t="shared" si="49"/>
        <v>US人力资源部美洲HRBP组大湖区HR组</v>
      </c>
      <c r="I481" t="s">
        <v>865</v>
      </c>
      <c r="J481" t="s">
        <v>236</v>
      </c>
      <c r="K481" s="15">
        <v>0.395833333333333</v>
      </c>
      <c r="L481" s="15" t="s">
        <v>218</v>
      </c>
      <c r="M481" s="15"/>
      <c r="N481" t="s">
        <v>148</v>
      </c>
      <c r="O481" s="20" t="str">
        <f t="shared" si="50"/>
        <v>不正确</v>
      </c>
      <c r="P481" s="21">
        <v>0</v>
      </c>
      <c r="Q481" s="21">
        <v>0</v>
      </c>
      <c r="R481" s="21">
        <v>0</v>
      </c>
      <c r="S481" s="21">
        <f t="shared" si="51"/>
        <v>0</v>
      </c>
      <c r="T481" s="21">
        <f t="shared" si="52"/>
        <v>0</v>
      </c>
      <c r="U481" s="21" t="str">
        <f t="shared" si="53"/>
        <v>否</v>
      </c>
      <c r="V481" s="21">
        <f>VLOOKUP($C481,[4]Sheet1!$B:$AN,39,FALSE)</f>
        <v>0</v>
      </c>
      <c r="W481" s="21">
        <v>0</v>
      </c>
      <c r="X481" s="23">
        <v>0</v>
      </c>
      <c r="Y481" s="23">
        <v>4</v>
      </c>
      <c r="Z481" s="25">
        <f t="shared" si="54"/>
        <v>4</v>
      </c>
      <c r="AA481" s="25" t="str">
        <f t="shared" si="55"/>
        <v>是</v>
      </c>
      <c r="AB481" t="s">
        <v>148</v>
      </c>
      <c r="AC481" t="e">
        <f>VLOOKUP(C481,[1]Sheet1!$C:$O,13,FALSE)</f>
        <v>#N/A</v>
      </c>
      <c r="AD481" t="str">
        <f>VLOOKUP($H481,'[3]0509人员排班情况 副本'!$G:$U,12,FALSE)</f>
        <v>袁博闻(Bowen Yuan)</v>
      </c>
      <c r="AE481">
        <f>VLOOKUP($H481,'[3]0509人员排班情况 副本'!$G:$U,13,FALSE)</f>
        <v>0</v>
      </c>
      <c r="AF481">
        <f>VLOOKUP($H481,'[3]0509人员排班情况 副本'!$G:$U,14,FALSE)</f>
        <v>0</v>
      </c>
      <c r="AG481">
        <f>VLOOKUP($H481,'[3]0509人员排班情况 副本'!$G:$U,15,FALSE)</f>
        <v>0</v>
      </c>
    </row>
    <row r="482" customHeight="1" spans="1:33">
      <c r="A482" t="s">
        <v>202</v>
      </c>
      <c r="B482" t="s">
        <v>1618</v>
      </c>
      <c r="C482" t="s">
        <v>1619</v>
      </c>
      <c r="D482" t="s">
        <v>68</v>
      </c>
      <c r="E482" t="s">
        <v>29</v>
      </c>
      <c r="F482" t="s">
        <v>200</v>
      </c>
      <c r="H482" t="str">
        <f t="shared" si="49"/>
        <v>NE 东北大区运营支持部区域支持组</v>
      </c>
      <c r="I482" t="s">
        <v>195</v>
      </c>
      <c r="J482" t="s">
        <v>236</v>
      </c>
      <c r="K482" s="15">
        <v>0.395833333333333</v>
      </c>
      <c r="L482" s="15" t="s">
        <v>218</v>
      </c>
      <c r="M482" s="15"/>
      <c r="N482" t="s">
        <v>148</v>
      </c>
      <c r="O482" s="20" t="str">
        <f t="shared" si="50"/>
        <v>不正确</v>
      </c>
      <c r="P482" s="21">
        <v>0</v>
      </c>
      <c r="Q482" s="21">
        <v>0</v>
      </c>
      <c r="R482" s="21">
        <v>0</v>
      </c>
      <c r="S482" s="21">
        <f t="shared" si="51"/>
        <v>0</v>
      </c>
      <c r="T482" s="21">
        <f t="shared" si="52"/>
        <v>0</v>
      </c>
      <c r="U482" s="21" t="str">
        <f t="shared" si="53"/>
        <v>否</v>
      </c>
      <c r="V482" s="21">
        <f>VLOOKUP($C482,[4]Sheet1!$B:$AN,39,FALSE)</f>
        <v>0</v>
      </c>
      <c r="W482" s="21">
        <v>0</v>
      </c>
      <c r="X482" s="23">
        <v>0</v>
      </c>
      <c r="Y482" s="23">
        <v>0</v>
      </c>
      <c r="Z482" s="25">
        <f t="shared" si="54"/>
        <v>0</v>
      </c>
      <c r="AA482" s="25" t="str">
        <f t="shared" si="55"/>
        <v>是</v>
      </c>
      <c r="AB482" t="s">
        <v>1620</v>
      </c>
      <c r="AC482" t="e">
        <f>VLOOKUP(C482,[1]Sheet1!$C:$O,13,FALSE)</f>
        <v>#N/A</v>
      </c>
      <c r="AD482" t="str">
        <f>VLOOKUP($H482,'[3]0509人员排班情况 副本'!$G:$U,12,FALSE)</f>
        <v>孙可君Monica（Kejun Sun）</v>
      </c>
      <c r="AE482" t="str">
        <f>VLOOKUP($H482,'[3]0509人员排班情况 副本'!$G:$U,13,FALSE)</f>
        <v>马聪Cong (Cong Ma)</v>
      </c>
      <c r="AF482">
        <f>VLOOKUP($H482,'[3]0509人员排班情况 副本'!$G:$U,14,FALSE)</f>
        <v>0</v>
      </c>
      <c r="AG482">
        <f>VLOOKUP($H482,'[3]0509人员排班情况 副本'!$G:$U,15,FALSE)</f>
        <v>0</v>
      </c>
    </row>
    <row r="483" customHeight="1" spans="1:33">
      <c r="A483" t="s">
        <v>202</v>
      </c>
      <c r="B483" t="s">
        <v>1621</v>
      </c>
      <c r="C483" t="s">
        <v>1622</v>
      </c>
      <c r="D483" t="s">
        <v>31</v>
      </c>
      <c r="E483" t="s">
        <v>45</v>
      </c>
      <c r="F483" t="s">
        <v>148</v>
      </c>
      <c r="H483" t="str">
        <f t="shared" si="49"/>
        <v>GL 大湖大区揽收部</v>
      </c>
      <c r="I483" t="s">
        <v>1623</v>
      </c>
      <c r="J483" t="s">
        <v>295</v>
      </c>
      <c r="K483" s="15">
        <v>0.375</v>
      </c>
      <c r="L483" s="15" t="s">
        <v>296</v>
      </c>
      <c r="M483" s="15"/>
      <c r="N483" t="s">
        <v>148</v>
      </c>
      <c r="O483" s="20" t="str">
        <f t="shared" si="50"/>
        <v>不正确</v>
      </c>
      <c r="P483" s="21">
        <v>0</v>
      </c>
      <c r="Q483" s="21">
        <v>0</v>
      </c>
      <c r="R483" s="21">
        <v>0</v>
      </c>
      <c r="S483" s="21">
        <f t="shared" si="51"/>
        <v>0</v>
      </c>
      <c r="T483" s="21">
        <f t="shared" si="52"/>
        <v>0</v>
      </c>
      <c r="U483" s="21" t="str">
        <f t="shared" si="53"/>
        <v>否</v>
      </c>
      <c r="V483" s="21">
        <f>VLOOKUP($C483,[4]Sheet1!$B:$AN,39,FALSE)</f>
        <v>0</v>
      </c>
      <c r="W483" s="21">
        <v>0</v>
      </c>
      <c r="X483" s="23">
        <v>0</v>
      </c>
      <c r="Y483" s="23">
        <v>4</v>
      </c>
      <c r="Z483" s="25">
        <f t="shared" si="54"/>
        <v>4</v>
      </c>
      <c r="AA483" s="25" t="str">
        <f t="shared" si="55"/>
        <v>是</v>
      </c>
      <c r="AB483" t="s">
        <v>148</v>
      </c>
      <c r="AC483" t="e">
        <f>VLOOKUP(C483,[1]Sheet1!$C:$O,13,FALSE)</f>
        <v>#N/A</v>
      </c>
      <c r="AD483" t="str">
        <f>VLOOKUP($H483,'[3]0509人员排班情况 副本'!$G:$U,12,FALSE)</f>
        <v>王晓丹 Jasmine（Xiaodan Wang）,周延舒Isabel（Yanshu Zhou）</v>
      </c>
      <c r="AE483" t="str">
        <f>VLOOKUP($H483,'[3]0509人员排班情况 副本'!$G:$U,13,FALSE)</f>
        <v>张骥Ji Zhang (Ji Zhang)</v>
      </c>
      <c r="AF483">
        <f>VLOOKUP($H483,'[3]0509人员排班情况 副本'!$G:$U,14,FALSE)</f>
        <v>0</v>
      </c>
      <c r="AG483">
        <f>VLOOKUP($H483,'[3]0509人员排班情况 副本'!$G:$U,15,FALSE)</f>
        <v>0</v>
      </c>
    </row>
    <row r="484" customHeight="1" spans="1:33">
      <c r="A484" t="s">
        <v>202</v>
      </c>
      <c r="B484" t="s">
        <v>1624</v>
      </c>
      <c r="C484" t="s">
        <v>1625</v>
      </c>
      <c r="D484" t="s">
        <v>68</v>
      </c>
      <c r="E484" t="s">
        <v>29</v>
      </c>
      <c r="F484" t="s">
        <v>200</v>
      </c>
      <c r="H484" t="str">
        <f t="shared" si="49"/>
        <v>NE 东北大区运营支持部区域支持组</v>
      </c>
      <c r="I484" t="s">
        <v>195</v>
      </c>
      <c r="J484" t="s">
        <v>236</v>
      </c>
      <c r="K484" s="15">
        <v>0.395833333333333</v>
      </c>
      <c r="L484" s="15" t="s">
        <v>218</v>
      </c>
      <c r="M484" s="15"/>
      <c r="N484" t="s">
        <v>148</v>
      </c>
      <c r="O484" s="20" t="str">
        <f t="shared" si="50"/>
        <v>不正确</v>
      </c>
      <c r="P484" s="21">
        <v>0</v>
      </c>
      <c r="Q484" s="21">
        <v>0</v>
      </c>
      <c r="R484" s="21">
        <v>0</v>
      </c>
      <c r="S484" s="21">
        <f t="shared" si="51"/>
        <v>0</v>
      </c>
      <c r="T484" s="21">
        <f t="shared" si="52"/>
        <v>0</v>
      </c>
      <c r="U484" s="21" t="str">
        <f t="shared" si="53"/>
        <v>否</v>
      </c>
      <c r="V484" s="21">
        <f>VLOOKUP($C484,[4]Sheet1!$B:$AN,39,FALSE)</f>
        <v>0</v>
      </c>
      <c r="W484" s="21">
        <v>0</v>
      </c>
      <c r="X484" s="23">
        <v>0</v>
      </c>
      <c r="Y484" s="23">
        <v>0</v>
      </c>
      <c r="Z484" s="25">
        <f t="shared" si="54"/>
        <v>0</v>
      </c>
      <c r="AA484" s="25" t="str">
        <f t="shared" si="55"/>
        <v>是</v>
      </c>
      <c r="AB484" t="s">
        <v>1620</v>
      </c>
      <c r="AC484" t="e">
        <f>VLOOKUP(C484,[1]Sheet1!$C:$O,13,FALSE)</f>
        <v>#N/A</v>
      </c>
      <c r="AD484" t="str">
        <f>VLOOKUP($H484,'[3]0509人员排班情况 副本'!$G:$U,12,FALSE)</f>
        <v>孙可君Monica（Kejun Sun）</v>
      </c>
      <c r="AE484" t="str">
        <f>VLOOKUP($H484,'[3]0509人员排班情况 副本'!$G:$U,13,FALSE)</f>
        <v>马聪Cong (Cong Ma)</v>
      </c>
      <c r="AF484">
        <f>VLOOKUP($H484,'[3]0509人员排班情况 副本'!$G:$U,14,FALSE)</f>
        <v>0</v>
      </c>
      <c r="AG484">
        <f>VLOOKUP($H484,'[3]0509人员排班情况 副本'!$G:$U,15,FALSE)</f>
        <v>0</v>
      </c>
    </row>
    <row r="485" customHeight="1" spans="1:33">
      <c r="A485" t="s">
        <v>202</v>
      </c>
      <c r="B485" t="s">
        <v>1626</v>
      </c>
      <c r="C485" t="s">
        <v>1627</v>
      </c>
      <c r="D485" t="s">
        <v>31</v>
      </c>
      <c r="E485" t="s">
        <v>41</v>
      </c>
      <c r="F485" t="s">
        <v>210</v>
      </c>
      <c r="G485" t="s">
        <v>112</v>
      </c>
      <c r="H485" t="str">
        <f t="shared" si="49"/>
        <v>GL 大湖大区ORD.H操作组</v>
      </c>
      <c r="I485" t="s">
        <v>281</v>
      </c>
      <c r="J485" t="s">
        <v>217</v>
      </c>
      <c r="K485" s="15">
        <v>0.395833333333333</v>
      </c>
      <c r="L485" s="15" t="s">
        <v>218</v>
      </c>
      <c r="M485" s="15"/>
      <c r="N485" t="s">
        <v>148</v>
      </c>
      <c r="O485" s="20" t="s">
        <v>116</v>
      </c>
      <c r="P485" s="21">
        <v>0</v>
      </c>
      <c r="Q485" s="21">
        <v>0</v>
      </c>
      <c r="R485" s="21">
        <v>0</v>
      </c>
      <c r="S485" s="21">
        <f t="shared" si="51"/>
        <v>0</v>
      </c>
      <c r="T485" s="21">
        <f t="shared" si="52"/>
        <v>0</v>
      </c>
      <c r="U485" s="21" t="str">
        <f t="shared" si="53"/>
        <v>否</v>
      </c>
      <c r="V485" s="21">
        <f>VLOOKUP($C485,[4]Sheet1!$B:$AN,39,FALSE)</f>
        <v>0</v>
      </c>
      <c r="W485" s="21">
        <v>0</v>
      </c>
      <c r="X485" s="23">
        <v>0</v>
      </c>
      <c r="Y485" s="23">
        <v>0</v>
      </c>
      <c r="Z485" s="25">
        <f t="shared" si="54"/>
        <v>0</v>
      </c>
      <c r="AA485" s="25" t="str">
        <f t="shared" si="55"/>
        <v>是</v>
      </c>
      <c r="AB485" t="s">
        <v>148</v>
      </c>
      <c r="AC485" t="e">
        <f>VLOOKUP(C485,[1]Sheet1!$C:$O,13,FALSE)</f>
        <v>#N/A</v>
      </c>
      <c r="AD485" t="str">
        <f>VLOOKUP($H485,'[3]0509人员排班情况 副本'!$G:$U,12,FALSE)</f>
        <v>王晓丹 Jasmine（Xiaodan Wang）,周延舒Isabel（Yanshu Zhou）</v>
      </c>
      <c r="AE485" t="str">
        <f>VLOOKUP($H485,'[3]0509人员排班情况 副本'!$G:$U,13,FALSE)</f>
        <v>张骥Ji Zhang (Ji Zhang)</v>
      </c>
      <c r="AF485" t="str">
        <f>VLOOKUP($H485,'[3]0509人员排班情况 副本'!$G:$U,14,FALSE)</f>
        <v>Minqing (Minqing Xu),罗煜雄 Mike (Yuxiong Luo)</v>
      </c>
      <c r="AG485">
        <f>VLOOKUP($H485,'[3]0509人员排班情况 副本'!$G:$U,15,FALSE)</f>
        <v>0</v>
      </c>
    </row>
    <row r="486" customHeight="1" spans="1:33">
      <c r="A486" t="s">
        <v>202</v>
      </c>
      <c r="B486" t="s">
        <v>1628</v>
      </c>
      <c r="C486" t="s">
        <v>1629</v>
      </c>
      <c r="D486" t="s">
        <v>68</v>
      </c>
      <c r="E486" t="s">
        <v>76</v>
      </c>
      <c r="F486" t="s">
        <v>243</v>
      </c>
      <c r="G486" t="s">
        <v>112</v>
      </c>
      <c r="H486" t="str">
        <f t="shared" si="49"/>
        <v>NE 东北大区EWR.H调度组</v>
      </c>
      <c r="I486" t="s">
        <v>160</v>
      </c>
      <c r="J486" t="s">
        <v>487</v>
      </c>
      <c r="K486" s="15">
        <v>0.875</v>
      </c>
      <c r="L486" s="15" t="s">
        <v>488</v>
      </c>
      <c r="M486" s="15">
        <v>0.843055555555556</v>
      </c>
      <c r="N486" t="s">
        <v>148</v>
      </c>
      <c r="O486" s="20" t="str">
        <f t="shared" si="50"/>
        <v>正确</v>
      </c>
      <c r="P486" s="21">
        <v>0</v>
      </c>
      <c r="Q486" s="21">
        <v>0</v>
      </c>
      <c r="R486" s="21">
        <v>0</v>
      </c>
      <c r="S486" s="21">
        <f t="shared" si="51"/>
        <v>0</v>
      </c>
      <c r="T486" s="21">
        <f t="shared" si="52"/>
        <v>0</v>
      </c>
      <c r="U486" s="21" t="str">
        <f t="shared" si="53"/>
        <v>否</v>
      </c>
      <c r="V486" s="21">
        <f>VLOOKUP($C486,[4]Sheet1!$B:$AN,39,FALSE)</f>
        <v>12.53</v>
      </c>
      <c r="W486" s="21">
        <v>0</v>
      </c>
      <c r="X486" s="23">
        <v>1</v>
      </c>
      <c r="Y486" s="23">
        <v>4</v>
      </c>
      <c r="Z486" s="25">
        <f t="shared" si="54"/>
        <v>3</v>
      </c>
      <c r="AA486" s="25" t="str">
        <f t="shared" si="55"/>
        <v>是</v>
      </c>
      <c r="AB486" t="s">
        <v>148</v>
      </c>
      <c r="AC486" t="e">
        <f>VLOOKUP(C486,[1]Sheet1!$C:$O,13,FALSE)</f>
        <v>#N/A</v>
      </c>
      <c r="AD486" t="str">
        <f>VLOOKUP($H486,'[3]0509人员排班情况 副本'!$G:$U,12,FALSE)</f>
        <v>孙可君Monica（Kejun Sun）</v>
      </c>
      <c r="AE486" t="str">
        <f>VLOOKUP($H486,'[3]0509人员排班情况 副本'!$G:$U,13,FALSE)</f>
        <v>马聪Cong (Cong Ma)</v>
      </c>
      <c r="AF486" t="str">
        <f>VLOOKUP($H486,'[3]0509人员排班情况 副本'!$G:$U,14,FALSE)</f>
        <v>Minqing (Minqing Xu),罗煜雄 Mike (Yuxiong Luo)</v>
      </c>
      <c r="AG486">
        <f>VLOOKUP($H486,'[3]0509人员排班情况 副本'!$G:$U,15,FALSE)</f>
        <v>0</v>
      </c>
    </row>
    <row r="487" customHeight="1" spans="1:33">
      <c r="A487" t="s">
        <v>202</v>
      </c>
      <c r="B487" t="s">
        <v>1630</v>
      </c>
      <c r="C487" t="s">
        <v>1631</v>
      </c>
      <c r="D487" t="s">
        <v>100</v>
      </c>
      <c r="E487" t="s">
        <v>103</v>
      </c>
      <c r="F487" t="s">
        <v>210</v>
      </c>
      <c r="G487" t="s">
        <v>112</v>
      </c>
      <c r="H487" t="str">
        <f t="shared" si="49"/>
        <v>WE 美西大区LAV.H操作组</v>
      </c>
      <c r="I487" t="s">
        <v>156</v>
      </c>
      <c r="J487" t="s">
        <v>1152</v>
      </c>
      <c r="K487" s="15">
        <v>0.375</v>
      </c>
      <c r="L487" s="15" t="s">
        <v>218</v>
      </c>
      <c r="M487" s="15"/>
      <c r="N487" t="s">
        <v>148</v>
      </c>
      <c r="O487" s="20" t="s">
        <v>116</v>
      </c>
      <c r="P487" s="21">
        <v>0</v>
      </c>
      <c r="Q487" s="21">
        <v>0</v>
      </c>
      <c r="R487" s="21">
        <v>0</v>
      </c>
      <c r="S487" s="21">
        <f t="shared" si="51"/>
        <v>0</v>
      </c>
      <c r="T487" s="21">
        <f t="shared" si="52"/>
        <v>0</v>
      </c>
      <c r="U487" s="21" t="str">
        <f t="shared" si="53"/>
        <v>否</v>
      </c>
      <c r="V487" s="21">
        <f>VLOOKUP($C487,[4]Sheet1!$B:$AN,39,FALSE)</f>
        <v>0</v>
      </c>
      <c r="W487" s="21">
        <v>0</v>
      </c>
      <c r="X487" s="23">
        <v>0</v>
      </c>
      <c r="Y487" s="23">
        <v>0</v>
      </c>
      <c r="Z487" s="25">
        <f t="shared" si="54"/>
        <v>0</v>
      </c>
      <c r="AA487" s="25" t="str">
        <f t="shared" si="55"/>
        <v>是</v>
      </c>
      <c r="AB487" t="s">
        <v>148</v>
      </c>
      <c r="AC487" t="e">
        <f>VLOOKUP(C487,[1]Sheet1!$C:$O,13,FALSE)</f>
        <v>#N/A</v>
      </c>
      <c r="AD487" t="str">
        <f>VLOOKUP($H487,'[3]0509人员排班情况 副本'!$G:$U,12,FALSE)</f>
        <v>王骞Ariel（Qian Wang）,叶秀芳Freya (Xiufang Ye)</v>
      </c>
      <c r="AE487" t="str">
        <f>VLOOKUP($H487,'[3]0509人员排班情况 副本'!$G:$U,13,FALSE)</f>
        <v>常哲</v>
      </c>
      <c r="AF487" t="str">
        <f>VLOOKUP($H487,'[3]0509人员排班情况 副本'!$G:$U,14,FALSE)</f>
        <v>Minqing (Minqing Xu),罗煜雄 Mike (Yuxiong Luo)</v>
      </c>
      <c r="AG487">
        <f>VLOOKUP($H487,'[3]0509人员排班情况 副本'!$G:$U,15,FALSE)</f>
        <v>0</v>
      </c>
    </row>
    <row r="488" customHeight="1" spans="1:33">
      <c r="A488" t="s">
        <v>202</v>
      </c>
      <c r="B488" t="s">
        <v>1632</v>
      </c>
      <c r="C488" t="s">
        <v>1633</v>
      </c>
      <c r="D488" t="s">
        <v>58</v>
      </c>
      <c r="E488" t="s">
        <v>60</v>
      </c>
      <c r="F488" t="s">
        <v>228</v>
      </c>
      <c r="H488" t="str">
        <f t="shared" si="49"/>
        <v>MS 中南大区AS 亚特兰大和南阿拉巴马片区ATL01</v>
      </c>
      <c r="I488" t="s">
        <v>406</v>
      </c>
      <c r="J488" t="s">
        <v>343</v>
      </c>
      <c r="K488" s="15">
        <v>0.25</v>
      </c>
      <c r="L488" s="15" t="s">
        <v>344</v>
      </c>
      <c r="M488" s="15">
        <v>0.306944444444444</v>
      </c>
      <c r="N488" t="s">
        <v>1634</v>
      </c>
      <c r="O488" s="20" t="str">
        <f t="shared" si="50"/>
        <v>不正确</v>
      </c>
      <c r="P488" s="21">
        <v>0</v>
      </c>
      <c r="Q488" s="21">
        <v>8.5</v>
      </c>
      <c r="R488" s="21">
        <v>0</v>
      </c>
      <c r="S488" s="21">
        <f t="shared" si="51"/>
        <v>8.5</v>
      </c>
      <c r="T488" s="21">
        <f t="shared" si="52"/>
        <v>0.5</v>
      </c>
      <c r="U488" s="21" t="str">
        <f t="shared" si="53"/>
        <v>是</v>
      </c>
      <c r="V488" s="21">
        <f>VLOOKUP($C488,[4]Sheet1!$B:$AN,39,FALSE)</f>
        <v>16.92</v>
      </c>
      <c r="W488" s="21">
        <v>0</v>
      </c>
      <c r="X488" s="23">
        <v>2</v>
      </c>
      <c r="Y488" s="23">
        <v>4</v>
      </c>
      <c r="Z488" s="25">
        <f t="shared" si="54"/>
        <v>2</v>
      </c>
      <c r="AA488" s="25" t="str">
        <f t="shared" si="55"/>
        <v>是</v>
      </c>
      <c r="AB488" t="s">
        <v>148</v>
      </c>
      <c r="AC488" t="e">
        <f>VLOOKUP(C488,[1]Sheet1!$C:$O,13,FALSE)</f>
        <v>#N/A</v>
      </c>
      <c r="AD488" t="str">
        <f>VLOOKUP($H488,'[3]0509人员排班情况 副本'!$G:$U,12,FALSE)</f>
        <v>欧阳迎春Flower（Yingchun Ouyang）</v>
      </c>
      <c r="AE488" t="str">
        <f>VLOOKUP($H488,'[3]0509人员排班情况 副本'!$G:$U,13,FALSE)</f>
        <v>杨云飞</v>
      </c>
      <c r="AF488" t="str">
        <f>VLOOKUP($H488,'[3]0509人员排班情况 副本'!$G:$U,14,FALSE)</f>
        <v>李明峰Lucas(Mingfeng Li)</v>
      </c>
      <c r="AG488">
        <f>VLOOKUP($H488,'[3]0509人员排班情况 副本'!$G:$U,15,FALSE)</f>
        <v>0</v>
      </c>
    </row>
    <row r="489" customHeight="1" spans="1:33">
      <c r="A489" t="s">
        <v>202</v>
      </c>
      <c r="B489" t="s">
        <v>1635</v>
      </c>
      <c r="C489" t="s">
        <v>1636</v>
      </c>
      <c r="D489" t="s">
        <v>68</v>
      </c>
      <c r="E489" t="s">
        <v>76</v>
      </c>
      <c r="F489" t="s">
        <v>243</v>
      </c>
      <c r="G489" t="s">
        <v>112</v>
      </c>
      <c r="H489" t="str">
        <f t="shared" si="49"/>
        <v>NE 东北大区EWR.H调度组</v>
      </c>
      <c r="I489" t="s">
        <v>160</v>
      </c>
      <c r="J489" t="s">
        <v>343</v>
      </c>
      <c r="K489" s="15">
        <v>0.25</v>
      </c>
      <c r="L489" s="15" t="s">
        <v>344</v>
      </c>
      <c r="M489" s="15">
        <v>0.248611111111111</v>
      </c>
      <c r="N489" t="s">
        <v>1637</v>
      </c>
      <c r="O489" s="20" t="str">
        <f t="shared" si="50"/>
        <v>正确</v>
      </c>
      <c r="P489" s="21">
        <v>0</v>
      </c>
      <c r="Q489" s="21">
        <v>9.08</v>
      </c>
      <c r="R489" s="21">
        <v>0</v>
      </c>
      <c r="S489" s="21">
        <f t="shared" si="51"/>
        <v>9.08</v>
      </c>
      <c r="T489" s="21">
        <f t="shared" si="52"/>
        <v>1.08</v>
      </c>
      <c r="U489" s="21" t="str">
        <f t="shared" si="53"/>
        <v>是</v>
      </c>
      <c r="V489" s="21">
        <f>VLOOKUP($C489,[4]Sheet1!$B:$AN,39,FALSE)</f>
        <v>17.66</v>
      </c>
      <c r="W489" s="21">
        <v>0</v>
      </c>
      <c r="X489" s="23">
        <v>4</v>
      </c>
      <c r="Y489" s="23">
        <v>4</v>
      </c>
      <c r="Z489" s="25">
        <f t="shared" si="54"/>
        <v>0</v>
      </c>
      <c r="AA489" s="25" t="str">
        <f t="shared" si="55"/>
        <v>是</v>
      </c>
      <c r="AB489" t="s">
        <v>148</v>
      </c>
      <c r="AC489" t="e">
        <f>VLOOKUP(C489,[1]Sheet1!$C:$O,13,FALSE)</f>
        <v>#N/A</v>
      </c>
      <c r="AD489" t="str">
        <f>VLOOKUP($H489,'[3]0509人员排班情况 副本'!$G:$U,12,FALSE)</f>
        <v>孙可君Monica（Kejun Sun）</v>
      </c>
      <c r="AE489" t="str">
        <f>VLOOKUP($H489,'[3]0509人员排班情况 副本'!$G:$U,13,FALSE)</f>
        <v>马聪Cong (Cong Ma)</v>
      </c>
      <c r="AF489" t="str">
        <f>VLOOKUP($H489,'[3]0509人员排班情况 副本'!$G:$U,14,FALSE)</f>
        <v>Minqing (Minqing Xu),罗煜雄 Mike (Yuxiong Luo)</v>
      </c>
      <c r="AG489">
        <f>VLOOKUP($H489,'[3]0509人员排班情况 副本'!$G:$U,15,FALSE)</f>
        <v>0</v>
      </c>
    </row>
    <row r="490" customHeight="1" spans="1:33">
      <c r="A490" t="s">
        <v>202</v>
      </c>
      <c r="B490" t="s">
        <v>1638</v>
      </c>
      <c r="C490" t="s">
        <v>1639</v>
      </c>
      <c r="D490" t="s">
        <v>68</v>
      </c>
      <c r="E490" t="s">
        <v>75</v>
      </c>
      <c r="F490" t="s">
        <v>1640</v>
      </c>
      <c r="H490" t="str">
        <f t="shared" si="49"/>
        <v>NE 东北大区DC 华盛顿片区GED01</v>
      </c>
      <c r="I490" t="s">
        <v>177</v>
      </c>
      <c r="J490" t="s">
        <v>343</v>
      </c>
      <c r="K490" s="15">
        <v>0.25</v>
      </c>
      <c r="L490" s="15" t="s">
        <v>344</v>
      </c>
      <c r="M490" s="15">
        <v>0.251388888888889</v>
      </c>
      <c r="N490" t="s">
        <v>1641</v>
      </c>
      <c r="O490" s="20" t="str">
        <f t="shared" si="50"/>
        <v>正确</v>
      </c>
      <c r="P490" s="21">
        <v>0</v>
      </c>
      <c r="Q490" s="21">
        <v>8.03</v>
      </c>
      <c r="R490" s="21">
        <v>0</v>
      </c>
      <c r="S490" s="21">
        <f t="shared" si="51"/>
        <v>8.03</v>
      </c>
      <c r="T490" s="21">
        <f t="shared" si="52"/>
        <v>0.0299999999999994</v>
      </c>
      <c r="U490" s="21" t="str">
        <f t="shared" si="53"/>
        <v>是</v>
      </c>
      <c r="V490" s="21">
        <f>VLOOKUP($C490,[4]Sheet1!$B:$AN,39,FALSE)</f>
        <v>8.03</v>
      </c>
      <c r="W490" s="21">
        <v>0</v>
      </c>
      <c r="X490" s="23">
        <v>2</v>
      </c>
      <c r="Y490" s="23">
        <v>4</v>
      </c>
      <c r="Z490" s="25">
        <f t="shared" si="54"/>
        <v>2</v>
      </c>
      <c r="AA490" s="25" t="str">
        <f t="shared" si="55"/>
        <v>是</v>
      </c>
      <c r="AB490" t="s">
        <v>148</v>
      </c>
      <c r="AC490" t="e">
        <f>VLOOKUP(C490,[1]Sheet1!$C:$O,13,FALSE)</f>
        <v>#N/A</v>
      </c>
      <c r="AD490" t="str">
        <f>VLOOKUP($H490,'[3]0509人员排班情况 副本'!$G:$U,12,FALSE)</f>
        <v>孙可君Monica（Kejun Sun）</v>
      </c>
      <c r="AE490" t="str">
        <f>VLOOKUP($H490,'[3]0509人员排班情况 副本'!$G:$U,13,FALSE)</f>
        <v>马聪Cong (Cong Ma)</v>
      </c>
      <c r="AF490" t="str">
        <f>VLOOKUP($H490,'[3]0509人员排班情况 副本'!$G:$U,14,FALSE)</f>
        <v>朱晗宇 Peter (Hanyu Zhu)</v>
      </c>
      <c r="AG490">
        <f>VLOOKUP($H490,'[3]0509人员排班情况 副本'!$G:$U,15,FALSE)</f>
        <v>0</v>
      </c>
    </row>
    <row r="491" customHeight="1" spans="1:33">
      <c r="A491" t="s">
        <v>202</v>
      </c>
      <c r="B491" t="s">
        <v>1642</v>
      </c>
      <c r="C491" t="s">
        <v>1643</v>
      </c>
      <c r="D491" t="s">
        <v>11</v>
      </c>
      <c r="E491" t="s">
        <v>148</v>
      </c>
      <c r="F491" t="s">
        <v>148</v>
      </c>
      <c r="H491" t="str">
        <f t="shared" si="49"/>
        <v>BM 品牌市场部</v>
      </c>
      <c r="I491" t="s">
        <v>1067</v>
      </c>
      <c r="J491" t="s">
        <v>236</v>
      </c>
      <c r="K491" s="15">
        <v>0.395833333333333</v>
      </c>
      <c r="L491" s="15" t="s">
        <v>218</v>
      </c>
      <c r="M491" s="15">
        <v>0.399305555555556</v>
      </c>
      <c r="N491" t="s">
        <v>1144</v>
      </c>
      <c r="O491" s="20" t="str">
        <f t="shared" si="50"/>
        <v>正确</v>
      </c>
      <c r="P491" s="21">
        <v>0</v>
      </c>
      <c r="Q491" s="21">
        <v>8.3</v>
      </c>
      <c r="R491" s="21">
        <v>0</v>
      </c>
      <c r="S491" s="21">
        <f t="shared" si="51"/>
        <v>8.3</v>
      </c>
      <c r="T491" s="21">
        <f t="shared" si="52"/>
        <v>0.300000000000001</v>
      </c>
      <c r="U491" s="21" t="str">
        <f t="shared" si="53"/>
        <v>是</v>
      </c>
      <c r="V491" s="21">
        <f>VLOOKUP($C491,[4]Sheet1!$B:$AN,39,FALSE)</f>
        <v>16.55</v>
      </c>
      <c r="W491" s="21">
        <v>0</v>
      </c>
      <c r="X491" s="23">
        <v>2</v>
      </c>
      <c r="Y491" s="23">
        <v>4</v>
      </c>
      <c r="Z491" s="25">
        <f t="shared" si="54"/>
        <v>2</v>
      </c>
      <c r="AA491" s="25" t="str">
        <f t="shared" si="55"/>
        <v>是</v>
      </c>
      <c r="AB491" t="s">
        <v>148</v>
      </c>
      <c r="AC491" t="e">
        <f>VLOOKUP(C491,[1]Sheet1!$C:$O,13,FALSE)</f>
        <v>#N/A</v>
      </c>
      <c r="AD491" t="str">
        <f>VLOOKUP($H491,'[3]0509人员排班情况 副本'!$G:$U,12,FALSE)</f>
        <v>袁博闻(Bowen Yuan)</v>
      </c>
      <c r="AE491">
        <f>VLOOKUP($H491,'[3]0509人员排班情况 副本'!$G:$U,13,FALSE)</f>
        <v>0</v>
      </c>
      <c r="AF491">
        <f>VLOOKUP($H491,'[3]0509人员排班情况 副本'!$G:$U,14,FALSE)</f>
        <v>0</v>
      </c>
      <c r="AG491">
        <f>VLOOKUP($H491,'[3]0509人员排班情况 副本'!$G:$U,15,FALSE)</f>
        <v>0</v>
      </c>
    </row>
    <row r="492" customHeight="1" spans="1:33">
      <c r="A492" t="s">
        <v>202</v>
      </c>
      <c r="B492" t="s">
        <v>1644</v>
      </c>
      <c r="C492" t="s">
        <v>1645</v>
      </c>
      <c r="D492" t="s">
        <v>68</v>
      </c>
      <c r="E492" t="s">
        <v>82</v>
      </c>
      <c r="F492" t="s">
        <v>1646</v>
      </c>
      <c r="H492" t="str">
        <f t="shared" si="49"/>
        <v>NE 东北大区PA 宾州片区MDT01</v>
      </c>
      <c r="I492" t="s">
        <v>406</v>
      </c>
      <c r="J492" t="s">
        <v>221</v>
      </c>
      <c r="K492" s="15">
        <v>0.208333333333333</v>
      </c>
      <c r="L492" s="15" t="s">
        <v>222</v>
      </c>
      <c r="M492" s="15">
        <v>0.270833333333333</v>
      </c>
      <c r="N492" t="s">
        <v>1647</v>
      </c>
      <c r="O492" s="20" t="str">
        <f t="shared" si="50"/>
        <v>不正确</v>
      </c>
      <c r="P492" s="21">
        <v>0</v>
      </c>
      <c r="Q492" s="21">
        <v>7.1</v>
      </c>
      <c r="R492" s="21">
        <v>0</v>
      </c>
      <c r="S492" s="21">
        <f t="shared" si="51"/>
        <v>7.1</v>
      </c>
      <c r="T492" s="21">
        <f t="shared" si="52"/>
        <v>0</v>
      </c>
      <c r="U492" s="21" t="str">
        <f t="shared" si="53"/>
        <v>否</v>
      </c>
      <c r="V492" s="21">
        <f>VLOOKUP($C492,[4]Sheet1!$B:$AN,39,FALSE)</f>
        <v>7.1</v>
      </c>
      <c r="W492" s="21">
        <v>0</v>
      </c>
      <c r="X492" s="23">
        <v>2</v>
      </c>
      <c r="Y492" s="23">
        <v>4</v>
      </c>
      <c r="Z492" s="25">
        <f t="shared" si="54"/>
        <v>2</v>
      </c>
      <c r="AA492" s="25" t="str">
        <f t="shared" si="55"/>
        <v>是</v>
      </c>
      <c r="AB492" t="s">
        <v>148</v>
      </c>
      <c r="AC492" t="e">
        <f>VLOOKUP(C492,[1]Sheet1!$C:$O,13,FALSE)</f>
        <v>#N/A</v>
      </c>
      <c r="AD492" t="str">
        <f>VLOOKUP($H492,'[3]0509人员排班情况 副本'!$G:$U,12,FALSE)</f>
        <v>孙可君Monica（Kejun Sun）</v>
      </c>
      <c r="AE492" t="str">
        <f>VLOOKUP($H492,'[3]0509人员排班情况 副本'!$G:$U,13,FALSE)</f>
        <v>马聪Cong (Cong Ma)</v>
      </c>
      <c r="AF492" t="str">
        <f>VLOOKUP($H492,'[3]0509人员排班情况 副本'!$G:$U,14,FALSE)</f>
        <v>朱晗宇 Peter (Hanyu Zhu)</v>
      </c>
      <c r="AG492">
        <f>VLOOKUP($H492,'[3]0509人员排班情况 副本'!$G:$U,15,FALSE)</f>
        <v>0</v>
      </c>
    </row>
    <row r="493" customHeight="1" spans="1:33">
      <c r="A493" t="s">
        <v>202</v>
      </c>
      <c r="B493" t="s">
        <v>1648</v>
      </c>
      <c r="C493" t="s">
        <v>1649</v>
      </c>
      <c r="D493" t="s">
        <v>58</v>
      </c>
      <c r="E493" t="s">
        <v>64</v>
      </c>
      <c r="F493" t="s">
        <v>180</v>
      </c>
      <c r="H493" t="str">
        <f t="shared" si="49"/>
        <v>MS 中南大区CS 夏洛特及周边片区CLT02</v>
      </c>
      <c r="I493" t="s">
        <v>156</v>
      </c>
      <c r="J493" t="s">
        <v>258</v>
      </c>
      <c r="K493" s="15">
        <v>0.1875</v>
      </c>
      <c r="L493" s="15" t="s">
        <v>259</v>
      </c>
      <c r="M493" s="15">
        <v>0.1875</v>
      </c>
      <c r="N493" t="s">
        <v>1193</v>
      </c>
      <c r="O493" s="20" t="str">
        <f t="shared" si="50"/>
        <v>正确</v>
      </c>
      <c r="P493" s="21">
        <v>0</v>
      </c>
      <c r="Q493" s="21">
        <v>8.62</v>
      </c>
      <c r="R493" s="21">
        <v>0</v>
      </c>
      <c r="S493" s="21">
        <f t="shared" si="51"/>
        <v>8.62</v>
      </c>
      <c r="T493" s="21">
        <f t="shared" si="52"/>
        <v>0.619999999999999</v>
      </c>
      <c r="U493" s="21" t="str">
        <f t="shared" si="53"/>
        <v>是</v>
      </c>
      <c r="V493" s="21">
        <f>VLOOKUP($C493,[4]Sheet1!$B:$AN,39,FALSE)</f>
        <v>16.75</v>
      </c>
      <c r="W493" s="21">
        <v>0</v>
      </c>
      <c r="X493" s="23">
        <v>4</v>
      </c>
      <c r="Y493" s="23">
        <v>4</v>
      </c>
      <c r="Z493" s="25">
        <f t="shared" si="54"/>
        <v>0</v>
      </c>
      <c r="AA493" s="25" t="str">
        <f t="shared" si="55"/>
        <v>是</v>
      </c>
      <c r="AB493" t="s">
        <v>148</v>
      </c>
      <c r="AC493" t="e">
        <f>VLOOKUP(C493,[1]Sheet1!$C:$O,13,FALSE)</f>
        <v>#N/A</v>
      </c>
      <c r="AD493" t="str">
        <f>VLOOKUP($H493,'[3]0509人员排班情况 副本'!$G:$U,12,FALSE)</f>
        <v>欧阳迎春Flower（Yingchun Ouyang）</v>
      </c>
      <c r="AE493" t="str">
        <f>VLOOKUP($H493,'[3]0509人员排班情况 副本'!$G:$U,13,FALSE)</f>
        <v>杨云飞</v>
      </c>
      <c r="AF493" t="str">
        <f>VLOOKUP($H493,'[3]0509人员排班情况 副本'!$G:$U,14,FALSE)</f>
        <v>郭丞芸Lexie(Chengyun Kuo)</v>
      </c>
      <c r="AG493">
        <f>VLOOKUP($H493,'[3]0509人员排班情况 副本'!$G:$U,15,FALSE)</f>
        <v>0</v>
      </c>
    </row>
    <row r="494" customHeight="1" spans="1:33">
      <c r="A494" t="s">
        <v>202</v>
      </c>
      <c r="B494" t="s">
        <v>1650</v>
      </c>
      <c r="C494" t="s">
        <v>1651</v>
      </c>
      <c r="D494" t="s">
        <v>48</v>
      </c>
      <c r="E494" t="s">
        <v>49</v>
      </c>
      <c r="F494" t="s">
        <v>1652</v>
      </c>
      <c r="H494" t="str">
        <f t="shared" si="49"/>
        <v>Ground项目部OG 美东区CB080</v>
      </c>
      <c r="I494" t="s">
        <v>156</v>
      </c>
      <c r="J494" t="s">
        <v>211</v>
      </c>
      <c r="K494" s="15">
        <v>0.333333333333333</v>
      </c>
      <c r="L494" s="15" t="s">
        <v>212</v>
      </c>
      <c r="M494" s="15">
        <v>0.38125</v>
      </c>
      <c r="N494" t="s">
        <v>428</v>
      </c>
      <c r="O494" s="20" t="str">
        <f t="shared" si="50"/>
        <v>不正确</v>
      </c>
      <c r="P494" s="21">
        <v>0</v>
      </c>
      <c r="Q494" s="21">
        <v>7.98</v>
      </c>
      <c r="R494" s="21">
        <v>0</v>
      </c>
      <c r="S494" s="21">
        <f t="shared" si="51"/>
        <v>7.98</v>
      </c>
      <c r="T494" s="21">
        <f t="shared" si="52"/>
        <v>0</v>
      </c>
      <c r="U494" s="21" t="str">
        <f t="shared" si="53"/>
        <v>否</v>
      </c>
      <c r="V494" s="21">
        <f>VLOOKUP($C494,[4]Sheet1!$B:$AN,39,FALSE)</f>
        <v>15.81</v>
      </c>
      <c r="W494" s="21">
        <v>0</v>
      </c>
      <c r="X494" s="23">
        <v>4</v>
      </c>
      <c r="Y494" s="23">
        <v>4</v>
      </c>
      <c r="Z494" s="25">
        <f t="shared" si="54"/>
        <v>0</v>
      </c>
      <c r="AA494" s="25" t="str">
        <f t="shared" si="55"/>
        <v>是</v>
      </c>
      <c r="AB494" t="s">
        <v>148</v>
      </c>
      <c r="AC494" t="e">
        <f>VLOOKUP(C494,[1]Sheet1!$C:$O,13,FALSE)</f>
        <v>#N/A</v>
      </c>
      <c r="AD494" t="str">
        <f>VLOOKUP($H494,'[3]0509人员排班情况 副本'!$G:$U,12,FALSE)</f>
        <v>王安琪 (Anqi Wang),张朱同 Thomson（Zhutong Zhang）</v>
      </c>
      <c r="AE494" t="str">
        <f>VLOOKUP($H494,'[3]0509人员排班情况 副本'!$G:$U,13,FALSE)</f>
        <v>陈锦昭</v>
      </c>
      <c r="AF494" t="str">
        <f>VLOOKUP($H494,'[3]0509人员排班情况 副本'!$G:$U,14,FALSE)</f>
        <v>欧和枫 Henry (HeFeng Ou)</v>
      </c>
      <c r="AG494">
        <f>VLOOKUP($H494,'[3]0509人员排班情况 副本'!$G:$U,15,FALSE)</f>
        <v>0</v>
      </c>
    </row>
    <row r="495" customHeight="1" spans="1:33">
      <c r="A495" t="s">
        <v>202</v>
      </c>
      <c r="B495" t="s">
        <v>1653</v>
      </c>
      <c r="C495" t="s">
        <v>1654</v>
      </c>
      <c r="D495" t="s">
        <v>68</v>
      </c>
      <c r="E495" t="s">
        <v>29</v>
      </c>
      <c r="F495" t="s">
        <v>200</v>
      </c>
      <c r="H495" t="str">
        <f t="shared" si="49"/>
        <v>NE 东北大区运营支持部区域支持组</v>
      </c>
      <c r="I495" t="s">
        <v>195</v>
      </c>
      <c r="J495" t="s">
        <v>236</v>
      </c>
      <c r="K495" s="15">
        <v>0.395833333333333</v>
      </c>
      <c r="L495" s="15" t="s">
        <v>218</v>
      </c>
      <c r="M495" s="15"/>
      <c r="N495" t="s">
        <v>148</v>
      </c>
      <c r="O495" s="20" t="str">
        <f t="shared" si="50"/>
        <v>不正确</v>
      </c>
      <c r="P495" s="21">
        <v>0</v>
      </c>
      <c r="Q495" s="21">
        <v>0</v>
      </c>
      <c r="R495" s="21">
        <v>0</v>
      </c>
      <c r="S495" s="21">
        <f t="shared" si="51"/>
        <v>0</v>
      </c>
      <c r="T495" s="21">
        <f t="shared" si="52"/>
        <v>0</v>
      </c>
      <c r="U495" s="21" t="str">
        <f t="shared" si="53"/>
        <v>否</v>
      </c>
      <c r="V495" s="21">
        <f>VLOOKUP($C495,[4]Sheet1!$B:$AN,39,FALSE)</f>
        <v>0</v>
      </c>
      <c r="W495" s="21">
        <v>0</v>
      </c>
      <c r="X495" s="23">
        <v>0</v>
      </c>
      <c r="Y495" s="23">
        <v>4</v>
      </c>
      <c r="Z495" s="25">
        <f t="shared" si="54"/>
        <v>4</v>
      </c>
      <c r="AA495" s="25" t="str">
        <f t="shared" si="55"/>
        <v>是</v>
      </c>
      <c r="AB495" t="s">
        <v>148</v>
      </c>
      <c r="AC495" t="e">
        <f>VLOOKUP(C495,[1]Sheet1!$C:$O,13,FALSE)</f>
        <v>#N/A</v>
      </c>
      <c r="AD495" t="str">
        <f>VLOOKUP($H495,'[3]0509人员排班情况 副本'!$G:$U,12,FALSE)</f>
        <v>孙可君Monica（Kejun Sun）</v>
      </c>
      <c r="AE495" t="str">
        <f>VLOOKUP($H495,'[3]0509人员排班情况 副本'!$G:$U,13,FALSE)</f>
        <v>马聪Cong (Cong Ma)</v>
      </c>
      <c r="AF495">
        <f>VLOOKUP($H495,'[3]0509人员排班情况 副本'!$G:$U,14,FALSE)</f>
        <v>0</v>
      </c>
      <c r="AG495">
        <f>VLOOKUP($H495,'[3]0509人员排班情况 副本'!$G:$U,15,FALSE)</f>
        <v>0</v>
      </c>
    </row>
    <row r="496" customHeight="1" spans="1:33">
      <c r="A496" t="s">
        <v>202</v>
      </c>
      <c r="B496" t="s">
        <v>1655</v>
      </c>
      <c r="C496" t="s">
        <v>1656</v>
      </c>
      <c r="D496" t="s">
        <v>100</v>
      </c>
      <c r="E496" t="s">
        <v>106</v>
      </c>
      <c r="F496" t="s">
        <v>879</v>
      </c>
      <c r="H496" t="str">
        <f t="shared" si="49"/>
        <v>WE 美西大区SC 南加片区LAX01</v>
      </c>
      <c r="I496" t="s">
        <v>156</v>
      </c>
      <c r="J496" t="s">
        <v>221</v>
      </c>
      <c r="K496" s="15">
        <v>0.208333333333333</v>
      </c>
      <c r="L496" s="15" t="s">
        <v>222</v>
      </c>
      <c r="M496" s="15">
        <v>0.233333333333333</v>
      </c>
      <c r="N496" t="s">
        <v>598</v>
      </c>
      <c r="O496" s="20" t="str">
        <f t="shared" si="50"/>
        <v>正确</v>
      </c>
      <c r="P496" s="21">
        <v>0</v>
      </c>
      <c r="Q496" s="21">
        <v>4.4</v>
      </c>
      <c r="R496" s="21">
        <v>0</v>
      </c>
      <c r="S496" s="21">
        <f t="shared" si="51"/>
        <v>4.4</v>
      </c>
      <c r="T496" s="21">
        <f t="shared" si="52"/>
        <v>0</v>
      </c>
      <c r="U496" s="21" t="str">
        <f t="shared" si="53"/>
        <v>否</v>
      </c>
      <c r="V496" s="21">
        <f>VLOOKUP($C496,[4]Sheet1!$B:$AN,39,FALSE)</f>
        <v>12.65</v>
      </c>
      <c r="W496" s="21">
        <v>0</v>
      </c>
      <c r="X496" s="23">
        <v>2</v>
      </c>
      <c r="Y496" s="23">
        <v>4</v>
      </c>
      <c r="Z496" s="25">
        <f t="shared" si="54"/>
        <v>2</v>
      </c>
      <c r="AA496" s="25" t="str">
        <f t="shared" si="55"/>
        <v>是</v>
      </c>
      <c r="AB496" t="s">
        <v>148</v>
      </c>
      <c r="AC496" t="e">
        <f>VLOOKUP(C496,[1]Sheet1!$C:$O,13,FALSE)</f>
        <v>#N/A</v>
      </c>
      <c r="AD496" t="str">
        <f>VLOOKUP($H496,'[3]0509人员排班情况 副本'!$G:$U,12,FALSE)</f>
        <v>王骞Ariel（Qian Wang）,叶秀芳Freya (Xiufang Ye)</v>
      </c>
      <c r="AE496" t="str">
        <f>VLOOKUP($H496,'[3]0509人员排班情况 副本'!$G:$U,13,FALSE)</f>
        <v>常哲</v>
      </c>
      <c r="AF496" t="str">
        <f>VLOOKUP($H496,'[3]0509人员排班情况 副本'!$G:$U,14,FALSE)</f>
        <v>尤梦楠Yuko（Mengnan You）</v>
      </c>
      <c r="AG496">
        <f>VLOOKUP($H496,'[3]0509人员排班情况 副本'!$G:$U,15,FALSE)</f>
        <v>0</v>
      </c>
    </row>
    <row r="497" customHeight="1" spans="1:33">
      <c r="A497" t="s">
        <v>202</v>
      </c>
      <c r="B497" t="s">
        <v>1657</v>
      </c>
      <c r="C497" t="s">
        <v>1658</v>
      </c>
      <c r="D497" t="s">
        <v>15</v>
      </c>
      <c r="E497" t="s">
        <v>17</v>
      </c>
      <c r="F497" t="s">
        <v>210</v>
      </c>
      <c r="G497" t="s">
        <v>112</v>
      </c>
      <c r="H497" t="str">
        <f t="shared" si="49"/>
        <v>FL 佛州大区MCO.H操作组</v>
      </c>
      <c r="I497" t="s">
        <v>156</v>
      </c>
      <c r="J497" t="s">
        <v>217</v>
      </c>
      <c r="K497" s="15">
        <v>0.395833333333333</v>
      </c>
      <c r="L497" s="15" t="s">
        <v>218</v>
      </c>
      <c r="M497" s="15"/>
      <c r="N497" t="s">
        <v>148</v>
      </c>
      <c r="O497" s="20" t="s">
        <v>116</v>
      </c>
      <c r="P497" s="21">
        <v>0</v>
      </c>
      <c r="Q497" s="21">
        <v>0</v>
      </c>
      <c r="R497" s="21">
        <v>0</v>
      </c>
      <c r="S497" s="21">
        <f t="shared" si="51"/>
        <v>0</v>
      </c>
      <c r="T497" s="21">
        <f t="shared" si="52"/>
        <v>0</v>
      </c>
      <c r="U497" s="21" t="str">
        <f t="shared" si="53"/>
        <v>否</v>
      </c>
      <c r="V497" s="21">
        <f>VLOOKUP($C497,[4]Sheet1!$B:$AN,39,FALSE)</f>
        <v>0</v>
      </c>
      <c r="W497" s="21">
        <v>0</v>
      </c>
      <c r="X497" s="23">
        <v>0</v>
      </c>
      <c r="Y497" s="23">
        <v>0</v>
      </c>
      <c r="Z497" s="25">
        <f t="shared" si="54"/>
        <v>0</v>
      </c>
      <c r="AA497" s="25" t="str">
        <f t="shared" si="55"/>
        <v>是</v>
      </c>
      <c r="AB497" t="s">
        <v>148</v>
      </c>
      <c r="AC497" t="e">
        <f>VLOOKUP(C497,[1]Sheet1!$C:$O,13,FALSE)</f>
        <v>#N/A</v>
      </c>
      <c r="AD497" t="str">
        <f>VLOOKUP($H497,'[3]0509人员排班情况 副本'!$G:$U,12,FALSE)</f>
        <v>Natalia (Natalia Padilla),孙婕 Jasmine（Sunjie）</v>
      </c>
      <c r="AE497" t="str">
        <f>VLOOKUP($H497,'[3]0509人员排班情况 副本'!$G:$U,13,FALSE)</f>
        <v>贺子强Jeff (Ziqiang He)</v>
      </c>
      <c r="AF497" t="str">
        <f>VLOOKUP($H497,'[3]0509人员排班情况 副本'!$G:$U,14,FALSE)</f>
        <v>Minqing (Minqing Xu),罗煜雄 Mike (Yuxiong Luo)</v>
      </c>
      <c r="AG497">
        <f>VLOOKUP($H497,'[3]0509人员排班情况 副本'!$G:$U,15,FALSE)</f>
        <v>0</v>
      </c>
    </row>
    <row r="498" customHeight="1" spans="1:33">
      <c r="A498" t="s">
        <v>202</v>
      </c>
      <c r="B498" t="s">
        <v>1659</v>
      </c>
      <c r="C498" t="s">
        <v>1660</v>
      </c>
      <c r="D498" t="s">
        <v>100</v>
      </c>
      <c r="E498" t="s">
        <v>103</v>
      </c>
      <c r="F498" t="s">
        <v>210</v>
      </c>
      <c r="G498" t="s">
        <v>112</v>
      </c>
      <c r="H498" t="str">
        <f t="shared" si="49"/>
        <v>WE 美西大区LAV.H操作组</v>
      </c>
      <c r="I498" t="s">
        <v>156</v>
      </c>
      <c r="J498" t="s">
        <v>1152</v>
      </c>
      <c r="K498" s="15">
        <v>0.375</v>
      </c>
      <c r="L498" s="15" t="s">
        <v>218</v>
      </c>
      <c r="M498" s="15"/>
      <c r="N498" t="s">
        <v>148</v>
      </c>
      <c r="O498" s="20" t="s">
        <v>116</v>
      </c>
      <c r="P498" s="21">
        <v>0</v>
      </c>
      <c r="Q498" s="21">
        <v>0</v>
      </c>
      <c r="R498" s="21">
        <v>0</v>
      </c>
      <c r="S498" s="21">
        <f t="shared" si="51"/>
        <v>0</v>
      </c>
      <c r="T498" s="21">
        <f t="shared" si="52"/>
        <v>0</v>
      </c>
      <c r="U498" s="21" t="str">
        <f t="shared" si="53"/>
        <v>否</v>
      </c>
      <c r="V498" s="21">
        <f>VLOOKUP($C498,[4]Sheet1!$B:$AN,39,FALSE)</f>
        <v>8.4</v>
      </c>
      <c r="W498" s="21">
        <v>0</v>
      </c>
      <c r="X498" s="23">
        <v>0</v>
      </c>
      <c r="Y498" s="23">
        <v>0</v>
      </c>
      <c r="Z498" s="25">
        <f t="shared" si="54"/>
        <v>0</v>
      </c>
      <c r="AA498" s="25" t="str">
        <f t="shared" si="55"/>
        <v>是</v>
      </c>
      <c r="AB498" t="s">
        <v>148</v>
      </c>
      <c r="AC498" t="e">
        <f>VLOOKUP(C498,[1]Sheet1!$C:$O,13,FALSE)</f>
        <v>#N/A</v>
      </c>
      <c r="AD498" t="str">
        <f>VLOOKUP($H498,'[3]0509人员排班情况 副本'!$G:$U,12,FALSE)</f>
        <v>王骞Ariel（Qian Wang）,叶秀芳Freya (Xiufang Ye)</v>
      </c>
      <c r="AE498" t="str">
        <f>VLOOKUP($H498,'[3]0509人员排班情况 副本'!$G:$U,13,FALSE)</f>
        <v>常哲</v>
      </c>
      <c r="AF498" t="str">
        <f>VLOOKUP($H498,'[3]0509人员排班情况 副本'!$G:$U,14,FALSE)</f>
        <v>Minqing (Minqing Xu),罗煜雄 Mike (Yuxiong Luo)</v>
      </c>
      <c r="AG498">
        <f>VLOOKUP($H498,'[3]0509人员排班情况 副本'!$G:$U,15,FALSE)</f>
        <v>0</v>
      </c>
    </row>
    <row r="499" customHeight="1" spans="1:33">
      <c r="A499" t="s">
        <v>202</v>
      </c>
      <c r="B499" t="s">
        <v>1661</v>
      </c>
      <c r="C499" t="s">
        <v>1662</v>
      </c>
      <c r="D499" t="s">
        <v>91</v>
      </c>
      <c r="E499" t="s">
        <v>991</v>
      </c>
      <c r="F499" t="s">
        <v>148</v>
      </c>
      <c r="H499" t="str">
        <f t="shared" si="49"/>
        <v>SM 站点管理部站点实施组</v>
      </c>
      <c r="I499" t="s">
        <v>1663</v>
      </c>
      <c r="J499" t="s">
        <v>236</v>
      </c>
      <c r="K499" s="15">
        <v>0.395833333333333</v>
      </c>
      <c r="L499" s="15" t="s">
        <v>218</v>
      </c>
      <c r="M499" s="15"/>
      <c r="N499" t="s">
        <v>148</v>
      </c>
      <c r="O499" s="20" t="str">
        <f t="shared" si="50"/>
        <v>不正确</v>
      </c>
      <c r="P499" s="21">
        <v>0</v>
      </c>
      <c r="Q499" s="21">
        <v>0</v>
      </c>
      <c r="R499" s="21">
        <v>0</v>
      </c>
      <c r="S499" s="21">
        <f t="shared" si="51"/>
        <v>0</v>
      </c>
      <c r="T499" s="21">
        <f t="shared" si="52"/>
        <v>0</v>
      </c>
      <c r="U499" s="21" t="str">
        <f t="shared" si="53"/>
        <v>否</v>
      </c>
      <c r="V499" s="21">
        <f>VLOOKUP($C499,[4]Sheet1!$B:$AN,39,FALSE)</f>
        <v>0</v>
      </c>
      <c r="W499" s="21">
        <v>0</v>
      </c>
      <c r="X499" s="23">
        <v>0</v>
      </c>
      <c r="Y499" s="23">
        <v>0</v>
      </c>
      <c r="Z499" s="25">
        <f t="shared" si="54"/>
        <v>0</v>
      </c>
      <c r="AA499" s="25" t="str">
        <f t="shared" si="55"/>
        <v>是</v>
      </c>
      <c r="AB499" t="s">
        <v>339</v>
      </c>
      <c r="AC499" t="e">
        <f>VLOOKUP(C499,[1]Sheet1!$C:$O,13,FALSE)</f>
        <v>#N/A</v>
      </c>
      <c r="AD499" t="str">
        <f>VLOOKUP($H499,'[3]0509人员排班情况 副本'!$G:$U,12,FALSE)</f>
        <v>袁博闻(Bowen Yuan)</v>
      </c>
      <c r="AE499">
        <f>VLOOKUP($H499,'[3]0509人员排班情况 副本'!$G:$U,13,FALSE)</f>
        <v>0</v>
      </c>
      <c r="AF499">
        <f>VLOOKUP($H499,'[3]0509人员排班情况 副本'!$G:$U,14,FALSE)</f>
        <v>0</v>
      </c>
      <c r="AG499">
        <f>VLOOKUP($H499,'[3]0509人员排班情况 副本'!$G:$U,15,FALSE)</f>
        <v>0</v>
      </c>
    </row>
    <row r="500" customHeight="1" spans="1:33">
      <c r="A500" t="s">
        <v>202</v>
      </c>
      <c r="B500" t="s">
        <v>1664</v>
      </c>
      <c r="C500" t="s">
        <v>1665</v>
      </c>
      <c r="D500" t="s">
        <v>100</v>
      </c>
      <c r="E500" t="s">
        <v>106</v>
      </c>
      <c r="F500" t="s">
        <v>879</v>
      </c>
      <c r="H500" t="str">
        <f t="shared" si="49"/>
        <v>WE 美西大区SC 南加片区LAX01</v>
      </c>
      <c r="I500" t="s">
        <v>177</v>
      </c>
      <c r="J500" t="s">
        <v>221</v>
      </c>
      <c r="K500" s="15">
        <v>0.208333333333333</v>
      </c>
      <c r="L500" s="15" t="s">
        <v>222</v>
      </c>
      <c r="M500" s="15">
        <v>0.194444444444444</v>
      </c>
      <c r="N500" t="s">
        <v>1666</v>
      </c>
      <c r="O500" s="20" t="str">
        <f t="shared" si="50"/>
        <v>正确</v>
      </c>
      <c r="P500" s="21">
        <v>0</v>
      </c>
      <c r="Q500" s="21">
        <v>9.02</v>
      </c>
      <c r="R500" s="21">
        <v>0</v>
      </c>
      <c r="S500" s="21">
        <f t="shared" si="51"/>
        <v>9.02</v>
      </c>
      <c r="T500" s="21">
        <f t="shared" si="52"/>
        <v>1.02</v>
      </c>
      <c r="U500" s="21" t="str">
        <f t="shared" si="53"/>
        <v>是</v>
      </c>
      <c r="V500" s="21">
        <f>VLOOKUP($C500,[4]Sheet1!$B:$AN,39,FALSE)</f>
        <v>16.44</v>
      </c>
      <c r="W500" s="21">
        <v>0</v>
      </c>
      <c r="X500" s="23">
        <v>4</v>
      </c>
      <c r="Y500" s="23">
        <v>4</v>
      </c>
      <c r="Z500" s="25">
        <f t="shared" si="54"/>
        <v>0</v>
      </c>
      <c r="AA500" s="25" t="str">
        <f t="shared" si="55"/>
        <v>是</v>
      </c>
      <c r="AB500" t="s">
        <v>148</v>
      </c>
      <c r="AC500" t="e">
        <f>VLOOKUP(C500,[1]Sheet1!$C:$O,13,FALSE)</f>
        <v>#N/A</v>
      </c>
      <c r="AD500" t="str">
        <f>VLOOKUP($H500,'[3]0509人员排班情况 副本'!$G:$U,12,FALSE)</f>
        <v>王骞Ariel（Qian Wang）,叶秀芳Freya (Xiufang Ye)</v>
      </c>
      <c r="AE500" t="str">
        <f>VLOOKUP($H500,'[3]0509人员排班情况 副本'!$G:$U,13,FALSE)</f>
        <v>常哲</v>
      </c>
      <c r="AF500" t="str">
        <f>VLOOKUP($H500,'[3]0509人员排班情况 副本'!$G:$U,14,FALSE)</f>
        <v>尤梦楠Yuko（Mengnan You）</v>
      </c>
      <c r="AG500">
        <f>VLOOKUP($H500,'[3]0509人员排班情况 副本'!$G:$U,15,FALSE)</f>
        <v>0</v>
      </c>
    </row>
    <row r="501" customHeight="1" spans="1:33">
      <c r="A501" t="s">
        <v>202</v>
      </c>
      <c r="B501" t="s">
        <v>1667</v>
      </c>
      <c r="C501" t="s">
        <v>1668</v>
      </c>
      <c r="D501" t="s">
        <v>99</v>
      </c>
      <c r="E501" t="s">
        <v>677</v>
      </c>
      <c r="F501" t="s">
        <v>1669</v>
      </c>
      <c r="H501" t="str">
        <f t="shared" si="49"/>
        <v>US人力资源部美洲HRBP组综合HRBP组</v>
      </c>
      <c r="I501" t="s">
        <v>988</v>
      </c>
      <c r="J501" t="s">
        <v>236</v>
      </c>
      <c r="K501" s="15">
        <v>0.395833333333333</v>
      </c>
      <c r="L501" s="15" t="s">
        <v>218</v>
      </c>
      <c r="M501" s="15">
        <v>0.397222222222222</v>
      </c>
      <c r="N501" t="s">
        <v>1216</v>
      </c>
      <c r="O501" s="20" t="str">
        <f t="shared" si="50"/>
        <v>正确</v>
      </c>
      <c r="P501" s="21">
        <v>0</v>
      </c>
      <c r="Q501" s="21">
        <v>8.27</v>
      </c>
      <c r="R501" s="21">
        <v>0</v>
      </c>
      <c r="S501" s="21">
        <f t="shared" si="51"/>
        <v>8.27</v>
      </c>
      <c r="T501" s="21">
        <f t="shared" si="52"/>
        <v>0.27</v>
      </c>
      <c r="U501" s="21" t="str">
        <f t="shared" si="53"/>
        <v>是</v>
      </c>
      <c r="V501" s="21">
        <f>VLOOKUP($C501,[4]Sheet1!$B:$AN,39,FALSE)</f>
        <v>16.6</v>
      </c>
      <c r="W501" s="21">
        <v>0</v>
      </c>
      <c r="X501" s="23">
        <v>2</v>
      </c>
      <c r="Y501" s="23">
        <v>4</v>
      </c>
      <c r="Z501" s="25">
        <f t="shared" si="54"/>
        <v>2</v>
      </c>
      <c r="AA501" s="25" t="str">
        <f t="shared" si="55"/>
        <v>是</v>
      </c>
      <c r="AB501" t="s">
        <v>148</v>
      </c>
      <c r="AC501" t="e">
        <f>VLOOKUP(C501,[1]Sheet1!$C:$O,13,FALSE)</f>
        <v>#N/A</v>
      </c>
      <c r="AD501" t="str">
        <f>VLOOKUP($H501,'[3]0509人员排班情况 副本'!$G:$U,12,FALSE)</f>
        <v>袁博闻(Bowen Yuan)</v>
      </c>
      <c r="AE501">
        <f>VLOOKUP($H501,'[3]0509人员排班情况 副本'!$G:$U,13,FALSE)</f>
        <v>0</v>
      </c>
      <c r="AF501">
        <f>VLOOKUP($H501,'[3]0509人员排班情况 副本'!$G:$U,14,FALSE)</f>
        <v>0</v>
      </c>
      <c r="AG501">
        <f>VLOOKUP($H501,'[3]0509人员排班情况 副本'!$G:$U,15,FALSE)</f>
        <v>0</v>
      </c>
    </row>
    <row r="502" customHeight="1" spans="1:33">
      <c r="A502" t="s">
        <v>202</v>
      </c>
      <c r="B502" t="s">
        <v>1670</v>
      </c>
      <c r="C502" t="s">
        <v>1671</v>
      </c>
      <c r="D502" t="s">
        <v>31</v>
      </c>
      <c r="E502" t="s">
        <v>29</v>
      </c>
      <c r="F502" t="s">
        <v>200</v>
      </c>
      <c r="H502" t="str">
        <f t="shared" si="49"/>
        <v>GL 大湖大区运营支持部区域支持组</v>
      </c>
      <c r="I502" t="s">
        <v>201</v>
      </c>
      <c r="J502" t="s">
        <v>347</v>
      </c>
      <c r="K502" s="15">
        <v>0.541666666666667</v>
      </c>
      <c r="L502" s="15" t="s">
        <v>348</v>
      </c>
      <c r="M502" s="15">
        <v>0.525694444444444</v>
      </c>
      <c r="N502" t="s">
        <v>1672</v>
      </c>
      <c r="O502" s="20" t="str">
        <f t="shared" si="50"/>
        <v>正确</v>
      </c>
      <c r="P502" s="21">
        <v>0</v>
      </c>
      <c r="Q502" s="21">
        <v>8.95</v>
      </c>
      <c r="R502" s="21">
        <v>0</v>
      </c>
      <c r="S502" s="21">
        <f t="shared" si="51"/>
        <v>8.95</v>
      </c>
      <c r="T502" s="21">
        <f t="shared" si="52"/>
        <v>0.949999999999999</v>
      </c>
      <c r="U502" s="21" t="str">
        <f t="shared" si="53"/>
        <v>是</v>
      </c>
      <c r="V502" s="21">
        <f>VLOOKUP($C502,[4]Sheet1!$B:$AN,39,FALSE)</f>
        <v>17.83</v>
      </c>
      <c r="W502" s="21">
        <v>0</v>
      </c>
      <c r="X502" s="23">
        <v>4</v>
      </c>
      <c r="Y502" s="23">
        <v>4</v>
      </c>
      <c r="Z502" s="25">
        <f t="shared" si="54"/>
        <v>0</v>
      </c>
      <c r="AA502" s="25" t="str">
        <f t="shared" si="55"/>
        <v>是</v>
      </c>
      <c r="AB502" t="s">
        <v>148</v>
      </c>
      <c r="AC502" t="e">
        <f>VLOOKUP(C502,[1]Sheet1!$C:$O,13,FALSE)</f>
        <v>#N/A</v>
      </c>
      <c r="AD502" t="str">
        <f>VLOOKUP($H502,'[3]0509人员排班情况 副本'!$G:$U,12,FALSE)</f>
        <v>王晓丹 Jasmine（Xiaodan Wang）,周延舒Isabel（Yanshu Zhou）</v>
      </c>
      <c r="AE502" t="str">
        <f>VLOOKUP($H502,'[3]0509人员排班情况 副本'!$G:$U,13,FALSE)</f>
        <v>张骥Ji Zhang (Ji Zhang)</v>
      </c>
      <c r="AF502">
        <f>VLOOKUP($H502,'[3]0509人员排班情况 副本'!$G:$U,14,FALSE)</f>
        <v>0</v>
      </c>
      <c r="AG502">
        <f>VLOOKUP($H502,'[3]0509人员排班情况 副本'!$G:$U,15,FALSE)</f>
        <v>0</v>
      </c>
    </row>
    <row r="503" customHeight="1" spans="1:33">
      <c r="A503" t="s">
        <v>202</v>
      </c>
      <c r="B503" t="s">
        <v>1673</v>
      </c>
      <c r="C503" t="s">
        <v>1674</v>
      </c>
      <c r="D503" t="s">
        <v>68</v>
      </c>
      <c r="E503" t="s">
        <v>74</v>
      </c>
      <c r="F503" t="s">
        <v>148</v>
      </c>
      <c r="H503" t="str">
        <f t="shared" si="49"/>
        <v>NE 东北大区BWI01</v>
      </c>
      <c r="I503" t="s">
        <v>177</v>
      </c>
      <c r="J503" t="s">
        <v>975</v>
      </c>
      <c r="K503" s="15">
        <v>0.3125</v>
      </c>
      <c r="L503" s="15" t="s">
        <v>976</v>
      </c>
      <c r="M503" s="15">
        <v>0.321527777777778</v>
      </c>
      <c r="N503" t="s">
        <v>1675</v>
      </c>
      <c r="O503" s="20" t="str">
        <f t="shared" si="50"/>
        <v>正确</v>
      </c>
      <c r="P503" s="21">
        <v>0</v>
      </c>
      <c r="Q503" s="21">
        <v>8.47</v>
      </c>
      <c r="R503" s="21">
        <v>0</v>
      </c>
      <c r="S503" s="21">
        <f t="shared" si="51"/>
        <v>8.47</v>
      </c>
      <c r="T503" s="21">
        <f t="shared" si="52"/>
        <v>0.470000000000001</v>
      </c>
      <c r="U503" s="21" t="str">
        <f t="shared" si="53"/>
        <v>是</v>
      </c>
      <c r="V503" s="21">
        <f>VLOOKUP($C503,[4]Sheet1!$B:$AN,39,FALSE)</f>
        <v>16.49</v>
      </c>
      <c r="W503" s="21">
        <v>0</v>
      </c>
      <c r="X503" s="23">
        <v>4</v>
      </c>
      <c r="Y503" s="23">
        <v>4</v>
      </c>
      <c r="Z503" s="25">
        <f t="shared" si="54"/>
        <v>0</v>
      </c>
      <c r="AA503" s="25" t="str">
        <f t="shared" si="55"/>
        <v>是</v>
      </c>
      <c r="AB503" t="s">
        <v>148</v>
      </c>
      <c r="AC503" t="e">
        <f>VLOOKUP(C503,[1]Sheet1!$C:$O,13,FALSE)</f>
        <v>#N/A</v>
      </c>
      <c r="AD503" t="str">
        <f>VLOOKUP($H503,'[3]0509人员排班情况 副本'!$G:$U,12,FALSE)</f>
        <v>孙可君Monica（Kejun Sun）</v>
      </c>
      <c r="AE503" t="str">
        <f>VLOOKUP($H503,'[3]0509人员排班情况 副本'!$G:$U,13,FALSE)</f>
        <v>马聪Cong (Cong Ma)</v>
      </c>
      <c r="AF503">
        <f>VLOOKUP($H503,'[3]0509人员排班情况 副本'!$G:$U,14,FALSE)</f>
        <v>0</v>
      </c>
      <c r="AG503">
        <f>VLOOKUP($H503,'[3]0509人员排班情况 副本'!$G:$U,15,FALSE)</f>
        <v>0</v>
      </c>
    </row>
    <row r="504" customHeight="1" spans="1:33">
      <c r="A504" t="s">
        <v>202</v>
      </c>
      <c r="B504" t="s">
        <v>1676</v>
      </c>
      <c r="C504" t="s">
        <v>1677</v>
      </c>
      <c r="D504" t="s">
        <v>8</v>
      </c>
      <c r="E504" t="s">
        <v>1207</v>
      </c>
      <c r="F504" t="s">
        <v>148</v>
      </c>
      <c r="H504" t="str">
        <f t="shared" si="49"/>
        <v>AD 行政部美东组</v>
      </c>
      <c r="I504" t="s">
        <v>1678</v>
      </c>
      <c r="J504" t="s">
        <v>211</v>
      </c>
      <c r="K504" s="15">
        <v>0.333333333333333</v>
      </c>
      <c r="L504" s="15" t="s">
        <v>212</v>
      </c>
      <c r="M504" s="15">
        <v>0.340972222222222</v>
      </c>
      <c r="N504" t="s">
        <v>891</v>
      </c>
      <c r="O504" s="20" t="str">
        <f t="shared" si="50"/>
        <v>正确</v>
      </c>
      <c r="P504" s="21">
        <v>0</v>
      </c>
      <c r="Q504" s="21">
        <v>8.08</v>
      </c>
      <c r="R504" s="21">
        <v>0</v>
      </c>
      <c r="S504" s="21">
        <f t="shared" si="51"/>
        <v>8.08</v>
      </c>
      <c r="T504" s="21">
        <f t="shared" si="52"/>
        <v>0.0800000000000001</v>
      </c>
      <c r="U504" s="21" t="str">
        <f t="shared" si="53"/>
        <v>是</v>
      </c>
      <c r="V504" s="21">
        <f>VLOOKUP($C504,[4]Sheet1!$B:$AN,39,FALSE)</f>
        <v>16.3</v>
      </c>
      <c r="W504" s="21">
        <v>0</v>
      </c>
      <c r="X504" s="23">
        <v>2</v>
      </c>
      <c r="Y504" s="23">
        <v>4</v>
      </c>
      <c r="Z504" s="25">
        <f t="shared" si="54"/>
        <v>2</v>
      </c>
      <c r="AA504" s="25" t="str">
        <f t="shared" si="55"/>
        <v>是</v>
      </c>
      <c r="AB504" t="s">
        <v>148</v>
      </c>
      <c r="AC504" t="e">
        <f>VLOOKUP(C504,[1]Sheet1!$C:$O,13,FALSE)</f>
        <v>#N/A</v>
      </c>
      <c r="AD504" t="str">
        <f>VLOOKUP($H504,'[3]0509人员排班情况 副本'!$G:$U,12,FALSE)</f>
        <v>袁博闻(Bowen Yuan)</v>
      </c>
      <c r="AE504">
        <f>VLOOKUP($H504,'[3]0509人员排班情况 副本'!$G:$U,13,FALSE)</f>
        <v>0</v>
      </c>
      <c r="AF504">
        <f>VLOOKUP($H504,'[3]0509人员排班情况 副本'!$G:$U,14,FALSE)</f>
        <v>0</v>
      </c>
      <c r="AG504">
        <f>VLOOKUP($H504,'[3]0509人员排班情况 副本'!$G:$U,15,FALSE)</f>
        <v>0</v>
      </c>
    </row>
    <row r="505" customHeight="1" spans="1:33">
      <c r="A505" t="s">
        <v>202</v>
      </c>
      <c r="B505" t="s">
        <v>1679</v>
      </c>
      <c r="C505" t="s">
        <v>1680</v>
      </c>
      <c r="D505" t="s">
        <v>100</v>
      </c>
      <c r="E505" t="s">
        <v>101</v>
      </c>
      <c r="F505" t="s">
        <v>210</v>
      </c>
      <c r="G505" t="s">
        <v>112</v>
      </c>
      <c r="H505" t="str">
        <f t="shared" si="49"/>
        <v>WE 美西大区CNO.H操作组</v>
      </c>
      <c r="I505" t="s">
        <v>281</v>
      </c>
      <c r="J505" t="s">
        <v>211</v>
      </c>
      <c r="K505" s="15">
        <v>0.333333333333333</v>
      </c>
      <c r="L505" s="15" t="s">
        <v>212</v>
      </c>
      <c r="M505" s="15">
        <v>0.325694444444444</v>
      </c>
      <c r="N505" t="s">
        <v>1681</v>
      </c>
      <c r="O505" s="20" t="str">
        <f t="shared" si="50"/>
        <v>正确</v>
      </c>
      <c r="P505" s="21">
        <v>0</v>
      </c>
      <c r="Q505" s="21">
        <v>10.13</v>
      </c>
      <c r="R505" s="21">
        <v>0</v>
      </c>
      <c r="S505" s="21">
        <f t="shared" si="51"/>
        <v>10.13</v>
      </c>
      <c r="T505" s="21">
        <f t="shared" si="52"/>
        <v>2.13</v>
      </c>
      <c r="U505" s="21" t="str">
        <f t="shared" si="53"/>
        <v>是</v>
      </c>
      <c r="V505" s="21">
        <f>VLOOKUP($C505,[4]Sheet1!$B:$AN,39,FALSE)</f>
        <v>20.11</v>
      </c>
      <c r="W505" s="21">
        <v>0</v>
      </c>
      <c r="X505" s="23">
        <v>4</v>
      </c>
      <c r="Y505" s="23">
        <v>4</v>
      </c>
      <c r="Z505" s="25">
        <f t="shared" si="54"/>
        <v>0</v>
      </c>
      <c r="AA505" s="25" t="str">
        <f t="shared" si="55"/>
        <v>是</v>
      </c>
      <c r="AB505" t="s">
        <v>148</v>
      </c>
      <c r="AC505" t="e">
        <f>VLOOKUP(C505,[1]Sheet1!$C:$O,13,FALSE)</f>
        <v>#N/A</v>
      </c>
      <c r="AD505" t="str">
        <f>VLOOKUP($H505,'[3]0509人员排班情况 副本'!$G:$U,12,FALSE)</f>
        <v>王骞Ariel（Qian Wang）,叶秀芳Freya (Xiufang Ye)</v>
      </c>
      <c r="AE505" t="str">
        <f>VLOOKUP($H505,'[3]0509人员排班情况 副本'!$G:$U,13,FALSE)</f>
        <v>常哲</v>
      </c>
      <c r="AF505" t="str">
        <f>VLOOKUP($H505,'[3]0509人员排班情况 副本'!$G:$U,14,FALSE)</f>
        <v>Minqing (Minqing Xu),罗煜雄 Mike (Yuxiong Luo)</v>
      </c>
      <c r="AG505">
        <f>VLOOKUP($H505,'[3]0509人员排班情况 副本'!$G:$U,15,FALSE)</f>
        <v>0</v>
      </c>
    </row>
    <row r="506" customHeight="1" spans="1:33">
      <c r="A506" t="s">
        <v>202</v>
      </c>
      <c r="B506" t="s">
        <v>1682</v>
      </c>
      <c r="C506" t="s">
        <v>1683</v>
      </c>
      <c r="D506" t="s">
        <v>100</v>
      </c>
      <c r="E506" t="s">
        <v>101</v>
      </c>
      <c r="F506" t="s">
        <v>275</v>
      </c>
      <c r="G506" t="s">
        <v>112</v>
      </c>
      <c r="H506" t="str">
        <f t="shared" si="49"/>
        <v>WE 美西大区CNO.H分拣组</v>
      </c>
      <c r="I506" t="s">
        <v>303</v>
      </c>
      <c r="J506" t="s">
        <v>211</v>
      </c>
      <c r="K506" s="15">
        <v>0.333333333333333</v>
      </c>
      <c r="L506" s="15" t="s">
        <v>212</v>
      </c>
      <c r="M506" s="15">
        <v>0.334027777777778</v>
      </c>
      <c r="N506" t="s">
        <v>1684</v>
      </c>
      <c r="O506" s="20" t="str">
        <f t="shared" si="50"/>
        <v>正确</v>
      </c>
      <c r="P506" s="21">
        <v>0</v>
      </c>
      <c r="Q506" s="21">
        <v>8.22</v>
      </c>
      <c r="R506" s="21">
        <v>0</v>
      </c>
      <c r="S506" s="21">
        <f t="shared" si="51"/>
        <v>8.22</v>
      </c>
      <c r="T506" s="21">
        <f t="shared" si="52"/>
        <v>0.220000000000001</v>
      </c>
      <c r="U506" s="21" t="str">
        <f t="shared" si="53"/>
        <v>是</v>
      </c>
      <c r="V506" s="21">
        <f>VLOOKUP($C506,[4]Sheet1!$B:$AN,39,FALSE)</f>
        <v>14.17</v>
      </c>
      <c r="W506" s="21">
        <v>0</v>
      </c>
      <c r="X506" s="23">
        <v>4</v>
      </c>
      <c r="Y506" s="23">
        <v>4</v>
      </c>
      <c r="Z506" s="25">
        <f t="shared" si="54"/>
        <v>0</v>
      </c>
      <c r="AA506" s="25" t="str">
        <f t="shared" si="55"/>
        <v>是</v>
      </c>
      <c r="AB506" t="s">
        <v>148</v>
      </c>
      <c r="AC506" t="e">
        <f>VLOOKUP(C506,[1]Sheet1!$C:$O,13,FALSE)</f>
        <v>#N/A</v>
      </c>
      <c r="AD506" t="str">
        <f>VLOOKUP($H506,'[3]0509人员排班情况 副本'!$G:$U,12,FALSE)</f>
        <v>王骞Ariel（Qian Wang）,叶秀芳Freya (Xiufang Ye)</v>
      </c>
      <c r="AE506" t="str">
        <f>VLOOKUP($H506,'[3]0509人员排班情况 副本'!$G:$U,13,FALSE)</f>
        <v>常哲</v>
      </c>
      <c r="AF506" t="str">
        <f>VLOOKUP($H506,'[3]0509人员排班情况 副本'!$G:$U,14,FALSE)</f>
        <v>张双甫(Shuangfu Zhang)</v>
      </c>
      <c r="AG506">
        <f>VLOOKUP($H506,'[3]0509人员排班情况 副本'!$G:$U,15,FALSE)</f>
        <v>0</v>
      </c>
    </row>
    <row r="507" customHeight="1" spans="1:33">
      <c r="A507" t="s">
        <v>202</v>
      </c>
      <c r="B507" t="s">
        <v>1685</v>
      </c>
      <c r="C507" t="s">
        <v>1686</v>
      </c>
      <c r="D507" t="s">
        <v>58</v>
      </c>
      <c r="E507" t="s">
        <v>60</v>
      </c>
      <c r="F507" t="s">
        <v>228</v>
      </c>
      <c r="H507" t="str">
        <f t="shared" si="49"/>
        <v>MS 中南大区AS 亚特兰大和南阿拉巴马片区ATL01</v>
      </c>
      <c r="I507" t="s">
        <v>177</v>
      </c>
      <c r="J507" t="s">
        <v>217</v>
      </c>
      <c r="K507" s="15">
        <v>0.395833333333333</v>
      </c>
      <c r="L507" s="15" t="s">
        <v>218</v>
      </c>
      <c r="M507" s="15"/>
      <c r="N507" t="s">
        <v>148</v>
      </c>
      <c r="O507" s="20" t="s">
        <v>116</v>
      </c>
      <c r="P507" s="21">
        <v>0</v>
      </c>
      <c r="Q507" s="21">
        <v>0</v>
      </c>
      <c r="R507" s="21">
        <v>0</v>
      </c>
      <c r="S507" s="21">
        <f t="shared" si="51"/>
        <v>0</v>
      </c>
      <c r="T507" s="21">
        <f t="shared" si="52"/>
        <v>0</v>
      </c>
      <c r="U507" s="21" t="str">
        <f t="shared" si="53"/>
        <v>否</v>
      </c>
      <c r="V507" s="21">
        <f>VLOOKUP($C507,[4]Sheet1!$B:$AN,39,FALSE)</f>
        <v>0</v>
      </c>
      <c r="W507" s="21">
        <v>0</v>
      </c>
      <c r="X507" s="23">
        <v>0</v>
      </c>
      <c r="Y507" s="23">
        <v>0</v>
      </c>
      <c r="Z507" s="25">
        <f t="shared" si="54"/>
        <v>0</v>
      </c>
      <c r="AA507" s="25" t="str">
        <f t="shared" si="55"/>
        <v>是</v>
      </c>
      <c r="AB507" t="s">
        <v>148</v>
      </c>
      <c r="AC507" t="e">
        <f>VLOOKUP(C507,[1]Sheet1!$C:$O,13,FALSE)</f>
        <v>#N/A</v>
      </c>
      <c r="AD507" t="str">
        <f>VLOOKUP($H507,'[3]0509人员排班情况 副本'!$G:$U,12,FALSE)</f>
        <v>欧阳迎春Flower（Yingchun Ouyang）</v>
      </c>
      <c r="AE507" t="str">
        <f>VLOOKUP($H507,'[3]0509人员排班情况 副本'!$G:$U,13,FALSE)</f>
        <v>杨云飞</v>
      </c>
      <c r="AF507" t="str">
        <f>VLOOKUP($H507,'[3]0509人员排班情况 副本'!$G:$U,14,FALSE)</f>
        <v>李明峰Lucas(Mingfeng Li)</v>
      </c>
      <c r="AG507">
        <f>VLOOKUP($H507,'[3]0509人员排班情况 副本'!$G:$U,15,FALSE)</f>
        <v>0</v>
      </c>
    </row>
    <row r="508" customHeight="1" spans="1:33">
      <c r="A508" t="s">
        <v>202</v>
      </c>
      <c r="B508" t="s">
        <v>1687</v>
      </c>
      <c r="C508" t="s">
        <v>1688</v>
      </c>
      <c r="D508" t="s">
        <v>31</v>
      </c>
      <c r="E508" t="s">
        <v>41</v>
      </c>
      <c r="F508" t="s">
        <v>312</v>
      </c>
      <c r="G508" t="s">
        <v>112</v>
      </c>
      <c r="H508" t="str">
        <f t="shared" si="49"/>
        <v>GL 大湖大区ORD.H异常处理组</v>
      </c>
      <c r="I508" t="s">
        <v>313</v>
      </c>
      <c r="J508" t="s">
        <v>295</v>
      </c>
      <c r="K508" s="15">
        <v>0.375</v>
      </c>
      <c r="L508" s="15" t="s">
        <v>296</v>
      </c>
      <c r="M508" s="15">
        <v>0.355555555555556</v>
      </c>
      <c r="N508" t="s">
        <v>1598</v>
      </c>
      <c r="O508" s="20" t="str">
        <f t="shared" si="50"/>
        <v>正确</v>
      </c>
      <c r="P508" s="21">
        <v>0</v>
      </c>
      <c r="Q508" s="21">
        <v>9.13</v>
      </c>
      <c r="R508" s="21">
        <v>0</v>
      </c>
      <c r="S508" s="21">
        <f t="shared" si="51"/>
        <v>9.13</v>
      </c>
      <c r="T508" s="21">
        <f t="shared" si="52"/>
        <v>1.13</v>
      </c>
      <c r="U508" s="21" t="str">
        <f t="shared" si="53"/>
        <v>是</v>
      </c>
      <c r="V508" s="21">
        <f>VLOOKUP($C508,[4]Sheet1!$B:$AN,39,FALSE)</f>
        <v>18.01</v>
      </c>
      <c r="W508" s="21">
        <v>0</v>
      </c>
      <c r="X508" s="23">
        <v>4</v>
      </c>
      <c r="Y508" s="23">
        <v>4</v>
      </c>
      <c r="Z508" s="25">
        <f t="shared" si="54"/>
        <v>0</v>
      </c>
      <c r="AA508" s="25" t="str">
        <f t="shared" si="55"/>
        <v>是</v>
      </c>
      <c r="AB508" t="s">
        <v>148</v>
      </c>
      <c r="AC508" t="e">
        <f>VLOOKUP(C508,[1]Sheet1!$C:$O,13,FALSE)</f>
        <v>#N/A</v>
      </c>
      <c r="AD508" t="str">
        <f>VLOOKUP($H508,'[3]0509人员排班情况 副本'!$G:$U,12,FALSE)</f>
        <v>王晓丹 Jasmine（Xiaodan Wang）,周延舒Isabel（Yanshu Zhou）</v>
      </c>
      <c r="AE508" t="str">
        <f>VLOOKUP($H508,'[3]0509人员排班情况 副本'!$G:$U,13,FALSE)</f>
        <v>张骥Ji Zhang (Ji Zhang)</v>
      </c>
      <c r="AF508" t="str">
        <f>VLOOKUP($H508,'[3]0509人员排班情况 副本'!$G:$U,14,FALSE)</f>
        <v>Minqing (Minqing Xu),罗煜雄 Mike (Yuxiong Luo)</v>
      </c>
      <c r="AG508">
        <f>VLOOKUP($H508,'[3]0509人员排班情况 副本'!$G:$U,15,FALSE)</f>
        <v>0</v>
      </c>
    </row>
    <row r="509" customHeight="1" spans="1:33">
      <c r="A509" t="s">
        <v>202</v>
      </c>
      <c r="B509" t="s">
        <v>1689</v>
      </c>
      <c r="C509" t="s">
        <v>1690</v>
      </c>
      <c r="D509" t="s">
        <v>8</v>
      </c>
      <c r="E509" t="s">
        <v>1691</v>
      </c>
      <c r="F509" t="s">
        <v>148</v>
      </c>
      <c r="H509" t="str">
        <f t="shared" si="49"/>
        <v>AD 行政部综合管理组</v>
      </c>
      <c r="I509" t="s">
        <v>769</v>
      </c>
      <c r="J509" t="s">
        <v>407</v>
      </c>
      <c r="K509" s="15">
        <v>0.354166666666667</v>
      </c>
      <c r="L509" s="15" t="s">
        <v>254</v>
      </c>
      <c r="M509" s="15">
        <v>0.333333333333333</v>
      </c>
      <c r="N509" t="s">
        <v>1692</v>
      </c>
      <c r="O509" s="20" t="str">
        <f t="shared" si="50"/>
        <v>正确</v>
      </c>
      <c r="P509" s="21">
        <v>0</v>
      </c>
      <c r="Q509" s="21">
        <v>9.28</v>
      </c>
      <c r="R509" s="21">
        <v>0</v>
      </c>
      <c r="S509" s="21">
        <f t="shared" si="51"/>
        <v>9.28</v>
      </c>
      <c r="T509" s="21">
        <f t="shared" si="52"/>
        <v>1.28</v>
      </c>
      <c r="U509" s="21" t="str">
        <f t="shared" si="53"/>
        <v>是</v>
      </c>
      <c r="V509" s="21">
        <f>VLOOKUP($C509,[4]Sheet1!$B:$AN,39,FALSE)</f>
        <v>18.95</v>
      </c>
      <c r="W509" s="21">
        <v>0</v>
      </c>
      <c r="X509" s="23">
        <v>4</v>
      </c>
      <c r="Y509" s="23">
        <v>4</v>
      </c>
      <c r="Z509" s="25">
        <f t="shared" si="54"/>
        <v>0</v>
      </c>
      <c r="AA509" s="25" t="str">
        <f t="shared" si="55"/>
        <v>是</v>
      </c>
      <c r="AB509" t="s">
        <v>148</v>
      </c>
      <c r="AC509" t="e">
        <f>VLOOKUP(C509,[1]Sheet1!$C:$O,13,FALSE)</f>
        <v>#N/A</v>
      </c>
      <c r="AD509" t="str">
        <f>VLOOKUP($H509,'[3]0509人员排班情况 副本'!$G:$U,12,FALSE)</f>
        <v>袁博闻(Bowen Yuan)</v>
      </c>
      <c r="AE509">
        <f>VLOOKUP($H509,'[3]0509人员排班情况 副本'!$G:$U,13,FALSE)</f>
        <v>0</v>
      </c>
      <c r="AF509">
        <f>VLOOKUP($H509,'[3]0509人员排班情况 副本'!$G:$U,14,FALSE)</f>
        <v>0</v>
      </c>
      <c r="AG509">
        <f>VLOOKUP($H509,'[3]0509人员排班情况 副本'!$G:$U,15,FALSE)</f>
        <v>0</v>
      </c>
    </row>
    <row r="510" customHeight="1" spans="1:33">
      <c r="A510" t="s">
        <v>202</v>
      </c>
      <c r="B510" t="s">
        <v>1693</v>
      </c>
      <c r="C510" t="s">
        <v>1694</v>
      </c>
      <c r="D510" t="s">
        <v>48</v>
      </c>
      <c r="E510" t="s">
        <v>51</v>
      </c>
      <c r="F510" t="s">
        <v>1695</v>
      </c>
      <c r="H510" t="str">
        <f t="shared" si="49"/>
        <v>Ground项目部OG 美西区SFO.G</v>
      </c>
      <c r="I510" t="s">
        <v>303</v>
      </c>
      <c r="J510" t="s">
        <v>211</v>
      </c>
      <c r="K510" s="15">
        <v>0.333333333333333</v>
      </c>
      <c r="L510" s="15" t="s">
        <v>212</v>
      </c>
      <c r="M510" s="15">
        <v>0.329861111111111</v>
      </c>
      <c r="N510" t="s">
        <v>1696</v>
      </c>
      <c r="O510" s="20" t="str">
        <f t="shared" si="50"/>
        <v>正确</v>
      </c>
      <c r="P510" s="21">
        <v>0</v>
      </c>
      <c r="Q510" s="21">
        <v>8.43</v>
      </c>
      <c r="R510" s="21">
        <v>0</v>
      </c>
      <c r="S510" s="21">
        <f t="shared" si="51"/>
        <v>8.43</v>
      </c>
      <c r="T510" s="21">
        <f t="shared" si="52"/>
        <v>0.43</v>
      </c>
      <c r="U510" s="21" t="str">
        <f t="shared" si="53"/>
        <v>是</v>
      </c>
      <c r="V510" s="21">
        <f>VLOOKUP($C510,[4]Sheet1!$B:$AN,39,FALSE)</f>
        <v>17</v>
      </c>
      <c r="W510" s="21">
        <v>11.83</v>
      </c>
      <c r="X510" s="23">
        <v>3</v>
      </c>
      <c r="Y510" s="23">
        <v>4</v>
      </c>
      <c r="Z510" s="25">
        <f t="shared" si="54"/>
        <v>1</v>
      </c>
      <c r="AA510" s="25" t="str">
        <f t="shared" si="55"/>
        <v>是</v>
      </c>
      <c r="AB510" t="s">
        <v>148</v>
      </c>
      <c r="AC510" t="e">
        <f>VLOOKUP(C510,[1]Sheet1!$C:$O,13,FALSE)</f>
        <v>#N/A</v>
      </c>
      <c r="AD510" t="str">
        <f>VLOOKUP($H510,'[3]0509人员排班情况 副本'!$G:$U,12,FALSE)</f>
        <v>王安琪 (Anqi Wang),张朱同 Thomson（Zhutong Zhang）</v>
      </c>
      <c r="AE510" t="str">
        <f>VLOOKUP($H510,'[3]0509人员排班情况 副本'!$G:$U,13,FALSE)</f>
        <v>陈锦昭</v>
      </c>
      <c r="AF510" t="str">
        <f>VLOOKUP($H510,'[3]0509人员排班情况 副本'!$G:$U,14,FALSE)</f>
        <v>蒲奕霖Steven（Yilin Pu）</v>
      </c>
      <c r="AG510">
        <f>VLOOKUP($H510,'[3]0509人员排班情况 副本'!$G:$U,15,FALSE)</f>
        <v>0</v>
      </c>
    </row>
    <row r="511" customHeight="1" spans="1:33">
      <c r="A511" t="s">
        <v>202</v>
      </c>
      <c r="B511" t="s">
        <v>1697</v>
      </c>
      <c r="C511" t="s">
        <v>1698</v>
      </c>
      <c r="D511" t="s">
        <v>100</v>
      </c>
      <c r="E511" t="s">
        <v>103</v>
      </c>
      <c r="F511" t="s">
        <v>148</v>
      </c>
      <c r="G511" t="s">
        <v>112</v>
      </c>
      <c r="H511" t="str">
        <f t="shared" si="49"/>
        <v>WE 美西大区LAV.H</v>
      </c>
      <c r="I511" t="s">
        <v>965</v>
      </c>
      <c r="J511" t="s">
        <v>400</v>
      </c>
      <c r="K511" s="15">
        <v>0.5</v>
      </c>
      <c r="L511" s="15" t="s">
        <v>401</v>
      </c>
      <c r="M511" s="15"/>
      <c r="N511" t="s">
        <v>148</v>
      </c>
      <c r="O511" s="20" t="str">
        <f t="shared" si="50"/>
        <v>不正确</v>
      </c>
      <c r="P511" s="21">
        <v>0</v>
      </c>
      <c r="Q511" s="21">
        <v>0</v>
      </c>
      <c r="R511" s="21">
        <v>0</v>
      </c>
      <c r="S511" s="21">
        <f t="shared" si="51"/>
        <v>0</v>
      </c>
      <c r="T511" s="21">
        <f t="shared" si="52"/>
        <v>0</v>
      </c>
      <c r="U511" s="21" t="str">
        <f t="shared" si="53"/>
        <v>否</v>
      </c>
      <c r="V511" s="21">
        <f>VLOOKUP($C511,[4]Sheet1!$B:$AN,39,FALSE)</f>
        <v>0</v>
      </c>
      <c r="W511" s="21">
        <v>0</v>
      </c>
      <c r="X511" s="23">
        <v>0</v>
      </c>
      <c r="Y511" s="23">
        <v>4</v>
      </c>
      <c r="Z511" s="25">
        <f t="shared" si="54"/>
        <v>4</v>
      </c>
      <c r="AA511" s="25" t="str">
        <f t="shared" si="55"/>
        <v>是</v>
      </c>
      <c r="AB511" t="s">
        <v>148</v>
      </c>
      <c r="AC511" t="e">
        <f>VLOOKUP(C511,[1]Sheet1!$C:$O,13,FALSE)</f>
        <v>#N/A</v>
      </c>
      <c r="AD511" t="str">
        <f>VLOOKUP($H511,'[3]0509人员排班情况 副本'!$G:$U,12,FALSE)</f>
        <v>王骞Ariel（Qian Wang）,叶秀芳Freya (Xiufang Ye)</v>
      </c>
      <c r="AE511" t="str">
        <f>VLOOKUP($H511,'[3]0509人员排班情况 副本'!$G:$U,13,FALSE)</f>
        <v>常哲</v>
      </c>
      <c r="AF511">
        <f>VLOOKUP($H511,'[3]0509人员排班情况 副本'!$G:$U,14,FALSE)</f>
        <v>0</v>
      </c>
      <c r="AG511">
        <f>VLOOKUP($H511,'[3]0509人员排班情况 副本'!$G:$U,15,FALSE)</f>
        <v>0</v>
      </c>
    </row>
    <row r="512" customHeight="1" spans="1:33">
      <c r="A512" t="s">
        <v>202</v>
      </c>
      <c r="B512" t="s">
        <v>1699</v>
      </c>
      <c r="C512" t="s">
        <v>1700</v>
      </c>
      <c r="D512" t="s">
        <v>8</v>
      </c>
      <c r="E512" t="s">
        <v>1366</v>
      </c>
      <c r="F512" t="s">
        <v>148</v>
      </c>
      <c r="H512" t="str">
        <f t="shared" si="49"/>
        <v>AD 行政部美西组</v>
      </c>
      <c r="I512" t="s">
        <v>1208</v>
      </c>
      <c r="J512" t="s">
        <v>236</v>
      </c>
      <c r="K512" s="15">
        <v>0.395833333333333</v>
      </c>
      <c r="L512" s="15" t="s">
        <v>218</v>
      </c>
      <c r="M512" s="15">
        <v>0.411111111111111</v>
      </c>
      <c r="N512" t="s">
        <v>1216</v>
      </c>
      <c r="O512" s="20" t="str">
        <f t="shared" si="50"/>
        <v>正确</v>
      </c>
      <c r="P512" s="21">
        <v>0</v>
      </c>
      <c r="Q512" s="21">
        <v>7.93</v>
      </c>
      <c r="R512" s="21">
        <v>0</v>
      </c>
      <c r="S512" s="21">
        <f t="shared" si="51"/>
        <v>7.93</v>
      </c>
      <c r="T512" s="21">
        <f t="shared" si="52"/>
        <v>0</v>
      </c>
      <c r="U512" s="21" t="str">
        <f t="shared" si="53"/>
        <v>否</v>
      </c>
      <c r="V512" s="21">
        <f>VLOOKUP($C512,[4]Sheet1!$B:$AN,39,FALSE)</f>
        <v>15.9</v>
      </c>
      <c r="W512" s="21">
        <v>0</v>
      </c>
      <c r="X512" s="23">
        <v>4</v>
      </c>
      <c r="Y512" s="23">
        <v>4</v>
      </c>
      <c r="Z512" s="25">
        <f t="shared" si="54"/>
        <v>0</v>
      </c>
      <c r="AA512" s="25" t="str">
        <f t="shared" si="55"/>
        <v>是</v>
      </c>
      <c r="AB512" t="s">
        <v>148</v>
      </c>
      <c r="AC512" t="e">
        <f>VLOOKUP(C512,[1]Sheet1!$C:$O,13,FALSE)</f>
        <v>#N/A</v>
      </c>
      <c r="AD512" t="str">
        <f>VLOOKUP($H512,'[3]0509人员排班情况 副本'!$G:$U,12,FALSE)</f>
        <v>袁博闻(Bowen Yuan)</v>
      </c>
      <c r="AE512">
        <f>VLOOKUP($H512,'[3]0509人员排班情况 副本'!$G:$U,13,FALSE)</f>
        <v>0</v>
      </c>
      <c r="AF512">
        <f>VLOOKUP($H512,'[3]0509人员排班情况 副本'!$G:$U,14,FALSE)</f>
        <v>0</v>
      </c>
      <c r="AG512">
        <f>VLOOKUP($H512,'[3]0509人员排班情况 副本'!$G:$U,15,FALSE)</f>
        <v>0</v>
      </c>
    </row>
    <row r="513" customHeight="1" spans="1:33">
      <c r="A513" t="s">
        <v>202</v>
      </c>
      <c r="B513" t="s">
        <v>1701</v>
      </c>
      <c r="C513" t="s">
        <v>1702</v>
      </c>
      <c r="D513" t="s">
        <v>100</v>
      </c>
      <c r="E513" t="s">
        <v>104</v>
      </c>
      <c r="F513" t="s">
        <v>744</v>
      </c>
      <c r="H513" t="str">
        <f t="shared" si="49"/>
        <v>WE 美西大区LA揽收部揽收调度组</v>
      </c>
      <c r="I513" t="s">
        <v>608</v>
      </c>
      <c r="J513" t="s">
        <v>746</v>
      </c>
      <c r="K513" s="15">
        <v>0.4375</v>
      </c>
      <c r="L513" s="15" t="s">
        <v>491</v>
      </c>
      <c r="M513" s="15"/>
      <c r="N513" t="s">
        <v>1703</v>
      </c>
      <c r="O513" s="20" t="str">
        <f t="shared" si="50"/>
        <v>不正确</v>
      </c>
      <c r="P513" s="21">
        <v>0</v>
      </c>
      <c r="Q513" s="21">
        <v>0</v>
      </c>
      <c r="R513" s="21">
        <v>0</v>
      </c>
      <c r="S513" s="21">
        <f t="shared" si="51"/>
        <v>0</v>
      </c>
      <c r="T513" s="21">
        <f t="shared" si="52"/>
        <v>0</v>
      </c>
      <c r="U513" s="21" t="str">
        <f t="shared" si="53"/>
        <v>否</v>
      </c>
      <c r="V513" s="21">
        <f>VLOOKUP($C513,[4]Sheet1!$B:$AN,39,FALSE)</f>
        <v>0</v>
      </c>
      <c r="W513" s="21">
        <v>0</v>
      </c>
      <c r="X513" s="23">
        <v>2</v>
      </c>
      <c r="Y513" s="23">
        <v>4</v>
      </c>
      <c r="Z513" s="25">
        <f t="shared" si="54"/>
        <v>2</v>
      </c>
      <c r="AA513" s="25" t="str">
        <f t="shared" si="55"/>
        <v>是</v>
      </c>
      <c r="AB513" t="s">
        <v>148</v>
      </c>
      <c r="AC513" t="e">
        <f>VLOOKUP(C513,[1]Sheet1!$C:$O,13,FALSE)</f>
        <v>#N/A</v>
      </c>
      <c r="AD513" t="str">
        <f>VLOOKUP($H513,'[3]0509人员排班情况 副本'!$G:$U,12,FALSE)</f>
        <v>王骞Ariel（Qian Wang）,叶秀芳Freya (Xiufang Ye)</v>
      </c>
      <c r="AE513" t="str">
        <f>VLOOKUP($H513,'[3]0509人员排班情况 副本'!$G:$U,13,FALSE)</f>
        <v>常哲</v>
      </c>
      <c r="AF513">
        <f>VLOOKUP($H513,'[3]0509人员排班情况 副本'!$G:$U,14,FALSE)</f>
        <v>0</v>
      </c>
      <c r="AG513">
        <f>VLOOKUP($H513,'[3]0509人员排班情况 副本'!$G:$U,15,FALSE)</f>
        <v>0</v>
      </c>
    </row>
    <row r="514" customHeight="1" spans="1:33">
      <c r="A514" t="s">
        <v>202</v>
      </c>
      <c r="B514" t="s">
        <v>1704</v>
      </c>
      <c r="C514" t="s">
        <v>1705</v>
      </c>
      <c r="D514" t="s">
        <v>68</v>
      </c>
      <c r="E514" t="s">
        <v>29</v>
      </c>
      <c r="F514" t="s">
        <v>148</v>
      </c>
      <c r="H514" t="str">
        <f t="shared" si="49"/>
        <v>NE 东北大区运营支持部</v>
      </c>
      <c r="I514" t="s">
        <v>923</v>
      </c>
      <c r="J514" t="s">
        <v>236</v>
      </c>
      <c r="K514" s="15">
        <v>0.395833333333333</v>
      </c>
      <c r="L514" s="15" t="s">
        <v>218</v>
      </c>
      <c r="M514" s="15"/>
      <c r="N514" t="s">
        <v>148</v>
      </c>
      <c r="O514" s="20" t="str">
        <f t="shared" si="50"/>
        <v>不正确</v>
      </c>
      <c r="P514" s="21">
        <v>0</v>
      </c>
      <c r="Q514" s="21">
        <v>0</v>
      </c>
      <c r="R514" s="21">
        <v>0</v>
      </c>
      <c r="S514" s="21">
        <f t="shared" si="51"/>
        <v>0</v>
      </c>
      <c r="T514" s="21">
        <f t="shared" si="52"/>
        <v>0</v>
      </c>
      <c r="U514" s="21" t="str">
        <f t="shared" si="53"/>
        <v>否</v>
      </c>
      <c r="V514" s="21">
        <f>VLOOKUP($C514,[4]Sheet1!$B:$AN,39,FALSE)</f>
        <v>0</v>
      </c>
      <c r="W514" s="21">
        <v>0</v>
      </c>
      <c r="X514" s="23">
        <v>0</v>
      </c>
      <c r="Y514" s="23">
        <v>4</v>
      </c>
      <c r="Z514" s="25">
        <f t="shared" si="54"/>
        <v>4</v>
      </c>
      <c r="AA514" s="25" t="str">
        <f t="shared" si="55"/>
        <v>是</v>
      </c>
      <c r="AB514" t="s">
        <v>148</v>
      </c>
      <c r="AC514" t="e">
        <f>VLOOKUP(C514,[1]Sheet1!$C:$O,13,FALSE)</f>
        <v>#N/A</v>
      </c>
      <c r="AD514" t="str">
        <f>VLOOKUP($H514,'[3]0509人员排班情况 副本'!$G:$U,12,FALSE)</f>
        <v>孙可君Monica（Kejun Sun）</v>
      </c>
      <c r="AE514" t="str">
        <f>VLOOKUP($H514,'[3]0509人员排班情况 副本'!$G:$U,13,FALSE)</f>
        <v>马聪Cong (Cong Ma)</v>
      </c>
      <c r="AF514">
        <f>VLOOKUP($H514,'[3]0509人员排班情况 副本'!$G:$U,14,FALSE)</f>
        <v>0</v>
      </c>
      <c r="AG514">
        <f>VLOOKUP($H514,'[3]0509人员排班情况 副本'!$G:$U,15,FALSE)</f>
        <v>0</v>
      </c>
    </row>
    <row r="515" customHeight="1" spans="1:33">
      <c r="A515" t="s">
        <v>202</v>
      </c>
      <c r="B515" t="s">
        <v>1706</v>
      </c>
      <c r="C515" t="s">
        <v>1707</v>
      </c>
      <c r="D515" t="s">
        <v>12</v>
      </c>
      <c r="E515" t="s">
        <v>1708</v>
      </c>
      <c r="F515" t="s">
        <v>148</v>
      </c>
      <c r="H515" t="str">
        <f t="shared" si="49"/>
        <v>CM 运力管理部自营运力组</v>
      </c>
      <c r="I515" t="s">
        <v>1709</v>
      </c>
      <c r="J515" t="s">
        <v>236</v>
      </c>
      <c r="K515" s="15">
        <v>0.395833333333333</v>
      </c>
      <c r="L515" s="15" t="s">
        <v>218</v>
      </c>
      <c r="M515" s="15"/>
      <c r="N515" t="s">
        <v>148</v>
      </c>
      <c r="O515" s="20" t="str">
        <f t="shared" si="50"/>
        <v>不正确</v>
      </c>
      <c r="P515" s="21">
        <v>0</v>
      </c>
      <c r="Q515" s="21">
        <v>0</v>
      </c>
      <c r="R515" s="21">
        <v>0</v>
      </c>
      <c r="S515" s="21">
        <f t="shared" si="51"/>
        <v>0</v>
      </c>
      <c r="T515" s="21">
        <f t="shared" si="52"/>
        <v>0</v>
      </c>
      <c r="U515" s="21" t="str">
        <f t="shared" si="53"/>
        <v>否</v>
      </c>
      <c r="V515" s="21">
        <f>VLOOKUP($C515,[4]Sheet1!$B:$AN,39,FALSE)</f>
        <v>0</v>
      </c>
      <c r="W515" s="21">
        <v>11.19</v>
      </c>
      <c r="X515" s="23">
        <v>0</v>
      </c>
      <c r="Y515" s="23">
        <v>4</v>
      </c>
      <c r="Z515" s="25">
        <f t="shared" si="54"/>
        <v>4</v>
      </c>
      <c r="AA515" s="25" t="str">
        <f t="shared" si="55"/>
        <v>是</v>
      </c>
      <c r="AB515" t="s">
        <v>148</v>
      </c>
      <c r="AC515" t="e">
        <f>VLOOKUP(C515,[1]Sheet1!$C:$O,13,FALSE)</f>
        <v>#N/A</v>
      </c>
      <c r="AD515" t="str">
        <f>VLOOKUP($H515,'[3]0509人员排班情况 副本'!$G:$U,12,FALSE)</f>
        <v>袁博闻(Bowen Yuan)</v>
      </c>
      <c r="AE515">
        <f>VLOOKUP($H515,'[3]0509人员排班情况 副本'!$G:$U,13,FALSE)</f>
        <v>0</v>
      </c>
      <c r="AF515">
        <f>VLOOKUP($H515,'[3]0509人员排班情况 副本'!$G:$U,14,FALSE)</f>
        <v>0</v>
      </c>
      <c r="AG515">
        <f>VLOOKUP($H515,'[3]0509人员排班情况 副本'!$G:$U,15,FALSE)</f>
        <v>0</v>
      </c>
    </row>
    <row r="516" customHeight="1" spans="1:33">
      <c r="A516" t="s">
        <v>202</v>
      </c>
      <c r="B516" t="s">
        <v>1710</v>
      </c>
      <c r="C516" t="s">
        <v>1711</v>
      </c>
      <c r="D516" t="s">
        <v>31</v>
      </c>
      <c r="E516" t="s">
        <v>35</v>
      </c>
      <c r="F516" t="s">
        <v>243</v>
      </c>
      <c r="G516" t="s">
        <v>112</v>
      </c>
      <c r="H516" t="str">
        <f t="shared" ref="H516:H579" si="56">D516&amp;E516&amp;F516</f>
        <v>GL 大湖大区CVG.H调度组</v>
      </c>
      <c r="I516" t="s">
        <v>160</v>
      </c>
      <c r="J516" t="s">
        <v>347</v>
      </c>
      <c r="K516" s="15">
        <v>0.541666666666667</v>
      </c>
      <c r="L516" s="15" t="s">
        <v>348</v>
      </c>
      <c r="M516" s="15">
        <v>0.447916666666667</v>
      </c>
      <c r="N516" t="s">
        <v>1712</v>
      </c>
      <c r="O516" s="20" t="str">
        <f t="shared" ref="O516:O579" si="57">IFERROR(IF(ABS(M516-K516)&lt;=1/24,"正确","不正确"),"/")</f>
        <v>不正确</v>
      </c>
      <c r="P516" s="21">
        <v>0</v>
      </c>
      <c r="Q516" s="21">
        <v>11.88</v>
      </c>
      <c r="R516" s="21">
        <v>0</v>
      </c>
      <c r="S516" s="21">
        <f t="shared" ref="S516:S579" si="58">Q516+R516</f>
        <v>11.88</v>
      </c>
      <c r="T516" s="21">
        <f t="shared" ref="T516:T579" si="59">IF(S516-8&gt;0,S516-8,0)</f>
        <v>3.88</v>
      </c>
      <c r="U516" s="21" t="str">
        <f t="shared" ref="U516:U579" si="60">IF(T516=0,"否","是")</f>
        <v>是</v>
      </c>
      <c r="V516" s="21">
        <f>VLOOKUP($C516,[4]Sheet1!$B:$AN,39,FALSE)</f>
        <v>24.06</v>
      </c>
      <c r="W516" s="21">
        <v>0</v>
      </c>
      <c r="X516" s="23">
        <v>2</v>
      </c>
      <c r="Y516" s="23">
        <v>4</v>
      </c>
      <c r="Z516" s="25">
        <f t="shared" ref="Z516:Z579" si="61">IF(Y516-X516&gt;=0,Y516-X516,0)</f>
        <v>2</v>
      </c>
      <c r="AA516" s="25" t="str">
        <f t="shared" ref="AA516:AA579" si="62">IF(J516="","否","是")</f>
        <v>是</v>
      </c>
      <c r="AB516" t="s">
        <v>148</v>
      </c>
      <c r="AC516" t="e">
        <f>VLOOKUP(C516,[1]Sheet1!$C:$O,13,FALSE)</f>
        <v>#N/A</v>
      </c>
      <c r="AD516" t="str">
        <f>VLOOKUP($H516,'[3]0509人员排班情况 副本'!$G:$U,12,FALSE)</f>
        <v>王晓丹 Jasmine（Xiaodan Wang）,周延舒Isabel（Yanshu Zhou）</v>
      </c>
      <c r="AE516" t="str">
        <f>VLOOKUP($H516,'[3]0509人员排班情况 副本'!$G:$U,13,FALSE)</f>
        <v>张骥Ji Zhang (Ji Zhang)</v>
      </c>
      <c r="AF516" t="str">
        <f>VLOOKUP($H516,'[3]0509人员排班情况 副本'!$G:$U,14,FALSE)</f>
        <v>Minqing (Minqing Xu),罗煜雄 Mike (Yuxiong Luo)</v>
      </c>
      <c r="AG516">
        <f>VLOOKUP($H516,'[3]0509人员排班情况 副本'!$G:$U,15,FALSE)</f>
        <v>0</v>
      </c>
    </row>
    <row r="517" customHeight="1" spans="1:33">
      <c r="A517" t="s">
        <v>202</v>
      </c>
      <c r="B517" t="s">
        <v>1713</v>
      </c>
      <c r="C517" t="s">
        <v>1714</v>
      </c>
      <c r="D517" t="s">
        <v>48</v>
      </c>
      <c r="E517" t="s">
        <v>52</v>
      </c>
      <c r="F517" t="s">
        <v>329</v>
      </c>
      <c r="H517" t="str">
        <f t="shared" si="56"/>
        <v>Ground项目部OG 美中区ORD.G</v>
      </c>
      <c r="I517" t="s">
        <v>654</v>
      </c>
      <c r="J517" t="s">
        <v>407</v>
      </c>
      <c r="K517" s="15">
        <v>0.354166666666667</v>
      </c>
      <c r="L517" s="15" t="s">
        <v>254</v>
      </c>
      <c r="M517" s="15"/>
      <c r="N517" t="s">
        <v>1675</v>
      </c>
      <c r="O517" s="20" t="str">
        <f t="shared" si="57"/>
        <v>不正确</v>
      </c>
      <c r="P517" s="21">
        <v>0</v>
      </c>
      <c r="Q517" s="21">
        <v>0</v>
      </c>
      <c r="R517" s="21">
        <v>0</v>
      </c>
      <c r="S517" s="21">
        <f t="shared" si="58"/>
        <v>0</v>
      </c>
      <c r="T517" s="21">
        <f t="shared" si="59"/>
        <v>0</v>
      </c>
      <c r="U517" s="21" t="str">
        <f t="shared" si="60"/>
        <v>否</v>
      </c>
      <c r="V517" s="21">
        <f>VLOOKUP($C517,[4]Sheet1!$B:$AN,39,FALSE)</f>
        <v>0</v>
      </c>
      <c r="W517" s="21">
        <v>0</v>
      </c>
      <c r="X517" s="23">
        <v>1</v>
      </c>
      <c r="Y517" s="23">
        <v>4</v>
      </c>
      <c r="Z517" s="25">
        <f t="shared" si="61"/>
        <v>3</v>
      </c>
      <c r="AA517" s="25" t="str">
        <f t="shared" si="62"/>
        <v>是</v>
      </c>
      <c r="AB517" t="s">
        <v>148</v>
      </c>
      <c r="AC517" t="e">
        <f>VLOOKUP(C517,[1]Sheet1!$C:$O,13,FALSE)</f>
        <v>#N/A</v>
      </c>
      <c r="AD517" t="str">
        <f>VLOOKUP($H517,'[3]0509人员排班情况 副本'!$G:$U,12,FALSE)</f>
        <v>王安琪 (Anqi Wang),张朱同 Thomson（Zhutong Zhang）</v>
      </c>
      <c r="AE517" t="str">
        <f>VLOOKUP($H517,'[3]0509人员排班情况 副本'!$G:$U,13,FALSE)</f>
        <v>陈锦昭</v>
      </c>
      <c r="AF517">
        <f>VLOOKUP($H517,'[3]0509人员排班情况 副本'!$G:$U,14,FALSE)</f>
        <v>0</v>
      </c>
      <c r="AG517">
        <f>VLOOKUP($H517,'[3]0509人员排班情况 副本'!$G:$U,15,FALSE)</f>
        <v>0</v>
      </c>
    </row>
    <row r="518" customHeight="1" spans="1:33">
      <c r="A518" t="s">
        <v>202</v>
      </c>
      <c r="B518" t="s">
        <v>1715</v>
      </c>
      <c r="C518" t="s">
        <v>1716</v>
      </c>
      <c r="D518" t="s">
        <v>68</v>
      </c>
      <c r="E518" t="s">
        <v>29</v>
      </c>
      <c r="F518" t="s">
        <v>200</v>
      </c>
      <c r="H518" t="str">
        <f t="shared" si="56"/>
        <v>NE 东北大区运营支持部区域支持组</v>
      </c>
      <c r="I518" t="s">
        <v>201</v>
      </c>
      <c r="J518" t="s">
        <v>236</v>
      </c>
      <c r="K518" s="15">
        <v>0.395833333333333</v>
      </c>
      <c r="L518" s="15" t="s">
        <v>218</v>
      </c>
      <c r="M518" s="15"/>
      <c r="N518" t="s">
        <v>148</v>
      </c>
      <c r="O518" s="20" t="str">
        <f t="shared" si="57"/>
        <v>不正确</v>
      </c>
      <c r="P518" s="21">
        <v>0</v>
      </c>
      <c r="Q518" s="21">
        <v>0</v>
      </c>
      <c r="R518" s="21">
        <v>0</v>
      </c>
      <c r="S518" s="21">
        <f t="shared" si="58"/>
        <v>0</v>
      </c>
      <c r="T518" s="21">
        <f t="shared" si="59"/>
        <v>0</v>
      </c>
      <c r="U518" s="21" t="str">
        <f t="shared" si="60"/>
        <v>否</v>
      </c>
      <c r="V518" s="21">
        <f>VLOOKUP($C518,[4]Sheet1!$B:$AN,39,FALSE)</f>
        <v>8.65</v>
      </c>
      <c r="W518" s="21">
        <v>0</v>
      </c>
      <c r="X518" s="23">
        <v>0</v>
      </c>
      <c r="Y518" s="23">
        <v>4</v>
      </c>
      <c r="Z518" s="25">
        <f t="shared" si="61"/>
        <v>4</v>
      </c>
      <c r="AA518" s="25" t="str">
        <f t="shared" si="62"/>
        <v>是</v>
      </c>
      <c r="AB518" t="s">
        <v>148</v>
      </c>
      <c r="AC518" t="e">
        <f>VLOOKUP(C518,[1]Sheet1!$C:$O,13,FALSE)</f>
        <v>#N/A</v>
      </c>
      <c r="AD518" t="str">
        <f>VLOOKUP($H518,'[3]0509人员排班情况 副本'!$G:$U,12,FALSE)</f>
        <v>孙可君Monica（Kejun Sun）</v>
      </c>
      <c r="AE518" t="str">
        <f>VLOOKUP($H518,'[3]0509人员排班情况 副本'!$G:$U,13,FALSE)</f>
        <v>马聪Cong (Cong Ma)</v>
      </c>
      <c r="AF518">
        <f>VLOOKUP($H518,'[3]0509人员排班情况 副本'!$G:$U,14,FALSE)</f>
        <v>0</v>
      </c>
      <c r="AG518">
        <f>VLOOKUP($H518,'[3]0509人员排班情况 副本'!$G:$U,15,FALSE)</f>
        <v>0</v>
      </c>
    </row>
    <row r="519" customHeight="1" spans="1:33">
      <c r="A519" t="s">
        <v>202</v>
      </c>
      <c r="B519" t="s">
        <v>1717</v>
      </c>
      <c r="C519" t="s">
        <v>1718</v>
      </c>
      <c r="D519" t="s">
        <v>68</v>
      </c>
      <c r="E519" t="s">
        <v>76</v>
      </c>
      <c r="F519" t="s">
        <v>166</v>
      </c>
      <c r="G519" t="s">
        <v>112</v>
      </c>
      <c r="H519" t="str">
        <f t="shared" si="56"/>
        <v>NE 东北大区EWR.H综办组</v>
      </c>
      <c r="I519" t="s">
        <v>1284</v>
      </c>
      <c r="J519" t="s">
        <v>343</v>
      </c>
      <c r="K519" s="15">
        <v>0.25</v>
      </c>
      <c r="L519" s="15" t="s">
        <v>344</v>
      </c>
      <c r="M519" s="15">
        <v>0.248611111111111</v>
      </c>
      <c r="N519" t="s">
        <v>1637</v>
      </c>
      <c r="O519" s="20" t="str">
        <f t="shared" si="57"/>
        <v>正确</v>
      </c>
      <c r="P519" s="21">
        <v>0</v>
      </c>
      <c r="Q519" s="21">
        <v>9.08</v>
      </c>
      <c r="R519" s="21">
        <v>0</v>
      </c>
      <c r="S519" s="21">
        <f t="shared" si="58"/>
        <v>9.08</v>
      </c>
      <c r="T519" s="21">
        <f t="shared" si="59"/>
        <v>1.08</v>
      </c>
      <c r="U519" s="21" t="str">
        <f t="shared" si="60"/>
        <v>是</v>
      </c>
      <c r="V519" s="21">
        <f>VLOOKUP($C519,[4]Sheet1!$B:$AN,39,FALSE)</f>
        <v>9.08</v>
      </c>
      <c r="W519" s="21">
        <v>19.82</v>
      </c>
      <c r="X519" s="23">
        <v>4</v>
      </c>
      <c r="Y519" s="23">
        <v>4</v>
      </c>
      <c r="Z519" s="25">
        <f t="shared" si="61"/>
        <v>0</v>
      </c>
      <c r="AA519" s="25" t="str">
        <f t="shared" si="62"/>
        <v>是</v>
      </c>
      <c r="AB519" t="s">
        <v>148</v>
      </c>
      <c r="AC519" t="e">
        <f>VLOOKUP(C519,[1]Sheet1!$C:$O,13,FALSE)</f>
        <v>#N/A</v>
      </c>
      <c r="AD519" t="str">
        <f>VLOOKUP($H519,'[3]0509人员排班情况 副本'!$G:$U,12,FALSE)</f>
        <v>孙可君Monica（Kejun Sun）</v>
      </c>
      <c r="AE519" t="str">
        <f>VLOOKUP($H519,'[3]0509人员排班情况 副本'!$G:$U,13,FALSE)</f>
        <v>马聪Cong (Cong Ma)</v>
      </c>
      <c r="AF519" t="str">
        <f>VLOOKUP($H519,'[3]0509人员排班情况 副本'!$G:$U,14,FALSE)</f>
        <v>Minqing (Minqing Xu),罗煜雄 Mike (Yuxiong Luo)</v>
      </c>
      <c r="AG519">
        <f>VLOOKUP($H519,'[3]0509人员排班情况 副本'!$G:$U,15,FALSE)</f>
        <v>0</v>
      </c>
    </row>
    <row r="520" customHeight="1" spans="1:33">
      <c r="A520" t="s">
        <v>202</v>
      </c>
      <c r="B520" t="s">
        <v>1719</v>
      </c>
      <c r="C520" t="s">
        <v>1720</v>
      </c>
      <c r="D520" t="s">
        <v>48</v>
      </c>
      <c r="E520" t="s">
        <v>51</v>
      </c>
      <c r="F520" t="s">
        <v>1721</v>
      </c>
      <c r="H520" t="str">
        <f t="shared" si="56"/>
        <v>Ground项目部OG 美西区LV891</v>
      </c>
      <c r="I520" t="s">
        <v>177</v>
      </c>
      <c r="J520" t="s">
        <v>217</v>
      </c>
      <c r="K520" s="15">
        <v>0.395833333333333</v>
      </c>
      <c r="L520" s="15" t="s">
        <v>218</v>
      </c>
      <c r="M520" s="15"/>
      <c r="N520" t="s">
        <v>148</v>
      </c>
      <c r="O520" s="20" t="s">
        <v>116</v>
      </c>
      <c r="P520" s="21">
        <v>0</v>
      </c>
      <c r="Q520" s="21">
        <v>0</v>
      </c>
      <c r="R520" s="21">
        <v>0</v>
      </c>
      <c r="S520" s="21">
        <f t="shared" si="58"/>
        <v>0</v>
      </c>
      <c r="T520" s="21">
        <f t="shared" si="59"/>
        <v>0</v>
      </c>
      <c r="U520" s="21" t="str">
        <f t="shared" si="60"/>
        <v>否</v>
      </c>
      <c r="V520" s="21">
        <f>VLOOKUP($C520,[4]Sheet1!$B:$AN,39,FALSE)</f>
        <v>0</v>
      </c>
      <c r="W520" s="21">
        <v>0</v>
      </c>
      <c r="X520" s="23">
        <v>0</v>
      </c>
      <c r="Y520" s="23">
        <v>0</v>
      </c>
      <c r="Z520" s="25">
        <f t="shared" si="61"/>
        <v>0</v>
      </c>
      <c r="AA520" s="25" t="str">
        <f t="shared" si="62"/>
        <v>是</v>
      </c>
      <c r="AB520" t="s">
        <v>148</v>
      </c>
      <c r="AC520" t="e">
        <f>VLOOKUP(C520,[1]Sheet1!$C:$O,13,FALSE)</f>
        <v>#N/A</v>
      </c>
      <c r="AD520" t="str">
        <f>VLOOKUP($H520,'[3]0509人员排班情况 副本'!$G:$U,12,FALSE)</f>
        <v>王安琪 (Anqi Wang),张朱同 Thomson（Zhutong Zhang）</v>
      </c>
      <c r="AE520" t="str">
        <f>VLOOKUP($H520,'[3]0509人员排班情况 副本'!$G:$U,13,FALSE)</f>
        <v>陈锦昭</v>
      </c>
      <c r="AF520" t="str">
        <f>VLOOKUP($H520,'[3]0509人员排班情况 副本'!$G:$U,14,FALSE)</f>
        <v>宋佳牧 Dorian (Jiamu Song)</v>
      </c>
      <c r="AG520">
        <f>VLOOKUP($H520,'[3]0509人员排班情况 副本'!$G:$U,15,FALSE)</f>
        <v>0</v>
      </c>
    </row>
    <row r="521" customHeight="1" spans="1:33">
      <c r="A521" t="s">
        <v>202</v>
      </c>
      <c r="B521" t="s">
        <v>1722</v>
      </c>
      <c r="C521" t="s">
        <v>1723</v>
      </c>
      <c r="D521" t="s">
        <v>100</v>
      </c>
      <c r="E521" t="s">
        <v>103</v>
      </c>
      <c r="F521" t="s">
        <v>210</v>
      </c>
      <c r="G521" t="s">
        <v>112</v>
      </c>
      <c r="H521" t="str">
        <f t="shared" si="56"/>
        <v>WE 美西大区LAV.H操作组</v>
      </c>
      <c r="I521" t="s">
        <v>156</v>
      </c>
      <c r="J521" t="s">
        <v>347</v>
      </c>
      <c r="K521" s="15">
        <v>0.541666666666667</v>
      </c>
      <c r="L521" s="15" t="s">
        <v>348</v>
      </c>
      <c r="M521" s="15">
        <v>0.534027777777778</v>
      </c>
      <c r="N521" t="s">
        <v>1724</v>
      </c>
      <c r="O521" s="20" t="str">
        <f t="shared" si="57"/>
        <v>正确</v>
      </c>
      <c r="P521" s="21">
        <v>0</v>
      </c>
      <c r="Q521" s="21">
        <v>8.38</v>
      </c>
      <c r="R521" s="21">
        <v>0</v>
      </c>
      <c r="S521" s="21">
        <f t="shared" si="58"/>
        <v>8.38</v>
      </c>
      <c r="T521" s="21">
        <f t="shared" si="59"/>
        <v>0.380000000000001</v>
      </c>
      <c r="U521" s="21" t="str">
        <f t="shared" si="60"/>
        <v>是</v>
      </c>
      <c r="V521" s="21">
        <f>VLOOKUP($C521,[4]Sheet1!$B:$AN,39,FALSE)</f>
        <v>8.38</v>
      </c>
      <c r="W521" s="21">
        <v>0</v>
      </c>
      <c r="X521" s="23">
        <v>4</v>
      </c>
      <c r="Y521" s="23">
        <v>4</v>
      </c>
      <c r="Z521" s="25">
        <f t="shared" si="61"/>
        <v>0</v>
      </c>
      <c r="AA521" s="25" t="str">
        <f t="shared" si="62"/>
        <v>是</v>
      </c>
      <c r="AB521" t="s">
        <v>148</v>
      </c>
      <c r="AC521" t="e">
        <f>VLOOKUP(C521,[1]Sheet1!$C:$O,13,FALSE)</f>
        <v>#N/A</v>
      </c>
      <c r="AD521" t="str">
        <f>VLOOKUP($H521,'[3]0509人员排班情况 副本'!$G:$U,12,FALSE)</f>
        <v>王骞Ariel（Qian Wang）,叶秀芳Freya (Xiufang Ye)</v>
      </c>
      <c r="AE521" t="str">
        <f>VLOOKUP($H521,'[3]0509人员排班情况 副本'!$G:$U,13,FALSE)</f>
        <v>常哲</v>
      </c>
      <c r="AF521" t="str">
        <f>VLOOKUP($H521,'[3]0509人员排班情况 副本'!$G:$U,14,FALSE)</f>
        <v>Minqing (Minqing Xu),罗煜雄 Mike (Yuxiong Luo)</v>
      </c>
      <c r="AG521">
        <f>VLOOKUP($H521,'[3]0509人员排班情况 副本'!$G:$U,15,FALSE)</f>
        <v>0</v>
      </c>
    </row>
    <row r="522" customHeight="1" spans="1:33">
      <c r="A522" t="s">
        <v>202</v>
      </c>
      <c r="B522" t="s">
        <v>1725</v>
      </c>
      <c r="C522" t="s">
        <v>1726</v>
      </c>
      <c r="D522" t="s">
        <v>68</v>
      </c>
      <c r="E522" t="s">
        <v>29</v>
      </c>
      <c r="F522" t="s">
        <v>200</v>
      </c>
      <c r="H522" t="str">
        <f t="shared" si="56"/>
        <v>NE 东北大区运营支持部区域支持组</v>
      </c>
      <c r="I522" t="s">
        <v>195</v>
      </c>
      <c r="J522" t="s">
        <v>236</v>
      </c>
      <c r="K522" s="15">
        <v>0.395833333333333</v>
      </c>
      <c r="L522" s="15" t="s">
        <v>218</v>
      </c>
      <c r="M522" s="15">
        <v>0.348611111111111</v>
      </c>
      <c r="N522" t="s">
        <v>1727</v>
      </c>
      <c r="O522" s="20" t="str">
        <f t="shared" si="57"/>
        <v>不正确</v>
      </c>
      <c r="P522" s="21">
        <v>0</v>
      </c>
      <c r="Q522" s="21">
        <v>8.6</v>
      </c>
      <c r="R522" s="21">
        <v>0</v>
      </c>
      <c r="S522" s="21">
        <f t="shared" si="58"/>
        <v>8.6</v>
      </c>
      <c r="T522" s="21">
        <f t="shared" si="59"/>
        <v>0.6</v>
      </c>
      <c r="U522" s="21" t="str">
        <f t="shared" si="60"/>
        <v>是</v>
      </c>
      <c r="V522" s="21">
        <f>VLOOKUP($C522,[4]Sheet1!$B:$AN,39,FALSE)</f>
        <v>8.6</v>
      </c>
      <c r="W522" s="21">
        <v>0</v>
      </c>
      <c r="X522" s="23">
        <v>2</v>
      </c>
      <c r="Y522" s="23">
        <v>4</v>
      </c>
      <c r="Z522" s="25">
        <f t="shared" si="61"/>
        <v>2</v>
      </c>
      <c r="AA522" s="25" t="str">
        <f t="shared" si="62"/>
        <v>是</v>
      </c>
      <c r="AB522" t="s">
        <v>148</v>
      </c>
      <c r="AC522" t="e">
        <f>VLOOKUP(C522,[1]Sheet1!$C:$O,13,FALSE)</f>
        <v>#N/A</v>
      </c>
      <c r="AD522" t="str">
        <f>VLOOKUP($H522,'[3]0509人员排班情况 副本'!$G:$U,12,FALSE)</f>
        <v>孙可君Monica（Kejun Sun）</v>
      </c>
      <c r="AE522" t="str">
        <f>VLOOKUP($H522,'[3]0509人员排班情况 副本'!$G:$U,13,FALSE)</f>
        <v>马聪Cong (Cong Ma)</v>
      </c>
      <c r="AF522">
        <f>VLOOKUP($H522,'[3]0509人员排班情况 副本'!$G:$U,14,FALSE)</f>
        <v>0</v>
      </c>
      <c r="AG522">
        <f>VLOOKUP($H522,'[3]0509人员排班情况 副本'!$G:$U,15,FALSE)</f>
        <v>0</v>
      </c>
    </row>
    <row r="523" customHeight="1" spans="1:33">
      <c r="A523" t="s">
        <v>202</v>
      </c>
      <c r="B523" t="s">
        <v>1728</v>
      </c>
      <c r="C523" t="s">
        <v>1729</v>
      </c>
      <c r="D523" t="s">
        <v>8</v>
      </c>
      <c r="E523" t="s">
        <v>1207</v>
      </c>
      <c r="F523" t="s">
        <v>148</v>
      </c>
      <c r="H523" t="str">
        <f t="shared" si="56"/>
        <v>AD 行政部美东组</v>
      </c>
      <c r="I523" t="s">
        <v>1550</v>
      </c>
      <c r="J523" t="s">
        <v>236</v>
      </c>
      <c r="K523" s="15">
        <v>0.395833333333333</v>
      </c>
      <c r="L523" s="15" t="s">
        <v>218</v>
      </c>
      <c r="M523" s="15">
        <v>0.407638888888889</v>
      </c>
      <c r="N523" t="s">
        <v>1730</v>
      </c>
      <c r="O523" s="20" t="str">
        <f t="shared" si="57"/>
        <v>正确</v>
      </c>
      <c r="P523" s="21">
        <v>0</v>
      </c>
      <c r="Q523" s="21">
        <v>9.78</v>
      </c>
      <c r="R523" s="21">
        <v>0</v>
      </c>
      <c r="S523" s="21">
        <f t="shared" si="58"/>
        <v>9.78</v>
      </c>
      <c r="T523" s="21">
        <f t="shared" si="59"/>
        <v>1.78</v>
      </c>
      <c r="U523" s="21" t="str">
        <f t="shared" si="60"/>
        <v>是</v>
      </c>
      <c r="V523" s="21">
        <f>VLOOKUP($C523,[4]Sheet1!$B:$AN,39,FALSE)</f>
        <v>19.73</v>
      </c>
      <c r="W523" s="21">
        <v>0</v>
      </c>
      <c r="X523" s="23">
        <v>4</v>
      </c>
      <c r="Y523" s="23">
        <v>4</v>
      </c>
      <c r="Z523" s="25">
        <f t="shared" si="61"/>
        <v>0</v>
      </c>
      <c r="AA523" s="25" t="str">
        <f t="shared" si="62"/>
        <v>是</v>
      </c>
      <c r="AB523" t="s">
        <v>148</v>
      </c>
      <c r="AC523" t="e">
        <f>VLOOKUP(C523,[1]Sheet1!$C:$O,13,FALSE)</f>
        <v>#N/A</v>
      </c>
      <c r="AD523" t="str">
        <f>VLOOKUP($H523,'[3]0509人员排班情况 副本'!$G:$U,12,FALSE)</f>
        <v>袁博闻(Bowen Yuan)</v>
      </c>
      <c r="AE523">
        <f>VLOOKUP($H523,'[3]0509人员排班情况 副本'!$G:$U,13,FALSE)</f>
        <v>0</v>
      </c>
      <c r="AF523">
        <f>VLOOKUP($H523,'[3]0509人员排班情况 副本'!$G:$U,14,FALSE)</f>
        <v>0</v>
      </c>
      <c r="AG523">
        <f>VLOOKUP($H523,'[3]0509人员排班情况 副本'!$G:$U,15,FALSE)</f>
        <v>0</v>
      </c>
    </row>
    <row r="524" customHeight="1" spans="1:33">
      <c r="A524" t="s">
        <v>202</v>
      </c>
      <c r="B524" t="s">
        <v>1446</v>
      </c>
      <c r="C524" t="s">
        <v>1731</v>
      </c>
      <c r="D524" t="s">
        <v>58</v>
      </c>
      <c r="E524" t="s">
        <v>148</v>
      </c>
      <c r="F524" t="s">
        <v>148</v>
      </c>
      <c r="H524" t="str">
        <f t="shared" si="56"/>
        <v>MS 中南大区</v>
      </c>
      <c r="I524" t="s">
        <v>1424</v>
      </c>
      <c r="J524" t="s">
        <v>236</v>
      </c>
      <c r="K524" s="15">
        <v>0.395833333333333</v>
      </c>
      <c r="L524" s="15" t="s">
        <v>218</v>
      </c>
      <c r="M524" s="15">
        <v>0.395833333333333</v>
      </c>
      <c r="N524" t="s">
        <v>218</v>
      </c>
      <c r="O524" s="20" t="str">
        <f t="shared" si="57"/>
        <v>正确</v>
      </c>
      <c r="P524" s="21">
        <v>0</v>
      </c>
      <c r="Q524" s="21">
        <v>8</v>
      </c>
      <c r="R524" s="21">
        <v>0</v>
      </c>
      <c r="S524" s="21">
        <f t="shared" si="58"/>
        <v>8</v>
      </c>
      <c r="T524" s="21">
        <f t="shared" si="59"/>
        <v>0</v>
      </c>
      <c r="U524" s="21" t="str">
        <f t="shared" si="60"/>
        <v>否</v>
      </c>
      <c r="V524" s="21">
        <f>VLOOKUP($C524,[4]Sheet1!$B:$AN,39,FALSE)</f>
        <v>16</v>
      </c>
      <c r="W524" s="21">
        <v>40</v>
      </c>
      <c r="X524" s="23">
        <v>2</v>
      </c>
      <c r="Y524" s="23">
        <v>4</v>
      </c>
      <c r="Z524" s="25">
        <f t="shared" si="61"/>
        <v>2</v>
      </c>
      <c r="AA524" s="25" t="str">
        <f t="shared" si="62"/>
        <v>是</v>
      </c>
      <c r="AB524" t="s">
        <v>148</v>
      </c>
      <c r="AC524" t="e">
        <f>VLOOKUP(C524,[1]Sheet1!$C:$O,13,FALSE)</f>
        <v>#N/A</v>
      </c>
      <c r="AD524" t="str">
        <f>VLOOKUP($H524,'[3]0509人员排班情况 副本'!$G:$U,12,FALSE)</f>
        <v>欧阳迎春Flower（Yingchun Ouyang）</v>
      </c>
      <c r="AE524" t="str">
        <f>VLOOKUP($H524,'[3]0509人员排班情况 副本'!$G:$U,13,FALSE)</f>
        <v>杨云飞</v>
      </c>
      <c r="AF524">
        <f>VLOOKUP($H524,'[3]0509人员排班情况 副本'!$G:$U,14,FALSE)</f>
        <v>0</v>
      </c>
      <c r="AG524">
        <f>VLOOKUP($H524,'[3]0509人员排班情况 副本'!$G:$U,15,FALSE)</f>
        <v>0</v>
      </c>
    </row>
    <row r="525" customHeight="1" spans="1:33">
      <c r="A525" t="s">
        <v>202</v>
      </c>
      <c r="B525" t="s">
        <v>1732</v>
      </c>
      <c r="C525" t="s">
        <v>1733</v>
      </c>
      <c r="D525" t="s">
        <v>100</v>
      </c>
      <c r="E525" t="s">
        <v>101</v>
      </c>
      <c r="F525" t="s">
        <v>275</v>
      </c>
      <c r="G525" t="s">
        <v>112</v>
      </c>
      <c r="H525" t="str">
        <f t="shared" si="56"/>
        <v>WE 美西大区CNO.H分拣组</v>
      </c>
      <c r="I525" t="s">
        <v>303</v>
      </c>
      <c r="J525" t="s">
        <v>655</v>
      </c>
      <c r="K525" s="15">
        <v>0.583333333333333</v>
      </c>
      <c r="L525" s="15" t="s">
        <v>656</v>
      </c>
      <c r="M525" s="15">
        <v>0.60625</v>
      </c>
      <c r="N525" t="s">
        <v>656</v>
      </c>
      <c r="O525" s="20" t="str">
        <f t="shared" si="57"/>
        <v>正确</v>
      </c>
      <c r="P525" s="21">
        <v>0</v>
      </c>
      <c r="Q525" s="21">
        <v>7.45</v>
      </c>
      <c r="R525" s="21">
        <v>0</v>
      </c>
      <c r="S525" s="21">
        <f t="shared" si="58"/>
        <v>7.45</v>
      </c>
      <c r="T525" s="21">
        <f t="shared" si="59"/>
        <v>0</v>
      </c>
      <c r="U525" s="21" t="str">
        <f t="shared" si="60"/>
        <v>否</v>
      </c>
      <c r="V525" s="21">
        <f>VLOOKUP($C525,[4]Sheet1!$B:$AN,39,FALSE)</f>
        <v>15.83</v>
      </c>
      <c r="W525" s="21">
        <v>0</v>
      </c>
      <c r="X525" s="23">
        <v>4</v>
      </c>
      <c r="Y525" s="23">
        <v>4</v>
      </c>
      <c r="Z525" s="25">
        <f t="shared" si="61"/>
        <v>0</v>
      </c>
      <c r="AA525" s="25" t="str">
        <f t="shared" si="62"/>
        <v>是</v>
      </c>
      <c r="AB525" t="s">
        <v>148</v>
      </c>
      <c r="AC525" t="e">
        <f>VLOOKUP(C525,[1]Sheet1!$C:$O,13,FALSE)</f>
        <v>#N/A</v>
      </c>
      <c r="AD525" t="str">
        <f>VLOOKUP($H525,'[3]0509人员排班情况 副本'!$G:$U,12,FALSE)</f>
        <v>王骞Ariel（Qian Wang）,叶秀芳Freya (Xiufang Ye)</v>
      </c>
      <c r="AE525" t="str">
        <f>VLOOKUP($H525,'[3]0509人员排班情况 副本'!$G:$U,13,FALSE)</f>
        <v>常哲</v>
      </c>
      <c r="AF525" t="str">
        <f>VLOOKUP($H525,'[3]0509人员排班情况 副本'!$G:$U,14,FALSE)</f>
        <v>张双甫(Shuangfu Zhang)</v>
      </c>
      <c r="AG525">
        <f>VLOOKUP($H525,'[3]0509人员排班情况 副本'!$G:$U,15,FALSE)</f>
        <v>0</v>
      </c>
    </row>
    <row r="526" customHeight="1" spans="1:33">
      <c r="A526" t="s">
        <v>202</v>
      </c>
      <c r="B526" t="s">
        <v>1734</v>
      </c>
      <c r="C526" t="s">
        <v>1735</v>
      </c>
      <c r="D526" t="s">
        <v>15</v>
      </c>
      <c r="E526" t="s">
        <v>19</v>
      </c>
      <c r="F526" t="s">
        <v>592</v>
      </c>
      <c r="H526" t="str">
        <f t="shared" si="56"/>
        <v>FL 佛州大区MF 中佛片区WPB02</v>
      </c>
      <c r="I526" t="s">
        <v>177</v>
      </c>
      <c r="J526" t="s">
        <v>217</v>
      </c>
      <c r="K526" s="15">
        <v>0.395833333333333</v>
      </c>
      <c r="L526" s="15" t="s">
        <v>218</v>
      </c>
      <c r="M526" s="15"/>
      <c r="N526" t="s">
        <v>148</v>
      </c>
      <c r="O526" s="20" t="s">
        <v>116</v>
      </c>
      <c r="P526" s="21">
        <v>0</v>
      </c>
      <c r="Q526" s="21">
        <v>0</v>
      </c>
      <c r="R526" s="21">
        <v>0</v>
      </c>
      <c r="S526" s="21">
        <f t="shared" si="58"/>
        <v>0</v>
      </c>
      <c r="T526" s="21">
        <f t="shared" si="59"/>
        <v>0</v>
      </c>
      <c r="U526" s="21" t="str">
        <f t="shared" si="60"/>
        <v>否</v>
      </c>
      <c r="V526" s="21">
        <f>VLOOKUP($C526,[4]Sheet1!$B:$AN,39,FALSE)</f>
        <v>8.55</v>
      </c>
      <c r="W526" s="21">
        <v>0</v>
      </c>
      <c r="X526" s="23">
        <v>0</v>
      </c>
      <c r="Y526" s="23">
        <v>0</v>
      </c>
      <c r="Z526" s="25">
        <f t="shared" si="61"/>
        <v>0</v>
      </c>
      <c r="AA526" s="25" t="str">
        <f t="shared" si="62"/>
        <v>是</v>
      </c>
      <c r="AB526" t="s">
        <v>148</v>
      </c>
      <c r="AC526" t="e">
        <f>VLOOKUP(C526,[1]Sheet1!$C:$O,13,FALSE)</f>
        <v>#N/A</v>
      </c>
      <c r="AD526" t="str">
        <f>VLOOKUP($H526,'[3]0509人员排班情况 副本'!$G:$U,12,FALSE)</f>
        <v>Natalia (Natalia Padilla),孙婕 Jasmine（Sunjie）</v>
      </c>
      <c r="AE526" t="str">
        <f>VLOOKUP($H526,'[3]0509人员排班情况 副本'!$G:$U,13,FALSE)</f>
        <v>贺子强Jeff (Ziqiang He)</v>
      </c>
      <c r="AF526" t="str">
        <f>VLOOKUP($H526,'[3]0509人员排班情况 副本'!$G:$U,14,FALSE)</f>
        <v>曹杨清清(Encore)</v>
      </c>
      <c r="AG526">
        <f>VLOOKUP($H526,'[3]0509人员排班情况 副本'!$G:$U,15,FALSE)</f>
        <v>0</v>
      </c>
    </row>
    <row r="527" customHeight="1" spans="1:33">
      <c r="A527" t="s">
        <v>202</v>
      </c>
      <c r="B527" t="s">
        <v>1736</v>
      </c>
      <c r="C527" t="s">
        <v>1737</v>
      </c>
      <c r="D527" t="s">
        <v>92</v>
      </c>
      <c r="E527" t="s">
        <v>97</v>
      </c>
      <c r="F527" t="s">
        <v>262</v>
      </c>
      <c r="H527" t="str">
        <f t="shared" si="56"/>
        <v>TX 德州大区NT 北德州片区DFW01</v>
      </c>
      <c r="I527" t="s">
        <v>177</v>
      </c>
      <c r="J527" t="s">
        <v>437</v>
      </c>
      <c r="K527" s="15">
        <v>0.229166666666667</v>
      </c>
      <c r="L527" s="15" t="s">
        <v>438</v>
      </c>
      <c r="M527" s="15"/>
      <c r="N527" t="s">
        <v>148</v>
      </c>
      <c r="O527" s="20" t="str">
        <f t="shared" si="57"/>
        <v>不正确</v>
      </c>
      <c r="P527" s="21">
        <v>0</v>
      </c>
      <c r="Q527" s="21">
        <v>0</v>
      </c>
      <c r="R527" s="21">
        <v>0</v>
      </c>
      <c r="S527" s="21">
        <f t="shared" si="58"/>
        <v>0</v>
      </c>
      <c r="T527" s="21">
        <f t="shared" si="59"/>
        <v>0</v>
      </c>
      <c r="U527" s="21" t="str">
        <f t="shared" si="60"/>
        <v>否</v>
      </c>
      <c r="V527" s="21">
        <f>VLOOKUP($C527,[4]Sheet1!$B:$AN,39,FALSE)</f>
        <v>0</v>
      </c>
      <c r="W527" s="21">
        <v>0</v>
      </c>
      <c r="X527" s="23">
        <v>0</v>
      </c>
      <c r="Y527" s="23">
        <v>0</v>
      </c>
      <c r="Z527" s="25">
        <f t="shared" si="61"/>
        <v>0</v>
      </c>
      <c r="AA527" s="25" t="str">
        <f t="shared" si="62"/>
        <v>是</v>
      </c>
      <c r="AB527" t="s">
        <v>1738</v>
      </c>
      <c r="AC527" t="e">
        <f>VLOOKUP(C527,[1]Sheet1!$C:$O,13,FALSE)</f>
        <v>#N/A</v>
      </c>
      <c r="AD527" t="str">
        <f>VLOOKUP($H527,'[3]0509人员排班情况 副本'!$G:$U,12,FALSE)</f>
        <v>肖芦莉Lily (Luli Xiao)</v>
      </c>
      <c r="AE527" t="str">
        <f>VLOOKUP($H527,'[3]0509人员排班情况 副本'!$G:$U,13,FALSE)</f>
        <v>张骥Ji Zhang (Ji Zhang)</v>
      </c>
      <c r="AF527" t="str">
        <f>VLOOKUP($H527,'[3]0509人员排班情况 副本'!$G:$U,14,FALSE)</f>
        <v>何琼joan(Qiong He)</v>
      </c>
      <c r="AG527">
        <f>VLOOKUP($H527,'[3]0509人员排班情况 副本'!$G:$U,15,FALSE)</f>
        <v>0</v>
      </c>
    </row>
    <row r="528" customHeight="1" spans="1:33">
      <c r="A528" t="s">
        <v>202</v>
      </c>
      <c r="B528" t="s">
        <v>1739</v>
      </c>
      <c r="C528" t="s">
        <v>1740</v>
      </c>
      <c r="D528" t="s">
        <v>100</v>
      </c>
      <c r="E528" t="s">
        <v>101</v>
      </c>
      <c r="F528" t="s">
        <v>210</v>
      </c>
      <c r="G528" t="s">
        <v>112</v>
      </c>
      <c r="H528" t="str">
        <f t="shared" si="56"/>
        <v>WE 美西大区CNO.H操作组</v>
      </c>
      <c r="I528" t="s">
        <v>156</v>
      </c>
      <c r="J528" t="s">
        <v>407</v>
      </c>
      <c r="K528" s="15">
        <v>0.354166666666667</v>
      </c>
      <c r="L528" s="15" t="s">
        <v>254</v>
      </c>
      <c r="M528" s="15">
        <v>0.355555555555556</v>
      </c>
      <c r="N528" t="s">
        <v>1416</v>
      </c>
      <c r="O528" s="20" t="str">
        <f t="shared" si="57"/>
        <v>正确</v>
      </c>
      <c r="P528" s="21">
        <v>0</v>
      </c>
      <c r="Q528" s="21">
        <v>9.92</v>
      </c>
      <c r="R528" s="21">
        <v>0</v>
      </c>
      <c r="S528" s="21">
        <f t="shared" si="58"/>
        <v>9.92</v>
      </c>
      <c r="T528" s="21">
        <f t="shared" si="59"/>
        <v>1.92</v>
      </c>
      <c r="U528" s="21" t="str">
        <f t="shared" si="60"/>
        <v>是</v>
      </c>
      <c r="V528" s="21">
        <f>VLOOKUP($C528,[4]Sheet1!$B:$AN,39,FALSE)</f>
        <v>18.75</v>
      </c>
      <c r="W528" s="21">
        <v>0</v>
      </c>
      <c r="X528" s="23">
        <v>4</v>
      </c>
      <c r="Y528" s="23">
        <v>4</v>
      </c>
      <c r="Z528" s="25">
        <f t="shared" si="61"/>
        <v>0</v>
      </c>
      <c r="AA528" s="25" t="str">
        <f t="shared" si="62"/>
        <v>是</v>
      </c>
      <c r="AB528" t="s">
        <v>148</v>
      </c>
      <c r="AC528" t="e">
        <f>VLOOKUP(C528,[1]Sheet1!$C:$O,13,FALSE)</f>
        <v>#N/A</v>
      </c>
      <c r="AD528" t="str">
        <f>VLOOKUP($H528,'[3]0509人员排班情况 副本'!$G:$U,12,FALSE)</f>
        <v>王骞Ariel（Qian Wang）,叶秀芳Freya (Xiufang Ye)</v>
      </c>
      <c r="AE528" t="str">
        <f>VLOOKUP($H528,'[3]0509人员排班情况 副本'!$G:$U,13,FALSE)</f>
        <v>常哲</v>
      </c>
      <c r="AF528" t="str">
        <f>VLOOKUP($H528,'[3]0509人员排班情况 副本'!$G:$U,14,FALSE)</f>
        <v>Minqing (Minqing Xu),罗煜雄 Mike (Yuxiong Luo)</v>
      </c>
      <c r="AG528">
        <f>VLOOKUP($H528,'[3]0509人员排班情况 副本'!$G:$U,15,FALSE)</f>
        <v>0</v>
      </c>
    </row>
    <row r="529" customHeight="1" spans="1:33">
      <c r="A529" t="s">
        <v>202</v>
      </c>
      <c r="B529" t="s">
        <v>1741</v>
      </c>
      <c r="C529" t="s">
        <v>1742</v>
      </c>
      <c r="D529" t="s">
        <v>15</v>
      </c>
      <c r="E529" t="s">
        <v>25</v>
      </c>
      <c r="F529" t="s">
        <v>148</v>
      </c>
      <c r="H529" t="str">
        <f t="shared" si="56"/>
        <v>FL 佛州大区SRQ01</v>
      </c>
      <c r="I529" t="s">
        <v>177</v>
      </c>
      <c r="J529" t="s">
        <v>205</v>
      </c>
      <c r="K529" s="15">
        <v>0.166666666666667</v>
      </c>
      <c r="L529" s="15" t="s">
        <v>206</v>
      </c>
      <c r="M529" s="15">
        <v>0.205555555555556</v>
      </c>
      <c r="N529" t="s">
        <v>1666</v>
      </c>
      <c r="O529" s="20" t="str">
        <f t="shared" si="57"/>
        <v>正确</v>
      </c>
      <c r="P529" s="21">
        <v>0</v>
      </c>
      <c r="Q529" s="21">
        <v>8.75</v>
      </c>
      <c r="R529" s="21">
        <v>0</v>
      </c>
      <c r="S529" s="21">
        <f t="shared" si="58"/>
        <v>8.75</v>
      </c>
      <c r="T529" s="21">
        <f t="shared" si="59"/>
        <v>0.75</v>
      </c>
      <c r="U529" s="21" t="str">
        <f t="shared" si="60"/>
        <v>是</v>
      </c>
      <c r="V529" s="21">
        <f>VLOOKUP($C529,[4]Sheet1!$B:$AN,39,FALSE)</f>
        <v>19.1</v>
      </c>
      <c r="W529" s="21">
        <v>0</v>
      </c>
      <c r="X529" s="23">
        <v>4</v>
      </c>
      <c r="Y529" s="23">
        <v>4</v>
      </c>
      <c r="Z529" s="25">
        <f t="shared" si="61"/>
        <v>0</v>
      </c>
      <c r="AA529" s="25" t="str">
        <f t="shared" si="62"/>
        <v>是</v>
      </c>
      <c r="AB529" t="s">
        <v>148</v>
      </c>
      <c r="AC529" t="e">
        <f>VLOOKUP(C529,[1]Sheet1!$C:$O,13,FALSE)</f>
        <v>#N/A</v>
      </c>
      <c r="AD529" t="str">
        <f>VLOOKUP($H529,'[3]0509人员排班情况 副本'!$G:$U,12,FALSE)</f>
        <v>Natalia (Natalia Padilla),孙婕 Jasmine（Sunjie）</v>
      </c>
      <c r="AE529" t="str">
        <f>VLOOKUP($H529,'[3]0509人员排班情况 副本'!$G:$U,13,FALSE)</f>
        <v>贺子强Jeff (Ziqiang He)</v>
      </c>
      <c r="AF529">
        <f>VLOOKUP($H529,'[3]0509人员排班情况 副本'!$G:$U,14,FALSE)</f>
        <v>0</v>
      </c>
      <c r="AG529">
        <f>VLOOKUP($H529,'[3]0509人员排班情况 副本'!$G:$U,15,FALSE)</f>
        <v>0</v>
      </c>
    </row>
    <row r="530" customHeight="1" spans="1:33">
      <c r="A530" t="s">
        <v>202</v>
      </c>
      <c r="B530" t="s">
        <v>1743</v>
      </c>
      <c r="C530" t="s">
        <v>1744</v>
      </c>
      <c r="D530" t="s">
        <v>100</v>
      </c>
      <c r="E530" t="s">
        <v>107</v>
      </c>
      <c r="F530" t="s">
        <v>1745</v>
      </c>
      <c r="H530" t="str">
        <f t="shared" si="56"/>
        <v>WE 美西大区SP 西雅图·波特兰片区SEA01</v>
      </c>
      <c r="I530" t="s">
        <v>156</v>
      </c>
      <c r="J530" t="s">
        <v>217</v>
      </c>
      <c r="K530" s="15">
        <v>0.395833333333333</v>
      </c>
      <c r="L530" s="15" t="s">
        <v>218</v>
      </c>
      <c r="M530" s="15"/>
      <c r="N530" t="s">
        <v>148</v>
      </c>
      <c r="O530" s="20" t="s">
        <v>116</v>
      </c>
      <c r="P530" s="21">
        <v>0</v>
      </c>
      <c r="Q530" s="21">
        <v>0</v>
      </c>
      <c r="R530" s="21">
        <v>0</v>
      </c>
      <c r="S530" s="21">
        <f t="shared" si="58"/>
        <v>0</v>
      </c>
      <c r="T530" s="21">
        <f t="shared" si="59"/>
        <v>0</v>
      </c>
      <c r="U530" s="21" t="str">
        <f t="shared" si="60"/>
        <v>否</v>
      </c>
      <c r="V530" s="21">
        <f>VLOOKUP($C530,[4]Sheet1!$B:$AN,39,FALSE)</f>
        <v>7.83</v>
      </c>
      <c r="W530" s="21">
        <v>0</v>
      </c>
      <c r="X530" s="23">
        <v>0</v>
      </c>
      <c r="Y530" s="23">
        <v>0</v>
      </c>
      <c r="Z530" s="25">
        <f t="shared" si="61"/>
        <v>0</v>
      </c>
      <c r="AA530" s="25" t="str">
        <f t="shared" si="62"/>
        <v>是</v>
      </c>
      <c r="AB530" t="s">
        <v>148</v>
      </c>
      <c r="AC530" t="e">
        <f>VLOOKUP(C530,[1]Sheet1!$C:$O,13,FALSE)</f>
        <v>#N/A</v>
      </c>
      <c r="AD530" t="str">
        <f>VLOOKUP($H530,'[3]0509人员排班情况 副本'!$G:$U,12,FALSE)</f>
        <v>王骞Ariel（Qian Wang）,叶秀芳Freya (Xiufang Ye)</v>
      </c>
      <c r="AE530" t="str">
        <f>VLOOKUP($H530,'[3]0509人员排班情况 副本'!$G:$U,13,FALSE)</f>
        <v>常哲</v>
      </c>
      <c r="AF530" t="str">
        <f>VLOOKUP($H530,'[3]0509人员排班情况 副本'!$G:$U,14,FALSE)</f>
        <v>尤梦楠Yuko（Mengnan You）</v>
      </c>
      <c r="AG530">
        <f>VLOOKUP($H530,'[3]0509人员排班情况 副本'!$G:$U,15,FALSE)</f>
        <v>0</v>
      </c>
    </row>
    <row r="531" customHeight="1" spans="1:33">
      <c r="A531" t="s">
        <v>202</v>
      </c>
      <c r="B531" t="s">
        <v>1746</v>
      </c>
      <c r="C531" t="s">
        <v>1747</v>
      </c>
      <c r="D531" t="s">
        <v>92</v>
      </c>
      <c r="E531" t="s">
        <v>94</v>
      </c>
      <c r="F531" t="s">
        <v>243</v>
      </c>
      <c r="G531" t="s">
        <v>112</v>
      </c>
      <c r="H531" t="str">
        <f t="shared" si="56"/>
        <v>TX 德州大区DFW.H调度组</v>
      </c>
      <c r="I531" t="s">
        <v>160</v>
      </c>
      <c r="J531" t="s">
        <v>373</v>
      </c>
      <c r="K531" s="15">
        <v>0.291666666666667</v>
      </c>
      <c r="L531" s="15" t="s">
        <v>374</v>
      </c>
      <c r="M531" s="15">
        <v>0.279166666666667</v>
      </c>
      <c r="N531" t="s">
        <v>1748</v>
      </c>
      <c r="O531" s="20" t="str">
        <f t="shared" si="57"/>
        <v>正确</v>
      </c>
      <c r="P531" s="21">
        <v>0</v>
      </c>
      <c r="Q531" s="21">
        <v>9.7</v>
      </c>
      <c r="R531" s="21">
        <v>0</v>
      </c>
      <c r="S531" s="21">
        <f t="shared" si="58"/>
        <v>9.7</v>
      </c>
      <c r="T531" s="21">
        <f t="shared" si="59"/>
        <v>1.7</v>
      </c>
      <c r="U531" s="21" t="str">
        <f t="shared" si="60"/>
        <v>是</v>
      </c>
      <c r="V531" s="21">
        <f>VLOOKUP($C531,[4]Sheet1!$B:$AN,39,FALSE)</f>
        <v>18.42</v>
      </c>
      <c r="W531" s="21">
        <v>0</v>
      </c>
      <c r="X531" s="23">
        <v>4</v>
      </c>
      <c r="Y531" s="23">
        <v>4</v>
      </c>
      <c r="Z531" s="25">
        <f t="shared" si="61"/>
        <v>0</v>
      </c>
      <c r="AA531" s="25" t="str">
        <f t="shared" si="62"/>
        <v>是</v>
      </c>
      <c r="AB531" t="s">
        <v>148</v>
      </c>
      <c r="AC531" t="e">
        <f>VLOOKUP(C531,[1]Sheet1!$C:$O,13,FALSE)</f>
        <v>#N/A</v>
      </c>
      <c r="AD531" t="str">
        <f>VLOOKUP($H531,'[3]0509人员排班情况 副本'!$G:$U,12,FALSE)</f>
        <v>肖芦莉Lily (Luli Xiao)</v>
      </c>
      <c r="AE531" t="str">
        <f>VLOOKUP($H531,'[3]0509人员排班情况 副本'!$G:$U,13,FALSE)</f>
        <v>张骥Ji Zhang (Ji Zhang)</v>
      </c>
      <c r="AF531" t="str">
        <f>VLOOKUP($H531,'[3]0509人员排班情况 副本'!$G:$U,14,FALSE)</f>
        <v>Minqing (Minqing Xu),罗煜雄 Mike (Yuxiong Luo)</v>
      </c>
      <c r="AG531">
        <f>VLOOKUP($H531,'[3]0509人员排班情况 副本'!$G:$U,15,FALSE)</f>
        <v>0</v>
      </c>
    </row>
    <row r="532" customHeight="1" spans="1:33">
      <c r="A532" t="s">
        <v>202</v>
      </c>
      <c r="B532" t="s">
        <v>1749</v>
      </c>
      <c r="C532" t="s">
        <v>1750</v>
      </c>
      <c r="D532" t="s">
        <v>89</v>
      </c>
      <c r="E532" t="s">
        <v>736</v>
      </c>
      <c r="F532" t="s">
        <v>148</v>
      </c>
      <c r="H532" t="str">
        <f t="shared" si="56"/>
        <v>QC 质量控制部质量改善组</v>
      </c>
      <c r="I532" t="s">
        <v>1093</v>
      </c>
      <c r="J532" t="s">
        <v>236</v>
      </c>
      <c r="K532" s="15">
        <v>0.395833333333333</v>
      </c>
      <c r="L532" s="15" t="s">
        <v>218</v>
      </c>
      <c r="M532" s="15">
        <v>0.350694444444444</v>
      </c>
      <c r="N532" t="s">
        <v>1751</v>
      </c>
      <c r="O532" s="20" t="str">
        <f t="shared" si="57"/>
        <v>不正确</v>
      </c>
      <c r="P532" s="21">
        <v>0</v>
      </c>
      <c r="Q532" s="21">
        <v>8.33</v>
      </c>
      <c r="R532" s="21">
        <v>0</v>
      </c>
      <c r="S532" s="21">
        <f t="shared" si="58"/>
        <v>8.33</v>
      </c>
      <c r="T532" s="21">
        <f t="shared" si="59"/>
        <v>0.33</v>
      </c>
      <c r="U532" s="21" t="str">
        <f t="shared" si="60"/>
        <v>是</v>
      </c>
      <c r="V532" s="21">
        <f>VLOOKUP($C532,[4]Sheet1!$B:$AN,39,FALSE)</f>
        <v>16.66</v>
      </c>
      <c r="W532" s="21">
        <v>0</v>
      </c>
      <c r="X532" s="23">
        <v>4</v>
      </c>
      <c r="Y532" s="23">
        <v>4</v>
      </c>
      <c r="Z532" s="25">
        <f t="shared" si="61"/>
        <v>0</v>
      </c>
      <c r="AA532" s="25" t="str">
        <f t="shared" si="62"/>
        <v>是</v>
      </c>
      <c r="AB532" t="s">
        <v>148</v>
      </c>
      <c r="AC532" t="e">
        <f>VLOOKUP(C532,[1]Sheet1!$C:$O,13,FALSE)</f>
        <v>#N/A</v>
      </c>
      <c r="AD532" t="str">
        <f>VLOOKUP($H532,'[3]0509人员排班情况 副本'!$G:$U,12,FALSE)</f>
        <v>袁博闻(Bowen Yuan)</v>
      </c>
      <c r="AE532">
        <f>VLOOKUP($H532,'[3]0509人员排班情况 副本'!$G:$U,13,FALSE)</f>
        <v>0</v>
      </c>
      <c r="AF532">
        <f>VLOOKUP($H532,'[3]0509人员排班情况 副本'!$G:$U,14,FALSE)</f>
        <v>0</v>
      </c>
      <c r="AG532">
        <f>VLOOKUP($H532,'[3]0509人员排班情况 副本'!$G:$U,15,FALSE)</f>
        <v>0</v>
      </c>
    </row>
    <row r="533" customHeight="1" spans="1:33">
      <c r="A533" t="s">
        <v>202</v>
      </c>
      <c r="B533" t="s">
        <v>1752</v>
      </c>
      <c r="C533" t="s">
        <v>1753</v>
      </c>
      <c r="D533" t="s">
        <v>58</v>
      </c>
      <c r="E533" t="s">
        <v>61</v>
      </c>
      <c r="F533" t="s">
        <v>275</v>
      </c>
      <c r="G533" t="s">
        <v>112</v>
      </c>
      <c r="H533" t="str">
        <f t="shared" si="56"/>
        <v>MS 中南大区ATL.H分拣组</v>
      </c>
      <c r="I533" t="s">
        <v>276</v>
      </c>
      <c r="J533" t="s">
        <v>245</v>
      </c>
      <c r="K533" s="15">
        <v>0.75</v>
      </c>
      <c r="L533" s="15" t="s">
        <v>246</v>
      </c>
      <c r="M533" s="15">
        <v>0.756944444444444</v>
      </c>
      <c r="N533" t="s">
        <v>148</v>
      </c>
      <c r="O533" s="20" t="str">
        <f t="shared" si="57"/>
        <v>正确</v>
      </c>
      <c r="P533" s="21">
        <v>0</v>
      </c>
      <c r="Q533" s="21">
        <v>0</v>
      </c>
      <c r="R533" s="21">
        <v>0</v>
      </c>
      <c r="S533" s="21">
        <f t="shared" si="58"/>
        <v>0</v>
      </c>
      <c r="T533" s="21">
        <f t="shared" si="59"/>
        <v>0</v>
      </c>
      <c r="U533" s="21" t="str">
        <f t="shared" si="60"/>
        <v>否</v>
      </c>
      <c r="V533" s="21">
        <f>VLOOKUP($C533,[4]Sheet1!$B:$AN,39,FALSE)</f>
        <v>8.08</v>
      </c>
      <c r="W533" s="21">
        <v>0</v>
      </c>
      <c r="X533" s="23">
        <v>2</v>
      </c>
      <c r="Y533" s="23">
        <v>4</v>
      </c>
      <c r="Z533" s="25">
        <f t="shared" si="61"/>
        <v>2</v>
      </c>
      <c r="AA533" s="25" t="str">
        <f t="shared" si="62"/>
        <v>是</v>
      </c>
      <c r="AB533" t="s">
        <v>148</v>
      </c>
      <c r="AC533" t="e">
        <f>VLOOKUP(C533,[1]Sheet1!$C:$O,13,FALSE)</f>
        <v>#N/A</v>
      </c>
      <c r="AD533" t="str">
        <f>VLOOKUP($H533,'[3]0509人员排班情况 副本'!$G:$U,12,FALSE)</f>
        <v>欧阳迎春Flower（Yingchun Ouyang）</v>
      </c>
      <c r="AE533" t="str">
        <f>VLOOKUP($H533,'[3]0509人员排班情况 副本'!$G:$U,13,FALSE)</f>
        <v>杨云飞</v>
      </c>
      <c r="AF533" t="str">
        <f>VLOOKUP($H533,'[3]0509人员排班情况 副本'!$G:$U,14,FALSE)</f>
        <v>张双甫(Shuangfu Zhang),明杰麟Jennie (Jielin Ming)</v>
      </c>
      <c r="AG533" t="str">
        <f>VLOOKUP($H533,'[3]0509人员排班情况 副本'!$G:$U,15,FALSE)</f>
        <v>文艳平</v>
      </c>
    </row>
    <row r="534" customHeight="1" spans="1:33">
      <c r="A534" t="s">
        <v>202</v>
      </c>
      <c r="B534" t="s">
        <v>1754</v>
      </c>
      <c r="C534" t="s">
        <v>1755</v>
      </c>
      <c r="D534" t="s">
        <v>31</v>
      </c>
      <c r="E534" t="s">
        <v>29</v>
      </c>
      <c r="F534" t="s">
        <v>200</v>
      </c>
      <c r="H534" t="str">
        <f t="shared" si="56"/>
        <v>GL 大湖大区运营支持部区域支持组</v>
      </c>
      <c r="I534" t="s">
        <v>201</v>
      </c>
      <c r="J534" t="s">
        <v>347</v>
      </c>
      <c r="K534" s="15">
        <v>0.541666666666667</v>
      </c>
      <c r="L534" s="15" t="s">
        <v>348</v>
      </c>
      <c r="M534" s="15"/>
      <c r="N534" t="s">
        <v>148</v>
      </c>
      <c r="O534" s="20" t="str">
        <f t="shared" si="57"/>
        <v>不正确</v>
      </c>
      <c r="P534" s="21">
        <v>0</v>
      </c>
      <c r="Q534" s="21">
        <v>0</v>
      </c>
      <c r="R534" s="21">
        <v>0</v>
      </c>
      <c r="S534" s="21">
        <f t="shared" si="58"/>
        <v>0</v>
      </c>
      <c r="T534" s="21">
        <f t="shared" si="59"/>
        <v>0</v>
      </c>
      <c r="U534" s="21" t="str">
        <f t="shared" si="60"/>
        <v>否</v>
      </c>
      <c r="V534" s="21">
        <f>VLOOKUP($C534,[4]Sheet1!$B:$AN,39,FALSE)</f>
        <v>0</v>
      </c>
      <c r="W534" s="21">
        <v>0</v>
      </c>
      <c r="X534" s="23">
        <v>0</v>
      </c>
      <c r="Y534" s="23">
        <v>0</v>
      </c>
      <c r="Z534" s="25">
        <f t="shared" si="61"/>
        <v>0</v>
      </c>
      <c r="AA534" s="25" t="str">
        <f t="shared" si="62"/>
        <v>是</v>
      </c>
      <c r="AB534" t="s">
        <v>1756</v>
      </c>
      <c r="AC534" t="e">
        <f>VLOOKUP(C534,[1]Sheet1!$C:$O,13,FALSE)</f>
        <v>#N/A</v>
      </c>
      <c r="AD534" t="str">
        <f>VLOOKUP($H534,'[3]0509人员排班情况 副本'!$G:$U,12,FALSE)</f>
        <v>王晓丹 Jasmine（Xiaodan Wang）,周延舒Isabel（Yanshu Zhou）</v>
      </c>
      <c r="AE534" t="str">
        <f>VLOOKUP($H534,'[3]0509人员排班情况 副本'!$G:$U,13,FALSE)</f>
        <v>张骥Ji Zhang (Ji Zhang)</v>
      </c>
      <c r="AF534">
        <f>VLOOKUP($H534,'[3]0509人员排班情况 副本'!$G:$U,14,FALSE)</f>
        <v>0</v>
      </c>
      <c r="AG534">
        <f>VLOOKUP($H534,'[3]0509人员排班情况 副本'!$G:$U,15,FALSE)</f>
        <v>0</v>
      </c>
    </row>
    <row r="535" customHeight="1" spans="1:33">
      <c r="A535" t="s">
        <v>202</v>
      </c>
      <c r="B535" t="s">
        <v>1757</v>
      </c>
      <c r="C535" t="s">
        <v>1758</v>
      </c>
      <c r="D535" t="s">
        <v>92</v>
      </c>
      <c r="E535" t="s">
        <v>45</v>
      </c>
      <c r="F535" t="s">
        <v>148</v>
      </c>
      <c r="H535" t="str">
        <f t="shared" si="56"/>
        <v>TX 德州大区揽收部</v>
      </c>
      <c r="I535" t="s">
        <v>1623</v>
      </c>
      <c r="J535" t="s">
        <v>347</v>
      </c>
      <c r="K535" s="15">
        <v>0.541666666666667</v>
      </c>
      <c r="L535" s="15" t="s">
        <v>348</v>
      </c>
      <c r="M535" s="15">
        <v>0.547916666666667</v>
      </c>
      <c r="N535" t="s">
        <v>1759</v>
      </c>
      <c r="O535" s="20" t="str">
        <f t="shared" si="57"/>
        <v>正确</v>
      </c>
      <c r="P535" s="21">
        <v>0</v>
      </c>
      <c r="Q535" s="21">
        <v>10.58</v>
      </c>
      <c r="R535" s="21">
        <v>0</v>
      </c>
      <c r="S535" s="21">
        <f t="shared" si="58"/>
        <v>10.58</v>
      </c>
      <c r="T535" s="21">
        <f t="shared" si="59"/>
        <v>2.58</v>
      </c>
      <c r="U535" s="21" t="str">
        <f t="shared" si="60"/>
        <v>是</v>
      </c>
      <c r="V535" s="21">
        <f>VLOOKUP($C535,[4]Sheet1!$B:$AN,39,FALSE)</f>
        <v>24.4</v>
      </c>
      <c r="W535" s="21">
        <v>0</v>
      </c>
      <c r="X535" s="23">
        <v>4</v>
      </c>
      <c r="Y535" s="23">
        <v>4</v>
      </c>
      <c r="Z535" s="25">
        <f t="shared" si="61"/>
        <v>0</v>
      </c>
      <c r="AA535" s="25" t="str">
        <f t="shared" si="62"/>
        <v>是</v>
      </c>
      <c r="AB535" t="s">
        <v>148</v>
      </c>
      <c r="AC535" t="e">
        <f>VLOOKUP(C535,[1]Sheet1!$C:$O,13,FALSE)</f>
        <v>#N/A</v>
      </c>
      <c r="AD535" t="str">
        <f>VLOOKUP($H535,'[3]0509人员排班情况 副本'!$G:$U,12,FALSE)</f>
        <v>肖芦莉Lily (Luli Xiao)</v>
      </c>
      <c r="AE535" t="str">
        <f>VLOOKUP($H535,'[3]0509人员排班情况 副本'!$G:$U,13,FALSE)</f>
        <v>张骥Ji Zhang (Ji Zhang)</v>
      </c>
      <c r="AF535">
        <f>VLOOKUP($H535,'[3]0509人员排班情况 副本'!$G:$U,14,FALSE)</f>
        <v>0</v>
      </c>
      <c r="AG535">
        <f>VLOOKUP($H535,'[3]0509人员排班情况 副本'!$G:$U,15,FALSE)</f>
        <v>0</v>
      </c>
    </row>
    <row r="536" customHeight="1" spans="1:33">
      <c r="A536" t="s">
        <v>202</v>
      </c>
      <c r="B536" t="s">
        <v>1760</v>
      </c>
      <c r="C536" t="s">
        <v>1761</v>
      </c>
      <c r="D536" t="s">
        <v>31</v>
      </c>
      <c r="E536" t="s">
        <v>41</v>
      </c>
      <c r="F536" t="s">
        <v>243</v>
      </c>
      <c r="G536" t="s">
        <v>112</v>
      </c>
      <c r="H536" t="str">
        <f t="shared" si="56"/>
        <v>GL 大湖大区ORD.H调度组</v>
      </c>
      <c r="I536" t="s">
        <v>244</v>
      </c>
      <c r="J536" t="s">
        <v>373</v>
      </c>
      <c r="K536" s="15">
        <v>0.291666666666667</v>
      </c>
      <c r="L536" s="15" t="s">
        <v>374</v>
      </c>
      <c r="M536" s="15">
        <v>0.301388888888889</v>
      </c>
      <c r="N536" t="s">
        <v>1762</v>
      </c>
      <c r="O536" s="20" t="str">
        <f t="shared" si="57"/>
        <v>正确</v>
      </c>
      <c r="P536" s="21">
        <v>0</v>
      </c>
      <c r="Q536" s="21">
        <v>11.12</v>
      </c>
      <c r="R536" s="21">
        <v>0</v>
      </c>
      <c r="S536" s="21">
        <f t="shared" si="58"/>
        <v>11.12</v>
      </c>
      <c r="T536" s="21">
        <f t="shared" si="59"/>
        <v>3.12</v>
      </c>
      <c r="U536" s="21" t="str">
        <f t="shared" si="60"/>
        <v>是</v>
      </c>
      <c r="V536" s="21">
        <f>VLOOKUP($C536,[4]Sheet1!$B:$AN,39,FALSE)</f>
        <v>11.12</v>
      </c>
      <c r="W536" s="21">
        <v>12.82</v>
      </c>
      <c r="X536" s="23">
        <v>2</v>
      </c>
      <c r="Y536" s="23">
        <v>4</v>
      </c>
      <c r="Z536" s="25">
        <f t="shared" si="61"/>
        <v>2</v>
      </c>
      <c r="AA536" s="25" t="str">
        <f t="shared" si="62"/>
        <v>是</v>
      </c>
      <c r="AB536" t="s">
        <v>148</v>
      </c>
      <c r="AC536" t="e">
        <f>VLOOKUP(C536,[1]Sheet1!$C:$O,13,FALSE)</f>
        <v>#N/A</v>
      </c>
      <c r="AD536" t="str">
        <f>VLOOKUP($H536,'[3]0509人员排班情况 副本'!$G:$U,12,FALSE)</f>
        <v>王晓丹 Jasmine（Xiaodan Wang）,周延舒Isabel（Yanshu Zhou）</v>
      </c>
      <c r="AE536" t="str">
        <f>VLOOKUP($H536,'[3]0509人员排班情况 副本'!$G:$U,13,FALSE)</f>
        <v>张骥Ji Zhang (Ji Zhang)</v>
      </c>
      <c r="AF536" t="str">
        <f>VLOOKUP($H536,'[3]0509人员排班情况 副本'!$G:$U,14,FALSE)</f>
        <v>Minqing (Minqing Xu),罗煜雄 Mike (Yuxiong Luo)</v>
      </c>
      <c r="AG536">
        <f>VLOOKUP($H536,'[3]0509人员排班情况 副本'!$G:$U,15,FALSE)</f>
        <v>0</v>
      </c>
    </row>
    <row r="537" customHeight="1" spans="1:33">
      <c r="A537" t="s">
        <v>202</v>
      </c>
      <c r="B537" t="s">
        <v>1763</v>
      </c>
      <c r="C537" t="s">
        <v>1764</v>
      </c>
      <c r="D537" t="s">
        <v>92</v>
      </c>
      <c r="E537" t="s">
        <v>94</v>
      </c>
      <c r="F537" t="s">
        <v>275</v>
      </c>
      <c r="G537" t="s">
        <v>112</v>
      </c>
      <c r="H537" t="str">
        <f t="shared" si="56"/>
        <v>TX 德州大区DFW.H分拣组</v>
      </c>
      <c r="I537" t="s">
        <v>303</v>
      </c>
      <c r="J537" t="s">
        <v>330</v>
      </c>
      <c r="K537" s="15">
        <v>0.625</v>
      </c>
      <c r="L537" s="15" t="s">
        <v>331</v>
      </c>
      <c r="M537" s="15">
        <v>0.618055555555556</v>
      </c>
      <c r="N537" t="s">
        <v>1765</v>
      </c>
      <c r="O537" s="20" t="str">
        <f t="shared" si="57"/>
        <v>正确</v>
      </c>
      <c r="P537" s="21">
        <v>0</v>
      </c>
      <c r="Q537" s="21">
        <v>10.25</v>
      </c>
      <c r="R537" s="21">
        <v>0</v>
      </c>
      <c r="S537" s="21">
        <f t="shared" si="58"/>
        <v>10.25</v>
      </c>
      <c r="T537" s="21">
        <f t="shared" si="59"/>
        <v>2.25</v>
      </c>
      <c r="U537" s="21" t="str">
        <f t="shared" si="60"/>
        <v>是</v>
      </c>
      <c r="V537" s="21">
        <f>VLOOKUP($C537,[4]Sheet1!$B:$AN,39,FALSE)</f>
        <v>21.6</v>
      </c>
      <c r="W537" s="21">
        <v>0</v>
      </c>
      <c r="X537" s="23">
        <v>3</v>
      </c>
      <c r="Y537" s="23">
        <v>4</v>
      </c>
      <c r="Z537" s="25">
        <f t="shared" si="61"/>
        <v>1</v>
      </c>
      <c r="AA537" s="25" t="str">
        <f t="shared" si="62"/>
        <v>是</v>
      </c>
      <c r="AB537" t="s">
        <v>148</v>
      </c>
      <c r="AC537" t="e">
        <f>VLOOKUP(C537,[1]Sheet1!$C:$O,13,FALSE)</f>
        <v>#N/A</v>
      </c>
      <c r="AD537" t="str">
        <f>VLOOKUP($H537,'[3]0509人员排班情况 副本'!$G:$U,12,FALSE)</f>
        <v>肖芦莉Lily (Luli Xiao)</v>
      </c>
      <c r="AE537" t="str">
        <f>VLOOKUP($H537,'[3]0509人员排班情况 副本'!$G:$U,13,FALSE)</f>
        <v>张骥Ji Zhang (Ji Zhang)</v>
      </c>
      <c r="AF537" t="str">
        <f>VLOOKUP($H537,'[3]0509人员排班情况 副本'!$G:$U,14,FALSE)</f>
        <v>张双甫(Shuangfu Zhang)</v>
      </c>
      <c r="AG537">
        <f>VLOOKUP($H537,'[3]0509人员排班情况 副本'!$G:$U,15,FALSE)</f>
        <v>0</v>
      </c>
    </row>
    <row r="538" customHeight="1" spans="1:33">
      <c r="A538" t="s">
        <v>202</v>
      </c>
      <c r="B538" t="s">
        <v>1766</v>
      </c>
      <c r="C538" t="s">
        <v>1767</v>
      </c>
      <c r="D538" t="s">
        <v>58</v>
      </c>
      <c r="E538" t="s">
        <v>62</v>
      </c>
      <c r="F538" t="s">
        <v>512</v>
      </c>
      <c r="H538" t="str">
        <f t="shared" si="56"/>
        <v>MS 中南大区BN 田纳西和北阿拉巴马片区CHA01</v>
      </c>
      <c r="I538" t="s">
        <v>177</v>
      </c>
      <c r="J538" t="s">
        <v>221</v>
      </c>
      <c r="K538" s="15">
        <v>0.208333333333333</v>
      </c>
      <c r="L538" s="15" t="s">
        <v>222</v>
      </c>
      <c r="M538" s="15">
        <v>0.232638888888889</v>
      </c>
      <c r="N538" t="s">
        <v>1339</v>
      </c>
      <c r="O538" s="20" t="str">
        <f t="shared" si="57"/>
        <v>正确</v>
      </c>
      <c r="P538" s="21">
        <v>2</v>
      </c>
      <c r="Q538" s="21">
        <v>7.83</v>
      </c>
      <c r="R538" s="21">
        <v>2</v>
      </c>
      <c r="S538" s="21">
        <f t="shared" si="58"/>
        <v>9.83</v>
      </c>
      <c r="T538" s="21">
        <f t="shared" si="59"/>
        <v>1.83</v>
      </c>
      <c r="U538" s="21" t="str">
        <f t="shared" si="60"/>
        <v>是</v>
      </c>
      <c r="V538" s="21">
        <f>VLOOKUP($C538,[4]Sheet1!$B:$AN,39,FALSE)</f>
        <v>16.73</v>
      </c>
      <c r="W538" s="21">
        <v>0</v>
      </c>
      <c r="X538" s="23">
        <v>5</v>
      </c>
      <c r="Y538" s="23">
        <v>4</v>
      </c>
      <c r="Z538" s="25">
        <f t="shared" si="61"/>
        <v>0</v>
      </c>
      <c r="AA538" s="25" t="str">
        <f t="shared" si="62"/>
        <v>是</v>
      </c>
      <c r="AB538" t="s">
        <v>1768</v>
      </c>
      <c r="AC538" t="e">
        <f>VLOOKUP(C538,[1]Sheet1!$C:$O,13,FALSE)</f>
        <v>#N/A</v>
      </c>
      <c r="AD538" t="str">
        <f>VLOOKUP($H538,'[3]0509人员排班情况 副本'!$G:$U,12,FALSE)</f>
        <v>欧阳迎春Flower（Yingchun Ouyang）</v>
      </c>
      <c r="AE538" t="str">
        <f>VLOOKUP($H538,'[3]0509人员排班情况 副本'!$G:$U,13,FALSE)</f>
        <v>杨云飞</v>
      </c>
      <c r="AF538" t="str">
        <f>VLOOKUP($H538,'[3]0509人员排班情况 副本'!$G:$U,14,FALSE)</f>
        <v>杨益洲Young（Yizhou Yang）</v>
      </c>
      <c r="AG538">
        <f>VLOOKUP($H538,'[3]0509人员排班情况 副本'!$G:$U,15,FALSE)</f>
        <v>0</v>
      </c>
    </row>
    <row r="539" customHeight="1" spans="1:33">
      <c r="A539" t="s">
        <v>202</v>
      </c>
      <c r="B539" t="s">
        <v>1769</v>
      </c>
      <c r="C539" t="s">
        <v>1770</v>
      </c>
      <c r="D539" t="s">
        <v>91</v>
      </c>
      <c r="E539" t="s">
        <v>1771</v>
      </c>
      <c r="F539" t="s">
        <v>148</v>
      </c>
      <c r="H539" t="str">
        <f t="shared" si="56"/>
        <v>SM 站点管理部产品运营组</v>
      </c>
      <c r="I539" t="s">
        <v>1772</v>
      </c>
      <c r="J539" t="s">
        <v>236</v>
      </c>
      <c r="K539" s="15">
        <v>0.395833333333333</v>
      </c>
      <c r="L539" s="15" t="s">
        <v>218</v>
      </c>
      <c r="M539" s="15">
        <v>0.388888888888889</v>
      </c>
      <c r="N539" t="s">
        <v>288</v>
      </c>
      <c r="O539" s="20" t="str">
        <f t="shared" si="57"/>
        <v>正确</v>
      </c>
      <c r="P539" s="21">
        <v>0</v>
      </c>
      <c r="Q539" s="21">
        <v>8.65</v>
      </c>
      <c r="R539" s="21">
        <v>0</v>
      </c>
      <c r="S539" s="21">
        <f t="shared" si="58"/>
        <v>8.65</v>
      </c>
      <c r="T539" s="21">
        <f t="shared" si="59"/>
        <v>0.65</v>
      </c>
      <c r="U539" s="21" t="str">
        <f t="shared" si="60"/>
        <v>是</v>
      </c>
      <c r="V539" s="21">
        <f>VLOOKUP($C539,[4]Sheet1!$B:$AN,39,FALSE)</f>
        <v>17.52</v>
      </c>
      <c r="W539" s="21">
        <v>0</v>
      </c>
      <c r="X539" s="23">
        <v>4</v>
      </c>
      <c r="Y539" s="23">
        <v>4</v>
      </c>
      <c r="Z539" s="25">
        <f t="shared" si="61"/>
        <v>0</v>
      </c>
      <c r="AA539" s="25" t="str">
        <f t="shared" si="62"/>
        <v>是</v>
      </c>
      <c r="AB539" t="s">
        <v>148</v>
      </c>
      <c r="AC539" t="e">
        <f>VLOOKUP(C539,[1]Sheet1!$C:$O,13,FALSE)</f>
        <v>#N/A</v>
      </c>
      <c r="AD539" t="str">
        <f>VLOOKUP($H539,'[3]0509人员排班情况 副本'!$G:$U,12,FALSE)</f>
        <v>袁博闻(Bowen Yuan)</v>
      </c>
      <c r="AE539">
        <f>VLOOKUP($H539,'[3]0509人员排班情况 副本'!$G:$U,13,FALSE)</f>
        <v>0</v>
      </c>
      <c r="AF539">
        <f>VLOOKUP($H539,'[3]0509人员排班情况 副本'!$G:$U,14,FALSE)</f>
        <v>0</v>
      </c>
      <c r="AG539">
        <f>VLOOKUP($H539,'[3]0509人员排班情况 副本'!$G:$U,15,FALSE)</f>
        <v>0</v>
      </c>
    </row>
    <row r="540" customHeight="1" spans="1:33">
      <c r="A540" t="s">
        <v>202</v>
      </c>
      <c r="B540" t="s">
        <v>1773</v>
      </c>
      <c r="C540" t="s">
        <v>1774</v>
      </c>
      <c r="D540" t="s">
        <v>100</v>
      </c>
      <c r="E540" t="s">
        <v>101</v>
      </c>
      <c r="F540" t="s">
        <v>312</v>
      </c>
      <c r="G540" t="s">
        <v>112</v>
      </c>
      <c r="H540" t="str">
        <f t="shared" si="56"/>
        <v>WE 美西大区CNO.H异常处理组</v>
      </c>
      <c r="I540" t="s">
        <v>313</v>
      </c>
      <c r="J540" t="s">
        <v>211</v>
      </c>
      <c r="K540" s="15">
        <v>0.333333333333333</v>
      </c>
      <c r="L540" s="15" t="s">
        <v>212</v>
      </c>
      <c r="M540" s="15">
        <v>0.333333333333333</v>
      </c>
      <c r="N540" t="s">
        <v>790</v>
      </c>
      <c r="O540" s="20" t="str">
        <f t="shared" si="57"/>
        <v>正确</v>
      </c>
      <c r="P540" s="21">
        <v>0</v>
      </c>
      <c r="Q540" s="21">
        <v>8.03</v>
      </c>
      <c r="R540" s="21">
        <v>0</v>
      </c>
      <c r="S540" s="21">
        <f t="shared" si="58"/>
        <v>8.03</v>
      </c>
      <c r="T540" s="21">
        <f t="shared" si="59"/>
        <v>0.0299999999999994</v>
      </c>
      <c r="U540" s="21" t="str">
        <f t="shared" si="60"/>
        <v>是</v>
      </c>
      <c r="V540" s="21">
        <f>VLOOKUP($C540,[4]Sheet1!$B:$AN,39,FALSE)</f>
        <v>16.15</v>
      </c>
      <c r="W540" s="21">
        <v>0</v>
      </c>
      <c r="X540" s="23">
        <v>4</v>
      </c>
      <c r="Y540" s="23">
        <v>4</v>
      </c>
      <c r="Z540" s="25">
        <f t="shared" si="61"/>
        <v>0</v>
      </c>
      <c r="AA540" s="25" t="str">
        <f t="shared" si="62"/>
        <v>是</v>
      </c>
      <c r="AB540" t="s">
        <v>148</v>
      </c>
      <c r="AC540" t="e">
        <f>VLOOKUP(C540,[1]Sheet1!$C:$O,13,FALSE)</f>
        <v>#N/A</v>
      </c>
      <c r="AD540" t="str">
        <f>VLOOKUP($H540,'[3]0509人员排班情况 副本'!$G:$U,12,FALSE)</f>
        <v>王骞Ariel（Qian Wang）,叶秀芳Freya (Xiufang Ye)</v>
      </c>
      <c r="AE540" t="str">
        <f>VLOOKUP($H540,'[3]0509人员排班情况 副本'!$G:$U,13,FALSE)</f>
        <v>常哲</v>
      </c>
      <c r="AF540" t="str">
        <f>VLOOKUP($H540,'[3]0509人员排班情况 副本'!$G:$U,14,FALSE)</f>
        <v>Minqing (Minqing Xu),罗煜雄 Mike (Yuxiong Luo)</v>
      </c>
      <c r="AG540">
        <f>VLOOKUP($H540,'[3]0509人员排班情况 副本'!$G:$U,15,FALSE)</f>
        <v>0</v>
      </c>
    </row>
    <row r="541" customHeight="1" spans="1:33">
      <c r="A541" t="s">
        <v>202</v>
      </c>
      <c r="B541" t="s">
        <v>1775</v>
      </c>
      <c r="C541" t="s">
        <v>1776</v>
      </c>
      <c r="D541" t="s">
        <v>92</v>
      </c>
      <c r="E541" t="s">
        <v>96</v>
      </c>
      <c r="F541" t="s">
        <v>312</v>
      </c>
      <c r="G541" t="s">
        <v>112</v>
      </c>
      <c r="H541" t="str">
        <f t="shared" si="56"/>
        <v>TX 德州大区IAH.H异常处理组</v>
      </c>
      <c r="I541" t="s">
        <v>313</v>
      </c>
      <c r="J541" t="s">
        <v>211</v>
      </c>
      <c r="K541" s="15">
        <v>0.333333333333333</v>
      </c>
      <c r="L541" s="15" t="s">
        <v>212</v>
      </c>
      <c r="M541" s="15">
        <v>0.372222222222222</v>
      </c>
      <c r="N541" t="s">
        <v>1777</v>
      </c>
      <c r="O541" s="20" t="str">
        <f t="shared" si="57"/>
        <v>正确</v>
      </c>
      <c r="P541" s="21">
        <v>0</v>
      </c>
      <c r="Q541" s="21">
        <v>7.65</v>
      </c>
      <c r="R541" s="21">
        <v>0</v>
      </c>
      <c r="S541" s="21">
        <f t="shared" si="58"/>
        <v>7.65</v>
      </c>
      <c r="T541" s="21">
        <f t="shared" si="59"/>
        <v>0</v>
      </c>
      <c r="U541" s="21" t="str">
        <f t="shared" si="60"/>
        <v>否</v>
      </c>
      <c r="V541" s="21">
        <f>VLOOKUP($C541,[4]Sheet1!$B:$AN,39,FALSE)</f>
        <v>17.18</v>
      </c>
      <c r="W541" s="21">
        <v>0</v>
      </c>
      <c r="X541" s="23">
        <v>4</v>
      </c>
      <c r="Y541" s="23">
        <v>4</v>
      </c>
      <c r="Z541" s="25">
        <f t="shared" si="61"/>
        <v>0</v>
      </c>
      <c r="AA541" s="25" t="str">
        <f t="shared" si="62"/>
        <v>是</v>
      </c>
      <c r="AB541" t="s">
        <v>148</v>
      </c>
      <c r="AC541" t="e">
        <f>VLOOKUP(C541,[1]Sheet1!$C:$O,13,FALSE)</f>
        <v>#N/A</v>
      </c>
      <c r="AD541" t="str">
        <f>VLOOKUP($H541,'[3]0509人员排班情况 副本'!$G:$U,12,FALSE)</f>
        <v>肖芦莉Lily (Luli Xiao)</v>
      </c>
      <c r="AE541" t="str">
        <f>VLOOKUP($H541,'[3]0509人员排班情况 副本'!$G:$U,13,FALSE)</f>
        <v>张骥Ji Zhang (Ji Zhang)</v>
      </c>
      <c r="AF541" t="str">
        <f>VLOOKUP($H541,'[3]0509人员排班情况 副本'!$G:$U,14,FALSE)</f>
        <v>Minqing (Minqing Xu),罗煜雄 Mike (Yuxiong Luo)</v>
      </c>
      <c r="AG541">
        <f>VLOOKUP($H541,'[3]0509人员排班情况 副本'!$G:$U,15,FALSE)</f>
        <v>0</v>
      </c>
    </row>
    <row r="542" customHeight="1" spans="1:33">
      <c r="A542" t="s">
        <v>202</v>
      </c>
      <c r="B542" t="s">
        <v>1778</v>
      </c>
      <c r="C542" t="s">
        <v>1779</v>
      </c>
      <c r="D542" t="s">
        <v>48</v>
      </c>
      <c r="E542" t="s">
        <v>49</v>
      </c>
      <c r="F542" t="s">
        <v>1204</v>
      </c>
      <c r="H542" t="str">
        <f t="shared" si="56"/>
        <v>Ground项目部OG 美东区NY118</v>
      </c>
      <c r="I542" t="s">
        <v>177</v>
      </c>
      <c r="J542" t="s">
        <v>211</v>
      </c>
      <c r="K542" s="15">
        <v>0.333333333333333</v>
      </c>
      <c r="L542" s="15" t="s">
        <v>212</v>
      </c>
      <c r="M542" s="15">
        <v>0.333333333333333</v>
      </c>
      <c r="N542" t="s">
        <v>1233</v>
      </c>
      <c r="O542" s="20" t="str">
        <f t="shared" si="57"/>
        <v>正确</v>
      </c>
      <c r="P542" s="21">
        <v>0</v>
      </c>
      <c r="Q542" s="21">
        <v>8.07</v>
      </c>
      <c r="R542" s="21">
        <v>0</v>
      </c>
      <c r="S542" s="21">
        <f t="shared" si="58"/>
        <v>8.07</v>
      </c>
      <c r="T542" s="21">
        <f t="shared" si="59"/>
        <v>0.0700000000000003</v>
      </c>
      <c r="U542" s="21" t="str">
        <f t="shared" si="60"/>
        <v>是</v>
      </c>
      <c r="V542" s="21">
        <f>VLOOKUP($C542,[4]Sheet1!$B:$AN,39,FALSE)</f>
        <v>16.69</v>
      </c>
      <c r="W542" s="21">
        <v>0</v>
      </c>
      <c r="X542" s="23">
        <v>4</v>
      </c>
      <c r="Y542" s="23">
        <v>4</v>
      </c>
      <c r="Z542" s="25">
        <f t="shared" si="61"/>
        <v>0</v>
      </c>
      <c r="AA542" s="25" t="str">
        <f t="shared" si="62"/>
        <v>是</v>
      </c>
      <c r="AB542" t="s">
        <v>148</v>
      </c>
      <c r="AC542" t="e">
        <f>VLOOKUP(C542,[1]Sheet1!$C:$O,13,FALSE)</f>
        <v>#N/A</v>
      </c>
      <c r="AD542" t="str">
        <f>VLOOKUP($H542,'[3]0509人员排班情况 副本'!$G:$U,12,FALSE)</f>
        <v>王安琪 (Anqi Wang),张朱同 Thomson（Zhutong Zhang）</v>
      </c>
      <c r="AE542" t="str">
        <f>VLOOKUP($H542,'[3]0509人员排班情况 副本'!$G:$U,13,FALSE)</f>
        <v>陈锦昭</v>
      </c>
      <c r="AF542" t="str">
        <f>VLOOKUP($H542,'[3]0509人员排班情况 副本'!$G:$U,14,FALSE)</f>
        <v>欧和枫 Henry (HeFeng Ou)</v>
      </c>
      <c r="AG542">
        <f>VLOOKUP($H542,'[3]0509人员排班情况 副本'!$G:$U,15,FALSE)</f>
        <v>0</v>
      </c>
    </row>
    <row r="543" customHeight="1" spans="1:33">
      <c r="A543" t="s">
        <v>202</v>
      </c>
      <c r="B543" t="s">
        <v>1780</v>
      </c>
      <c r="C543" t="s">
        <v>1781</v>
      </c>
      <c r="D543" t="s">
        <v>68</v>
      </c>
      <c r="E543" t="s">
        <v>69</v>
      </c>
      <c r="F543" t="s">
        <v>148</v>
      </c>
      <c r="H543" t="str">
        <f t="shared" si="56"/>
        <v>NE 东北大区BDL01</v>
      </c>
      <c r="I543" t="s">
        <v>687</v>
      </c>
      <c r="J543" t="s">
        <v>221</v>
      </c>
      <c r="K543" s="15">
        <v>0.208333333333333</v>
      </c>
      <c r="L543" s="15" t="s">
        <v>222</v>
      </c>
      <c r="M543" s="15">
        <v>0.213194444444444</v>
      </c>
      <c r="N543" t="s">
        <v>1167</v>
      </c>
      <c r="O543" s="20" t="str">
        <f t="shared" si="57"/>
        <v>正确</v>
      </c>
      <c r="P543" s="21">
        <v>0</v>
      </c>
      <c r="Q543" s="21">
        <v>12.95</v>
      </c>
      <c r="R543" s="21">
        <v>0</v>
      </c>
      <c r="S543" s="21">
        <f t="shared" si="58"/>
        <v>12.95</v>
      </c>
      <c r="T543" s="21">
        <f t="shared" si="59"/>
        <v>4.95</v>
      </c>
      <c r="U543" s="21" t="str">
        <f t="shared" si="60"/>
        <v>是</v>
      </c>
      <c r="V543" s="21">
        <f>VLOOKUP($C543,[4]Sheet1!$B:$AN,39,FALSE)</f>
        <v>20.95</v>
      </c>
      <c r="W543" s="21">
        <v>0</v>
      </c>
      <c r="X543" s="23">
        <v>4</v>
      </c>
      <c r="Y543" s="23">
        <v>4</v>
      </c>
      <c r="Z543" s="25">
        <f t="shared" si="61"/>
        <v>0</v>
      </c>
      <c r="AA543" s="25" t="str">
        <f t="shared" si="62"/>
        <v>是</v>
      </c>
      <c r="AB543" t="s">
        <v>148</v>
      </c>
      <c r="AC543" t="e">
        <f>VLOOKUP(C543,[1]Sheet1!$C:$O,13,FALSE)</f>
        <v>#N/A</v>
      </c>
      <c r="AD543" t="str">
        <f>VLOOKUP($H543,'[3]0509人员排班情况 副本'!$G:$U,12,FALSE)</f>
        <v>孙可君Monica（Kejun Sun）</v>
      </c>
      <c r="AE543" t="str">
        <f>VLOOKUP($H543,'[3]0509人员排班情况 副本'!$G:$U,13,FALSE)</f>
        <v>马聪Cong (Cong Ma)</v>
      </c>
      <c r="AF543">
        <f>VLOOKUP($H543,'[3]0509人员排班情况 副本'!$G:$U,14,FALSE)</f>
        <v>0</v>
      </c>
      <c r="AG543">
        <f>VLOOKUP($H543,'[3]0509人员排班情况 副本'!$G:$U,15,FALSE)</f>
        <v>0</v>
      </c>
    </row>
    <row r="544" customHeight="1" spans="1:33">
      <c r="A544" t="s">
        <v>202</v>
      </c>
      <c r="B544" t="s">
        <v>1782</v>
      </c>
      <c r="C544" t="s">
        <v>1783</v>
      </c>
      <c r="D544" t="s">
        <v>31</v>
      </c>
      <c r="E544" t="s">
        <v>45</v>
      </c>
      <c r="F544" t="s">
        <v>744</v>
      </c>
      <c r="H544" t="str">
        <f t="shared" si="56"/>
        <v>GL 大湖大区揽收部揽收调度组</v>
      </c>
      <c r="I544" t="s">
        <v>608</v>
      </c>
      <c r="J544" t="s">
        <v>249</v>
      </c>
      <c r="K544" s="15">
        <v>0.458333333333333</v>
      </c>
      <c r="L544" s="15" t="s">
        <v>250</v>
      </c>
      <c r="M544" s="15">
        <v>0.452083333333333</v>
      </c>
      <c r="N544" t="s">
        <v>1037</v>
      </c>
      <c r="O544" s="20" t="str">
        <f t="shared" si="57"/>
        <v>正确</v>
      </c>
      <c r="P544" s="21">
        <v>0</v>
      </c>
      <c r="Q544" s="21">
        <v>9.9</v>
      </c>
      <c r="R544" s="21">
        <v>0</v>
      </c>
      <c r="S544" s="21">
        <f t="shared" si="58"/>
        <v>9.9</v>
      </c>
      <c r="T544" s="21">
        <f t="shared" si="59"/>
        <v>1.9</v>
      </c>
      <c r="U544" s="21" t="str">
        <f t="shared" si="60"/>
        <v>是</v>
      </c>
      <c r="V544" s="21">
        <f>VLOOKUP($C544,[4]Sheet1!$B:$AN,39,FALSE)</f>
        <v>17.92</v>
      </c>
      <c r="W544" s="21">
        <v>0</v>
      </c>
      <c r="X544" s="23">
        <v>4</v>
      </c>
      <c r="Y544" s="23">
        <v>4</v>
      </c>
      <c r="Z544" s="25">
        <f t="shared" si="61"/>
        <v>0</v>
      </c>
      <c r="AA544" s="25" t="str">
        <f t="shared" si="62"/>
        <v>是</v>
      </c>
      <c r="AB544" t="s">
        <v>148</v>
      </c>
      <c r="AC544" t="e">
        <f>VLOOKUP(C544,[1]Sheet1!$C:$O,13,FALSE)</f>
        <v>#N/A</v>
      </c>
      <c r="AD544" t="str">
        <f>VLOOKUP($H544,'[3]0509人员排班情况 副本'!$G:$U,12,FALSE)</f>
        <v>王晓丹 Jasmine（Xiaodan Wang）,周延舒Isabel（Yanshu Zhou）</v>
      </c>
      <c r="AE544" t="str">
        <f>VLOOKUP($H544,'[3]0509人员排班情况 副本'!$G:$U,13,FALSE)</f>
        <v>张骥Ji Zhang (Ji Zhang)</v>
      </c>
      <c r="AF544">
        <f>VLOOKUP($H544,'[3]0509人员排班情况 副本'!$G:$U,14,FALSE)</f>
        <v>0</v>
      </c>
      <c r="AG544">
        <f>VLOOKUP($H544,'[3]0509人员排班情况 副本'!$G:$U,15,FALSE)</f>
        <v>0</v>
      </c>
    </row>
    <row r="545" customHeight="1" spans="1:33">
      <c r="A545" t="s">
        <v>202</v>
      </c>
      <c r="B545" t="s">
        <v>1784</v>
      </c>
      <c r="C545" t="s">
        <v>1785</v>
      </c>
      <c r="D545" t="s">
        <v>100</v>
      </c>
      <c r="E545" t="s">
        <v>106</v>
      </c>
      <c r="F545" t="s">
        <v>1579</v>
      </c>
      <c r="H545" t="str">
        <f t="shared" si="56"/>
        <v>WE 美西大区SC 南加片区SAN01</v>
      </c>
      <c r="I545" t="s">
        <v>177</v>
      </c>
      <c r="J545" t="s">
        <v>221</v>
      </c>
      <c r="K545" s="15">
        <v>0.208333333333333</v>
      </c>
      <c r="L545" s="15" t="s">
        <v>222</v>
      </c>
      <c r="M545" s="15"/>
      <c r="N545" t="s">
        <v>148</v>
      </c>
      <c r="O545" s="20" t="str">
        <f t="shared" si="57"/>
        <v>不正确</v>
      </c>
      <c r="P545" s="21">
        <v>0</v>
      </c>
      <c r="Q545" s="21">
        <v>0</v>
      </c>
      <c r="R545" s="21">
        <v>0</v>
      </c>
      <c r="S545" s="21">
        <f t="shared" si="58"/>
        <v>0</v>
      </c>
      <c r="T545" s="21">
        <f t="shared" si="59"/>
        <v>0</v>
      </c>
      <c r="U545" s="21" t="str">
        <f t="shared" si="60"/>
        <v>否</v>
      </c>
      <c r="V545" s="21">
        <f>VLOOKUP($C545,[4]Sheet1!$B:$AN,39,FALSE)</f>
        <v>8.33</v>
      </c>
      <c r="W545" s="21">
        <v>0</v>
      </c>
      <c r="X545" s="23">
        <v>0</v>
      </c>
      <c r="Y545" s="23">
        <v>4</v>
      </c>
      <c r="Z545" s="25">
        <f t="shared" si="61"/>
        <v>4</v>
      </c>
      <c r="AA545" s="25" t="str">
        <f t="shared" si="62"/>
        <v>是</v>
      </c>
      <c r="AB545" t="s">
        <v>148</v>
      </c>
      <c r="AC545" t="e">
        <f>VLOOKUP(C545,[1]Sheet1!$C:$O,13,FALSE)</f>
        <v>#N/A</v>
      </c>
      <c r="AD545" t="str">
        <f>VLOOKUP($H545,'[3]0509人员排班情况 副本'!$G:$U,12,FALSE)</f>
        <v>王骞Ariel（Qian Wang）,叶秀芳Freya (Xiufang Ye)</v>
      </c>
      <c r="AE545" t="str">
        <f>VLOOKUP($H545,'[3]0509人员排班情况 副本'!$G:$U,13,FALSE)</f>
        <v>常哲</v>
      </c>
      <c r="AF545" t="str">
        <f>VLOOKUP($H545,'[3]0509人员排班情况 副本'!$G:$U,14,FALSE)</f>
        <v>尤梦楠Yuko（Mengnan You）</v>
      </c>
      <c r="AG545">
        <f>VLOOKUP($H545,'[3]0509人员排班情况 副本'!$G:$U,15,FALSE)</f>
        <v>0</v>
      </c>
    </row>
    <row r="546" customHeight="1" spans="1:33">
      <c r="A546" t="s">
        <v>202</v>
      </c>
      <c r="B546" t="s">
        <v>1786</v>
      </c>
      <c r="C546" t="s">
        <v>1787</v>
      </c>
      <c r="D546" t="s">
        <v>99</v>
      </c>
      <c r="E546" t="s">
        <v>677</v>
      </c>
      <c r="F546" t="s">
        <v>894</v>
      </c>
      <c r="H546" t="str">
        <f t="shared" si="56"/>
        <v>US人力资源部美洲HRBP组美西区HR组</v>
      </c>
      <c r="I546" t="s">
        <v>988</v>
      </c>
      <c r="J546" t="s">
        <v>236</v>
      </c>
      <c r="K546" s="15">
        <v>0.395833333333333</v>
      </c>
      <c r="L546" s="15" t="s">
        <v>218</v>
      </c>
      <c r="M546" s="15"/>
      <c r="N546" t="s">
        <v>1077</v>
      </c>
      <c r="O546" s="20" t="str">
        <f t="shared" si="57"/>
        <v>不正确</v>
      </c>
      <c r="P546" s="21">
        <v>0</v>
      </c>
      <c r="Q546" s="21">
        <v>0</v>
      </c>
      <c r="R546" s="21">
        <v>0</v>
      </c>
      <c r="S546" s="21">
        <f t="shared" si="58"/>
        <v>0</v>
      </c>
      <c r="T546" s="21">
        <f t="shared" si="59"/>
        <v>0</v>
      </c>
      <c r="U546" s="21" t="str">
        <f t="shared" si="60"/>
        <v>否</v>
      </c>
      <c r="V546" s="21">
        <f>VLOOKUP($C546,[4]Sheet1!$B:$AN,39,FALSE)</f>
        <v>0</v>
      </c>
      <c r="W546" s="21">
        <v>0</v>
      </c>
      <c r="X546" s="23">
        <v>1</v>
      </c>
      <c r="Y546" s="23">
        <v>0</v>
      </c>
      <c r="Z546" s="25">
        <f t="shared" si="61"/>
        <v>0</v>
      </c>
      <c r="AA546" s="25" t="str">
        <f t="shared" si="62"/>
        <v>是</v>
      </c>
      <c r="AB546" t="s">
        <v>339</v>
      </c>
      <c r="AC546" t="e">
        <f>VLOOKUP(C546,[1]Sheet1!$C:$O,13,FALSE)</f>
        <v>#N/A</v>
      </c>
      <c r="AD546" t="str">
        <f>VLOOKUP($H546,'[3]0509人员排班情况 副本'!$G:$U,12,FALSE)</f>
        <v>袁博闻(Bowen Yuan)</v>
      </c>
      <c r="AE546">
        <f>VLOOKUP($H546,'[3]0509人员排班情况 副本'!$G:$U,13,FALSE)</f>
        <v>0</v>
      </c>
      <c r="AF546">
        <f>VLOOKUP($H546,'[3]0509人员排班情况 副本'!$G:$U,14,FALSE)</f>
        <v>0</v>
      </c>
      <c r="AG546">
        <f>VLOOKUP($H546,'[3]0509人员排班情况 副本'!$G:$U,15,FALSE)</f>
        <v>0</v>
      </c>
    </row>
    <row r="547" customHeight="1" spans="1:33">
      <c r="A547" t="s">
        <v>202</v>
      </c>
      <c r="B547" t="s">
        <v>1788</v>
      </c>
      <c r="C547" t="s">
        <v>1789</v>
      </c>
      <c r="D547" t="s">
        <v>99</v>
      </c>
      <c r="E547" t="s">
        <v>677</v>
      </c>
      <c r="F547" t="s">
        <v>1083</v>
      </c>
      <c r="H547" t="str">
        <f t="shared" si="56"/>
        <v>US人力资源部美洲HRBP组东北区HR组</v>
      </c>
      <c r="I547" t="s">
        <v>988</v>
      </c>
      <c r="J547" t="s">
        <v>236</v>
      </c>
      <c r="K547" s="15">
        <v>0.395833333333333</v>
      </c>
      <c r="L547" s="15" t="s">
        <v>218</v>
      </c>
      <c r="M547" s="15">
        <v>0.514583333333333</v>
      </c>
      <c r="N547" t="s">
        <v>148</v>
      </c>
      <c r="O547" s="20" t="str">
        <f t="shared" si="57"/>
        <v>不正确</v>
      </c>
      <c r="P547" s="21">
        <v>0</v>
      </c>
      <c r="Q547" s="21">
        <v>0</v>
      </c>
      <c r="R547" s="21">
        <v>0</v>
      </c>
      <c r="S547" s="21">
        <f t="shared" si="58"/>
        <v>0</v>
      </c>
      <c r="T547" s="21">
        <f t="shared" si="59"/>
        <v>0</v>
      </c>
      <c r="U547" s="21" t="str">
        <f t="shared" si="60"/>
        <v>否</v>
      </c>
      <c r="V547" s="21">
        <f>VLOOKUP($C547,[4]Sheet1!$B:$AN,39,FALSE)</f>
        <v>0</v>
      </c>
      <c r="W547" s="21">
        <v>0</v>
      </c>
      <c r="X547" s="23">
        <v>1</v>
      </c>
      <c r="Y547" s="23">
        <v>4</v>
      </c>
      <c r="Z547" s="25">
        <f t="shared" si="61"/>
        <v>3</v>
      </c>
      <c r="AA547" s="25" t="str">
        <f t="shared" si="62"/>
        <v>是</v>
      </c>
      <c r="AB547" t="s">
        <v>148</v>
      </c>
      <c r="AC547" t="e">
        <f>VLOOKUP(C547,[1]Sheet1!$C:$O,13,FALSE)</f>
        <v>#N/A</v>
      </c>
      <c r="AD547" t="str">
        <f>VLOOKUP($H547,'[3]0509人员排班情况 副本'!$G:$U,12,FALSE)</f>
        <v>袁博闻(Bowen Yuan)</v>
      </c>
      <c r="AE547">
        <f>VLOOKUP($H547,'[3]0509人员排班情况 副本'!$G:$U,13,FALSE)</f>
        <v>0</v>
      </c>
      <c r="AF547">
        <f>VLOOKUP($H547,'[3]0509人员排班情况 副本'!$G:$U,14,FALSE)</f>
        <v>0</v>
      </c>
      <c r="AG547">
        <f>VLOOKUP($H547,'[3]0509人员排班情况 副本'!$G:$U,15,FALSE)</f>
        <v>0</v>
      </c>
    </row>
    <row r="548" customHeight="1" spans="1:33">
      <c r="A548" t="s">
        <v>202</v>
      </c>
      <c r="B548" t="s">
        <v>1790</v>
      </c>
      <c r="C548" t="s">
        <v>1791</v>
      </c>
      <c r="D548" t="s">
        <v>68</v>
      </c>
      <c r="E548" t="s">
        <v>45</v>
      </c>
      <c r="F548" t="s">
        <v>927</v>
      </c>
      <c r="H548" t="str">
        <f t="shared" si="56"/>
        <v>NE 东北大区揽收部揽收支持组</v>
      </c>
      <c r="I548" t="s">
        <v>928</v>
      </c>
      <c r="J548" t="s">
        <v>295</v>
      </c>
      <c r="K548" s="15">
        <v>0.375</v>
      </c>
      <c r="L548" s="15" t="s">
        <v>296</v>
      </c>
      <c r="M548" s="15">
        <v>0.402777777777778</v>
      </c>
      <c r="N548" t="s">
        <v>1792</v>
      </c>
      <c r="O548" s="20" t="str">
        <f t="shared" si="57"/>
        <v>正确</v>
      </c>
      <c r="P548" s="21">
        <v>0</v>
      </c>
      <c r="Q548" s="21">
        <v>11.7</v>
      </c>
      <c r="R548" s="21">
        <v>0</v>
      </c>
      <c r="S548" s="21">
        <f t="shared" si="58"/>
        <v>11.7</v>
      </c>
      <c r="T548" s="21">
        <f t="shared" si="59"/>
        <v>3.7</v>
      </c>
      <c r="U548" s="21" t="str">
        <f t="shared" si="60"/>
        <v>是</v>
      </c>
      <c r="V548" s="21">
        <f>VLOOKUP($C548,[4]Sheet1!$B:$AN,39,FALSE)</f>
        <v>21.87</v>
      </c>
      <c r="W548" s="21">
        <v>0</v>
      </c>
      <c r="X548" s="23">
        <v>2</v>
      </c>
      <c r="Y548" s="23">
        <v>4</v>
      </c>
      <c r="Z548" s="25">
        <f t="shared" si="61"/>
        <v>2</v>
      </c>
      <c r="AA548" s="25" t="str">
        <f t="shared" si="62"/>
        <v>是</v>
      </c>
      <c r="AB548" t="s">
        <v>148</v>
      </c>
      <c r="AC548" t="e">
        <f>VLOOKUP(C548,[1]Sheet1!$C:$O,13,FALSE)</f>
        <v>#N/A</v>
      </c>
      <c r="AD548" t="str">
        <f>VLOOKUP($H548,'[3]0509人员排班情况 副本'!$G:$U,12,FALSE)</f>
        <v>孙可君Monica（Kejun Sun）</v>
      </c>
      <c r="AE548" t="str">
        <f>VLOOKUP($H548,'[3]0509人员排班情况 副本'!$G:$U,13,FALSE)</f>
        <v>马聪Cong (Cong Ma)</v>
      </c>
      <c r="AF548" t="str">
        <f>VLOOKUP($H548,'[3]0509人员排班情况 副本'!$G:$U,14,FALSE)</f>
        <v>王姝涵Function（Shuhan Wang)</v>
      </c>
      <c r="AG548">
        <f>VLOOKUP($H548,'[3]0509人员排班情况 副本'!$G:$U,15,FALSE)</f>
        <v>0</v>
      </c>
    </row>
    <row r="549" customHeight="1" spans="1:33">
      <c r="A549" t="s">
        <v>202</v>
      </c>
      <c r="B549" t="s">
        <v>1793</v>
      </c>
      <c r="C549" t="s">
        <v>1794</v>
      </c>
      <c r="D549" t="s">
        <v>68</v>
      </c>
      <c r="E549" t="s">
        <v>82</v>
      </c>
      <c r="F549" t="s">
        <v>1646</v>
      </c>
      <c r="H549" t="str">
        <f t="shared" si="56"/>
        <v>NE 东北大区PA 宾州片区MDT01</v>
      </c>
      <c r="I549" t="s">
        <v>177</v>
      </c>
      <c r="J549" t="s">
        <v>217</v>
      </c>
      <c r="K549" s="15">
        <v>0.395833333333333</v>
      </c>
      <c r="L549" s="15" t="s">
        <v>218</v>
      </c>
      <c r="M549" s="15"/>
      <c r="N549" t="s">
        <v>148</v>
      </c>
      <c r="O549" s="20" t="s">
        <v>116</v>
      </c>
      <c r="P549" s="21">
        <v>0</v>
      </c>
      <c r="Q549" s="21">
        <v>0</v>
      </c>
      <c r="R549" s="21">
        <v>0</v>
      </c>
      <c r="S549" s="21">
        <f t="shared" si="58"/>
        <v>0</v>
      </c>
      <c r="T549" s="21">
        <f t="shared" si="59"/>
        <v>0</v>
      </c>
      <c r="U549" s="21" t="str">
        <f t="shared" si="60"/>
        <v>否</v>
      </c>
      <c r="V549" s="21">
        <f>VLOOKUP($C549,[4]Sheet1!$B:$AN,39,FALSE)</f>
        <v>0</v>
      </c>
      <c r="W549" s="21">
        <v>0</v>
      </c>
      <c r="X549" s="23">
        <v>0</v>
      </c>
      <c r="Y549" s="23">
        <v>0</v>
      </c>
      <c r="Z549" s="25">
        <f t="shared" si="61"/>
        <v>0</v>
      </c>
      <c r="AA549" s="25" t="str">
        <f t="shared" si="62"/>
        <v>是</v>
      </c>
      <c r="AB549" t="s">
        <v>1795</v>
      </c>
      <c r="AC549" t="e">
        <f>VLOOKUP(C549,[1]Sheet1!$C:$O,13,FALSE)</f>
        <v>#N/A</v>
      </c>
      <c r="AD549" t="str">
        <f>VLOOKUP($H549,'[3]0509人员排班情况 副本'!$G:$U,12,FALSE)</f>
        <v>孙可君Monica（Kejun Sun）</v>
      </c>
      <c r="AE549" t="str">
        <f>VLOOKUP($H549,'[3]0509人员排班情况 副本'!$G:$U,13,FALSE)</f>
        <v>马聪Cong (Cong Ma)</v>
      </c>
      <c r="AF549" t="str">
        <f>VLOOKUP($H549,'[3]0509人员排班情况 副本'!$G:$U,14,FALSE)</f>
        <v>朱晗宇 Peter (Hanyu Zhu)</v>
      </c>
      <c r="AG549">
        <f>VLOOKUP($H549,'[3]0509人员排班情况 副本'!$G:$U,15,FALSE)</f>
        <v>0</v>
      </c>
    </row>
    <row r="550" customHeight="1" spans="1:33">
      <c r="A550" t="s">
        <v>202</v>
      </c>
      <c r="B550" t="s">
        <v>1796</v>
      </c>
      <c r="C550" t="s">
        <v>1797</v>
      </c>
      <c r="D550" t="s">
        <v>91</v>
      </c>
      <c r="E550" t="s">
        <v>991</v>
      </c>
      <c r="F550" t="s">
        <v>148</v>
      </c>
      <c r="H550" t="str">
        <f t="shared" si="56"/>
        <v>SM 站点管理部站点实施组</v>
      </c>
      <c r="I550" t="s">
        <v>1071</v>
      </c>
      <c r="J550" t="s">
        <v>236</v>
      </c>
      <c r="K550" s="15">
        <v>0.395833333333333</v>
      </c>
      <c r="L550" s="15" t="s">
        <v>218</v>
      </c>
      <c r="M550" s="15">
        <v>0.254166666666667</v>
      </c>
      <c r="N550" t="s">
        <v>1798</v>
      </c>
      <c r="O550" s="20" t="str">
        <f t="shared" si="57"/>
        <v>不正确</v>
      </c>
      <c r="P550" s="21">
        <v>0</v>
      </c>
      <c r="Q550" s="21">
        <v>9.07</v>
      </c>
      <c r="R550" s="21">
        <v>0</v>
      </c>
      <c r="S550" s="21">
        <f t="shared" si="58"/>
        <v>9.07</v>
      </c>
      <c r="T550" s="21">
        <f t="shared" si="59"/>
        <v>1.07</v>
      </c>
      <c r="U550" s="21" t="str">
        <f t="shared" si="60"/>
        <v>是</v>
      </c>
      <c r="V550" s="21">
        <f>VLOOKUP($C550,[4]Sheet1!$B:$AN,39,FALSE)</f>
        <v>18.14</v>
      </c>
      <c r="W550" s="21">
        <v>0</v>
      </c>
      <c r="X550" s="23">
        <v>2</v>
      </c>
      <c r="Y550" s="23">
        <v>0</v>
      </c>
      <c r="Z550" s="25">
        <f t="shared" si="61"/>
        <v>0</v>
      </c>
      <c r="AA550" s="25" t="str">
        <f t="shared" si="62"/>
        <v>是</v>
      </c>
      <c r="AB550" t="s">
        <v>1799</v>
      </c>
      <c r="AC550" t="e">
        <f>VLOOKUP(C550,[1]Sheet1!$C:$O,13,FALSE)</f>
        <v>#N/A</v>
      </c>
      <c r="AD550" t="str">
        <f>VLOOKUP($H550,'[3]0509人员排班情况 副本'!$G:$U,12,FALSE)</f>
        <v>袁博闻(Bowen Yuan)</v>
      </c>
      <c r="AE550">
        <f>VLOOKUP($H550,'[3]0509人员排班情况 副本'!$G:$U,13,FALSE)</f>
        <v>0</v>
      </c>
      <c r="AF550">
        <f>VLOOKUP($H550,'[3]0509人员排班情况 副本'!$G:$U,14,FALSE)</f>
        <v>0</v>
      </c>
      <c r="AG550">
        <f>VLOOKUP($H550,'[3]0509人员排班情况 副本'!$G:$U,15,FALSE)</f>
        <v>0</v>
      </c>
    </row>
    <row r="551" customHeight="1" spans="1:33">
      <c r="A551" t="s">
        <v>202</v>
      </c>
      <c r="B551" t="s">
        <v>1800</v>
      </c>
      <c r="C551" t="s">
        <v>1801</v>
      </c>
      <c r="D551" t="s">
        <v>48</v>
      </c>
      <c r="E551" t="s">
        <v>53</v>
      </c>
      <c r="F551" t="s">
        <v>1099</v>
      </c>
      <c r="H551" t="str">
        <f t="shared" si="56"/>
        <v>Ground项目部派送管理部运力开发组</v>
      </c>
      <c r="I551" t="s">
        <v>1215</v>
      </c>
      <c r="J551" t="s">
        <v>236</v>
      </c>
      <c r="K551" s="15">
        <v>0.395833333333333</v>
      </c>
      <c r="L551" s="15" t="s">
        <v>218</v>
      </c>
      <c r="M551" s="15"/>
      <c r="N551" t="s">
        <v>148</v>
      </c>
      <c r="O551" s="20" t="str">
        <f t="shared" si="57"/>
        <v>不正确</v>
      </c>
      <c r="P551" s="21">
        <v>0</v>
      </c>
      <c r="Q551" s="21">
        <v>0</v>
      </c>
      <c r="R551" s="21">
        <v>0</v>
      </c>
      <c r="S551" s="21">
        <f t="shared" si="58"/>
        <v>0</v>
      </c>
      <c r="T551" s="21">
        <f t="shared" si="59"/>
        <v>0</v>
      </c>
      <c r="U551" s="21" t="str">
        <f t="shared" si="60"/>
        <v>否</v>
      </c>
      <c r="V551" s="21">
        <f>VLOOKUP($C551,[4]Sheet1!$B:$AN,39,FALSE)</f>
        <v>0</v>
      </c>
      <c r="W551" s="21">
        <v>0</v>
      </c>
      <c r="X551" s="23">
        <v>0</v>
      </c>
      <c r="Y551" s="23">
        <v>0</v>
      </c>
      <c r="Z551" s="25">
        <f t="shared" si="61"/>
        <v>0</v>
      </c>
      <c r="AA551" s="25" t="str">
        <f t="shared" si="62"/>
        <v>是</v>
      </c>
      <c r="AB551" t="s">
        <v>1802</v>
      </c>
      <c r="AC551" t="e">
        <f>VLOOKUP(C551,[1]Sheet1!$C:$O,13,FALSE)</f>
        <v>#N/A</v>
      </c>
      <c r="AD551" t="str">
        <f>VLOOKUP($H551,'[3]0509人员排班情况 副本'!$G:$U,12,FALSE)</f>
        <v>王安琪 (Anqi Wang),张朱同 Thomson（Zhutong Zhang）</v>
      </c>
      <c r="AE551" t="str">
        <f>VLOOKUP($H551,'[3]0509人员排班情况 副本'!$G:$U,13,FALSE)</f>
        <v>陈锦昭</v>
      </c>
      <c r="AF551">
        <f>VLOOKUP($H551,'[3]0509人员排班情况 副本'!$G:$U,14,FALSE)</f>
        <v>0</v>
      </c>
      <c r="AG551">
        <f>VLOOKUP($H551,'[3]0509人员排班情况 副本'!$G:$U,15,FALSE)</f>
        <v>0</v>
      </c>
    </row>
    <row r="552" customHeight="1" spans="1:33">
      <c r="A552" t="s">
        <v>202</v>
      </c>
      <c r="B552" t="s">
        <v>1803</v>
      </c>
      <c r="C552" t="s">
        <v>1804</v>
      </c>
      <c r="D552" t="s">
        <v>12</v>
      </c>
      <c r="E552" t="s">
        <v>1805</v>
      </c>
      <c r="F552" t="s">
        <v>148</v>
      </c>
      <c r="H552" t="str">
        <f t="shared" si="56"/>
        <v>CM 运力管理部调度运营组</v>
      </c>
      <c r="I552" t="s">
        <v>1806</v>
      </c>
      <c r="J552" t="s">
        <v>236</v>
      </c>
      <c r="K552" s="15">
        <v>0.395833333333333</v>
      </c>
      <c r="L552" s="15" t="s">
        <v>218</v>
      </c>
      <c r="M552" s="15">
        <v>0.373611111111111</v>
      </c>
      <c r="N552" t="s">
        <v>1167</v>
      </c>
      <c r="O552" s="20" t="str">
        <f t="shared" si="57"/>
        <v>正确</v>
      </c>
      <c r="P552" s="21">
        <v>0</v>
      </c>
      <c r="Q552" s="21">
        <v>9.1</v>
      </c>
      <c r="R552" s="21">
        <v>0</v>
      </c>
      <c r="S552" s="21">
        <f t="shared" si="58"/>
        <v>9.1</v>
      </c>
      <c r="T552" s="21">
        <f t="shared" si="59"/>
        <v>1.1</v>
      </c>
      <c r="U552" s="21" t="str">
        <f t="shared" si="60"/>
        <v>是</v>
      </c>
      <c r="V552" s="21">
        <f>VLOOKUP($C552,[4]Sheet1!$B:$AN,39,FALSE)</f>
        <v>17.73</v>
      </c>
      <c r="W552" s="21">
        <v>0</v>
      </c>
      <c r="X552" s="23">
        <v>2</v>
      </c>
      <c r="Y552" s="23">
        <v>4</v>
      </c>
      <c r="Z552" s="25">
        <f t="shared" si="61"/>
        <v>2</v>
      </c>
      <c r="AA552" s="25" t="str">
        <f t="shared" si="62"/>
        <v>是</v>
      </c>
      <c r="AB552" t="s">
        <v>148</v>
      </c>
      <c r="AC552" t="e">
        <f>VLOOKUP(C552,[1]Sheet1!$C:$O,13,FALSE)</f>
        <v>#N/A</v>
      </c>
      <c r="AD552" t="str">
        <f>VLOOKUP($H552,'[3]0509人员排班情况 副本'!$G:$U,12,FALSE)</f>
        <v>袁博闻(Bowen Yuan)</v>
      </c>
      <c r="AE552">
        <f>VLOOKUP($H552,'[3]0509人员排班情况 副本'!$G:$U,13,FALSE)</f>
        <v>0</v>
      </c>
      <c r="AF552">
        <f>VLOOKUP($H552,'[3]0509人员排班情况 副本'!$G:$U,14,FALSE)</f>
        <v>0</v>
      </c>
      <c r="AG552">
        <f>VLOOKUP($H552,'[3]0509人员排班情况 副本'!$G:$U,15,FALSE)</f>
        <v>0</v>
      </c>
    </row>
    <row r="553" customHeight="1" spans="1:33">
      <c r="A553" t="s">
        <v>202</v>
      </c>
      <c r="B553" t="s">
        <v>1807</v>
      </c>
      <c r="C553" t="s">
        <v>1808</v>
      </c>
      <c r="D553" t="s">
        <v>100</v>
      </c>
      <c r="E553" t="s">
        <v>105</v>
      </c>
      <c r="F553" t="s">
        <v>760</v>
      </c>
      <c r="H553" t="str">
        <f t="shared" si="56"/>
        <v>WE 美西大区NC 北加片区SFO01</v>
      </c>
      <c r="I553" t="s">
        <v>177</v>
      </c>
      <c r="J553" t="s">
        <v>211</v>
      </c>
      <c r="K553" s="15">
        <v>0.333333333333333</v>
      </c>
      <c r="L553" s="15" t="s">
        <v>212</v>
      </c>
      <c r="M553" s="15"/>
      <c r="N553" t="s">
        <v>148</v>
      </c>
      <c r="O553" s="20" t="str">
        <f t="shared" si="57"/>
        <v>不正确</v>
      </c>
      <c r="P553" s="21">
        <v>0</v>
      </c>
      <c r="Q553" s="21">
        <v>0</v>
      </c>
      <c r="R553" s="21">
        <v>0</v>
      </c>
      <c r="S553" s="21">
        <f t="shared" si="58"/>
        <v>0</v>
      </c>
      <c r="T553" s="21">
        <f t="shared" si="59"/>
        <v>0</v>
      </c>
      <c r="U553" s="21" t="str">
        <f t="shared" si="60"/>
        <v>否</v>
      </c>
      <c r="V553" s="21">
        <f>VLOOKUP($C553,[4]Sheet1!$B:$AN,39,FALSE)</f>
        <v>0</v>
      </c>
      <c r="W553" s="21">
        <v>0</v>
      </c>
      <c r="X553" s="23">
        <v>0</v>
      </c>
      <c r="Y553" s="23">
        <v>4</v>
      </c>
      <c r="Z553" s="25">
        <f t="shared" si="61"/>
        <v>4</v>
      </c>
      <c r="AA553" s="25" t="str">
        <f t="shared" si="62"/>
        <v>是</v>
      </c>
      <c r="AB553" t="s">
        <v>148</v>
      </c>
      <c r="AC553" t="e">
        <f>VLOOKUP(C553,[1]Sheet1!$C:$O,13,FALSE)</f>
        <v>#N/A</v>
      </c>
      <c r="AD553" t="str">
        <f>VLOOKUP($H553,'[3]0509人员排班情况 副本'!$G:$U,12,FALSE)</f>
        <v>王骞Ariel（Qian Wang）,叶秀芳Freya (Xiufang Ye)</v>
      </c>
      <c r="AE553" t="str">
        <f>VLOOKUP($H553,'[3]0509人员排班情况 副本'!$G:$U,13,FALSE)</f>
        <v>常哲</v>
      </c>
      <c r="AF553" t="str">
        <f>VLOOKUP($H553,'[3]0509人员排班情况 副本'!$G:$U,14,FALSE)</f>
        <v>林美浚（Meijun Lin）</v>
      </c>
      <c r="AG553">
        <f>VLOOKUP($H553,'[3]0509人员排班情况 副本'!$G:$U,15,FALSE)</f>
        <v>0</v>
      </c>
    </row>
    <row r="554" customHeight="1" spans="1:33">
      <c r="A554" t="s">
        <v>202</v>
      </c>
      <c r="B554" t="s">
        <v>1809</v>
      </c>
      <c r="C554" t="s">
        <v>1810</v>
      </c>
      <c r="D554" t="s">
        <v>48</v>
      </c>
      <c r="E554" t="s">
        <v>51</v>
      </c>
      <c r="F554" t="s">
        <v>1811</v>
      </c>
      <c r="H554" t="str">
        <f t="shared" si="56"/>
        <v>Ground项目部OG 美西区SE981</v>
      </c>
      <c r="I554" t="s">
        <v>687</v>
      </c>
      <c r="J554" t="s">
        <v>217</v>
      </c>
      <c r="K554" s="15">
        <v>0.395833333333333</v>
      </c>
      <c r="L554" s="15" t="s">
        <v>218</v>
      </c>
      <c r="M554" s="15">
        <v>0.346527777777778</v>
      </c>
      <c r="N554" t="s">
        <v>1812</v>
      </c>
      <c r="O554" s="20" t="str">
        <f t="shared" si="57"/>
        <v>不正确</v>
      </c>
      <c r="P554" s="21">
        <v>0</v>
      </c>
      <c r="Q554" s="21">
        <v>6.37</v>
      </c>
      <c r="R554" s="21">
        <v>0</v>
      </c>
      <c r="S554" s="21">
        <f t="shared" si="58"/>
        <v>6.37</v>
      </c>
      <c r="T554" s="21">
        <f t="shared" si="59"/>
        <v>0</v>
      </c>
      <c r="U554" s="21" t="str">
        <f t="shared" si="60"/>
        <v>否</v>
      </c>
      <c r="V554" s="21">
        <f>VLOOKUP($C554,[4]Sheet1!$B:$AN,39,FALSE)</f>
        <v>14.27</v>
      </c>
      <c r="W554" s="21">
        <v>0</v>
      </c>
      <c r="X554" s="23">
        <v>4</v>
      </c>
      <c r="Y554" s="23">
        <v>0</v>
      </c>
      <c r="Z554" s="25">
        <f t="shared" si="61"/>
        <v>0</v>
      </c>
      <c r="AA554" s="25" t="str">
        <f t="shared" si="62"/>
        <v>是</v>
      </c>
      <c r="AB554" t="s">
        <v>148</v>
      </c>
      <c r="AC554" t="e">
        <f>VLOOKUP(C554,[1]Sheet1!$C:$O,13,FALSE)</f>
        <v>#N/A</v>
      </c>
      <c r="AD554" t="str">
        <f>VLOOKUP($H554,'[3]0509人员排班情况 副本'!$G:$U,12,FALSE)</f>
        <v>王安琪 (Anqi Wang),张朱同 Thomson（Zhutong Zhang）</v>
      </c>
      <c r="AE554" t="str">
        <f>VLOOKUP($H554,'[3]0509人员排班情况 副本'!$G:$U,13,FALSE)</f>
        <v>陈锦昭</v>
      </c>
      <c r="AF554" t="str">
        <f>VLOOKUP($H554,'[3]0509人员排班情况 副本'!$G:$U,14,FALSE)</f>
        <v>张潇予（Angelia）Xiaoyu Zhang</v>
      </c>
      <c r="AG554">
        <f>VLOOKUP($H554,'[3]0509人员排班情况 副本'!$G:$U,15,FALSE)</f>
        <v>0</v>
      </c>
    </row>
    <row r="555" customHeight="1" spans="1:33">
      <c r="A555" t="s">
        <v>202</v>
      </c>
      <c r="B555" t="s">
        <v>1813</v>
      </c>
      <c r="C555" t="s">
        <v>1814</v>
      </c>
      <c r="D555" t="s">
        <v>68</v>
      </c>
      <c r="E555" t="s">
        <v>81</v>
      </c>
      <c r="F555" t="s">
        <v>186</v>
      </c>
      <c r="H555" t="str">
        <f t="shared" si="56"/>
        <v>NE 东北大区NY 纽约片区LGA01</v>
      </c>
      <c r="I555" t="s">
        <v>177</v>
      </c>
      <c r="J555" t="s">
        <v>221</v>
      </c>
      <c r="K555" s="15">
        <v>0.208333333333333</v>
      </c>
      <c r="L555" s="15" t="s">
        <v>222</v>
      </c>
      <c r="M555" s="15">
        <v>0.208333333333333</v>
      </c>
      <c r="N555" t="s">
        <v>378</v>
      </c>
      <c r="O555" s="20" t="str">
        <f t="shared" si="57"/>
        <v>正确</v>
      </c>
      <c r="P555" s="21">
        <v>0</v>
      </c>
      <c r="Q555" s="21">
        <v>8.2</v>
      </c>
      <c r="R555" s="21">
        <v>0</v>
      </c>
      <c r="S555" s="21">
        <f t="shared" si="58"/>
        <v>8.2</v>
      </c>
      <c r="T555" s="21">
        <f t="shared" si="59"/>
        <v>0.199999999999999</v>
      </c>
      <c r="U555" s="21" t="str">
        <f t="shared" si="60"/>
        <v>是</v>
      </c>
      <c r="V555" s="21">
        <f>VLOOKUP($C555,[4]Sheet1!$B:$AN,39,FALSE)</f>
        <v>16.85</v>
      </c>
      <c r="W555" s="21">
        <v>24.64</v>
      </c>
      <c r="X555" s="23">
        <v>4</v>
      </c>
      <c r="Y555" s="23">
        <v>4</v>
      </c>
      <c r="Z555" s="25">
        <f t="shared" si="61"/>
        <v>0</v>
      </c>
      <c r="AA555" s="25" t="str">
        <f t="shared" si="62"/>
        <v>是</v>
      </c>
      <c r="AB555" t="s">
        <v>148</v>
      </c>
      <c r="AC555" t="e">
        <f>VLOOKUP(C555,[1]Sheet1!$C:$O,13,FALSE)</f>
        <v>#N/A</v>
      </c>
      <c r="AD555" t="str">
        <f>VLOOKUP($H555,'[3]0509人员排班情况 副本'!$G:$U,12,FALSE)</f>
        <v>孙可君Monica（Kejun Sun）</v>
      </c>
      <c r="AE555" t="str">
        <f>VLOOKUP($H555,'[3]0509人员排班情况 副本'!$G:$U,13,FALSE)</f>
        <v>马聪Cong (Cong Ma)</v>
      </c>
      <c r="AF555" t="str">
        <f>VLOOKUP($H555,'[3]0509人员排班情况 副本'!$G:$U,14,FALSE)</f>
        <v>朱晗宇 Peter (Hanyu Zhu)</v>
      </c>
      <c r="AG555">
        <f>VLOOKUP($H555,'[3]0509人员排班情况 副本'!$G:$U,15,FALSE)</f>
        <v>0</v>
      </c>
    </row>
    <row r="556" customHeight="1" spans="1:33">
      <c r="A556" t="s">
        <v>202</v>
      </c>
      <c r="B556" t="s">
        <v>1815</v>
      </c>
      <c r="C556" t="s">
        <v>1816</v>
      </c>
      <c r="D556" t="s">
        <v>68</v>
      </c>
      <c r="E556" t="s">
        <v>78</v>
      </c>
      <c r="F556" t="s">
        <v>243</v>
      </c>
      <c r="G556" t="s">
        <v>112</v>
      </c>
      <c r="H556" t="str">
        <f t="shared" si="56"/>
        <v>NE 东北大区JFK.H调度组</v>
      </c>
      <c r="I556" t="s">
        <v>244</v>
      </c>
      <c r="J556" t="s">
        <v>217</v>
      </c>
      <c r="K556" s="15">
        <v>0.395833333333333</v>
      </c>
      <c r="L556" s="15" t="s">
        <v>218</v>
      </c>
      <c r="M556" s="15"/>
      <c r="N556" t="s">
        <v>148</v>
      </c>
      <c r="O556" s="20" t="s">
        <v>116</v>
      </c>
      <c r="P556" s="21">
        <v>0</v>
      </c>
      <c r="Q556" s="21">
        <v>0</v>
      </c>
      <c r="R556" s="21">
        <v>0</v>
      </c>
      <c r="S556" s="21">
        <f t="shared" si="58"/>
        <v>0</v>
      </c>
      <c r="T556" s="21">
        <f t="shared" si="59"/>
        <v>0</v>
      </c>
      <c r="U556" s="21" t="str">
        <f t="shared" si="60"/>
        <v>否</v>
      </c>
      <c r="V556" s="21">
        <f>VLOOKUP($C556,[4]Sheet1!$B:$AN,39,FALSE)</f>
        <v>0</v>
      </c>
      <c r="W556" s="21">
        <v>0</v>
      </c>
      <c r="X556" s="23">
        <v>0</v>
      </c>
      <c r="Y556" s="23">
        <v>0</v>
      </c>
      <c r="Z556" s="25">
        <f t="shared" si="61"/>
        <v>0</v>
      </c>
      <c r="AA556" s="25" t="str">
        <f t="shared" si="62"/>
        <v>是</v>
      </c>
      <c r="AB556" t="s">
        <v>148</v>
      </c>
      <c r="AC556" t="e">
        <f>VLOOKUP(C556,[1]Sheet1!$C:$O,13,FALSE)</f>
        <v>#N/A</v>
      </c>
      <c r="AD556" t="str">
        <f>VLOOKUP($H556,'[3]0509人员排班情况 副本'!$G:$U,12,FALSE)</f>
        <v>孙可君Monica（Kejun Sun）</v>
      </c>
      <c r="AE556" t="str">
        <f>VLOOKUP($H556,'[3]0509人员排班情况 副本'!$G:$U,13,FALSE)</f>
        <v>马聪Cong (Cong Ma)</v>
      </c>
      <c r="AF556" t="str">
        <f>VLOOKUP($H556,'[3]0509人员排班情况 副本'!$G:$U,14,FALSE)</f>
        <v>Minqing (Minqing Xu),罗煜雄 Mike (Yuxiong Luo)</v>
      </c>
      <c r="AG556">
        <f>VLOOKUP($H556,'[3]0509人员排班情况 副本'!$G:$U,15,FALSE)</f>
        <v>0</v>
      </c>
    </row>
    <row r="557" customHeight="1" spans="1:33">
      <c r="A557" t="s">
        <v>202</v>
      </c>
      <c r="B557" t="s">
        <v>1817</v>
      </c>
      <c r="C557" t="s">
        <v>1818</v>
      </c>
      <c r="D557" t="s">
        <v>68</v>
      </c>
      <c r="E557" t="s">
        <v>76</v>
      </c>
      <c r="F557" t="s">
        <v>275</v>
      </c>
      <c r="G557" t="s">
        <v>112</v>
      </c>
      <c r="H557" t="str">
        <f t="shared" si="56"/>
        <v>NE 东北大区EWR.H分拣组</v>
      </c>
      <c r="I557" t="s">
        <v>303</v>
      </c>
      <c r="J557" t="s">
        <v>304</v>
      </c>
      <c r="K557" s="15">
        <v>0.666666666666667</v>
      </c>
      <c r="L557" s="15" t="s">
        <v>305</v>
      </c>
      <c r="M557" s="15">
        <v>0.609722222222222</v>
      </c>
      <c r="N557" t="s">
        <v>148</v>
      </c>
      <c r="O557" s="20" t="str">
        <f t="shared" si="57"/>
        <v>不正确</v>
      </c>
      <c r="P557" s="21">
        <v>0</v>
      </c>
      <c r="Q557" s="21">
        <v>0</v>
      </c>
      <c r="R557" s="21">
        <v>0</v>
      </c>
      <c r="S557" s="21">
        <f t="shared" si="58"/>
        <v>0</v>
      </c>
      <c r="T557" s="21">
        <f t="shared" si="59"/>
        <v>0</v>
      </c>
      <c r="U557" s="21" t="str">
        <f t="shared" si="60"/>
        <v>否</v>
      </c>
      <c r="V557" s="21">
        <f>VLOOKUP($C557,[4]Sheet1!$B:$AN,39,FALSE)</f>
        <v>0</v>
      </c>
      <c r="W557" s="21">
        <v>0</v>
      </c>
      <c r="X557" s="23">
        <v>1</v>
      </c>
      <c r="Y557" s="23">
        <v>4</v>
      </c>
      <c r="Z557" s="25">
        <f t="shared" si="61"/>
        <v>3</v>
      </c>
      <c r="AA557" s="25" t="str">
        <f t="shared" si="62"/>
        <v>是</v>
      </c>
      <c r="AB557" t="s">
        <v>148</v>
      </c>
      <c r="AC557" t="e">
        <f>VLOOKUP(C557,[1]Sheet1!$C:$O,13,FALSE)</f>
        <v>#N/A</v>
      </c>
      <c r="AD557" t="str">
        <f>VLOOKUP($H557,'[3]0509人员排班情况 副本'!$G:$U,12,FALSE)</f>
        <v>孙可君Monica（Kejun Sun）</v>
      </c>
      <c r="AE557" t="str">
        <f>VLOOKUP($H557,'[3]0509人员排班情况 副本'!$G:$U,13,FALSE)</f>
        <v>马聪Cong (Cong Ma)</v>
      </c>
      <c r="AF557" t="str">
        <f>VLOOKUP($H557,'[3]0509人员排班情况 副本'!$G:$U,14,FALSE)</f>
        <v>张双甫(Shuangfu Zhang)</v>
      </c>
      <c r="AG557">
        <f>VLOOKUP($H557,'[3]0509人员排班情况 副本'!$G:$U,15,FALSE)</f>
        <v>0</v>
      </c>
    </row>
    <row r="558" customHeight="1" spans="1:33">
      <c r="A558" t="s">
        <v>202</v>
      </c>
      <c r="B558" t="s">
        <v>1819</v>
      </c>
      <c r="C558" t="s">
        <v>1820</v>
      </c>
      <c r="D558" t="s">
        <v>100</v>
      </c>
      <c r="E558" t="s">
        <v>101</v>
      </c>
      <c r="F558" t="s">
        <v>275</v>
      </c>
      <c r="G558" t="s">
        <v>112</v>
      </c>
      <c r="H558" t="str">
        <f t="shared" si="56"/>
        <v>WE 美西大区CNO.H分拣组</v>
      </c>
      <c r="I558" t="s">
        <v>303</v>
      </c>
      <c r="J558" t="s">
        <v>343</v>
      </c>
      <c r="K558" s="15">
        <v>0.25</v>
      </c>
      <c r="L558" s="15" t="s">
        <v>344</v>
      </c>
      <c r="M558" s="15">
        <v>0.230555555555556</v>
      </c>
      <c r="N558" t="s">
        <v>609</v>
      </c>
      <c r="O558" s="20" t="str">
        <f t="shared" si="57"/>
        <v>正确</v>
      </c>
      <c r="P558" s="21">
        <v>0</v>
      </c>
      <c r="Q558" s="21">
        <v>11.08</v>
      </c>
      <c r="R558" s="21">
        <v>0</v>
      </c>
      <c r="S558" s="21">
        <f t="shared" si="58"/>
        <v>11.08</v>
      </c>
      <c r="T558" s="21">
        <f t="shared" si="59"/>
        <v>3.08</v>
      </c>
      <c r="U558" s="21" t="str">
        <f t="shared" si="60"/>
        <v>是</v>
      </c>
      <c r="V558" s="21">
        <f>VLOOKUP($C558,[4]Sheet1!$B:$AN,39,FALSE)</f>
        <v>26.1</v>
      </c>
      <c r="W558" s="21">
        <v>0</v>
      </c>
      <c r="X558" s="23">
        <v>4</v>
      </c>
      <c r="Y558" s="23">
        <v>4</v>
      </c>
      <c r="Z558" s="25">
        <f t="shared" si="61"/>
        <v>0</v>
      </c>
      <c r="AA558" s="25" t="str">
        <f t="shared" si="62"/>
        <v>是</v>
      </c>
      <c r="AB558" t="s">
        <v>148</v>
      </c>
      <c r="AC558" t="e">
        <f>VLOOKUP(C558,[1]Sheet1!$C:$O,13,FALSE)</f>
        <v>#N/A</v>
      </c>
      <c r="AD558" t="str">
        <f>VLOOKUP($H558,'[3]0509人员排班情况 副本'!$G:$U,12,FALSE)</f>
        <v>王骞Ariel（Qian Wang）,叶秀芳Freya (Xiufang Ye)</v>
      </c>
      <c r="AE558" t="str">
        <f>VLOOKUP($H558,'[3]0509人员排班情况 副本'!$G:$U,13,FALSE)</f>
        <v>常哲</v>
      </c>
      <c r="AF558" t="str">
        <f>VLOOKUP($H558,'[3]0509人员排班情况 副本'!$G:$U,14,FALSE)</f>
        <v>张双甫(Shuangfu Zhang)</v>
      </c>
      <c r="AG558">
        <f>VLOOKUP($H558,'[3]0509人员排班情况 副本'!$G:$U,15,FALSE)</f>
        <v>0</v>
      </c>
    </row>
    <row r="559" customHeight="1" spans="1:33">
      <c r="A559" t="s">
        <v>202</v>
      </c>
      <c r="B559" t="s">
        <v>1821</v>
      </c>
      <c r="C559" t="s">
        <v>1822</v>
      </c>
      <c r="D559" t="s">
        <v>68</v>
      </c>
      <c r="E559" t="s">
        <v>45</v>
      </c>
      <c r="F559" t="s">
        <v>744</v>
      </c>
      <c r="H559" t="str">
        <f t="shared" si="56"/>
        <v>NE 东北大区揽收部揽收调度组</v>
      </c>
      <c r="I559" t="s">
        <v>608</v>
      </c>
      <c r="J559" t="s">
        <v>295</v>
      </c>
      <c r="K559" s="15">
        <v>0.375</v>
      </c>
      <c r="L559" s="15" t="s">
        <v>296</v>
      </c>
      <c r="M559" s="15"/>
      <c r="N559" t="s">
        <v>148</v>
      </c>
      <c r="O559" s="20" t="str">
        <f t="shared" si="57"/>
        <v>不正确</v>
      </c>
      <c r="P559" s="21">
        <v>0</v>
      </c>
      <c r="Q559" s="21">
        <v>0</v>
      </c>
      <c r="R559" s="21">
        <v>0</v>
      </c>
      <c r="S559" s="21">
        <f t="shared" si="58"/>
        <v>0</v>
      </c>
      <c r="T559" s="21">
        <f t="shared" si="59"/>
        <v>0</v>
      </c>
      <c r="U559" s="21" t="str">
        <f t="shared" si="60"/>
        <v>否</v>
      </c>
      <c r="V559" s="21">
        <f>VLOOKUP($C559,[4]Sheet1!$B:$AN,39,FALSE)</f>
        <v>0</v>
      </c>
      <c r="W559" s="21">
        <v>0</v>
      </c>
      <c r="X559" s="23">
        <v>0</v>
      </c>
      <c r="Y559" s="23">
        <v>4</v>
      </c>
      <c r="Z559" s="25">
        <f t="shared" si="61"/>
        <v>4</v>
      </c>
      <c r="AA559" s="25" t="str">
        <f t="shared" si="62"/>
        <v>是</v>
      </c>
      <c r="AB559" t="s">
        <v>148</v>
      </c>
      <c r="AC559" t="e">
        <f>VLOOKUP(C559,[1]Sheet1!$C:$O,13,FALSE)</f>
        <v>#N/A</v>
      </c>
      <c r="AD559" t="str">
        <f>VLOOKUP($H559,'[3]0509人员排班情况 副本'!$G:$U,12,FALSE)</f>
        <v>孙可君Monica（Kejun Sun）</v>
      </c>
      <c r="AE559" t="str">
        <f>VLOOKUP($H559,'[3]0509人员排班情况 副本'!$G:$U,13,FALSE)</f>
        <v>马聪Cong (Cong Ma)</v>
      </c>
      <c r="AF559">
        <f>VLOOKUP($H559,'[3]0509人员排班情况 副本'!$G:$U,14,FALSE)</f>
        <v>0</v>
      </c>
      <c r="AG559">
        <f>VLOOKUP($H559,'[3]0509人员排班情况 副本'!$G:$U,15,FALSE)</f>
        <v>0</v>
      </c>
    </row>
    <row r="560" customHeight="1" spans="1:33">
      <c r="A560" t="s">
        <v>202</v>
      </c>
      <c r="B560" t="s">
        <v>1823</v>
      </c>
      <c r="C560" t="s">
        <v>1824</v>
      </c>
      <c r="D560" t="s">
        <v>68</v>
      </c>
      <c r="E560" t="s">
        <v>75</v>
      </c>
      <c r="F560" t="s">
        <v>1825</v>
      </c>
      <c r="H560" t="str">
        <f t="shared" si="56"/>
        <v>NE 东北大区DC 华盛顿片区PNE01</v>
      </c>
      <c r="I560" t="s">
        <v>406</v>
      </c>
      <c r="J560" t="s">
        <v>343</v>
      </c>
      <c r="K560" s="15">
        <v>0.25</v>
      </c>
      <c r="L560" s="15" t="s">
        <v>344</v>
      </c>
      <c r="M560" s="15">
        <v>0.249305555555556</v>
      </c>
      <c r="N560" t="s">
        <v>1826</v>
      </c>
      <c r="O560" s="20" t="str">
        <f t="shared" si="57"/>
        <v>正确</v>
      </c>
      <c r="P560" s="21">
        <v>0</v>
      </c>
      <c r="Q560" s="21">
        <v>8.8</v>
      </c>
      <c r="R560" s="21">
        <v>0</v>
      </c>
      <c r="S560" s="21">
        <f t="shared" si="58"/>
        <v>8.8</v>
      </c>
      <c r="T560" s="21">
        <f t="shared" si="59"/>
        <v>0.800000000000001</v>
      </c>
      <c r="U560" s="21" t="str">
        <f t="shared" si="60"/>
        <v>是</v>
      </c>
      <c r="V560" s="21">
        <f>VLOOKUP($C560,[4]Sheet1!$B:$AN,39,FALSE)</f>
        <v>18.52</v>
      </c>
      <c r="W560" s="21">
        <v>0</v>
      </c>
      <c r="X560" s="23">
        <v>3</v>
      </c>
      <c r="Y560" s="23">
        <v>4</v>
      </c>
      <c r="Z560" s="25">
        <f t="shared" si="61"/>
        <v>1</v>
      </c>
      <c r="AA560" s="25" t="str">
        <f t="shared" si="62"/>
        <v>是</v>
      </c>
      <c r="AB560" t="s">
        <v>148</v>
      </c>
      <c r="AC560" t="e">
        <f>VLOOKUP(C560,[1]Sheet1!$C:$O,13,FALSE)</f>
        <v>#N/A</v>
      </c>
      <c r="AD560" t="str">
        <f>VLOOKUP($H560,'[3]0509人员排班情况 副本'!$G:$U,12,FALSE)</f>
        <v>孙可君Monica（Kejun Sun）</v>
      </c>
      <c r="AE560" t="str">
        <f>VLOOKUP($H560,'[3]0509人员排班情况 副本'!$G:$U,13,FALSE)</f>
        <v>马聪Cong (Cong Ma)</v>
      </c>
      <c r="AF560" t="str">
        <f>VLOOKUP($H560,'[3]0509人员排班情况 副本'!$G:$U,14,FALSE)</f>
        <v>朱晗宇 Peter (Hanyu Zhu)</v>
      </c>
      <c r="AG560">
        <f>VLOOKUP($H560,'[3]0509人员排班情况 副本'!$G:$U,15,FALSE)</f>
        <v>0</v>
      </c>
    </row>
    <row r="561" customHeight="1" spans="1:33">
      <c r="A561" t="s">
        <v>202</v>
      </c>
      <c r="B561" t="s">
        <v>1827</v>
      </c>
      <c r="C561" t="s">
        <v>1828</v>
      </c>
      <c r="D561" t="s">
        <v>92</v>
      </c>
      <c r="E561" t="s">
        <v>96</v>
      </c>
      <c r="F561" t="s">
        <v>166</v>
      </c>
      <c r="G561" t="s">
        <v>112</v>
      </c>
      <c r="H561" t="str">
        <f t="shared" si="56"/>
        <v>TX 德州大区IAH.H综办组</v>
      </c>
      <c r="I561" t="s">
        <v>167</v>
      </c>
      <c r="J561" t="s">
        <v>236</v>
      </c>
      <c r="K561" s="15">
        <v>0.395833333333333</v>
      </c>
      <c r="L561" s="15" t="s">
        <v>218</v>
      </c>
      <c r="M561" s="15">
        <v>0.379861111111111</v>
      </c>
      <c r="N561" t="s">
        <v>218</v>
      </c>
      <c r="O561" s="20" t="str">
        <f t="shared" si="57"/>
        <v>正确</v>
      </c>
      <c r="P561" s="21">
        <v>0</v>
      </c>
      <c r="Q561" s="21">
        <v>8.38</v>
      </c>
      <c r="R561" s="21">
        <v>0</v>
      </c>
      <c r="S561" s="21">
        <f t="shared" si="58"/>
        <v>8.38</v>
      </c>
      <c r="T561" s="21">
        <f t="shared" si="59"/>
        <v>0.380000000000001</v>
      </c>
      <c r="U561" s="21" t="str">
        <f t="shared" si="60"/>
        <v>是</v>
      </c>
      <c r="V561" s="21">
        <f>VLOOKUP($C561,[4]Sheet1!$B:$AN,39,FALSE)</f>
        <v>16.51</v>
      </c>
      <c r="W561" s="21">
        <v>0</v>
      </c>
      <c r="X561" s="23">
        <v>4</v>
      </c>
      <c r="Y561" s="23">
        <v>4</v>
      </c>
      <c r="Z561" s="25">
        <f t="shared" si="61"/>
        <v>0</v>
      </c>
      <c r="AA561" s="25" t="str">
        <f t="shared" si="62"/>
        <v>是</v>
      </c>
      <c r="AB561" t="s">
        <v>148</v>
      </c>
      <c r="AC561" t="e">
        <f>VLOOKUP(C561,[1]Sheet1!$C:$O,13,FALSE)</f>
        <v>#N/A</v>
      </c>
      <c r="AD561" t="str">
        <f>VLOOKUP($H561,'[3]0509人员排班情况 副本'!$G:$U,12,FALSE)</f>
        <v>肖芦莉Lily (Luli Xiao)</v>
      </c>
      <c r="AE561" t="str">
        <f>VLOOKUP($H561,'[3]0509人员排班情况 副本'!$G:$U,13,FALSE)</f>
        <v>张骥Ji Zhang (Ji Zhang)</v>
      </c>
      <c r="AF561" t="str">
        <f>VLOOKUP($H561,'[3]0509人员排班情况 副本'!$G:$U,14,FALSE)</f>
        <v>Minqing (Minqing Xu),罗煜雄 Mike (Yuxiong Luo)</v>
      </c>
      <c r="AG561">
        <f>VLOOKUP($H561,'[3]0509人员排班情况 副本'!$G:$U,15,FALSE)</f>
        <v>0</v>
      </c>
    </row>
    <row r="562" customHeight="1" spans="1:33">
      <c r="A562" t="s">
        <v>202</v>
      </c>
      <c r="B562" t="s">
        <v>1829</v>
      </c>
      <c r="C562" t="s">
        <v>1830</v>
      </c>
      <c r="D562" t="s">
        <v>100</v>
      </c>
      <c r="E562" t="s">
        <v>103</v>
      </c>
      <c r="F562" t="s">
        <v>275</v>
      </c>
      <c r="G562" t="s">
        <v>112</v>
      </c>
      <c r="H562" t="str">
        <f t="shared" si="56"/>
        <v>WE 美西大区LAV.H分拣组</v>
      </c>
      <c r="I562" t="s">
        <v>303</v>
      </c>
      <c r="J562" t="s">
        <v>384</v>
      </c>
      <c r="K562" s="15">
        <v>0.6875</v>
      </c>
      <c r="L562" s="15" t="s">
        <v>385</v>
      </c>
      <c r="M562" s="15">
        <v>0.690972222222222</v>
      </c>
      <c r="N562" t="s">
        <v>148</v>
      </c>
      <c r="O562" s="20" t="str">
        <f t="shared" si="57"/>
        <v>正确</v>
      </c>
      <c r="P562" s="21">
        <v>0</v>
      </c>
      <c r="Q562" s="21">
        <v>0</v>
      </c>
      <c r="R562" s="21">
        <v>0</v>
      </c>
      <c r="S562" s="21">
        <f t="shared" si="58"/>
        <v>0</v>
      </c>
      <c r="T562" s="21">
        <f t="shared" si="59"/>
        <v>0</v>
      </c>
      <c r="U562" s="21" t="str">
        <f t="shared" si="60"/>
        <v>否</v>
      </c>
      <c r="V562" s="21">
        <f>VLOOKUP($C562,[4]Sheet1!$B:$AN,39,FALSE)</f>
        <v>11.58</v>
      </c>
      <c r="W562" s="21">
        <v>25.77</v>
      </c>
      <c r="X562" s="23">
        <v>3</v>
      </c>
      <c r="Y562" s="23">
        <v>4</v>
      </c>
      <c r="Z562" s="25">
        <f t="shared" si="61"/>
        <v>1</v>
      </c>
      <c r="AA562" s="25" t="str">
        <f t="shared" si="62"/>
        <v>是</v>
      </c>
      <c r="AB562" t="s">
        <v>148</v>
      </c>
      <c r="AC562" t="e">
        <f>VLOOKUP(C562,[1]Sheet1!$C:$O,13,FALSE)</f>
        <v>#N/A</v>
      </c>
      <c r="AD562" t="str">
        <f>VLOOKUP($H562,'[3]0509人员排班情况 副本'!$G:$U,12,FALSE)</f>
        <v>王骞Ariel（Qian Wang）,叶秀芳Freya (Xiufang Ye)</v>
      </c>
      <c r="AE562" t="str">
        <f>VLOOKUP($H562,'[3]0509人员排班情况 副本'!$G:$U,13,FALSE)</f>
        <v>常哲</v>
      </c>
      <c r="AF562" t="str">
        <f>VLOOKUP($H562,'[3]0509人员排班情况 副本'!$G:$U,14,FALSE)</f>
        <v>张双甫(Shuangfu Zhang)</v>
      </c>
      <c r="AG562">
        <f>VLOOKUP($H562,'[3]0509人员排班情况 副本'!$G:$U,15,FALSE)</f>
        <v>0</v>
      </c>
    </row>
    <row r="563" customHeight="1" spans="1:33">
      <c r="A563" t="s">
        <v>202</v>
      </c>
      <c r="B563" t="s">
        <v>1831</v>
      </c>
      <c r="C563" t="s">
        <v>1832</v>
      </c>
      <c r="D563" t="s">
        <v>68</v>
      </c>
      <c r="E563" t="s">
        <v>81</v>
      </c>
      <c r="F563" t="s">
        <v>148</v>
      </c>
      <c r="H563" t="str">
        <f t="shared" si="56"/>
        <v>NE 东北大区NY 纽约片区</v>
      </c>
      <c r="I563" t="s">
        <v>173</v>
      </c>
      <c r="J563" t="s">
        <v>229</v>
      </c>
      <c r="K563" s="15">
        <v>0.270833333333333</v>
      </c>
      <c r="L563" s="15" t="s">
        <v>230</v>
      </c>
      <c r="M563" s="15"/>
      <c r="N563" t="s">
        <v>148</v>
      </c>
      <c r="O563" s="20" t="str">
        <f t="shared" si="57"/>
        <v>不正确</v>
      </c>
      <c r="P563" s="21">
        <v>0</v>
      </c>
      <c r="Q563" s="21">
        <v>0</v>
      </c>
      <c r="R563" s="21">
        <v>0</v>
      </c>
      <c r="S563" s="21">
        <f t="shared" si="58"/>
        <v>0</v>
      </c>
      <c r="T563" s="21">
        <f t="shared" si="59"/>
        <v>0</v>
      </c>
      <c r="U563" s="21" t="str">
        <f t="shared" si="60"/>
        <v>否</v>
      </c>
      <c r="V563" s="21">
        <f>VLOOKUP($C563,[4]Sheet1!$B:$AN,39,FALSE)</f>
        <v>0</v>
      </c>
      <c r="W563" s="21">
        <v>0</v>
      </c>
      <c r="X563" s="23">
        <v>0</v>
      </c>
      <c r="Y563" s="23">
        <v>0</v>
      </c>
      <c r="Z563" s="25">
        <f t="shared" si="61"/>
        <v>0</v>
      </c>
      <c r="AA563" s="25" t="str">
        <f t="shared" si="62"/>
        <v>是</v>
      </c>
      <c r="AB563" t="s">
        <v>754</v>
      </c>
      <c r="AC563" t="e">
        <f>VLOOKUP(C563,[1]Sheet1!$C:$O,13,FALSE)</f>
        <v>#N/A</v>
      </c>
      <c r="AD563" t="str">
        <f>VLOOKUP($H563,'[3]0509人员排班情况 副本'!$G:$U,12,FALSE)</f>
        <v>孙可君Monica（Kejun Sun）</v>
      </c>
      <c r="AE563" t="str">
        <f>VLOOKUP($H563,'[3]0509人员排班情况 副本'!$G:$U,13,FALSE)</f>
        <v>马聪Cong (Cong Ma)</v>
      </c>
      <c r="AF563">
        <f>VLOOKUP($H563,'[3]0509人员排班情况 副本'!$G:$U,14,FALSE)</f>
        <v>0</v>
      </c>
      <c r="AG563">
        <f>VLOOKUP($H563,'[3]0509人员排班情况 副本'!$G:$U,15,FALSE)</f>
        <v>0</v>
      </c>
    </row>
    <row r="564" customHeight="1" spans="1:33">
      <c r="A564" t="s">
        <v>202</v>
      </c>
      <c r="B564" t="s">
        <v>1833</v>
      </c>
      <c r="C564" t="s">
        <v>1834</v>
      </c>
      <c r="D564" t="s">
        <v>100</v>
      </c>
      <c r="E564" t="s">
        <v>106</v>
      </c>
      <c r="F564" t="s">
        <v>1835</v>
      </c>
      <c r="H564" t="str">
        <f t="shared" si="56"/>
        <v>WE 美西大区SC 南加片区LAS01</v>
      </c>
      <c r="I564" t="s">
        <v>156</v>
      </c>
      <c r="J564" t="s">
        <v>221</v>
      </c>
      <c r="K564" s="15">
        <v>0.208333333333333</v>
      </c>
      <c r="L564" s="15" t="s">
        <v>222</v>
      </c>
      <c r="M564" s="15">
        <v>0.219444444444444</v>
      </c>
      <c r="N564" t="s">
        <v>1836</v>
      </c>
      <c r="O564" s="20" t="str">
        <f t="shared" si="57"/>
        <v>正确</v>
      </c>
      <c r="P564" s="21">
        <v>0</v>
      </c>
      <c r="Q564" s="21">
        <v>7.58</v>
      </c>
      <c r="R564" s="21">
        <v>0</v>
      </c>
      <c r="S564" s="21">
        <f t="shared" si="58"/>
        <v>7.58</v>
      </c>
      <c r="T564" s="21">
        <f t="shared" si="59"/>
        <v>0</v>
      </c>
      <c r="U564" s="21" t="str">
        <f t="shared" si="60"/>
        <v>否</v>
      </c>
      <c r="V564" s="21">
        <f>VLOOKUP($C564,[4]Sheet1!$B:$AN,39,FALSE)</f>
        <v>15.11</v>
      </c>
      <c r="W564" s="21">
        <v>0</v>
      </c>
      <c r="X564" s="23">
        <v>4</v>
      </c>
      <c r="Y564" s="23">
        <v>4</v>
      </c>
      <c r="Z564" s="25">
        <f t="shared" si="61"/>
        <v>0</v>
      </c>
      <c r="AA564" s="25" t="str">
        <f t="shared" si="62"/>
        <v>是</v>
      </c>
      <c r="AB564" t="s">
        <v>148</v>
      </c>
      <c r="AC564" t="e">
        <f>VLOOKUP(C564,[1]Sheet1!$C:$O,13,FALSE)</f>
        <v>#N/A</v>
      </c>
      <c r="AD564" t="str">
        <f>VLOOKUP($H564,'[3]0509人员排班情况 副本'!$G:$U,12,FALSE)</f>
        <v>王骞Ariel（Qian Wang）,叶秀芳Freya (Xiufang Ye)</v>
      </c>
      <c r="AE564" t="str">
        <f>VLOOKUP($H564,'[3]0509人员排班情况 副本'!$G:$U,13,FALSE)</f>
        <v>常哲</v>
      </c>
      <c r="AF564" t="str">
        <f>VLOOKUP($H564,'[3]0509人员排班情况 副本'!$G:$U,14,FALSE)</f>
        <v>尤梦楠Yuko（Mengnan You）</v>
      </c>
      <c r="AG564">
        <f>VLOOKUP($H564,'[3]0509人员排班情况 副本'!$G:$U,15,FALSE)</f>
        <v>0</v>
      </c>
    </row>
    <row r="565" customHeight="1" spans="1:33">
      <c r="A565" t="s">
        <v>202</v>
      </c>
      <c r="B565" t="s">
        <v>1837</v>
      </c>
      <c r="C565" t="s">
        <v>1838</v>
      </c>
      <c r="D565" t="s">
        <v>100</v>
      </c>
      <c r="E565" t="s">
        <v>103</v>
      </c>
      <c r="F565" t="s">
        <v>574</v>
      </c>
      <c r="G565" t="s">
        <v>112</v>
      </c>
      <c r="H565" t="str">
        <f t="shared" si="56"/>
        <v>WE 美西大区LAV.H合流合包组</v>
      </c>
      <c r="I565" t="s">
        <v>156</v>
      </c>
      <c r="J565" t="s">
        <v>882</v>
      </c>
      <c r="K565" s="15">
        <v>0.5625</v>
      </c>
      <c r="L565" s="15" t="s">
        <v>836</v>
      </c>
      <c r="M565" s="15">
        <v>0.55625</v>
      </c>
      <c r="N565" t="s">
        <v>1839</v>
      </c>
      <c r="O565" s="20" t="str">
        <f t="shared" si="57"/>
        <v>正确</v>
      </c>
      <c r="P565" s="21">
        <v>0</v>
      </c>
      <c r="Q565" s="21">
        <v>8.45</v>
      </c>
      <c r="R565" s="21">
        <v>0</v>
      </c>
      <c r="S565" s="21">
        <f t="shared" si="58"/>
        <v>8.45</v>
      </c>
      <c r="T565" s="21">
        <f t="shared" si="59"/>
        <v>0.449999999999999</v>
      </c>
      <c r="U565" s="21" t="str">
        <f t="shared" si="60"/>
        <v>是</v>
      </c>
      <c r="V565" s="21">
        <f>VLOOKUP($C565,[4]Sheet1!$B:$AN,39,FALSE)</f>
        <v>8.45</v>
      </c>
      <c r="W565" s="21">
        <v>0</v>
      </c>
      <c r="X565" s="23">
        <v>4</v>
      </c>
      <c r="Y565" s="23">
        <v>4</v>
      </c>
      <c r="Z565" s="25">
        <f t="shared" si="61"/>
        <v>0</v>
      </c>
      <c r="AA565" s="25" t="str">
        <f t="shared" si="62"/>
        <v>是</v>
      </c>
      <c r="AB565" t="s">
        <v>148</v>
      </c>
      <c r="AC565" t="e">
        <f>VLOOKUP(C565,[1]Sheet1!$C:$O,13,FALSE)</f>
        <v>#N/A</v>
      </c>
      <c r="AD565" t="str">
        <f>VLOOKUP($H565,'[3]0509人员排班情况 副本'!$G:$U,12,FALSE)</f>
        <v>王骞Ariel（Qian Wang）,叶秀芳Freya (Xiufang Ye)</v>
      </c>
      <c r="AE565" t="str">
        <f>VLOOKUP($H565,'[3]0509人员排班情况 副本'!$G:$U,13,FALSE)</f>
        <v>常哲</v>
      </c>
      <c r="AF565" t="str">
        <f>VLOOKUP($H565,'[3]0509人员排班情况 副本'!$G:$U,14,FALSE)</f>
        <v>覃超群Jessica（Chaoqun Qin）</v>
      </c>
      <c r="AG565">
        <f>VLOOKUP($H565,'[3]0509人员排班情况 副本'!$G:$U,15,FALSE)</f>
        <v>0</v>
      </c>
    </row>
    <row r="566" customHeight="1" spans="1:33">
      <c r="A566" t="s">
        <v>202</v>
      </c>
      <c r="B566" t="s">
        <v>1840</v>
      </c>
      <c r="C566" t="s">
        <v>1841</v>
      </c>
      <c r="D566" t="s">
        <v>48</v>
      </c>
      <c r="E566" t="s">
        <v>49</v>
      </c>
      <c r="F566" t="s">
        <v>839</v>
      </c>
      <c r="H566" t="str">
        <f t="shared" si="56"/>
        <v>Ground项目部OG 美东区运营支持组</v>
      </c>
      <c r="I566" t="s">
        <v>326</v>
      </c>
      <c r="J566" t="s">
        <v>236</v>
      </c>
      <c r="K566" s="15">
        <v>0.395833333333333</v>
      </c>
      <c r="L566" s="15" t="s">
        <v>218</v>
      </c>
      <c r="M566" s="15">
        <v>0.409027777777778</v>
      </c>
      <c r="N566" t="s">
        <v>1068</v>
      </c>
      <c r="O566" s="20" t="str">
        <f t="shared" si="57"/>
        <v>正确</v>
      </c>
      <c r="P566" s="21">
        <v>0</v>
      </c>
      <c r="Q566" s="21">
        <v>8.23</v>
      </c>
      <c r="R566" s="21">
        <v>0</v>
      </c>
      <c r="S566" s="21">
        <f t="shared" si="58"/>
        <v>8.23</v>
      </c>
      <c r="T566" s="21">
        <f t="shared" si="59"/>
        <v>0.23</v>
      </c>
      <c r="U566" s="21" t="str">
        <f t="shared" si="60"/>
        <v>是</v>
      </c>
      <c r="V566" s="21">
        <f>VLOOKUP($C566,[4]Sheet1!$B:$AN,39,FALSE)</f>
        <v>8.23</v>
      </c>
      <c r="W566" s="21">
        <v>0</v>
      </c>
      <c r="X566" s="23">
        <v>4</v>
      </c>
      <c r="Y566" s="23">
        <v>4</v>
      </c>
      <c r="Z566" s="25">
        <f t="shared" si="61"/>
        <v>0</v>
      </c>
      <c r="AA566" s="25" t="str">
        <f t="shared" si="62"/>
        <v>是</v>
      </c>
      <c r="AB566" t="s">
        <v>148</v>
      </c>
      <c r="AC566" t="e">
        <f>VLOOKUP(C566,[1]Sheet1!$C:$O,13,FALSE)</f>
        <v>#N/A</v>
      </c>
      <c r="AD566" t="str">
        <f>VLOOKUP($H566,'[3]0509人员排班情况 副本'!$G:$U,12,FALSE)</f>
        <v>王安琪 (Anqi Wang),张朱同 Thomson（Zhutong Zhang）</v>
      </c>
      <c r="AE566" t="str">
        <f>VLOOKUP($H566,'[3]0509人员排班情况 副本'!$G:$U,13,FALSE)</f>
        <v>陈锦昭</v>
      </c>
      <c r="AF566">
        <f>VLOOKUP($H566,'[3]0509人员排班情况 副本'!$G:$U,14,FALSE)</f>
        <v>0</v>
      </c>
      <c r="AG566">
        <f>VLOOKUP($H566,'[3]0509人员排班情况 副本'!$G:$U,15,FALSE)</f>
        <v>0</v>
      </c>
    </row>
    <row r="567" customHeight="1" spans="1:33">
      <c r="A567" t="s">
        <v>202</v>
      </c>
      <c r="B567" t="s">
        <v>1842</v>
      </c>
      <c r="C567" t="s">
        <v>1843</v>
      </c>
      <c r="D567" t="s">
        <v>31</v>
      </c>
      <c r="E567" t="s">
        <v>33</v>
      </c>
      <c r="F567" t="s">
        <v>148</v>
      </c>
      <c r="H567" t="str">
        <f t="shared" si="56"/>
        <v>GL 大湖大区CM 中西部中心片区</v>
      </c>
      <c r="I567" t="s">
        <v>682</v>
      </c>
      <c r="J567" t="s">
        <v>343</v>
      </c>
      <c r="K567" s="15">
        <v>0.25</v>
      </c>
      <c r="L567" s="15" t="s">
        <v>344</v>
      </c>
      <c r="M567" s="15"/>
      <c r="N567" t="s">
        <v>148</v>
      </c>
      <c r="O567" s="20" t="str">
        <f t="shared" si="57"/>
        <v>不正确</v>
      </c>
      <c r="P567" s="21">
        <v>0</v>
      </c>
      <c r="Q567" s="21">
        <v>0</v>
      </c>
      <c r="R567" s="21">
        <v>0</v>
      </c>
      <c r="S567" s="21">
        <f t="shared" si="58"/>
        <v>0</v>
      </c>
      <c r="T567" s="21">
        <f t="shared" si="59"/>
        <v>0</v>
      </c>
      <c r="U567" s="21" t="str">
        <f t="shared" si="60"/>
        <v>否</v>
      </c>
      <c r="V567" s="21">
        <f>VLOOKUP($C567,[4]Sheet1!$B:$AN,39,FALSE)</f>
        <v>0</v>
      </c>
      <c r="W567" s="21">
        <v>0</v>
      </c>
      <c r="X567" s="23">
        <v>0</v>
      </c>
      <c r="Y567" s="23">
        <v>0</v>
      </c>
      <c r="Z567" s="25">
        <f t="shared" si="61"/>
        <v>0</v>
      </c>
      <c r="AA567" s="25" t="str">
        <f t="shared" si="62"/>
        <v>是</v>
      </c>
      <c r="AB567" t="s">
        <v>1844</v>
      </c>
      <c r="AC567" t="e">
        <f>VLOOKUP(C567,[1]Sheet1!$C:$O,13,FALSE)</f>
        <v>#N/A</v>
      </c>
      <c r="AD567" t="str">
        <f>VLOOKUP($H567,'[3]0509人员排班情况 副本'!$G:$U,12,FALSE)</f>
        <v>王晓丹 Jasmine（Xiaodan Wang）,周延舒Isabel（Yanshu Zhou）</v>
      </c>
      <c r="AE567" t="str">
        <f>VLOOKUP($H567,'[3]0509人员排班情况 副本'!$G:$U,13,FALSE)</f>
        <v>张骥Ji Zhang (Ji Zhang)</v>
      </c>
      <c r="AF567">
        <f>VLOOKUP($H567,'[3]0509人员排班情况 副本'!$G:$U,14,FALSE)</f>
        <v>0</v>
      </c>
      <c r="AG567">
        <f>VLOOKUP($H567,'[3]0509人员排班情况 副本'!$G:$U,15,FALSE)</f>
        <v>0</v>
      </c>
    </row>
    <row r="568" customHeight="1" spans="1:33">
      <c r="A568" t="s">
        <v>202</v>
      </c>
      <c r="B568" t="s">
        <v>1845</v>
      </c>
      <c r="C568" t="s">
        <v>1846</v>
      </c>
      <c r="D568" t="s">
        <v>68</v>
      </c>
      <c r="E568" t="s">
        <v>76</v>
      </c>
      <c r="F568" t="s">
        <v>166</v>
      </c>
      <c r="G568" t="s">
        <v>112</v>
      </c>
      <c r="H568" t="str">
        <f t="shared" si="56"/>
        <v>NE 东北大区EWR.H综办组</v>
      </c>
      <c r="I568" t="s">
        <v>167</v>
      </c>
      <c r="J568" t="s">
        <v>1847</v>
      </c>
      <c r="K568" s="15">
        <v>0.479166666666667</v>
      </c>
      <c r="L568" s="15" t="s">
        <v>1848</v>
      </c>
      <c r="M568" s="15">
        <v>0.476388888888889</v>
      </c>
      <c r="N568" t="s">
        <v>982</v>
      </c>
      <c r="O568" s="20" t="str">
        <f t="shared" si="57"/>
        <v>正确</v>
      </c>
      <c r="P568" s="21">
        <v>0</v>
      </c>
      <c r="Q568" s="21">
        <v>8.82</v>
      </c>
      <c r="R568" s="21">
        <v>0</v>
      </c>
      <c r="S568" s="21">
        <f t="shared" si="58"/>
        <v>8.82</v>
      </c>
      <c r="T568" s="21">
        <f t="shared" si="59"/>
        <v>0.82</v>
      </c>
      <c r="U568" s="21" t="str">
        <f t="shared" si="60"/>
        <v>是</v>
      </c>
      <c r="V568" s="21">
        <f>VLOOKUP($C568,[4]Sheet1!$B:$AN,39,FALSE)</f>
        <v>8.82</v>
      </c>
      <c r="W568" s="21">
        <v>0</v>
      </c>
      <c r="X568" s="23">
        <v>4</v>
      </c>
      <c r="Y568" s="23">
        <v>4</v>
      </c>
      <c r="Z568" s="25">
        <f t="shared" si="61"/>
        <v>0</v>
      </c>
      <c r="AA568" s="25" t="str">
        <f t="shared" si="62"/>
        <v>是</v>
      </c>
      <c r="AB568" t="s">
        <v>148</v>
      </c>
      <c r="AC568" t="e">
        <f>VLOOKUP(C568,[1]Sheet1!$C:$O,13,FALSE)</f>
        <v>#N/A</v>
      </c>
      <c r="AD568" t="str">
        <f>VLOOKUP($H568,'[3]0509人员排班情况 副本'!$G:$U,12,FALSE)</f>
        <v>孙可君Monica（Kejun Sun）</v>
      </c>
      <c r="AE568" t="str">
        <f>VLOOKUP($H568,'[3]0509人员排班情况 副本'!$G:$U,13,FALSE)</f>
        <v>马聪Cong (Cong Ma)</v>
      </c>
      <c r="AF568" t="str">
        <f>VLOOKUP($H568,'[3]0509人员排班情况 副本'!$G:$U,14,FALSE)</f>
        <v>Minqing (Minqing Xu),罗煜雄 Mike (Yuxiong Luo)</v>
      </c>
      <c r="AG568">
        <f>VLOOKUP($H568,'[3]0509人员排班情况 副本'!$G:$U,15,FALSE)</f>
        <v>0</v>
      </c>
    </row>
    <row r="569" customHeight="1" spans="1:33">
      <c r="A569" t="s">
        <v>202</v>
      </c>
      <c r="B569" t="s">
        <v>1445</v>
      </c>
      <c r="C569" t="s">
        <v>1849</v>
      </c>
      <c r="D569" t="s">
        <v>99</v>
      </c>
      <c r="E569" t="s">
        <v>677</v>
      </c>
      <c r="F569" t="s">
        <v>1063</v>
      </c>
      <c r="H569" t="str">
        <f t="shared" si="56"/>
        <v>US人力资源部美洲HRBP组中南区HR组</v>
      </c>
      <c r="I569" t="s">
        <v>710</v>
      </c>
      <c r="J569" t="s">
        <v>236</v>
      </c>
      <c r="K569" s="15">
        <v>0.395833333333333</v>
      </c>
      <c r="L569" s="15" t="s">
        <v>218</v>
      </c>
      <c r="M569" s="15">
        <v>0.404861111111111</v>
      </c>
      <c r="N569" t="s">
        <v>1850</v>
      </c>
      <c r="O569" s="20" t="str">
        <f t="shared" si="57"/>
        <v>正确</v>
      </c>
      <c r="P569" s="21">
        <v>0</v>
      </c>
      <c r="Q569" s="21">
        <v>10.48</v>
      </c>
      <c r="R569" s="21">
        <v>0</v>
      </c>
      <c r="S569" s="21">
        <f t="shared" si="58"/>
        <v>10.48</v>
      </c>
      <c r="T569" s="21">
        <f t="shared" si="59"/>
        <v>2.48</v>
      </c>
      <c r="U569" s="21" t="str">
        <f t="shared" si="60"/>
        <v>是</v>
      </c>
      <c r="V569" s="21">
        <f>VLOOKUP($C569,[4]Sheet1!$B:$AN,39,FALSE)</f>
        <v>22.75</v>
      </c>
      <c r="W569" s="21">
        <v>0</v>
      </c>
      <c r="X569" s="23">
        <v>3</v>
      </c>
      <c r="Y569" s="23">
        <v>4</v>
      </c>
      <c r="Z569" s="25">
        <f t="shared" si="61"/>
        <v>1</v>
      </c>
      <c r="AA569" s="25" t="str">
        <f t="shared" si="62"/>
        <v>是</v>
      </c>
      <c r="AB569" t="s">
        <v>148</v>
      </c>
      <c r="AC569" t="e">
        <f>VLOOKUP(C569,[1]Sheet1!$C:$O,13,FALSE)</f>
        <v>#N/A</v>
      </c>
      <c r="AD569" t="str">
        <f>VLOOKUP($H569,'[3]0509人员排班情况 副本'!$G:$U,12,FALSE)</f>
        <v>袁博闻(Bowen Yuan)</v>
      </c>
      <c r="AE569">
        <f>VLOOKUP($H569,'[3]0509人员排班情况 副本'!$G:$U,13,FALSE)</f>
        <v>0</v>
      </c>
      <c r="AF569">
        <f>VLOOKUP($H569,'[3]0509人员排班情况 副本'!$G:$U,14,FALSE)</f>
        <v>0</v>
      </c>
      <c r="AG569">
        <f>VLOOKUP($H569,'[3]0509人员排班情况 副本'!$G:$U,15,FALSE)</f>
        <v>0</v>
      </c>
    </row>
    <row r="570" customHeight="1" spans="1:33">
      <c r="A570" t="s">
        <v>202</v>
      </c>
      <c r="B570" t="s">
        <v>1851</v>
      </c>
      <c r="C570" t="s">
        <v>1852</v>
      </c>
      <c r="D570" t="s">
        <v>100</v>
      </c>
      <c r="E570" t="s">
        <v>103</v>
      </c>
      <c r="F570" t="s">
        <v>210</v>
      </c>
      <c r="G570" t="s">
        <v>112</v>
      </c>
      <c r="H570" t="str">
        <f t="shared" si="56"/>
        <v>WE 美西大区LAV.H操作组</v>
      </c>
      <c r="I570" t="s">
        <v>156</v>
      </c>
      <c r="J570" t="s">
        <v>221</v>
      </c>
      <c r="K570" s="15">
        <v>0.208333333333333</v>
      </c>
      <c r="L570" s="15" t="s">
        <v>222</v>
      </c>
      <c r="M570" s="15"/>
      <c r="N570" t="s">
        <v>1853</v>
      </c>
      <c r="O570" s="20" t="str">
        <f t="shared" si="57"/>
        <v>不正确</v>
      </c>
      <c r="P570" s="21">
        <v>0</v>
      </c>
      <c r="Q570" s="21">
        <v>0</v>
      </c>
      <c r="R570" s="21">
        <v>0</v>
      </c>
      <c r="S570" s="21">
        <f t="shared" si="58"/>
        <v>0</v>
      </c>
      <c r="T570" s="21">
        <f t="shared" si="59"/>
        <v>0</v>
      </c>
      <c r="U570" s="21" t="str">
        <f t="shared" si="60"/>
        <v>否</v>
      </c>
      <c r="V570" s="21">
        <f>VLOOKUP($C570,[4]Sheet1!$B:$AN,39,FALSE)</f>
        <v>9.37</v>
      </c>
      <c r="W570" s="21">
        <v>0</v>
      </c>
      <c r="X570" s="23">
        <v>2</v>
      </c>
      <c r="Y570" s="23">
        <v>4</v>
      </c>
      <c r="Z570" s="25">
        <f t="shared" si="61"/>
        <v>2</v>
      </c>
      <c r="AA570" s="25" t="str">
        <f t="shared" si="62"/>
        <v>是</v>
      </c>
      <c r="AB570" t="s">
        <v>148</v>
      </c>
      <c r="AC570" t="e">
        <f>VLOOKUP(C570,[1]Sheet1!$C:$O,13,FALSE)</f>
        <v>#N/A</v>
      </c>
      <c r="AD570" t="str">
        <f>VLOOKUP($H570,'[3]0509人员排班情况 副本'!$G:$U,12,FALSE)</f>
        <v>王骞Ariel（Qian Wang）,叶秀芳Freya (Xiufang Ye)</v>
      </c>
      <c r="AE570" t="str">
        <f>VLOOKUP($H570,'[3]0509人员排班情况 副本'!$G:$U,13,FALSE)</f>
        <v>常哲</v>
      </c>
      <c r="AF570" t="str">
        <f>VLOOKUP($H570,'[3]0509人员排班情况 副本'!$G:$U,14,FALSE)</f>
        <v>Minqing (Minqing Xu),罗煜雄 Mike (Yuxiong Luo)</v>
      </c>
      <c r="AG570">
        <f>VLOOKUP($H570,'[3]0509人员排班情况 副本'!$G:$U,15,FALSE)</f>
        <v>0</v>
      </c>
    </row>
    <row r="571" customHeight="1" spans="1:33">
      <c r="A571" t="s">
        <v>202</v>
      </c>
      <c r="B571" t="s">
        <v>1854</v>
      </c>
      <c r="C571" t="s">
        <v>1855</v>
      </c>
      <c r="D571" t="s">
        <v>47</v>
      </c>
      <c r="E571" t="s">
        <v>1856</v>
      </c>
      <c r="F571" t="s">
        <v>1857</v>
      </c>
      <c r="H571" t="str">
        <f t="shared" si="56"/>
        <v>Gofo财务部美区财务组合规及本地支持组</v>
      </c>
      <c r="I571" t="s">
        <v>1858</v>
      </c>
      <c r="J571" t="s">
        <v>236</v>
      </c>
      <c r="K571" s="15">
        <v>0.395833333333333</v>
      </c>
      <c r="L571" s="15" t="s">
        <v>218</v>
      </c>
      <c r="M571" s="15"/>
      <c r="N571" t="s">
        <v>148</v>
      </c>
      <c r="O571" s="20" t="str">
        <f t="shared" si="57"/>
        <v>不正确</v>
      </c>
      <c r="P571" s="21">
        <v>0</v>
      </c>
      <c r="Q571" s="21">
        <v>0</v>
      </c>
      <c r="R571" s="21">
        <v>0</v>
      </c>
      <c r="S571" s="21">
        <f t="shared" si="58"/>
        <v>0</v>
      </c>
      <c r="T571" s="21">
        <f t="shared" si="59"/>
        <v>0</v>
      </c>
      <c r="U571" s="21" t="str">
        <f t="shared" si="60"/>
        <v>否</v>
      </c>
      <c r="V571" s="21">
        <f>VLOOKUP($C571,[4]Sheet1!$B:$AN,39,FALSE)</f>
        <v>0</v>
      </c>
      <c r="W571" s="21">
        <v>0</v>
      </c>
      <c r="X571" s="23">
        <v>0</v>
      </c>
      <c r="Y571" s="23">
        <v>4</v>
      </c>
      <c r="Z571" s="25">
        <f t="shared" si="61"/>
        <v>4</v>
      </c>
      <c r="AA571" s="25" t="str">
        <f t="shared" si="62"/>
        <v>是</v>
      </c>
      <c r="AB571" t="s">
        <v>148</v>
      </c>
      <c r="AC571" t="e">
        <f>VLOOKUP(C571,[1]Sheet1!$C:$O,13,FALSE)</f>
        <v>#N/A</v>
      </c>
      <c r="AD571" t="str">
        <f>VLOOKUP($H571,'[3]0509人员排班情况 副本'!$G:$U,12,FALSE)</f>
        <v>袁博闻(Bowen Yuan)</v>
      </c>
      <c r="AE571">
        <f>VLOOKUP($H571,'[3]0509人员排班情况 副本'!$G:$U,13,FALSE)</f>
        <v>0</v>
      </c>
      <c r="AF571">
        <f>VLOOKUP($H571,'[3]0509人员排班情况 副本'!$G:$U,14,FALSE)</f>
        <v>0</v>
      </c>
      <c r="AG571">
        <f>VLOOKUP($H571,'[3]0509人员排班情况 副本'!$G:$U,15,FALSE)</f>
        <v>0</v>
      </c>
    </row>
    <row r="572" customHeight="1" spans="1:33">
      <c r="A572" t="s">
        <v>202</v>
      </c>
      <c r="B572" t="s">
        <v>1859</v>
      </c>
      <c r="C572" t="s">
        <v>1860</v>
      </c>
      <c r="D572" t="s">
        <v>31</v>
      </c>
      <c r="E572" t="s">
        <v>40</v>
      </c>
      <c r="F572" t="s">
        <v>148</v>
      </c>
      <c r="H572" t="str">
        <f t="shared" si="56"/>
        <v>GL 大湖大区NM 中西部北片区</v>
      </c>
      <c r="I572" t="s">
        <v>682</v>
      </c>
      <c r="J572" t="s">
        <v>437</v>
      </c>
      <c r="K572" s="15">
        <v>0.229166666666667</v>
      </c>
      <c r="L572" s="15" t="s">
        <v>438</v>
      </c>
      <c r="M572" s="15"/>
      <c r="N572" t="s">
        <v>148</v>
      </c>
      <c r="O572" s="20" t="str">
        <f t="shared" si="57"/>
        <v>不正确</v>
      </c>
      <c r="P572" s="21">
        <v>0</v>
      </c>
      <c r="Q572" s="21">
        <v>0</v>
      </c>
      <c r="R572" s="21">
        <v>0</v>
      </c>
      <c r="S572" s="21">
        <f t="shared" si="58"/>
        <v>0</v>
      </c>
      <c r="T572" s="21">
        <f t="shared" si="59"/>
        <v>0</v>
      </c>
      <c r="U572" s="21" t="str">
        <f t="shared" si="60"/>
        <v>否</v>
      </c>
      <c r="V572" s="21">
        <f>VLOOKUP($C572,[4]Sheet1!$B:$AN,39,FALSE)</f>
        <v>0</v>
      </c>
      <c r="W572" s="21">
        <v>0</v>
      </c>
      <c r="X572" s="23">
        <v>0</v>
      </c>
      <c r="Y572" s="23">
        <v>4</v>
      </c>
      <c r="Z572" s="25">
        <f t="shared" si="61"/>
        <v>4</v>
      </c>
      <c r="AA572" s="25" t="str">
        <f t="shared" si="62"/>
        <v>是</v>
      </c>
      <c r="AB572" t="s">
        <v>148</v>
      </c>
      <c r="AC572" t="e">
        <f>VLOOKUP(C572,[1]Sheet1!$C:$O,13,FALSE)</f>
        <v>#N/A</v>
      </c>
      <c r="AD572" t="str">
        <f>VLOOKUP($H572,'[3]0509人员排班情况 副本'!$G:$U,12,FALSE)</f>
        <v>王晓丹 Jasmine（Xiaodan Wang）,周延舒Isabel（Yanshu Zhou）</v>
      </c>
      <c r="AE572" t="str">
        <f>VLOOKUP($H572,'[3]0509人员排班情况 副本'!$G:$U,13,FALSE)</f>
        <v>张骥Ji Zhang (Ji Zhang)</v>
      </c>
      <c r="AF572">
        <f>VLOOKUP($H572,'[3]0509人员排班情况 副本'!$G:$U,14,FALSE)</f>
        <v>0</v>
      </c>
      <c r="AG572">
        <f>VLOOKUP($H572,'[3]0509人员排班情况 副本'!$G:$U,15,FALSE)</f>
        <v>0</v>
      </c>
    </row>
    <row r="573" customHeight="1" spans="1:33">
      <c r="A573" t="s">
        <v>202</v>
      </c>
      <c r="B573" t="s">
        <v>1861</v>
      </c>
      <c r="C573" t="s">
        <v>1862</v>
      </c>
      <c r="D573" t="s">
        <v>15</v>
      </c>
      <c r="E573" t="s">
        <v>20</v>
      </c>
      <c r="F573" t="s">
        <v>148</v>
      </c>
      <c r="G573" t="s">
        <v>112</v>
      </c>
      <c r="H573" t="str">
        <f t="shared" si="56"/>
        <v>FL 佛州大区MIA.H</v>
      </c>
      <c r="I573" t="s">
        <v>170</v>
      </c>
      <c r="J573" t="s">
        <v>1119</v>
      </c>
      <c r="K573" s="15">
        <v>0.520833333333333</v>
      </c>
      <c r="L573" s="15" t="s">
        <v>1120</v>
      </c>
      <c r="M573" s="15">
        <v>0.457638888888889</v>
      </c>
      <c r="N573" t="s">
        <v>317</v>
      </c>
      <c r="O573" s="20" t="str">
        <f t="shared" si="57"/>
        <v>不正确</v>
      </c>
      <c r="P573" s="21">
        <v>0</v>
      </c>
      <c r="Q573" s="21">
        <v>9.38</v>
      </c>
      <c r="R573" s="21">
        <v>0</v>
      </c>
      <c r="S573" s="21">
        <f t="shared" si="58"/>
        <v>9.38</v>
      </c>
      <c r="T573" s="21">
        <f t="shared" si="59"/>
        <v>1.38</v>
      </c>
      <c r="U573" s="21" t="str">
        <f t="shared" si="60"/>
        <v>是</v>
      </c>
      <c r="V573" s="21">
        <f>VLOOKUP($C573,[4]Sheet1!$B:$AN,39,FALSE)</f>
        <v>18.16</v>
      </c>
      <c r="W573" s="21">
        <v>0</v>
      </c>
      <c r="X573" s="23">
        <v>4</v>
      </c>
      <c r="Y573" s="23">
        <v>4</v>
      </c>
      <c r="Z573" s="25">
        <f t="shared" si="61"/>
        <v>0</v>
      </c>
      <c r="AA573" s="25" t="str">
        <f t="shared" si="62"/>
        <v>是</v>
      </c>
      <c r="AB573" t="s">
        <v>148</v>
      </c>
      <c r="AC573" t="e">
        <f>VLOOKUP(C573,[1]Sheet1!$C:$O,13,FALSE)</f>
        <v>#N/A</v>
      </c>
      <c r="AD573" t="str">
        <f>VLOOKUP($H573,'[3]0509人员排班情况 副本'!$G:$U,12,FALSE)</f>
        <v>Natalia (Natalia Padilla),孙婕 Jasmine（Sunjie）</v>
      </c>
      <c r="AE573" t="str">
        <f>VLOOKUP($H573,'[3]0509人员排班情况 副本'!$G:$U,13,FALSE)</f>
        <v>贺子强Jeff (Ziqiang He)</v>
      </c>
      <c r="AF573">
        <f>VLOOKUP($H573,'[3]0509人员排班情况 副本'!$G:$U,14,FALSE)</f>
        <v>0</v>
      </c>
      <c r="AG573">
        <f>VLOOKUP($H573,'[3]0509人员排班情况 副本'!$G:$U,15,FALSE)</f>
        <v>0</v>
      </c>
    </row>
    <row r="574" customHeight="1" spans="1:33">
      <c r="A574" t="s">
        <v>202</v>
      </c>
      <c r="B574" t="s">
        <v>1863</v>
      </c>
      <c r="C574" t="s">
        <v>1864</v>
      </c>
      <c r="D574" t="s">
        <v>12</v>
      </c>
      <c r="E574" t="s">
        <v>148</v>
      </c>
      <c r="F574" t="s">
        <v>148</v>
      </c>
      <c r="H574" t="str">
        <f t="shared" si="56"/>
        <v>CM 运力管理部</v>
      </c>
      <c r="I574" t="s">
        <v>1865</v>
      </c>
      <c r="J574" t="s">
        <v>236</v>
      </c>
      <c r="K574" s="15">
        <v>0.395833333333333</v>
      </c>
      <c r="L574" s="15" t="s">
        <v>218</v>
      </c>
      <c r="M574" s="15">
        <v>0.395833333333333</v>
      </c>
      <c r="N574" t="s">
        <v>218</v>
      </c>
      <c r="O574" s="20" t="str">
        <f t="shared" si="57"/>
        <v>正确</v>
      </c>
      <c r="P574" s="21">
        <v>0</v>
      </c>
      <c r="Q574" s="21">
        <v>8</v>
      </c>
      <c r="R574" s="21">
        <v>0</v>
      </c>
      <c r="S574" s="21">
        <f t="shared" si="58"/>
        <v>8</v>
      </c>
      <c r="T574" s="21">
        <f t="shared" si="59"/>
        <v>0</v>
      </c>
      <c r="U574" s="21" t="str">
        <f t="shared" si="60"/>
        <v>否</v>
      </c>
      <c r="V574" s="21">
        <f>VLOOKUP($C574,[4]Sheet1!$B:$AN,39,FALSE)</f>
        <v>16</v>
      </c>
      <c r="W574" s="21">
        <v>0</v>
      </c>
      <c r="X574" s="23">
        <v>2</v>
      </c>
      <c r="Y574" s="23">
        <v>0</v>
      </c>
      <c r="Z574" s="25">
        <f t="shared" si="61"/>
        <v>0</v>
      </c>
      <c r="AA574" s="25" t="str">
        <f t="shared" si="62"/>
        <v>是</v>
      </c>
      <c r="AB574" t="s">
        <v>495</v>
      </c>
      <c r="AC574" t="e">
        <f>VLOOKUP(C574,[1]Sheet1!$C:$O,13,FALSE)</f>
        <v>#N/A</v>
      </c>
      <c r="AD574" t="str">
        <f>VLOOKUP($H574,'[3]0509人员排班情况 副本'!$G:$U,12,FALSE)</f>
        <v>袁博闻(Bowen Yuan)</v>
      </c>
      <c r="AE574">
        <f>VLOOKUP($H574,'[3]0509人员排班情况 副本'!$G:$U,13,FALSE)</f>
        <v>0</v>
      </c>
      <c r="AF574">
        <f>VLOOKUP($H574,'[3]0509人员排班情况 副本'!$G:$U,14,FALSE)</f>
        <v>0</v>
      </c>
      <c r="AG574">
        <f>VLOOKUP($H574,'[3]0509人员排班情况 副本'!$G:$U,15,FALSE)</f>
        <v>0</v>
      </c>
    </row>
    <row r="575" customHeight="1" spans="1:33">
      <c r="A575" t="s">
        <v>202</v>
      </c>
      <c r="B575" t="s">
        <v>1866</v>
      </c>
      <c r="C575" t="s">
        <v>1867</v>
      </c>
      <c r="D575" t="s">
        <v>8</v>
      </c>
      <c r="E575" t="s">
        <v>1207</v>
      </c>
      <c r="F575" t="s">
        <v>148</v>
      </c>
      <c r="H575" t="str">
        <f t="shared" si="56"/>
        <v>AD 行政部美东组</v>
      </c>
      <c r="I575" t="s">
        <v>1607</v>
      </c>
      <c r="J575" t="s">
        <v>236</v>
      </c>
      <c r="K575" s="15">
        <v>0.395833333333333</v>
      </c>
      <c r="L575" s="15" t="s">
        <v>218</v>
      </c>
      <c r="M575" s="15"/>
      <c r="N575" t="s">
        <v>148</v>
      </c>
      <c r="O575" s="20" t="str">
        <f t="shared" si="57"/>
        <v>不正确</v>
      </c>
      <c r="P575" s="21">
        <v>0</v>
      </c>
      <c r="Q575" s="21">
        <v>0</v>
      </c>
      <c r="R575" s="21">
        <v>0</v>
      </c>
      <c r="S575" s="21">
        <f t="shared" si="58"/>
        <v>0</v>
      </c>
      <c r="T575" s="21">
        <f t="shared" si="59"/>
        <v>0</v>
      </c>
      <c r="U575" s="21" t="str">
        <f t="shared" si="60"/>
        <v>否</v>
      </c>
      <c r="V575" s="21">
        <f>VLOOKUP($C575,[4]Sheet1!$B:$AN,39,FALSE)</f>
        <v>0</v>
      </c>
      <c r="W575" s="21">
        <v>0</v>
      </c>
      <c r="X575" s="23">
        <v>0</v>
      </c>
      <c r="Y575" s="23">
        <v>0</v>
      </c>
      <c r="Z575" s="25">
        <f t="shared" si="61"/>
        <v>0</v>
      </c>
      <c r="AA575" s="25" t="str">
        <f t="shared" si="62"/>
        <v>是</v>
      </c>
      <c r="AB575" t="s">
        <v>240</v>
      </c>
      <c r="AC575" t="e">
        <f>VLOOKUP(C575,[1]Sheet1!$C:$O,13,FALSE)</f>
        <v>#N/A</v>
      </c>
      <c r="AD575" t="str">
        <f>VLOOKUP($H575,'[3]0509人员排班情况 副本'!$G:$U,12,FALSE)</f>
        <v>袁博闻(Bowen Yuan)</v>
      </c>
      <c r="AE575">
        <f>VLOOKUP($H575,'[3]0509人员排班情况 副本'!$G:$U,13,FALSE)</f>
        <v>0</v>
      </c>
      <c r="AF575">
        <f>VLOOKUP($H575,'[3]0509人员排班情况 副本'!$G:$U,14,FALSE)</f>
        <v>0</v>
      </c>
      <c r="AG575">
        <f>VLOOKUP($H575,'[3]0509人员排班情况 副本'!$G:$U,15,FALSE)</f>
        <v>0</v>
      </c>
    </row>
    <row r="576" customHeight="1" spans="1:33">
      <c r="A576" t="s">
        <v>202</v>
      </c>
      <c r="B576" t="s">
        <v>1868</v>
      </c>
      <c r="C576" t="s">
        <v>1869</v>
      </c>
      <c r="D576" t="s">
        <v>92</v>
      </c>
      <c r="E576" t="s">
        <v>96</v>
      </c>
      <c r="F576" t="s">
        <v>166</v>
      </c>
      <c r="G576" t="s">
        <v>112</v>
      </c>
      <c r="H576" t="str">
        <f t="shared" si="56"/>
        <v>TX 德州大区IAH.H综办组</v>
      </c>
      <c r="I576" t="s">
        <v>167</v>
      </c>
      <c r="J576" t="s">
        <v>295</v>
      </c>
      <c r="K576" s="15">
        <v>0.375</v>
      </c>
      <c r="L576" s="15" t="s">
        <v>296</v>
      </c>
      <c r="M576" s="15">
        <v>0.372222222222222</v>
      </c>
      <c r="N576" t="s">
        <v>1870</v>
      </c>
      <c r="O576" s="20" t="str">
        <f t="shared" si="57"/>
        <v>正确</v>
      </c>
      <c r="P576" s="21">
        <v>0</v>
      </c>
      <c r="Q576" s="21">
        <v>8.23</v>
      </c>
      <c r="R576" s="21">
        <v>0</v>
      </c>
      <c r="S576" s="21">
        <f t="shared" si="58"/>
        <v>8.23</v>
      </c>
      <c r="T576" s="21">
        <f t="shared" si="59"/>
        <v>0.23</v>
      </c>
      <c r="U576" s="21" t="str">
        <f t="shared" si="60"/>
        <v>是</v>
      </c>
      <c r="V576" s="21">
        <f>VLOOKUP($C576,[4]Sheet1!$B:$AN,39,FALSE)</f>
        <v>16.48</v>
      </c>
      <c r="W576" s="21">
        <v>0</v>
      </c>
      <c r="X576" s="23">
        <v>4</v>
      </c>
      <c r="Y576" s="23">
        <v>4</v>
      </c>
      <c r="Z576" s="25">
        <f t="shared" si="61"/>
        <v>0</v>
      </c>
      <c r="AA576" s="25" t="str">
        <f t="shared" si="62"/>
        <v>是</v>
      </c>
      <c r="AB576" t="s">
        <v>148</v>
      </c>
      <c r="AC576" t="e">
        <f>VLOOKUP(C576,[1]Sheet1!$C:$O,13,FALSE)</f>
        <v>#N/A</v>
      </c>
      <c r="AD576" t="str">
        <f>VLOOKUP($H576,'[3]0509人员排班情况 副本'!$G:$U,12,FALSE)</f>
        <v>肖芦莉Lily (Luli Xiao)</v>
      </c>
      <c r="AE576" t="str">
        <f>VLOOKUP($H576,'[3]0509人员排班情况 副本'!$G:$U,13,FALSE)</f>
        <v>张骥Ji Zhang (Ji Zhang)</v>
      </c>
      <c r="AF576" t="str">
        <f>VLOOKUP($H576,'[3]0509人员排班情况 副本'!$G:$U,14,FALSE)</f>
        <v>Minqing (Minqing Xu),罗煜雄 Mike (Yuxiong Luo)</v>
      </c>
      <c r="AG576">
        <f>VLOOKUP($H576,'[3]0509人员排班情况 副本'!$G:$U,15,FALSE)</f>
        <v>0</v>
      </c>
    </row>
    <row r="577" customHeight="1" spans="1:33">
      <c r="A577" t="s">
        <v>202</v>
      </c>
      <c r="B577" t="s">
        <v>1871</v>
      </c>
      <c r="C577" t="s">
        <v>1872</v>
      </c>
      <c r="D577" t="s">
        <v>13</v>
      </c>
      <c r="E577" t="s">
        <v>614</v>
      </c>
      <c r="F577" t="s">
        <v>615</v>
      </c>
      <c r="H577" t="str">
        <f t="shared" si="56"/>
        <v>CS 客户服务部消费者客服组海外客服组</v>
      </c>
      <c r="I577" t="s">
        <v>616</v>
      </c>
      <c r="J577" t="s">
        <v>236</v>
      </c>
      <c r="K577" s="15">
        <v>0.395833333333333</v>
      </c>
      <c r="L577" s="15" t="s">
        <v>218</v>
      </c>
      <c r="M577" s="15">
        <v>0.397222222222222</v>
      </c>
      <c r="N577" t="s">
        <v>530</v>
      </c>
      <c r="O577" s="20" t="str">
        <f t="shared" si="57"/>
        <v>正确</v>
      </c>
      <c r="P577" s="21">
        <v>0</v>
      </c>
      <c r="Q577" s="21">
        <v>8.1</v>
      </c>
      <c r="R577" s="21">
        <v>0</v>
      </c>
      <c r="S577" s="21">
        <f t="shared" si="58"/>
        <v>8.1</v>
      </c>
      <c r="T577" s="21">
        <f t="shared" si="59"/>
        <v>0.0999999999999996</v>
      </c>
      <c r="U577" s="21" t="str">
        <f t="shared" si="60"/>
        <v>是</v>
      </c>
      <c r="V577" s="21">
        <f>VLOOKUP($C577,[4]Sheet1!$B:$AN,39,FALSE)</f>
        <v>16.23</v>
      </c>
      <c r="W577" s="21">
        <v>0</v>
      </c>
      <c r="X577" s="23">
        <v>4</v>
      </c>
      <c r="Y577" s="23">
        <v>4</v>
      </c>
      <c r="Z577" s="25">
        <f t="shared" si="61"/>
        <v>0</v>
      </c>
      <c r="AA577" s="25" t="str">
        <f t="shared" si="62"/>
        <v>是</v>
      </c>
      <c r="AB577" t="s">
        <v>148</v>
      </c>
      <c r="AC577" t="e">
        <f>VLOOKUP(C577,[1]Sheet1!$C:$O,13,FALSE)</f>
        <v>#N/A</v>
      </c>
      <c r="AD577" t="str">
        <f>VLOOKUP($H577,'[3]0509人员排班情况 副本'!$G:$U,12,FALSE)</f>
        <v>袁博闻(Bowen Yuan)</v>
      </c>
      <c r="AE577">
        <f>VLOOKUP($H577,'[3]0509人员排班情况 副本'!$G:$U,13,FALSE)</f>
        <v>0</v>
      </c>
      <c r="AF577">
        <f>VLOOKUP($H577,'[3]0509人员排班情况 副本'!$G:$U,14,FALSE)</f>
        <v>0</v>
      </c>
      <c r="AG577">
        <f>VLOOKUP($H577,'[3]0509人员排班情况 副本'!$G:$U,15,FALSE)</f>
        <v>0</v>
      </c>
    </row>
    <row r="578" customHeight="1" spans="1:33">
      <c r="A578" t="s">
        <v>202</v>
      </c>
      <c r="B578" t="s">
        <v>1873</v>
      </c>
      <c r="C578" t="s">
        <v>1874</v>
      </c>
      <c r="D578" t="s">
        <v>15</v>
      </c>
      <c r="E578" t="s">
        <v>17</v>
      </c>
      <c r="F578" t="s">
        <v>243</v>
      </c>
      <c r="G578" t="s">
        <v>112</v>
      </c>
      <c r="H578" t="str">
        <f t="shared" si="56"/>
        <v>FL 佛州大区MCO.H调度组</v>
      </c>
      <c r="I578" t="s">
        <v>160</v>
      </c>
      <c r="J578" t="s">
        <v>347</v>
      </c>
      <c r="K578" s="15">
        <v>0.541666666666667</v>
      </c>
      <c r="L578" s="15" t="s">
        <v>348</v>
      </c>
      <c r="M578" s="15">
        <v>0.542361111111111</v>
      </c>
      <c r="N578" t="s">
        <v>1875</v>
      </c>
      <c r="O578" s="20" t="str">
        <f t="shared" si="57"/>
        <v>正确</v>
      </c>
      <c r="P578" s="21">
        <v>0</v>
      </c>
      <c r="Q578" s="21">
        <v>9.67</v>
      </c>
      <c r="R578" s="21">
        <v>0</v>
      </c>
      <c r="S578" s="21">
        <f t="shared" si="58"/>
        <v>9.67</v>
      </c>
      <c r="T578" s="21">
        <f t="shared" si="59"/>
        <v>1.67</v>
      </c>
      <c r="U578" s="21" t="str">
        <f t="shared" si="60"/>
        <v>是</v>
      </c>
      <c r="V578" s="21">
        <f>VLOOKUP($C578,[4]Sheet1!$B:$AN,39,FALSE)</f>
        <v>9.67</v>
      </c>
      <c r="W578" s="21">
        <v>0</v>
      </c>
      <c r="X578" s="23">
        <v>3</v>
      </c>
      <c r="Y578" s="23">
        <v>4</v>
      </c>
      <c r="Z578" s="25">
        <f t="shared" si="61"/>
        <v>1</v>
      </c>
      <c r="AA578" s="25" t="str">
        <f t="shared" si="62"/>
        <v>是</v>
      </c>
      <c r="AB578" t="s">
        <v>148</v>
      </c>
      <c r="AC578" t="e">
        <f>VLOOKUP(C578,[1]Sheet1!$C:$O,13,FALSE)</f>
        <v>#N/A</v>
      </c>
      <c r="AD578" t="str">
        <f>VLOOKUP($H578,'[3]0509人员排班情况 副本'!$G:$U,12,FALSE)</f>
        <v>Natalia (Natalia Padilla),孙婕 Jasmine（Sunjie）</v>
      </c>
      <c r="AE578" t="str">
        <f>VLOOKUP($H578,'[3]0509人员排班情况 副本'!$G:$U,13,FALSE)</f>
        <v>贺子强Jeff (Ziqiang He)</v>
      </c>
      <c r="AF578" t="str">
        <f>VLOOKUP($H578,'[3]0509人员排班情况 副本'!$G:$U,14,FALSE)</f>
        <v>Minqing (Minqing Xu),罗煜雄 Mike (Yuxiong Luo)</v>
      </c>
      <c r="AG578">
        <f>VLOOKUP($H578,'[3]0509人员排班情况 副本'!$G:$U,15,FALSE)</f>
        <v>0</v>
      </c>
    </row>
    <row r="579" customHeight="1" spans="1:33">
      <c r="A579" t="s">
        <v>202</v>
      </c>
      <c r="B579" t="s">
        <v>1876</v>
      </c>
      <c r="C579" t="s">
        <v>1877</v>
      </c>
      <c r="D579" t="s">
        <v>92</v>
      </c>
      <c r="E579" t="s">
        <v>94</v>
      </c>
      <c r="F579" t="s">
        <v>166</v>
      </c>
      <c r="G579" t="s">
        <v>112</v>
      </c>
      <c r="H579" t="str">
        <f t="shared" si="56"/>
        <v>TX 德州大区DFW.H综办组</v>
      </c>
      <c r="I579" t="s">
        <v>1284</v>
      </c>
      <c r="J579" t="s">
        <v>211</v>
      </c>
      <c r="K579" s="15">
        <v>0.333333333333333</v>
      </c>
      <c r="L579" s="15" t="s">
        <v>212</v>
      </c>
      <c r="M579" s="15">
        <v>0.340277777777778</v>
      </c>
      <c r="N579" t="s">
        <v>1878</v>
      </c>
      <c r="O579" s="20" t="str">
        <f t="shared" si="57"/>
        <v>正确</v>
      </c>
      <c r="P579" s="21">
        <v>0</v>
      </c>
      <c r="Q579" s="21">
        <v>8.68</v>
      </c>
      <c r="R579" s="21">
        <v>0</v>
      </c>
      <c r="S579" s="21">
        <f t="shared" si="58"/>
        <v>8.68</v>
      </c>
      <c r="T579" s="21">
        <f t="shared" si="59"/>
        <v>0.68</v>
      </c>
      <c r="U579" s="21" t="str">
        <f t="shared" si="60"/>
        <v>是</v>
      </c>
      <c r="V579" s="21">
        <f>VLOOKUP($C579,[4]Sheet1!$B:$AN,39,FALSE)</f>
        <v>17.15</v>
      </c>
      <c r="W579" s="21">
        <v>0</v>
      </c>
      <c r="X579" s="23">
        <v>4</v>
      </c>
      <c r="Y579" s="23">
        <v>4</v>
      </c>
      <c r="Z579" s="25">
        <f t="shared" si="61"/>
        <v>0</v>
      </c>
      <c r="AA579" s="25" t="str">
        <f t="shared" si="62"/>
        <v>是</v>
      </c>
      <c r="AB579" t="s">
        <v>148</v>
      </c>
      <c r="AC579" t="e">
        <f>VLOOKUP(C579,[1]Sheet1!$C:$O,13,FALSE)</f>
        <v>#N/A</v>
      </c>
      <c r="AD579" t="str">
        <f>VLOOKUP($H579,'[3]0509人员排班情况 副本'!$G:$U,12,FALSE)</f>
        <v>肖芦莉Lily (Luli Xiao)</v>
      </c>
      <c r="AE579" t="str">
        <f>VLOOKUP($H579,'[3]0509人员排班情况 副本'!$G:$U,13,FALSE)</f>
        <v>张骥Ji Zhang (Ji Zhang)</v>
      </c>
      <c r="AF579" t="str">
        <f>VLOOKUP($H579,'[3]0509人员排班情况 副本'!$G:$U,14,FALSE)</f>
        <v>Minqing (Minqing Xu),罗煜雄 Mike (Yuxiong Luo)</v>
      </c>
      <c r="AG579">
        <f>VLOOKUP($H579,'[3]0509人员排班情况 副本'!$G:$U,15,FALSE)</f>
        <v>0</v>
      </c>
    </row>
    <row r="580" customHeight="1" spans="1:33">
      <c r="A580" t="s">
        <v>202</v>
      </c>
      <c r="B580" t="s">
        <v>1879</v>
      </c>
      <c r="C580" t="s">
        <v>1880</v>
      </c>
      <c r="D580" t="s">
        <v>31</v>
      </c>
      <c r="E580" t="s">
        <v>43</v>
      </c>
      <c r="F580" t="s">
        <v>39</v>
      </c>
      <c r="H580" t="str">
        <f t="shared" ref="H580:H643" si="63">D580&amp;E580&amp;F580</f>
        <v>GL 大湖大区WG 西大湖片区MKE01</v>
      </c>
      <c r="I580" t="s">
        <v>177</v>
      </c>
      <c r="J580" t="s">
        <v>221</v>
      </c>
      <c r="K580" s="15">
        <v>0.208333333333333</v>
      </c>
      <c r="L580" s="15" t="s">
        <v>222</v>
      </c>
      <c r="M580" s="15"/>
      <c r="N580" t="s">
        <v>1881</v>
      </c>
      <c r="O580" s="20" t="str">
        <f t="shared" ref="O580:O643" si="64">IFERROR(IF(ABS(M580-K580)&lt;=1/24,"正确","不正确"),"/")</f>
        <v>不正确</v>
      </c>
      <c r="P580" s="21">
        <v>0</v>
      </c>
      <c r="Q580" s="21">
        <v>0</v>
      </c>
      <c r="R580" s="21">
        <v>0</v>
      </c>
      <c r="S580" s="21">
        <f t="shared" ref="S580:S643" si="65">Q580+R580</f>
        <v>0</v>
      </c>
      <c r="T580" s="21">
        <f t="shared" ref="T580:T643" si="66">IF(S580-8&gt;0,S580-8,0)</f>
        <v>0</v>
      </c>
      <c r="U580" s="21" t="str">
        <f t="shared" ref="U580:U643" si="67">IF(T580=0,"否","是")</f>
        <v>否</v>
      </c>
      <c r="V580" s="21">
        <f>VLOOKUP($C580,[4]Sheet1!$B:$AN,39,FALSE)</f>
        <v>0</v>
      </c>
      <c r="W580" s="21">
        <v>0</v>
      </c>
      <c r="X580" s="23">
        <v>1</v>
      </c>
      <c r="Y580" s="23">
        <v>4</v>
      </c>
      <c r="Z580" s="25">
        <f t="shared" ref="Z580:Z643" si="68">IF(Y580-X580&gt;=0,Y580-X580,0)</f>
        <v>3</v>
      </c>
      <c r="AA580" s="25" t="str">
        <f t="shared" ref="AA580:AA643" si="69">IF(J580="","否","是")</f>
        <v>是</v>
      </c>
      <c r="AB580" t="s">
        <v>148</v>
      </c>
      <c r="AC580" t="e">
        <f>VLOOKUP(C580,[1]Sheet1!$C:$O,13,FALSE)</f>
        <v>#N/A</v>
      </c>
      <c r="AD580" t="str">
        <f>VLOOKUP($H580,'[3]0509人员排班情况 副本'!$G:$U,12,FALSE)</f>
        <v>王晓丹 Jasmine（Xiaodan Wang）,周延舒Isabel（Yanshu Zhou）</v>
      </c>
      <c r="AE580" t="str">
        <f>VLOOKUP($H580,'[3]0509人员排班情况 副本'!$G:$U,13,FALSE)</f>
        <v>张骥Ji Zhang (Ji Zhang)</v>
      </c>
      <c r="AF580" t="str">
        <f>VLOOKUP($H580,'[3]0509人员排班情况 副本'!$G:$U,14,FALSE)</f>
        <v>易至聪Zac (Zhicong Yi),尚青蓓 Suki （Qingbei Shang）</v>
      </c>
      <c r="AG580">
        <f>VLOOKUP($H580,'[3]0509人员排班情况 副本'!$G:$U,15,FALSE)</f>
        <v>0</v>
      </c>
    </row>
    <row r="581" customHeight="1" spans="1:33">
      <c r="A581" t="s">
        <v>202</v>
      </c>
      <c r="B581" t="s">
        <v>1882</v>
      </c>
      <c r="C581" t="s">
        <v>1883</v>
      </c>
      <c r="D581" t="s">
        <v>68</v>
      </c>
      <c r="E581" t="s">
        <v>76</v>
      </c>
      <c r="F581" t="s">
        <v>243</v>
      </c>
      <c r="G581" t="s">
        <v>112</v>
      </c>
      <c r="H581" t="str">
        <f t="shared" si="63"/>
        <v>NE 东北大区EWR.H调度组</v>
      </c>
      <c r="I581" t="s">
        <v>244</v>
      </c>
      <c r="J581" t="s">
        <v>295</v>
      </c>
      <c r="K581" s="15">
        <v>0.375</v>
      </c>
      <c r="L581" s="15" t="s">
        <v>296</v>
      </c>
      <c r="M581" s="15">
        <v>0.41875</v>
      </c>
      <c r="N581" t="s">
        <v>1884</v>
      </c>
      <c r="O581" s="20" t="str">
        <f t="shared" si="64"/>
        <v>不正确</v>
      </c>
      <c r="P581" s="21">
        <v>0</v>
      </c>
      <c r="Q581" s="21">
        <v>9.33</v>
      </c>
      <c r="R581" s="21">
        <v>0</v>
      </c>
      <c r="S581" s="21">
        <f t="shared" si="65"/>
        <v>9.33</v>
      </c>
      <c r="T581" s="21">
        <f t="shared" si="66"/>
        <v>1.33</v>
      </c>
      <c r="U581" s="21" t="str">
        <f t="shared" si="67"/>
        <v>是</v>
      </c>
      <c r="V581" s="21">
        <f>VLOOKUP($C581,[4]Sheet1!$B:$AN,39,FALSE)</f>
        <v>18.95</v>
      </c>
      <c r="W581" s="21">
        <v>0</v>
      </c>
      <c r="X581" s="23">
        <v>4</v>
      </c>
      <c r="Y581" s="23">
        <v>4</v>
      </c>
      <c r="Z581" s="25">
        <f t="shared" si="68"/>
        <v>0</v>
      </c>
      <c r="AA581" s="25" t="str">
        <f t="shared" si="69"/>
        <v>是</v>
      </c>
      <c r="AB581" t="s">
        <v>148</v>
      </c>
      <c r="AC581" t="e">
        <f>VLOOKUP(C581,[1]Sheet1!$C:$O,13,FALSE)</f>
        <v>#N/A</v>
      </c>
      <c r="AD581" t="str">
        <f>VLOOKUP($H581,'[3]0509人员排班情况 副本'!$G:$U,12,FALSE)</f>
        <v>孙可君Monica（Kejun Sun）</v>
      </c>
      <c r="AE581" t="str">
        <f>VLOOKUP($H581,'[3]0509人员排班情况 副本'!$G:$U,13,FALSE)</f>
        <v>马聪Cong (Cong Ma)</v>
      </c>
      <c r="AF581" t="str">
        <f>VLOOKUP($H581,'[3]0509人员排班情况 副本'!$G:$U,14,FALSE)</f>
        <v>Minqing (Minqing Xu),罗煜雄 Mike (Yuxiong Luo)</v>
      </c>
      <c r="AG581">
        <f>VLOOKUP($H581,'[3]0509人员排班情况 副本'!$G:$U,15,FALSE)</f>
        <v>0</v>
      </c>
    </row>
    <row r="582" customHeight="1" spans="1:33">
      <c r="A582" t="s">
        <v>202</v>
      </c>
      <c r="B582" t="s">
        <v>1885</v>
      </c>
      <c r="C582" t="s">
        <v>1886</v>
      </c>
      <c r="D582" t="s">
        <v>68</v>
      </c>
      <c r="E582" t="s">
        <v>75</v>
      </c>
      <c r="F582" t="s">
        <v>722</v>
      </c>
      <c r="H582" t="str">
        <f t="shared" si="63"/>
        <v>NE 东北大区DC 华盛顿片区DCA01</v>
      </c>
      <c r="I582" t="s">
        <v>177</v>
      </c>
      <c r="J582" t="s">
        <v>746</v>
      </c>
      <c r="K582" s="15">
        <v>0.4375</v>
      </c>
      <c r="L582" s="15" t="s">
        <v>491</v>
      </c>
      <c r="M582" s="15">
        <v>0.436805555555556</v>
      </c>
      <c r="N582" t="s">
        <v>1209</v>
      </c>
      <c r="O582" s="20" t="str">
        <f t="shared" si="64"/>
        <v>正确</v>
      </c>
      <c r="P582" s="21">
        <v>0</v>
      </c>
      <c r="Q582" s="21">
        <v>8.23</v>
      </c>
      <c r="R582" s="21">
        <v>0</v>
      </c>
      <c r="S582" s="21">
        <f t="shared" si="65"/>
        <v>8.23</v>
      </c>
      <c r="T582" s="21">
        <f t="shared" si="66"/>
        <v>0.23</v>
      </c>
      <c r="U582" s="21" t="str">
        <f t="shared" si="67"/>
        <v>是</v>
      </c>
      <c r="V582" s="21">
        <f>VLOOKUP($C582,[4]Sheet1!$B:$AN,39,FALSE)</f>
        <v>16.28</v>
      </c>
      <c r="W582" s="21">
        <v>0</v>
      </c>
      <c r="X582" s="23">
        <v>4</v>
      </c>
      <c r="Y582" s="23">
        <v>4</v>
      </c>
      <c r="Z582" s="25">
        <f t="shared" si="68"/>
        <v>0</v>
      </c>
      <c r="AA582" s="25" t="str">
        <f t="shared" si="69"/>
        <v>是</v>
      </c>
      <c r="AB582" t="s">
        <v>148</v>
      </c>
      <c r="AC582" t="e">
        <f>VLOOKUP(C582,[1]Sheet1!$C:$O,13,FALSE)</f>
        <v>#N/A</v>
      </c>
      <c r="AD582" t="str">
        <f>VLOOKUP($H582,'[3]0509人员排班情况 副本'!$G:$U,12,FALSE)</f>
        <v>孙可君Monica（Kejun Sun）</v>
      </c>
      <c r="AE582" t="str">
        <f>VLOOKUP($H582,'[3]0509人员排班情况 副本'!$G:$U,13,FALSE)</f>
        <v>马聪Cong (Cong Ma)</v>
      </c>
      <c r="AF582" t="str">
        <f>VLOOKUP($H582,'[3]0509人员排班情况 副本'!$G:$U,14,FALSE)</f>
        <v>朱晗宇 Peter (Hanyu Zhu)</v>
      </c>
      <c r="AG582">
        <f>VLOOKUP($H582,'[3]0509人员排班情况 副本'!$G:$U,15,FALSE)</f>
        <v>0</v>
      </c>
    </row>
    <row r="583" customHeight="1" spans="1:33">
      <c r="A583" t="s">
        <v>202</v>
      </c>
      <c r="B583" t="s">
        <v>1887</v>
      </c>
      <c r="C583" t="s">
        <v>1888</v>
      </c>
      <c r="D583" t="s">
        <v>100</v>
      </c>
      <c r="E583" t="s">
        <v>101</v>
      </c>
      <c r="F583" t="s">
        <v>210</v>
      </c>
      <c r="G583" t="s">
        <v>112</v>
      </c>
      <c r="H583" t="str">
        <f t="shared" si="63"/>
        <v>WE 美西大区CNO.H操作组</v>
      </c>
      <c r="I583" t="s">
        <v>156</v>
      </c>
      <c r="J583" t="s">
        <v>343</v>
      </c>
      <c r="K583" s="15">
        <v>0.25</v>
      </c>
      <c r="L583" s="15" t="s">
        <v>344</v>
      </c>
      <c r="M583" s="15">
        <v>0.240972222222222</v>
      </c>
      <c r="N583" t="s">
        <v>300</v>
      </c>
      <c r="O583" s="20" t="str">
        <f t="shared" si="64"/>
        <v>正确</v>
      </c>
      <c r="P583" s="21">
        <v>0</v>
      </c>
      <c r="Q583" s="21">
        <v>10.7</v>
      </c>
      <c r="R583" s="21">
        <v>0</v>
      </c>
      <c r="S583" s="21">
        <f t="shared" si="65"/>
        <v>10.7</v>
      </c>
      <c r="T583" s="21">
        <f t="shared" si="66"/>
        <v>2.7</v>
      </c>
      <c r="U583" s="21" t="str">
        <f t="shared" si="67"/>
        <v>是</v>
      </c>
      <c r="V583" s="21">
        <f>VLOOKUP($C583,[4]Sheet1!$B:$AN,39,FALSE)</f>
        <v>21.02</v>
      </c>
      <c r="W583" s="21">
        <v>26.75</v>
      </c>
      <c r="X583" s="23">
        <v>4</v>
      </c>
      <c r="Y583" s="23">
        <v>4</v>
      </c>
      <c r="Z583" s="25">
        <f t="shared" si="68"/>
        <v>0</v>
      </c>
      <c r="AA583" s="25" t="str">
        <f t="shared" si="69"/>
        <v>是</v>
      </c>
      <c r="AB583" t="s">
        <v>148</v>
      </c>
      <c r="AC583" t="e">
        <f>VLOOKUP(C583,[1]Sheet1!$C:$O,13,FALSE)</f>
        <v>#N/A</v>
      </c>
      <c r="AD583" t="str">
        <f>VLOOKUP($H583,'[3]0509人员排班情况 副本'!$G:$U,12,FALSE)</f>
        <v>王骞Ariel（Qian Wang）,叶秀芳Freya (Xiufang Ye)</v>
      </c>
      <c r="AE583" t="str">
        <f>VLOOKUP($H583,'[3]0509人员排班情况 副本'!$G:$U,13,FALSE)</f>
        <v>常哲</v>
      </c>
      <c r="AF583" t="str">
        <f>VLOOKUP($H583,'[3]0509人员排班情况 副本'!$G:$U,14,FALSE)</f>
        <v>Minqing (Minqing Xu),罗煜雄 Mike (Yuxiong Luo)</v>
      </c>
      <c r="AG583">
        <f>VLOOKUP($H583,'[3]0509人员排班情况 副本'!$G:$U,15,FALSE)</f>
        <v>0</v>
      </c>
    </row>
    <row r="584" customHeight="1" spans="1:33">
      <c r="A584" t="s">
        <v>202</v>
      </c>
      <c r="B584" t="s">
        <v>1889</v>
      </c>
      <c r="C584" t="s">
        <v>1890</v>
      </c>
      <c r="D584" t="s">
        <v>58</v>
      </c>
      <c r="E584" t="s">
        <v>63</v>
      </c>
      <c r="F584" t="s">
        <v>243</v>
      </c>
      <c r="G584" t="s">
        <v>112</v>
      </c>
      <c r="H584" t="str">
        <f t="shared" si="63"/>
        <v>MS 中南大区CLT.H调度组</v>
      </c>
      <c r="I584" t="s">
        <v>160</v>
      </c>
      <c r="J584" t="s">
        <v>217</v>
      </c>
      <c r="K584" s="15">
        <v>0.395833333333333</v>
      </c>
      <c r="L584" s="15" t="s">
        <v>218</v>
      </c>
      <c r="M584" s="15"/>
      <c r="N584" t="s">
        <v>1891</v>
      </c>
      <c r="O584" s="20" t="str">
        <f t="shared" si="64"/>
        <v>不正确</v>
      </c>
      <c r="P584" s="21">
        <v>0</v>
      </c>
      <c r="Q584" s="21">
        <v>0</v>
      </c>
      <c r="R584" s="21">
        <v>0</v>
      </c>
      <c r="S584" s="21">
        <f t="shared" si="65"/>
        <v>0</v>
      </c>
      <c r="T584" s="21">
        <f t="shared" si="66"/>
        <v>0</v>
      </c>
      <c r="U584" s="21" t="str">
        <f t="shared" si="67"/>
        <v>否</v>
      </c>
      <c r="V584" s="21">
        <f>VLOOKUP($C584,[4]Sheet1!$B:$AN,39,FALSE)</f>
        <v>0</v>
      </c>
      <c r="W584" s="21">
        <v>0</v>
      </c>
      <c r="X584" s="23">
        <v>2</v>
      </c>
      <c r="Y584" s="23">
        <v>0</v>
      </c>
      <c r="Z584" s="25">
        <f t="shared" si="68"/>
        <v>0</v>
      </c>
      <c r="AA584" s="25" t="str">
        <f t="shared" si="69"/>
        <v>是</v>
      </c>
      <c r="AB584" t="s">
        <v>148</v>
      </c>
      <c r="AC584" t="e">
        <f>VLOOKUP(C584,[1]Sheet1!$C:$O,13,FALSE)</f>
        <v>#N/A</v>
      </c>
      <c r="AD584" t="str">
        <f>VLOOKUP($H584,'[3]0509人员排班情况 副本'!$G:$U,12,FALSE)</f>
        <v>欧阳迎春Flower（Yingchun Ouyang）</v>
      </c>
      <c r="AE584" t="str">
        <f>VLOOKUP($H584,'[3]0509人员排班情况 副本'!$G:$U,13,FALSE)</f>
        <v>杨云飞</v>
      </c>
      <c r="AF584" t="str">
        <f>VLOOKUP($H584,'[3]0509人员排班情况 副本'!$G:$U,14,FALSE)</f>
        <v>Minqing (Minqing Xu),罗煜雄 Mike (Yuxiong Luo)</v>
      </c>
      <c r="AG584">
        <f>VLOOKUP($H584,'[3]0509人员排班情况 副本'!$G:$U,15,FALSE)</f>
        <v>0</v>
      </c>
    </row>
    <row r="585" customHeight="1" spans="1:33">
      <c r="A585" t="s">
        <v>202</v>
      </c>
      <c r="B585" t="s">
        <v>1892</v>
      </c>
      <c r="C585" t="s">
        <v>1893</v>
      </c>
      <c r="D585" t="s">
        <v>56</v>
      </c>
      <c r="E585" t="s">
        <v>913</v>
      </c>
      <c r="F585" t="s">
        <v>148</v>
      </c>
      <c r="H585" t="str">
        <f t="shared" si="63"/>
        <v>IC 跨境客户部海外客户组</v>
      </c>
      <c r="I585" t="s">
        <v>1134</v>
      </c>
      <c r="J585" t="s">
        <v>236</v>
      </c>
      <c r="K585" s="15">
        <v>0.395833333333333</v>
      </c>
      <c r="L585" s="15" t="s">
        <v>218</v>
      </c>
      <c r="M585" s="15"/>
      <c r="N585" t="s">
        <v>148</v>
      </c>
      <c r="O585" s="20" t="str">
        <f t="shared" si="64"/>
        <v>不正确</v>
      </c>
      <c r="P585" s="21">
        <v>0</v>
      </c>
      <c r="Q585" s="21">
        <v>0</v>
      </c>
      <c r="R585" s="21">
        <v>0</v>
      </c>
      <c r="S585" s="21">
        <f t="shared" si="65"/>
        <v>0</v>
      </c>
      <c r="T585" s="21">
        <f t="shared" si="66"/>
        <v>0</v>
      </c>
      <c r="U585" s="21" t="str">
        <f t="shared" si="67"/>
        <v>否</v>
      </c>
      <c r="V585" s="21">
        <f>VLOOKUP($C585,[4]Sheet1!$B:$AN,39,FALSE)</f>
        <v>0</v>
      </c>
      <c r="W585" s="21">
        <v>0</v>
      </c>
      <c r="X585" s="23">
        <v>0</v>
      </c>
      <c r="Y585" s="23">
        <v>0</v>
      </c>
      <c r="Z585" s="25">
        <f t="shared" si="68"/>
        <v>0</v>
      </c>
      <c r="AA585" s="25" t="str">
        <f t="shared" si="69"/>
        <v>是</v>
      </c>
      <c r="AB585" t="s">
        <v>339</v>
      </c>
      <c r="AC585" t="e">
        <f>VLOOKUP(C585,[1]Sheet1!$C:$O,13,FALSE)</f>
        <v>#N/A</v>
      </c>
      <c r="AD585" t="str">
        <f>VLOOKUP($H585,'[3]0509人员排班情况 副本'!$G:$U,12,FALSE)</f>
        <v>袁博闻(Bowen Yuan)</v>
      </c>
      <c r="AE585">
        <f>VLOOKUP($H585,'[3]0509人员排班情况 副本'!$G:$U,13,FALSE)</f>
        <v>0</v>
      </c>
      <c r="AF585">
        <f>VLOOKUP($H585,'[3]0509人员排班情况 副本'!$G:$U,14,FALSE)</f>
        <v>0</v>
      </c>
      <c r="AG585">
        <f>VLOOKUP($H585,'[3]0509人员排班情况 副本'!$G:$U,15,FALSE)</f>
        <v>0</v>
      </c>
    </row>
    <row r="586" customHeight="1" spans="1:33">
      <c r="A586" t="s">
        <v>202</v>
      </c>
      <c r="B586" t="s">
        <v>1894</v>
      </c>
      <c r="C586" t="s">
        <v>1895</v>
      </c>
      <c r="D586" t="s">
        <v>100</v>
      </c>
      <c r="E586" t="s">
        <v>102</v>
      </c>
      <c r="F586" t="s">
        <v>729</v>
      </c>
      <c r="H586" t="str">
        <f t="shared" si="63"/>
        <v>WE 美西大区DS 丹佛·盐湖城片区DEN01</v>
      </c>
      <c r="I586" t="s">
        <v>156</v>
      </c>
      <c r="J586" t="s">
        <v>343</v>
      </c>
      <c r="K586" s="15">
        <v>0.25</v>
      </c>
      <c r="L586" s="15" t="s">
        <v>344</v>
      </c>
      <c r="M586" s="15">
        <v>0.245138888888889</v>
      </c>
      <c r="N586" t="s">
        <v>1896</v>
      </c>
      <c r="O586" s="20" t="str">
        <f t="shared" si="64"/>
        <v>正确</v>
      </c>
      <c r="P586" s="21">
        <v>0</v>
      </c>
      <c r="Q586" s="21">
        <v>8.47</v>
      </c>
      <c r="R586" s="21">
        <v>0</v>
      </c>
      <c r="S586" s="21">
        <f t="shared" si="65"/>
        <v>8.47</v>
      </c>
      <c r="T586" s="21">
        <f t="shared" si="66"/>
        <v>0.470000000000001</v>
      </c>
      <c r="U586" s="21" t="str">
        <f t="shared" si="67"/>
        <v>是</v>
      </c>
      <c r="V586" s="21">
        <f>VLOOKUP($C586,[4]Sheet1!$B:$AN,39,FALSE)</f>
        <v>16.64</v>
      </c>
      <c r="W586" s="21">
        <v>0</v>
      </c>
      <c r="X586" s="23">
        <v>3</v>
      </c>
      <c r="Y586" s="23">
        <v>4</v>
      </c>
      <c r="Z586" s="25">
        <f t="shared" si="68"/>
        <v>1</v>
      </c>
      <c r="AA586" s="25" t="str">
        <f t="shared" si="69"/>
        <v>是</v>
      </c>
      <c r="AB586" t="s">
        <v>148</v>
      </c>
      <c r="AC586" t="e">
        <f>VLOOKUP(C586,[1]Sheet1!$C:$O,13,FALSE)</f>
        <v>#N/A</v>
      </c>
      <c r="AD586" t="str">
        <f>VLOOKUP($H586,'[3]0509人员排班情况 副本'!$G:$U,12,FALSE)</f>
        <v>王骞Ariel（Qian Wang）,叶秀芳Freya (Xiufang Ye)</v>
      </c>
      <c r="AE586" t="str">
        <f>VLOOKUP($H586,'[3]0509人员排班情况 副本'!$G:$U,13,FALSE)</f>
        <v>常哲</v>
      </c>
      <c r="AF586" t="str">
        <f>VLOOKUP($H586,'[3]0509人员排班情况 副本'!$G:$U,14,FALSE)</f>
        <v>兰鹏Peng（Peng Lan）</v>
      </c>
      <c r="AG586">
        <f>VLOOKUP($H586,'[3]0509人员排班情况 副本'!$G:$U,15,FALSE)</f>
        <v>0</v>
      </c>
    </row>
    <row r="587" customHeight="1" spans="1:33">
      <c r="A587" t="s">
        <v>202</v>
      </c>
      <c r="B587" t="s">
        <v>1897</v>
      </c>
      <c r="C587" t="s">
        <v>1898</v>
      </c>
      <c r="D587" t="s">
        <v>58</v>
      </c>
      <c r="E587" t="s">
        <v>45</v>
      </c>
      <c r="F587" t="s">
        <v>1899</v>
      </c>
      <c r="H587" t="str">
        <f t="shared" si="63"/>
        <v>MS 中南大区揽收部CLT揽收组</v>
      </c>
      <c r="I587" t="s">
        <v>782</v>
      </c>
      <c r="J587" t="s">
        <v>295</v>
      </c>
      <c r="K587" s="15">
        <v>0.375</v>
      </c>
      <c r="L587" s="15" t="s">
        <v>296</v>
      </c>
      <c r="M587" s="15">
        <v>0.377777777777778</v>
      </c>
      <c r="N587" t="s">
        <v>1900</v>
      </c>
      <c r="O587" s="20" t="str">
        <f t="shared" si="64"/>
        <v>正确</v>
      </c>
      <c r="P587" s="21">
        <v>0</v>
      </c>
      <c r="Q587" s="21">
        <v>8.63</v>
      </c>
      <c r="R587" s="21">
        <v>0</v>
      </c>
      <c r="S587" s="21">
        <f t="shared" si="65"/>
        <v>8.63</v>
      </c>
      <c r="T587" s="21">
        <f t="shared" si="66"/>
        <v>0.630000000000001</v>
      </c>
      <c r="U587" s="21" t="str">
        <f t="shared" si="67"/>
        <v>是</v>
      </c>
      <c r="V587" s="21">
        <f>VLOOKUP($C587,[4]Sheet1!$B:$AN,39,FALSE)</f>
        <v>18.33</v>
      </c>
      <c r="W587" s="21">
        <v>0</v>
      </c>
      <c r="X587" s="23">
        <v>5</v>
      </c>
      <c r="Y587" s="23">
        <v>4</v>
      </c>
      <c r="Z587" s="25">
        <f t="shared" si="68"/>
        <v>0</v>
      </c>
      <c r="AA587" s="25" t="str">
        <f t="shared" si="69"/>
        <v>是</v>
      </c>
      <c r="AB587" t="s">
        <v>148</v>
      </c>
      <c r="AC587" t="e">
        <f>VLOOKUP(C587,[1]Sheet1!$C:$O,13,FALSE)</f>
        <v>#N/A</v>
      </c>
      <c r="AD587" t="str">
        <f>VLOOKUP($H587,'[3]0509人员排班情况 副本'!$G:$U,12,FALSE)</f>
        <v>欧阳迎春Flower（Yingchun Ouyang）</v>
      </c>
      <c r="AE587" t="str">
        <f>VLOOKUP($H587,'[3]0509人员排班情况 副本'!$G:$U,13,FALSE)</f>
        <v>杨云飞</v>
      </c>
      <c r="AF587" t="str">
        <f>VLOOKUP($H587,'[3]0509人员排班情况 副本'!$G:$U,14,FALSE)</f>
        <v>依丽旦娜·依明江Dana （Yilidanna Yimingjiang）</v>
      </c>
      <c r="AG587">
        <f>VLOOKUP($H587,'[3]0509人员排班情况 副本'!$G:$U,15,FALSE)</f>
        <v>0</v>
      </c>
    </row>
    <row r="588" customHeight="1" spans="1:33">
      <c r="A588" t="s">
        <v>202</v>
      </c>
      <c r="B588" t="s">
        <v>1901</v>
      </c>
      <c r="C588" t="s">
        <v>1902</v>
      </c>
      <c r="D588" t="s">
        <v>57</v>
      </c>
      <c r="E588" t="s">
        <v>1903</v>
      </c>
      <c r="F588" t="s">
        <v>148</v>
      </c>
      <c r="H588" t="str">
        <f t="shared" si="63"/>
        <v>LD 法务部美洲法务组</v>
      </c>
      <c r="I588" t="s">
        <v>1904</v>
      </c>
      <c r="J588" t="s">
        <v>236</v>
      </c>
      <c r="K588" s="15">
        <v>0.395833333333333</v>
      </c>
      <c r="L588" s="15" t="s">
        <v>218</v>
      </c>
      <c r="M588" s="15">
        <v>0.418055555555556</v>
      </c>
      <c r="N588" t="s">
        <v>1167</v>
      </c>
      <c r="O588" s="20" t="str">
        <f t="shared" si="64"/>
        <v>正确</v>
      </c>
      <c r="P588" s="21">
        <v>0</v>
      </c>
      <c r="Q588" s="21">
        <v>8.03</v>
      </c>
      <c r="R588" s="21">
        <v>0</v>
      </c>
      <c r="S588" s="21">
        <f t="shared" si="65"/>
        <v>8.03</v>
      </c>
      <c r="T588" s="21">
        <f t="shared" si="66"/>
        <v>0.0299999999999994</v>
      </c>
      <c r="U588" s="21" t="str">
        <f t="shared" si="67"/>
        <v>是</v>
      </c>
      <c r="V588" s="21">
        <f>VLOOKUP($C588,[4]Sheet1!$B:$AN,39,FALSE)</f>
        <v>16.21</v>
      </c>
      <c r="W588" s="21">
        <v>0</v>
      </c>
      <c r="X588" s="23">
        <v>5</v>
      </c>
      <c r="Y588" s="23">
        <v>4</v>
      </c>
      <c r="Z588" s="25">
        <f t="shared" si="68"/>
        <v>0</v>
      </c>
      <c r="AA588" s="25" t="str">
        <f t="shared" si="69"/>
        <v>是</v>
      </c>
      <c r="AB588" t="s">
        <v>148</v>
      </c>
      <c r="AC588" t="e">
        <f>VLOOKUP(C588,[1]Sheet1!$C:$O,13,FALSE)</f>
        <v>#N/A</v>
      </c>
      <c r="AD588" t="str">
        <f>VLOOKUP($H588,'[3]0509人员排班情况 副本'!$G:$U,12,FALSE)</f>
        <v>袁博闻(Bowen Yuan)</v>
      </c>
      <c r="AE588">
        <f>VLOOKUP($H588,'[3]0509人员排班情况 副本'!$G:$U,13,FALSE)</f>
        <v>0</v>
      </c>
      <c r="AF588">
        <f>VLOOKUP($H588,'[3]0509人员排班情况 副本'!$G:$U,14,FALSE)</f>
        <v>0</v>
      </c>
      <c r="AG588">
        <f>VLOOKUP($H588,'[3]0509人员排班情况 副本'!$G:$U,15,FALSE)</f>
        <v>0</v>
      </c>
    </row>
    <row r="589" customHeight="1" spans="1:33">
      <c r="A589" t="s">
        <v>202</v>
      </c>
      <c r="B589" t="s">
        <v>1905</v>
      </c>
      <c r="C589" t="s">
        <v>1906</v>
      </c>
      <c r="D589" t="s">
        <v>92</v>
      </c>
      <c r="E589" t="s">
        <v>94</v>
      </c>
      <c r="F589" t="s">
        <v>243</v>
      </c>
      <c r="G589" t="s">
        <v>112</v>
      </c>
      <c r="H589" t="str">
        <f t="shared" si="63"/>
        <v>TX 德州大区DFW.H调度组</v>
      </c>
      <c r="I589" t="s">
        <v>160</v>
      </c>
      <c r="J589" t="s">
        <v>1907</v>
      </c>
      <c r="K589" s="15">
        <v>0.916666666666667</v>
      </c>
      <c r="L589" s="15" t="s">
        <v>1908</v>
      </c>
      <c r="M589" s="15">
        <v>0.909027777777778</v>
      </c>
      <c r="N589" t="s">
        <v>148</v>
      </c>
      <c r="O589" s="20" t="str">
        <f t="shared" si="64"/>
        <v>正确</v>
      </c>
      <c r="P589" s="21">
        <v>0</v>
      </c>
      <c r="Q589" s="21">
        <v>0</v>
      </c>
      <c r="R589" s="21">
        <v>0</v>
      </c>
      <c r="S589" s="21">
        <f t="shared" si="65"/>
        <v>0</v>
      </c>
      <c r="T589" s="21">
        <f t="shared" si="66"/>
        <v>0</v>
      </c>
      <c r="U589" s="21" t="str">
        <f t="shared" si="67"/>
        <v>否</v>
      </c>
      <c r="V589" s="21">
        <f>VLOOKUP($C589,[4]Sheet1!$B:$AN,39,FALSE)</f>
        <v>9.3</v>
      </c>
      <c r="W589" s="21">
        <v>0</v>
      </c>
      <c r="X589" s="23">
        <v>1</v>
      </c>
      <c r="Y589" s="23">
        <v>4</v>
      </c>
      <c r="Z589" s="25">
        <f t="shared" si="68"/>
        <v>3</v>
      </c>
      <c r="AA589" s="25" t="str">
        <f t="shared" si="69"/>
        <v>是</v>
      </c>
      <c r="AB589" t="s">
        <v>148</v>
      </c>
      <c r="AC589" t="e">
        <f>VLOOKUP(C589,[1]Sheet1!$C:$O,13,FALSE)</f>
        <v>#N/A</v>
      </c>
      <c r="AD589" t="str">
        <f>VLOOKUP($H589,'[3]0509人员排班情况 副本'!$G:$U,12,FALSE)</f>
        <v>肖芦莉Lily (Luli Xiao)</v>
      </c>
      <c r="AE589" t="str">
        <f>VLOOKUP($H589,'[3]0509人员排班情况 副本'!$G:$U,13,FALSE)</f>
        <v>张骥Ji Zhang (Ji Zhang)</v>
      </c>
      <c r="AF589" t="str">
        <f>VLOOKUP($H589,'[3]0509人员排班情况 副本'!$G:$U,14,FALSE)</f>
        <v>Minqing (Minqing Xu),罗煜雄 Mike (Yuxiong Luo)</v>
      </c>
      <c r="AG589">
        <f>VLOOKUP($H589,'[3]0509人员排班情况 副本'!$G:$U,15,FALSE)</f>
        <v>0</v>
      </c>
    </row>
    <row r="590" customHeight="1" spans="1:33">
      <c r="A590" t="s">
        <v>202</v>
      </c>
      <c r="B590" t="s">
        <v>1909</v>
      </c>
      <c r="C590" t="s">
        <v>1910</v>
      </c>
      <c r="D590" t="s">
        <v>15</v>
      </c>
      <c r="E590" t="s">
        <v>19</v>
      </c>
      <c r="F590" t="s">
        <v>592</v>
      </c>
      <c r="H590" t="str">
        <f t="shared" si="63"/>
        <v>FL 佛州大区MF 中佛片区WPB02</v>
      </c>
      <c r="I590" t="s">
        <v>177</v>
      </c>
      <c r="J590" t="s">
        <v>221</v>
      </c>
      <c r="K590" s="15">
        <v>0.208333333333333</v>
      </c>
      <c r="L590" s="15" t="s">
        <v>222</v>
      </c>
      <c r="M590" s="15">
        <v>0.215972222222222</v>
      </c>
      <c r="N590" t="s">
        <v>1911</v>
      </c>
      <c r="O590" s="20" t="str">
        <f t="shared" si="64"/>
        <v>正确</v>
      </c>
      <c r="P590" s="21">
        <v>0</v>
      </c>
      <c r="Q590" s="21">
        <v>8.67</v>
      </c>
      <c r="R590" s="21">
        <v>0</v>
      </c>
      <c r="S590" s="21">
        <f t="shared" si="65"/>
        <v>8.67</v>
      </c>
      <c r="T590" s="21">
        <f t="shared" si="66"/>
        <v>0.67</v>
      </c>
      <c r="U590" s="21" t="str">
        <f t="shared" si="67"/>
        <v>是</v>
      </c>
      <c r="V590" s="21">
        <f>VLOOKUP($C590,[4]Sheet1!$B:$AN,39,FALSE)</f>
        <v>8.67</v>
      </c>
      <c r="W590" s="21">
        <v>0</v>
      </c>
      <c r="X590" s="23">
        <v>2</v>
      </c>
      <c r="Y590" s="23">
        <v>4</v>
      </c>
      <c r="Z590" s="25">
        <f t="shared" si="68"/>
        <v>2</v>
      </c>
      <c r="AA590" s="25" t="str">
        <f t="shared" si="69"/>
        <v>是</v>
      </c>
      <c r="AB590" t="s">
        <v>148</v>
      </c>
      <c r="AC590" t="e">
        <f>VLOOKUP(C590,[1]Sheet1!$C:$O,13,FALSE)</f>
        <v>#N/A</v>
      </c>
      <c r="AD590" t="str">
        <f>VLOOKUP($H590,'[3]0509人员排班情况 副本'!$G:$U,12,FALSE)</f>
        <v>Natalia (Natalia Padilla),孙婕 Jasmine（Sunjie）</v>
      </c>
      <c r="AE590" t="str">
        <f>VLOOKUP($H590,'[3]0509人员排班情况 副本'!$G:$U,13,FALSE)</f>
        <v>贺子强Jeff (Ziqiang He)</v>
      </c>
      <c r="AF590" t="str">
        <f>VLOOKUP($H590,'[3]0509人员排班情况 副本'!$G:$U,14,FALSE)</f>
        <v>曹杨清清(Encore)</v>
      </c>
      <c r="AG590">
        <f>VLOOKUP($H590,'[3]0509人员排班情况 副本'!$G:$U,15,FALSE)</f>
        <v>0</v>
      </c>
    </row>
    <row r="591" customHeight="1" spans="1:33">
      <c r="A591" t="s">
        <v>202</v>
      </c>
      <c r="B591" t="s">
        <v>1912</v>
      </c>
      <c r="C591" t="s">
        <v>1913</v>
      </c>
      <c r="D591" t="s">
        <v>68</v>
      </c>
      <c r="E591" t="s">
        <v>80</v>
      </c>
      <c r="F591" t="s">
        <v>71</v>
      </c>
      <c r="H591" t="str">
        <f t="shared" si="63"/>
        <v>NE 东北大区MA 新英格兰片区BOS01</v>
      </c>
      <c r="I591" t="s">
        <v>177</v>
      </c>
      <c r="J591" t="s">
        <v>343</v>
      </c>
      <c r="K591" s="15">
        <v>0.25</v>
      </c>
      <c r="L591" s="15" t="s">
        <v>344</v>
      </c>
      <c r="M591" s="15">
        <v>0.258333333333333</v>
      </c>
      <c r="N591" t="s">
        <v>1914</v>
      </c>
      <c r="O591" s="20" t="str">
        <f t="shared" si="64"/>
        <v>正确</v>
      </c>
      <c r="P591" s="21">
        <v>0</v>
      </c>
      <c r="Q591" s="21">
        <v>8.12</v>
      </c>
      <c r="R591" s="21">
        <v>0</v>
      </c>
      <c r="S591" s="21">
        <f t="shared" si="65"/>
        <v>8.12</v>
      </c>
      <c r="T591" s="21">
        <f t="shared" si="66"/>
        <v>0.119999999999999</v>
      </c>
      <c r="U591" s="21" t="str">
        <f t="shared" si="67"/>
        <v>是</v>
      </c>
      <c r="V591" s="21">
        <f>VLOOKUP($C591,[4]Sheet1!$B:$AN,39,FALSE)</f>
        <v>16.15</v>
      </c>
      <c r="W591" s="21">
        <v>0</v>
      </c>
      <c r="X591" s="23">
        <v>4</v>
      </c>
      <c r="Y591" s="23">
        <v>4</v>
      </c>
      <c r="Z591" s="25">
        <f t="shared" si="68"/>
        <v>0</v>
      </c>
      <c r="AA591" s="25" t="str">
        <f t="shared" si="69"/>
        <v>是</v>
      </c>
      <c r="AB591" t="s">
        <v>148</v>
      </c>
      <c r="AC591" t="e">
        <f>VLOOKUP(C591,[1]Sheet1!$C:$O,13,FALSE)</f>
        <v>#N/A</v>
      </c>
      <c r="AD591" t="str">
        <f>VLOOKUP($H591,'[3]0509人员排班情况 副本'!$G:$U,12,FALSE)</f>
        <v>孙可君Monica（Kejun Sun）</v>
      </c>
      <c r="AE591" t="str">
        <f>VLOOKUP($H591,'[3]0509人员排班情况 副本'!$G:$U,13,FALSE)</f>
        <v>马聪Cong (Cong Ma)</v>
      </c>
      <c r="AF591" t="str">
        <f>VLOOKUP($H591,'[3]0509人员排班情况 副本'!$G:$U,14,FALSE)</f>
        <v>朱晗宇 Peter (Hanyu Zhu)</v>
      </c>
      <c r="AG591">
        <f>VLOOKUP($H591,'[3]0509人员排班情况 副本'!$G:$U,15,FALSE)</f>
        <v>0</v>
      </c>
    </row>
    <row r="592" customHeight="1" spans="1:33">
      <c r="A592" t="s">
        <v>202</v>
      </c>
      <c r="B592" t="s">
        <v>1915</v>
      </c>
      <c r="C592" t="s">
        <v>1916</v>
      </c>
      <c r="D592" t="s">
        <v>68</v>
      </c>
      <c r="E592" t="s">
        <v>69</v>
      </c>
      <c r="F592" t="s">
        <v>148</v>
      </c>
      <c r="H592" t="str">
        <f t="shared" si="63"/>
        <v>NE 东北大区BDL01</v>
      </c>
      <c r="I592" t="s">
        <v>177</v>
      </c>
      <c r="J592" t="s">
        <v>221</v>
      </c>
      <c r="K592" s="15">
        <v>0.208333333333333</v>
      </c>
      <c r="L592" s="15" t="s">
        <v>222</v>
      </c>
      <c r="M592" s="15">
        <v>0.217361111111111</v>
      </c>
      <c r="N592" t="s">
        <v>1250</v>
      </c>
      <c r="O592" s="20" t="str">
        <f t="shared" si="64"/>
        <v>正确</v>
      </c>
      <c r="P592" s="21">
        <v>0</v>
      </c>
      <c r="Q592" s="21">
        <v>8</v>
      </c>
      <c r="R592" s="21">
        <v>0</v>
      </c>
      <c r="S592" s="21">
        <f t="shared" si="65"/>
        <v>8</v>
      </c>
      <c r="T592" s="21">
        <f t="shared" si="66"/>
        <v>0</v>
      </c>
      <c r="U592" s="21" t="str">
        <f t="shared" si="67"/>
        <v>否</v>
      </c>
      <c r="V592" s="21">
        <f>VLOOKUP($C592,[4]Sheet1!$B:$AN,39,FALSE)</f>
        <v>15.83</v>
      </c>
      <c r="W592" s="21">
        <v>0</v>
      </c>
      <c r="X592" s="23">
        <v>4</v>
      </c>
      <c r="Y592" s="23">
        <v>4</v>
      </c>
      <c r="Z592" s="25">
        <f t="shared" si="68"/>
        <v>0</v>
      </c>
      <c r="AA592" s="25" t="str">
        <f t="shared" si="69"/>
        <v>是</v>
      </c>
      <c r="AB592" t="s">
        <v>148</v>
      </c>
      <c r="AC592" t="e">
        <f>VLOOKUP(C592,[1]Sheet1!$C:$O,13,FALSE)</f>
        <v>#N/A</v>
      </c>
      <c r="AD592" t="str">
        <f>VLOOKUP($H592,'[3]0509人员排班情况 副本'!$G:$U,12,FALSE)</f>
        <v>孙可君Monica（Kejun Sun）</v>
      </c>
      <c r="AE592" t="str">
        <f>VLOOKUP($H592,'[3]0509人员排班情况 副本'!$G:$U,13,FALSE)</f>
        <v>马聪Cong (Cong Ma)</v>
      </c>
      <c r="AF592">
        <f>VLOOKUP($H592,'[3]0509人员排班情况 副本'!$G:$U,14,FALSE)</f>
        <v>0</v>
      </c>
      <c r="AG592">
        <f>VLOOKUP($H592,'[3]0509人员排班情况 副本'!$G:$U,15,FALSE)</f>
        <v>0</v>
      </c>
    </row>
    <row r="593" customHeight="1" spans="1:33">
      <c r="A593" t="s">
        <v>202</v>
      </c>
      <c r="B593" t="s">
        <v>1917</v>
      </c>
      <c r="C593" t="s">
        <v>1918</v>
      </c>
      <c r="D593" t="s">
        <v>100</v>
      </c>
      <c r="E593" t="s">
        <v>105</v>
      </c>
      <c r="F593" t="s">
        <v>750</v>
      </c>
      <c r="H593" t="str">
        <f t="shared" si="63"/>
        <v>WE 美西大区NC 北加片区SFO.H</v>
      </c>
      <c r="I593" t="s">
        <v>170</v>
      </c>
      <c r="J593" t="s">
        <v>282</v>
      </c>
      <c r="K593" s="15">
        <v>0.416666666666667</v>
      </c>
      <c r="L593" s="15" t="s">
        <v>283</v>
      </c>
      <c r="M593" s="15"/>
      <c r="N593" t="s">
        <v>148</v>
      </c>
      <c r="O593" s="20" t="str">
        <f t="shared" si="64"/>
        <v>不正确</v>
      </c>
      <c r="P593" s="21">
        <v>0</v>
      </c>
      <c r="Q593" s="21">
        <v>0</v>
      </c>
      <c r="R593" s="21">
        <v>0</v>
      </c>
      <c r="S593" s="21">
        <f t="shared" si="65"/>
        <v>0</v>
      </c>
      <c r="T593" s="21">
        <f t="shared" si="66"/>
        <v>0</v>
      </c>
      <c r="U593" s="21" t="str">
        <f t="shared" si="67"/>
        <v>否</v>
      </c>
      <c r="V593" s="21">
        <f>VLOOKUP($C593,[4]Sheet1!$B:$AN,39,FALSE)</f>
        <v>0</v>
      </c>
      <c r="W593" s="21">
        <v>0</v>
      </c>
      <c r="X593" s="23">
        <v>1</v>
      </c>
      <c r="Y593" s="23">
        <v>4</v>
      </c>
      <c r="Z593" s="25">
        <f t="shared" si="68"/>
        <v>3</v>
      </c>
      <c r="AA593" s="25" t="str">
        <f t="shared" si="69"/>
        <v>是</v>
      </c>
      <c r="AB593" t="s">
        <v>148</v>
      </c>
      <c r="AC593" t="e">
        <f>VLOOKUP(C593,[1]Sheet1!$C:$O,13,FALSE)</f>
        <v>#N/A</v>
      </c>
      <c r="AD593" t="str">
        <f>VLOOKUP($H593,'[3]0509人员排班情况 副本'!$G:$U,12,FALSE)</f>
        <v>王骞Ariel（Qian Wang）,叶秀芳Freya (Xiufang Ye)</v>
      </c>
      <c r="AE593" t="str">
        <f>VLOOKUP($H593,'[3]0509人员排班情况 副本'!$G:$U,13,FALSE)</f>
        <v>常哲</v>
      </c>
      <c r="AF593" t="str">
        <f>VLOOKUP($H593,'[3]0509人员排班情况 副本'!$G:$U,14,FALSE)</f>
        <v>林美浚（Meijun Lin）</v>
      </c>
      <c r="AG593">
        <f>VLOOKUP($H593,'[3]0509人员排班情况 副本'!$G:$U,15,FALSE)</f>
        <v>0</v>
      </c>
    </row>
    <row r="594" customHeight="1" spans="1:33">
      <c r="A594" t="s">
        <v>202</v>
      </c>
      <c r="B594" t="s">
        <v>1919</v>
      </c>
      <c r="C594" t="s">
        <v>1920</v>
      </c>
      <c r="D594" t="s">
        <v>100</v>
      </c>
      <c r="E594" t="s">
        <v>101</v>
      </c>
      <c r="F594" t="s">
        <v>275</v>
      </c>
      <c r="G594" t="s">
        <v>112</v>
      </c>
      <c r="H594" t="str">
        <f t="shared" si="63"/>
        <v>WE 美西大区CNO.H分拣组</v>
      </c>
      <c r="I594" t="s">
        <v>303</v>
      </c>
      <c r="J594" t="s">
        <v>421</v>
      </c>
      <c r="K594" s="15">
        <v>0.708333333333333</v>
      </c>
      <c r="L594" s="15" t="s">
        <v>422</v>
      </c>
      <c r="M594" s="15">
        <v>0.715277777777778</v>
      </c>
      <c r="N594" t="s">
        <v>148</v>
      </c>
      <c r="O594" s="20" t="str">
        <f t="shared" si="64"/>
        <v>正确</v>
      </c>
      <c r="P594" s="21">
        <v>0</v>
      </c>
      <c r="Q594" s="21">
        <v>0</v>
      </c>
      <c r="R594" s="21">
        <v>0</v>
      </c>
      <c r="S594" s="21">
        <f t="shared" si="65"/>
        <v>0</v>
      </c>
      <c r="T594" s="21">
        <f t="shared" si="66"/>
        <v>0</v>
      </c>
      <c r="U594" s="21" t="str">
        <f t="shared" si="67"/>
        <v>否</v>
      </c>
      <c r="V594" s="21">
        <f>VLOOKUP($C594,[4]Sheet1!$B:$AN,39,FALSE)</f>
        <v>11.57</v>
      </c>
      <c r="W594" s="21">
        <v>0</v>
      </c>
      <c r="X594" s="23">
        <v>3</v>
      </c>
      <c r="Y594" s="23">
        <v>4</v>
      </c>
      <c r="Z594" s="25">
        <f t="shared" si="68"/>
        <v>1</v>
      </c>
      <c r="AA594" s="25" t="str">
        <f t="shared" si="69"/>
        <v>是</v>
      </c>
      <c r="AB594" t="s">
        <v>148</v>
      </c>
      <c r="AC594" t="e">
        <f>VLOOKUP(C594,[1]Sheet1!$C:$O,13,FALSE)</f>
        <v>#N/A</v>
      </c>
      <c r="AD594" t="str">
        <f>VLOOKUP($H594,'[3]0509人员排班情况 副本'!$G:$U,12,FALSE)</f>
        <v>王骞Ariel（Qian Wang）,叶秀芳Freya (Xiufang Ye)</v>
      </c>
      <c r="AE594" t="str">
        <f>VLOOKUP($H594,'[3]0509人员排班情况 副本'!$G:$U,13,FALSE)</f>
        <v>常哲</v>
      </c>
      <c r="AF594" t="str">
        <f>VLOOKUP($H594,'[3]0509人员排班情况 副本'!$G:$U,14,FALSE)</f>
        <v>张双甫(Shuangfu Zhang)</v>
      </c>
      <c r="AG594">
        <f>VLOOKUP($H594,'[3]0509人员排班情况 副本'!$G:$U,15,FALSE)</f>
        <v>0</v>
      </c>
    </row>
    <row r="595" customHeight="1" spans="1:33">
      <c r="A595" t="s">
        <v>202</v>
      </c>
      <c r="B595" t="s">
        <v>1921</v>
      </c>
      <c r="C595" t="s">
        <v>1922</v>
      </c>
      <c r="D595" t="s">
        <v>99</v>
      </c>
      <c r="E595" t="s">
        <v>677</v>
      </c>
      <c r="F595" t="s">
        <v>894</v>
      </c>
      <c r="H595" t="str">
        <f t="shared" si="63"/>
        <v>US人力资源部美洲HRBP组美西区HR组</v>
      </c>
      <c r="I595" t="s">
        <v>865</v>
      </c>
      <c r="J595" t="s">
        <v>236</v>
      </c>
      <c r="K595" s="15">
        <v>0.395833333333333</v>
      </c>
      <c r="L595" s="15" t="s">
        <v>218</v>
      </c>
      <c r="M595" s="15">
        <v>0.411805555555556</v>
      </c>
      <c r="N595" t="s">
        <v>972</v>
      </c>
      <c r="O595" s="20" t="str">
        <f t="shared" si="64"/>
        <v>正确</v>
      </c>
      <c r="P595" s="21">
        <v>0</v>
      </c>
      <c r="Q595" s="21">
        <v>8.58</v>
      </c>
      <c r="R595" s="21">
        <v>0</v>
      </c>
      <c r="S595" s="21">
        <f t="shared" si="65"/>
        <v>8.58</v>
      </c>
      <c r="T595" s="21">
        <f t="shared" si="66"/>
        <v>0.58</v>
      </c>
      <c r="U595" s="21" t="str">
        <f t="shared" si="67"/>
        <v>是</v>
      </c>
      <c r="V595" s="21">
        <f>VLOOKUP($C595,[4]Sheet1!$B:$AN,39,FALSE)</f>
        <v>17.35</v>
      </c>
      <c r="W595" s="21">
        <v>0</v>
      </c>
      <c r="X595" s="23">
        <v>4</v>
      </c>
      <c r="Y595" s="23">
        <v>4</v>
      </c>
      <c r="Z595" s="25">
        <f t="shared" si="68"/>
        <v>0</v>
      </c>
      <c r="AA595" s="25" t="str">
        <f t="shared" si="69"/>
        <v>是</v>
      </c>
      <c r="AB595" t="s">
        <v>148</v>
      </c>
      <c r="AC595" t="e">
        <f>VLOOKUP(C595,[1]Sheet1!$C:$O,13,FALSE)</f>
        <v>#N/A</v>
      </c>
      <c r="AD595" t="str">
        <f>VLOOKUP($H595,'[3]0509人员排班情况 副本'!$G:$U,12,FALSE)</f>
        <v>袁博闻(Bowen Yuan)</v>
      </c>
      <c r="AE595">
        <f>VLOOKUP($H595,'[3]0509人员排班情况 副本'!$G:$U,13,FALSE)</f>
        <v>0</v>
      </c>
      <c r="AF595">
        <f>VLOOKUP($H595,'[3]0509人员排班情况 副本'!$G:$U,14,FALSE)</f>
        <v>0</v>
      </c>
      <c r="AG595">
        <f>VLOOKUP($H595,'[3]0509人员排班情况 副本'!$G:$U,15,FALSE)</f>
        <v>0</v>
      </c>
    </row>
    <row r="596" customHeight="1" spans="1:33">
      <c r="A596" t="s">
        <v>202</v>
      </c>
      <c r="B596" t="s">
        <v>1923</v>
      </c>
      <c r="C596" t="s">
        <v>1924</v>
      </c>
      <c r="D596" t="s">
        <v>100</v>
      </c>
      <c r="E596" t="s">
        <v>44</v>
      </c>
      <c r="F596" t="s">
        <v>148</v>
      </c>
      <c r="H596" t="str">
        <f t="shared" si="63"/>
        <v>WE 美西大区车辆管理部</v>
      </c>
      <c r="I596" t="s">
        <v>769</v>
      </c>
      <c r="J596" t="s">
        <v>295</v>
      </c>
      <c r="K596" s="15">
        <v>0.375</v>
      </c>
      <c r="L596" s="15" t="s">
        <v>296</v>
      </c>
      <c r="M596" s="15">
        <v>0.356944444444444</v>
      </c>
      <c r="N596" t="s">
        <v>218</v>
      </c>
      <c r="O596" s="20" t="str">
        <f t="shared" si="64"/>
        <v>正确</v>
      </c>
      <c r="P596" s="21">
        <v>0</v>
      </c>
      <c r="Q596" s="21">
        <v>8.93</v>
      </c>
      <c r="R596" s="21">
        <v>0</v>
      </c>
      <c r="S596" s="21">
        <f t="shared" si="65"/>
        <v>8.93</v>
      </c>
      <c r="T596" s="21">
        <f t="shared" si="66"/>
        <v>0.93</v>
      </c>
      <c r="U596" s="21" t="str">
        <f t="shared" si="67"/>
        <v>是</v>
      </c>
      <c r="V596" s="21">
        <f>VLOOKUP($C596,[4]Sheet1!$B:$AN,39,FALSE)</f>
        <v>17.65</v>
      </c>
      <c r="W596" s="21">
        <v>0</v>
      </c>
      <c r="X596" s="23">
        <v>4</v>
      </c>
      <c r="Y596" s="23">
        <v>4</v>
      </c>
      <c r="Z596" s="25">
        <f t="shared" si="68"/>
        <v>0</v>
      </c>
      <c r="AA596" s="25" t="str">
        <f t="shared" si="69"/>
        <v>是</v>
      </c>
      <c r="AB596" t="s">
        <v>148</v>
      </c>
      <c r="AC596" t="e">
        <f>VLOOKUP(C596,[1]Sheet1!$C:$O,13,FALSE)</f>
        <v>#N/A</v>
      </c>
      <c r="AD596" t="str">
        <f>VLOOKUP($H596,'[3]0509人员排班情况 副本'!$G:$U,12,FALSE)</f>
        <v>王骞Ariel（Qian Wang）,叶秀芳Freya (Xiufang Ye)</v>
      </c>
      <c r="AE596" t="str">
        <f>VLOOKUP($H596,'[3]0509人员排班情况 副本'!$G:$U,13,FALSE)</f>
        <v>常哲</v>
      </c>
      <c r="AF596">
        <f>VLOOKUP($H596,'[3]0509人员排班情况 副本'!$G:$U,14,FALSE)</f>
        <v>0</v>
      </c>
      <c r="AG596">
        <f>VLOOKUP($H596,'[3]0509人员排班情况 副本'!$G:$U,15,FALSE)</f>
        <v>0</v>
      </c>
    </row>
    <row r="597" customHeight="1" spans="1:33">
      <c r="A597" t="s">
        <v>202</v>
      </c>
      <c r="B597" t="s">
        <v>1925</v>
      </c>
      <c r="C597" t="s">
        <v>1926</v>
      </c>
      <c r="D597" t="s">
        <v>68</v>
      </c>
      <c r="E597" t="s">
        <v>76</v>
      </c>
      <c r="F597" t="s">
        <v>243</v>
      </c>
      <c r="G597" t="s">
        <v>112</v>
      </c>
      <c r="H597" t="str">
        <f t="shared" si="63"/>
        <v>NE 东北大区EWR.H调度组</v>
      </c>
      <c r="I597" t="s">
        <v>160</v>
      </c>
      <c r="J597" t="s">
        <v>882</v>
      </c>
      <c r="K597" s="15">
        <v>0.5625</v>
      </c>
      <c r="L597" s="15" t="s">
        <v>836</v>
      </c>
      <c r="M597" s="15">
        <v>0.472222222222222</v>
      </c>
      <c r="N597" t="s">
        <v>148</v>
      </c>
      <c r="O597" s="20" t="str">
        <f t="shared" si="64"/>
        <v>不正确</v>
      </c>
      <c r="P597" s="21">
        <v>0</v>
      </c>
      <c r="Q597" s="21">
        <v>0</v>
      </c>
      <c r="R597" s="21">
        <v>0</v>
      </c>
      <c r="S597" s="21">
        <f t="shared" si="65"/>
        <v>0</v>
      </c>
      <c r="T597" s="21">
        <f t="shared" si="66"/>
        <v>0</v>
      </c>
      <c r="U597" s="21" t="str">
        <f t="shared" si="67"/>
        <v>否</v>
      </c>
      <c r="V597" s="21">
        <f>VLOOKUP($C597,[4]Sheet1!$B:$AN,39,FALSE)</f>
        <v>9.25</v>
      </c>
      <c r="W597" s="21">
        <v>0</v>
      </c>
      <c r="X597" s="23">
        <v>1</v>
      </c>
      <c r="Y597" s="23">
        <v>4</v>
      </c>
      <c r="Z597" s="25">
        <f t="shared" si="68"/>
        <v>3</v>
      </c>
      <c r="AA597" s="25" t="str">
        <f t="shared" si="69"/>
        <v>是</v>
      </c>
      <c r="AB597" t="s">
        <v>148</v>
      </c>
      <c r="AC597" t="e">
        <f>VLOOKUP(C597,[1]Sheet1!$C:$O,13,FALSE)</f>
        <v>#N/A</v>
      </c>
      <c r="AD597" t="str">
        <f>VLOOKUP($H597,'[3]0509人员排班情况 副本'!$G:$U,12,FALSE)</f>
        <v>孙可君Monica（Kejun Sun）</v>
      </c>
      <c r="AE597" t="str">
        <f>VLOOKUP($H597,'[3]0509人员排班情况 副本'!$G:$U,13,FALSE)</f>
        <v>马聪Cong (Cong Ma)</v>
      </c>
      <c r="AF597" t="str">
        <f>VLOOKUP($H597,'[3]0509人员排班情况 副本'!$G:$U,14,FALSE)</f>
        <v>Minqing (Minqing Xu),罗煜雄 Mike (Yuxiong Luo)</v>
      </c>
      <c r="AG597">
        <f>VLOOKUP($H597,'[3]0509人员排班情况 副本'!$G:$U,15,FALSE)</f>
        <v>0</v>
      </c>
    </row>
    <row r="598" customHeight="1" spans="1:33">
      <c r="A598" t="s">
        <v>202</v>
      </c>
      <c r="B598" t="s">
        <v>1927</v>
      </c>
      <c r="C598" t="s">
        <v>1928</v>
      </c>
      <c r="D598" t="s">
        <v>8</v>
      </c>
      <c r="E598" t="s">
        <v>1366</v>
      </c>
      <c r="F598" t="s">
        <v>148</v>
      </c>
      <c r="H598" t="str">
        <f t="shared" si="63"/>
        <v>AD 行政部美西组</v>
      </c>
      <c r="I598" t="s">
        <v>1208</v>
      </c>
      <c r="J598" t="s">
        <v>236</v>
      </c>
      <c r="K598" s="15">
        <v>0.395833333333333</v>
      </c>
      <c r="L598" s="15" t="s">
        <v>218</v>
      </c>
      <c r="M598" s="15">
        <v>0.396527777777778</v>
      </c>
      <c r="N598" t="s">
        <v>1216</v>
      </c>
      <c r="O598" s="20" t="str">
        <f t="shared" si="64"/>
        <v>正确</v>
      </c>
      <c r="P598" s="21">
        <v>0</v>
      </c>
      <c r="Q598" s="21">
        <v>8.28</v>
      </c>
      <c r="R598" s="21">
        <v>0</v>
      </c>
      <c r="S598" s="21">
        <f t="shared" si="65"/>
        <v>8.28</v>
      </c>
      <c r="T598" s="21">
        <f t="shared" si="66"/>
        <v>0.279999999999999</v>
      </c>
      <c r="U598" s="21" t="str">
        <f t="shared" si="67"/>
        <v>是</v>
      </c>
      <c r="V598" s="21">
        <f>VLOOKUP($C598,[4]Sheet1!$B:$AN,39,FALSE)</f>
        <v>16.31</v>
      </c>
      <c r="W598" s="21">
        <v>0</v>
      </c>
      <c r="X598" s="23">
        <v>4</v>
      </c>
      <c r="Y598" s="23">
        <v>4</v>
      </c>
      <c r="Z598" s="25">
        <f t="shared" si="68"/>
        <v>0</v>
      </c>
      <c r="AA598" s="25" t="str">
        <f t="shared" si="69"/>
        <v>是</v>
      </c>
      <c r="AB598" t="s">
        <v>148</v>
      </c>
      <c r="AC598" t="e">
        <f>VLOOKUP(C598,[1]Sheet1!$C:$O,13,FALSE)</f>
        <v>#N/A</v>
      </c>
      <c r="AD598" t="str">
        <f>VLOOKUP($H598,'[3]0509人员排班情况 副本'!$G:$U,12,FALSE)</f>
        <v>袁博闻(Bowen Yuan)</v>
      </c>
      <c r="AE598">
        <f>VLOOKUP($H598,'[3]0509人员排班情况 副本'!$G:$U,13,FALSE)</f>
        <v>0</v>
      </c>
      <c r="AF598">
        <f>VLOOKUP($H598,'[3]0509人员排班情况 副本'!$G:$U,14,FALSE)</f>
        <v>0</v>
      </c>
      <c r="AG598">
        <f>VLOOKUP($H598,'[3]0509人员排班情况 副本'!$G:$U,15,FALSE)</f>
        <v>0</v>
      </c>
    </row>
    <row r="599" customHeight="1" spans="1:33">
      <c r="A599" t="s">
        <v>202</v>
      </c>
      <c r="B599" t="s">
        <v>1929</v>
      </c>
      <c r="C599" t="s">
        <v>1930</v>
      </c>
      <c r="D599" t="s">
        <v>100</v>
      </c>
      <c r="E599" t="s">
        <v>101</v>
      </c>
      <c r="F599" t="s">
        <v>166</v>
      </c>
      <c r="G599" t="s">
        <v>112</v>
      </c>
      <c r="H599" t="str">
        <f t="shared" si="63"/>
        <v>WE 美西大区CNO.H综办组</v>
      </c>
      <c r="I599" t="s">
        <v>1284</v>
      </c>
      <c r="J599" t="s">
        <v>407</v>
      </c>
      <c r="K599" s="15">
        <v>0.354166666666667</v>
      </c>
      <c r="L599" s="15" t="s">
        <v>254</v>
      </c>
      <c r="M599" s="15">
        <v>0.425</v>
      </c>
      <c r="N599" t="s">
        <v>1931</v>
      </c>
      <c r="O599" s="20" t="str">
        <f t="shared" si="64"/>
        <v>不正确</v>
      </c>
      <c r="P599" s="21">
        <v>0</v>
      </c>
      <c r="Q599" s="21">
        <v>9.22</v>
      </c>
      <c r="R599" s="21">
        <v>0</v>
      </c>
      <c r="S599" s="21">
        <f t="shared" si="65"/>
        <v>9.22</v>
      </c>
      <c r="T599" s="21">
        <f t="shared" si="66"/>
        <v>1.22</v>
      </c>
      <c r="U599" s="21" t="str">
        <f t="shared" si="67"/>
        <v>是</v>
      </c>
      <c r="V599" s="21">
        <f>VLOOKUP($C599,[4]Sheet1!$B:$AN,39,FALSE)</f>
        <v>17.99</v>
      </c>
      <c r="W599" s="21">
        <v>13.38</v>
      </c>
      <c r="X599" s="23">
        <v>4</v>
      </c>
      <c r="Y599" s="23">
        <v>4</v>
      </c>
      <c r="Z599" s="25">
        <f t="shared" si="68"/>
        <v>0</v>
      </c>
      <c r="AA599" s="25" t="str">
        <f t="shared" si="69"/>
        <v>是</v>
      </c>
      <c r="AB599" t="s">
        <v>148</v>
      </c>
      <c r="AC599" t="e">
        <f>VLOOKUP(C599,[1]Sheet1!$C:$O,13,FALSE)</f>
        <v>#N/A</v>
      </c>
      <c r="AD599" t="str">
        <f>VLOOKUP($H599,'[3]0509人员排班情况 副本'!$G:$U,12,FALSE)</f>
        <v>王骞Ariel（Qian Wang）,叶秀芳Freya (Xiufang Ye)</v>
      </c>
      <c r="AE599" t="str">
        <f>VLOOKUP($H599,'[3]0509人员排班情况 副本'!$G:$U,13,FALSE)</f>
        <v>常哲</v>
      </c>
      <c r="AF599" t="str">
        <f>VLOOKUP($H599,'[3]0509人员排班情况 副本'!$G:$U,14,FALSE)</f>
        <v>Minqing (Minqing Xu),罗煜雄 Mike (Yuxiong Luo)</v>
      </c>
      <c r="AG599">
        <f>VLOOKUP($H599,'[3]0509人员排班情况 副本'!$G:$U,15,FALSE)</f>
        <v>0</v>
      </c>
    </row>
    <row r="600" customHeight="1" spans="1:33">
      <c r="A600" t="s">
        <v>202</v>
      </c>
      <c r="B600" t="s">
        <v>1932</v>
      </c>
      <c r="C600" t="s">
        <v>1933</v>
      </c>
      <c r="D600" t="s">
        <v>11</v>
      </c>
      <c r="E600" t="s">
        <v>148</v>
      </c>
      <c r="F600" t="s">
        <v>148</v>
      </c>
      <c r="H600" t="str">
        <f t="shared" si="63"/>
        <v>BM 品牌市场部</v>
      </c>
      <c r="I600" t="s">
        <v>1067</v>
      </c>
      <c r="J600" t="s">
        <v>236</v>
      </c>
      <c r="K600" s="15">
        <v>0.395833333333333</v>
      </c>
      <c r="L600" s="15" t="s">
        <v>218</v>
      </c>
      <c r="M600" s="15"/>
      <c r="N600" t="s">
        <v>148</v>
      </c>
      <c r="O600" s="20" t="str">
        <f t="shared" si="64"/>
        <v>不正确</v>
      </c>
      <c r="P600" s="21">
        <v>0</v>
      </c>
      <c r="Q600" s="21">
        <v>0</v>
      </c>
      <c r="R600" s="21">
        <v>0</v>
      </c>
      <c r="S600" s="21">
        <f t="shared" si="65"/>
        <v>0</v>
      </c>
      <c r="T600" s="21">
        <f t="shared" si="66"/>
        <v>0</v>
      </c>
      <c r="U600" s="21" t="str">
        <f t="shared" si="67"/>
        <v>否</v>
      </c>
      <c r="V600" s="21">
        <f>VLOOKUP($C600,[4]Sheet1!$B:$AN,39,FALSE)</f>
        <v>0</v>
      </c>
      <c r="W600" s="21">
        <v>5.19</v>
      </c>
      <c r="X600" s="23">
        <v>0</v>
      </c>
      <c r="Y600" s="23">
        <v>0</v>
      </c>
      <c r="Z600" s="25">
        <f t="shared" si="68"/>
        <v>0</v>
      </c>
      <c r="AA600" s="25" t="str">
        <f t="shared" si="69"/>
        <v>是</v>
      </c>
      <c r="AB600" t="s">
        <v>339</v>
      </c>
      <c r="AC600" t="e">
        <f>VLOOKUP(C600,[1]Sheet1!$C:$O,13,FALSE)</f>
        <v>#N/A</v>
      </c>
      <c r="AD600" t="str">
        <f>VLOOKUP($H600,'[3]0509人员排班情况 副本'!$G:$U,12,FALSE)</f>
        <v>袁博闻(Bowen Yuan)</v>
      </c>
      <c r="AE600">
        <f>VLOOKUP($H600,'[3]0509人员排班情况 副本'!$G:$U,13,FALSE)</f>
        <v>0</v>
      </c>
      <c r="AF600">
        <f>VLOOKUP($H600,'[3]0509人员排班情况 副本'!$G:$U,14,FALSE)</f>
        <v>0</v>
      </c>
      <c r="AG600">
        <f>VLOOKUP($H600,'[3]0509人员排班情况 副本'!$G:$U,15,FALSE)</f>
        <v>0</v>
      </c>
    </row>
    <row r="601" customHeight="1" spans="1:33">
      <c r="A601" t="s">
        <v>202</v>
      </c>
      <c r="B601" t="s">
        <v>1934</v>
      </c>
      <c r="C601" t="s">
        <v>1935</v>
      </c>
      <c r="D601" t="s">
        <v>68</v>
      </c>
      <c r="E601" t="s">
        <v>76</v>
      </c>
      <c r="F601" t="s">
        <v>275</v>
      </c>
      <c r="G601" t="s">
        <v>112</v>
      </c>
      <c r="H601" t="str">
        <f t="shared" si="63"/>
        <v>NE 东北大区EWR.H分拣组</v>
      </c>
      <c r="I601" t="s">
        <v>303</v>
      </c>
      <c r="J601" t="s">
        <v>245</v>
      </c>
      <c r="K601" s="15">
        <v>0.75</v>
      </c>
      <c r="L601" s="15" t="s">
        <v>246</v>
      </c>
      <c r="M601" s="15"/>
      <c r="N601" t="s">
        <v>148</v>
      </c>
      <c r="O601" s="20" t="str">
        <f t="shared" si="64"/>
        <v>不正确</v>
      </c>
      <c r="P601" s="21">
        <v>0</v>
      </c>
      <c r="Q601" s="21">
        <v>0</v>
      </c>
      <c r="R601" s="21">
        <v>0</v>
      </c>
      <c r="S601" s="21">
        <f t="shared" si="65"/>
        <v>0</v>
      </c>
      <c r="T601" s="21">
        <f t="shared" si="66"/>
        <v>0</v>
      </c>
      <c r="U601" s="21" t="str">
        <f t="shared" si="67"/>
        <v>否</v>
      </c>
      <c r="V601" s="21">
        <f>VLOOKUP($C601,[4]Sheet1!$B:$AN,39,FALSE)</f>
        <v>0</v>
      </c>
      <c r="W601" s="21">
        <v>0</v>
      </c>
      <c r="X601" s="23">
        <v>0</v>
      </c>
      <c r="Y601" s="23">
        <v>4</v>
      </c>
      <c r="Z601" s="25">
        <f t="shared" si="68"/>
        <v>4</v>
      </c>
      <c r="AA601" s="25" t="str">
        <f t="shared" si="69"/>
        <v>是</v>
      </c>
      <c r="AB601" t="s">
        <v>148</v>
      </c>
      <c r="AC601" t="e">
        <f>VLOOKUP(C601,[1]Sheet1!$C:$O,13,FALSE)</f>
        <v>#N/A</v>
      </c>
      <c r="AD601" t="str">
        <f>VLOOKUP($H601,'[3]0509人员排班情况 副本'!$G:$U,12,FALSE)</f>
        <v>孙可君Monica（Kejun Sun）</v>
      </c>
      <c r="AE601" t="str">
        <f>VLOOKUP($H601,'[3]0509人员排班情况 副本'!$G:$U,13,FALSE)</f>
        <v>马聪Cong (Cong Ma)</v>
      </c>
      <c r="AF601" t="str">
        <f>VLOOKUP($H601,'[3]0509人员排班情况 副本'!$G:$U,14,FALSE)</f>
        <v>张双甫(Shuangfu Zhang)</v>
      </c>
      <c r="AG601">
        <f>VLOOKUP($H601,'[3]0509人员排班情况 副本'!$G:$U,15,FALSE)</f>
        <v>0</v>
      </c>
    </row>
    <row r="602" customHeight="1" spans="1:33">
      <c r="A602" t="s">
        <v>202</v>
      </c>
      <c r="B602" t="s">
        <v>1936</v>
      </c>
      <c r="C602" t="s">
        <v>1937</v>
      </c>
      <c r="D602" t="s">
        <v>100</v>
      </c>
      <c r="E602" t="s">
        <v>104</v>
      </c>
      <c r="F602" t="s">
        <v>744</v>
      </c>
      <c r="H602" t="str">
        <f t="shared" si="63"/>
        <v>WE 美西大区LA揽收部揽收调度组</v>
      </c>
      <c r="I602" t="s">
        <v>608</v>
      </c>
      <c r="J602" t="s">
        <v>746</v>
      </c>
      <c r="K602" s="15">
        <v>0.4375</v>
      </c>
      <c r="L602" s="15" t="s">
        <v>491</v>
      </c>
      <c r="M602" s="15">
        <v>0.445138888888889</v>
      </c>
      <c r="N602" t="s">
        <v>491</v>
      </c>
      <c r="O602" s="20" t="str">
        <f t="shared" si="64"/>
        <v>正确</v>
      </c>
      <c r="P602" s="21">
        <v>0</v>
      </c>
      <c r="Q602" s="21">
        <v>7.82</v>
      </c>
      <c r="R602" s="21">
        <v>0</v>
      </c>
      <c r="S602" s="21">
        <f t="shared" si="65"/>
        <v>7.82</v>
      </c>
      <c r="T602" s="21">
        <f t="shared" si="66"/>
        <v>0</v>
      </c>
      <c r="U602" s="21" t="str">
        <f t="shared" si="67"/>
        <v>否</v>
      </c>
      <c r="V602" s="21">
        <f>VLOOKUP($C602,[4]Sheet1!$B:$AN,39,FALSE)</f>
        <v>16.99</v>
      </c>
      <c r="W602" s="21">
        <v>0</v>
      </c>
      <c r="X602" s="23">
        <v>2</v>
      </c>
      <c r="Y602" s="23">
        <v>4</v>
      </c>
      <c r="Z602" s="25">
        <f t="shared" si="68"/>
        <v>2</v>
      </c>
      <c r="AA602" s="25" t="str">
        <f t="shared" si="69"/>
        <v>是</v>
      </c>
      <c r="AB602" t="s">
        <v>148</v>
      </c>
      <c r="AC602" t="e">
        <f>VLOOKUP(C602,[1]Sheet1!$C:$O,13,FALSE)</f>
        <v>#N/A</v>
      </c>
      <c r="AD602" t="str">
        <f>VLOOKUP($H602,'[3]0509人员排班情况 副本'!$G:$U,12,FALSE)</f>
        <v>王骞Ariel（Qian Wang）,叶秀芳Freya (Xiufang Ye)</v>
      </c>
      <c r="AE602" t="str">
        <f>VLOOKUP($H602,'[3]0509人员排班情况 副本'!$G:$U,13,FALSE)</f>
        <v>常哲</v>
      </c>
      <c r="AF602">
        <f>VLOOKUP($H602,'[3]0509人员排班情况 副本'!$G:$U,14,FALSE)</f>
        <v>0</v>
      </c>
      <c r="AG602">
        <f>VLOOKUP($H602,'[3]0509人员排班情况 副本'!$G:$U,15,FALSE)</f>
        <v>0</v>
      </c>
    </row>
    <row r="603" customHeight="1" spans="1:33">
      <c r="A603" t="s">
        <v>202</v>
      </c>
      <c r="B603" t="s">
        <v>1938</v>
      </c>
      <c r="C603" t="s">
        <v>1939</v>
      </c>
      <c r="D603" t="s">
        <v>100</v>
      </c>
      <c r="E603" t="s">
        <v>106</v>
      </c>
      <c r="F603" t="s">
        <v>1940</v>
      </c>
      <c r="H603" t="str">
        <f t="shared" si="63"/>
        <v>WE 美西大区SC 南加片区PHX01</v>
      </c>
      <c r="I603" t="s">
        <v>177</v>
      </c>
      <c r="J603" t="s">
        <v>347</v>
      </c>
      <c r="K603" s="15">
        <v>0.541666666666667</v>
      </c>
      <c r="L603" s="15" t="s">
        <v>348</v>
      </c>
      <c r="M603" s="15">
        <v>0.445138888888889</v>
      </c>
      <c r="N603" t="s">
        <v>148</v>
      </c>
      <c r="O603" s="20" t="str">
        <f t="shared" si="64"/>
        <v>不正确</v>
      </c>
      <c r="P603" s="21">
        <v>0</v>
      </c>
      <c r="Q603" s="21">
        <v>0</v>
      </c>
      <c r="R603" s="21">
        <v>0</v>
      </c>
      <c r="S603" s="21">
        <f t="shared" si="65"/>
        <v>0</v>
      </c>
      <c r="T603" s="21">
        <f t="shared" si="66"/>
        <v>0</v>
      </c>
      <c r="U603" s="21" t="str">
        <f t="shared" si="67"/>
        <v>否</v>
      </c>
      <c r="V603" s="21">
        <f>VLOOKUP($C603,[4]Sheet1!$B:$AN,39,FALSE)</f>
        <v>5.45</v>
      </c>
      <c r="W603" s="21">
        <v>0</v>
      </c>
      <c r="X603" s="23">
        <v>1</v>
      </c>
      <c r="Y603" s="23">
        <v>4</v>
      </c>
      <c r="Z603" s="25">
        <f t="shared" si="68"/>
        <v>3</v>
      </c>
      <c r="AA603" s="25" t="str">
        <f t="shared" si="69"/>
        <v>是</v>
      </c>
      <c r="AB603" t="s">
        <v>148</v>
      </c>
      <c r="AC603" t="e">
        <f>VLOOKUP(C603,[1]Sheet1!$C:$O,13,FALSE)</f>
        <v>#N/A</v>
      </c>
      <c r="AD603" t="str">
        <f>VLOOKUP($H603,'[3]0509人员排班情况 副本'!$G:$U,12,FALSE)</f>
        <v>王骞Ariel（Qian Wang）,叶秀芳Freya (Xiufang Ye)</v>
      </c>
      <c r="AE603" t="str">
        <f>VLOOKUP($H603,'[3]0509人员排班情况 副本'!$G:$U,13,FALSE)</f>
        <v>常哲</v>
      </c>
      <c r="AF603" t="str">
        <f>VLOOKUP($H603,'[3]0509人员排班情况 副本'!$G:$U,14,FALSE)</f>
        <v>尤梦楠Yuko（Mengnan You）</v>
      </c>
      <c r="AG603">
        <f>VLOOKUP($H603,'[3]0509人员排班情况 副本'!$G:$U,15,FALSE)</f>
        <v>0</v>
      </c>
    </row>
    <row r="604" customHeight="1" spans="1:33">
      <c r="A604" t="s">
        <v>202</v>
      </c>
      <c r="B604" t="s">
        <v>1941</v>
      </c>
      <c r="C604" t="s">
        <v>1942</v>
      </c>
      <c r="D604" t="s">
        <v>99</v>
      </c>
      <c r="E604" t="s">
        <v>677</v>
      </c>
      <c r="F604" t="s">
        <v>1063</v>
      </c>
      <c r="H604" t="str">
        <f t="shared" si="63"/>
        <v>US人力资源部美洲HRBP组中南区HR组</v>
      </c>
      <c r="I604" t="s">
        <v>1084</v>
      </c>
      <c r="J604" t="s">
        <v>236</v>
      </c>
      <c r="K604" s="15">
        <v>0.395833333333333</v>
      </c>
      <c r="L604" s="15" t="s">
        <v>218</v>
      </c>
      <c r="M604" s="15">
        <v>0.395138888888889</v>
      </c>
      <c r="N604" t="s">
        <v>1943</v>
      </c>
      <c r="O604" s="20" t="str">
        <f t="shared" si="64"/>
        <v>正确</v>
      </c>
      <c r="P604" s="21">
        <v>0</v>
      </c>
      <c r="Q604" s="21">
        <v>8.2</v>
      </c>
      <c r="R604" s="21">
        <v>0</v>
      </c>
      <c r="S604" s="21">
        <f t="shared" si="65"/>
        <v>8.2</v>
      </c>
      <c r="T604" s="21">
        <f t="shared" si="66"/>
        <v>0.199999999999999</v>
      </c>
      <c r="U604" s="21" t="str">
        <f t="shared" si="67"/>
        <v>是</v>
      </c>
      <c r="V604" s="21">
        <f>VLOOKUP($C604,[4]Sheet1!$B:$AN,39,FALSE)</f>
        <v>16.55</v>
      </c>
      <c r="W604" s="21">
        <v>0</v>
      </c>
      <c r="X604" s="23">
        <v>2</v>
      </c>
      <c r="Y604" s="23">
        <v>4</v>
      </c>
      <c r="Z604" s="25">
        <f t="shared" si="68"/>
        <v>2</v>
      </c>
      <c r="AA604" s="25" t="str">
        <f t="shared" si="69"/>
        <v>是</v>
      </c>
      <c r="AB604" t="s">
        <v>148</v>
      </c>
      <c r="AC604" t="e">
        <f>VLOOKUP(C604,[1]Sheet1!$C:$O,13,FALSE)</f>
        <v>#N/A</v>
      </c>
      <c r="AD604" t="str">
        <f>VLOOKUP($H604,'[3]0509人员排班情况 副本'!$G:$U,12,FALSE)</f>
        <v>袁博闻(Bowen Yuan)</v>
      </c>
      <c r="AE604">
        <f>VLOOKUP($H604,'[3]0509人员排班情况 副本'!$G:$U,13,FALSE)</f>
        <v>0</v>
      </c>
      <c r="AF604">
        <f>VLOOKUP($H604,'[3]0509人员排班情况 副本'!$G:$U,14,FALSE)</f>
        <v>0</v>
      </c>
      <c r="AG604">
        <f>VLOOKUP($H604,'[3]0509人员排班情况 副本'!$G:$U,15,FALSE)</f>
        <v>0</v>
      </c>
    </row>
    <row r="605" customHeight="1" spans="1:33">
      <c r="A605" t="s">
        <v>202</v>
      </c>
      <c r="B605" t="s">
        <v>1944</v>
      </c>
      <c r="C605" t="s">
        <v>1945</v>
      </c>
      <c r="D605" t="s">
        <v>100</v>
      </c>
      <c r="E605" t="s">
        <v>101</v>
      </c>
      <c r="F605" t="s">
        <v>243</v>
      </c>
      <c r="G605" t="s">
        <v>112</v>
      </c>
      <c r="H605" t="str">
        <f t="shared" si="63"/>
        <v>WE 美西大区CNO.H调度组</v>
      </c>
      <c r="I605" t="s">
        <v>160</v>
      </c>
      <c r="J605" t="s">
        <v>421</v>
      </c>
      <c r="K605" s="15">
        <v>0.708333333333333</v>
      </c>
      <c r="L605" s="15" t="s">
        <v>422</v>
      </c>
      <c r="M605" s="15">
        <v>0.63125</v>
      </c>
      <c r="N605" t="s">
        <v>148</v>
      </c>
      <c r="O605" s="20" t="str">
        <f t="shared" si="64"/>
        <v>不正确</v>
      </c>
      <c r="P605" s="21">
        <v>0</v>
      </c>
      <c r="Q605" s="21">
        <v>0</v>
      </c>
      <c r="R605" s="21">
        <v>0</v>
      </c>
      <c r="S605" s="21">
        <f t="shared" si="65"/>
        <v>0</v>
      </c>
      <c r="T605" s="21">
        <f t="shared" si="66"/>
        <v>0</v>
      </c>
      <c r="U605" s="21" t="str">
        <f t="shared" si="67"/>
        <v>否</v>
      </c>
      <c r="V605" s="21">
        <f>VLOOKUP($C605,[4]Sheet1!$B:$AN,39,FALSE)</f>
        <v>4.67</v>
      </c>
      <c r="W605" s="21">
        <v>0</v>
      </c>
      <c r="X605" s="23">
        <v>1</v>
      </c>
      <c r="Y605" s="23">
        <v>4</v>
      </c>
      <c r="Z605" s="25">
        <f t="shared" si="68"/>
        <v>3</v>
      </c>
      <c r="AA605" s="25" t="str">
        <f t="shared" si="69"/>
        <v>是</v>
      </c>
      <c r="AB605" t="s">
        <v>148</v>
      </c>
      <c r="AC605" t="e">
        <f>VLOOKUP(C605,[1]Sheet1!$C:$O,13,FALSE)</f>
        <v>#N/A</v>
      </c>
      <c r="AD605" t="str">
        <f>VLOOKUP($H605,'[3]0509人员排班情况 副本'!$G:$U,12,FALSE)</f>
        <v>王骞Ariel（Qian Wang）,叶秀芳Freya (Xiufang Ye)</v>
      </c>
      <c r="AE605" t="str">
        <f>VLOOKUP($H605,'[3]0509人员排班情况 副本'!$G:$U,13,FALSE)</f>
        <v>常哲</v>
      </c>
      <c r="AF605" t="str">
        <f>VLOOKUP($H605,'[3]0509人员排班情况 副本'!$G:$U,14,FALSE)</f>
        <v>Minqing (Minqing Xu),罗煜雄 Mike (Yuxiong Luo)</v>
      </c>
      <c r="AG605">
        <f>VLOOKUP($H605,'[3]0509人员排班情况 副本'!$G:$U,15,FALSE)</f>
        <v>0</v>
      </c>
    </row>
    <row r="606" customHeight="1" spans="1:33">
      <c r="A606" t="s">
        <v>202</v>
      </c>
      <c r="B606" t="s">
        <v>1946</v>
      </c>
      <c r="C606" t="s">
        <v>1947</v>
      </c>
      <c r="D606" t="s">
        <v>31</v>
      </c>
      <c r="E606" t="s">
        <v>41</v>
      </c>
      <c r="F606" t="s">
        <v>275</v>
      </c>
      <c r="G606" t="s">
        <v>112</v>
      </c>
      <c r="H606" t="str">
        <f t="shared" si="63"/>
        <v>GL 大湖大区ORD.H分拣组</v>
      </c>
      <c r="I606" t="s">
        <v>303</v>
      </c>
      <c r="J606" t="s">
        <v>373</v>
      </c>
      <c r="K606" s="15">
        <v>0.291666666666667</v>
      </c>
      <c r="L606" s="15" t="s">
        <v>374</v>
      </c>
      <c r="M606" s="15">
        <v>0.302083333333333</v>
      </c>
      <c r="N606" t="s">
        <v>1762</v>
      </c>
      <c r="O606" s="20" t="str">
        <f t="shared" si="64"/>
        <v>正确</v>
      </c>
      <c r="P606" s="21">
        <v>0</v>
      </c>
      <c r="Q606" s="21">
        <v>11.1</v>
      </c>
      <c r="R606" s="21">
        <v>0</v>
      </c>
      <c r="S606" s="21">
        <f t="shared" si="65"/>
        <v>11.1</v>
      </c>
      <c r="T606" s="21">
        <f t="shared" si="66"/>
        <v>3.1</v>
      </c>
      <c r="U606" s="21" t="str">
        <f t="shared" si="67"/>
        <v>是</v>
      </c>
      <c r="V606" s="21">
        <f>VLOOKUP($C606,[4]Sheet1!$B:$AN,39,FALSE)</f>
        <v>11.1</v>
      </c>
      <c r="W606" s="21">
        <v>0</v>
      </c>
      <c r="X606" s="23">
        <v>4</v>
      </c>
      <c r="Y606" s="23">
        <v>4</v>
      </c>
      <c r="Z606" s="25">
        <f t="shared" si="68"/>
        <v>0</v>
      </c>
      <c r="AA606" s="25" t="str">
        <f t="shared" si="69"/>
        <v>是</v>
      </c>
      <c r="AB606" t="s">
        <v>148</v>
      </c>
      <c r="AC606" t="e">
        <f>VLOOKUP(C606,[1]Sheet1!$C:$O,13,FALSE)</f>
        <v>#N/A</v>
      </c>
      <c r="AD606" t="str">
        <f>VLOOKUP($H606,'[3]0509人员排班情况 副本'!$G:$U,12,FALSE)</f>
        <v>王晓丹 Jasmine（Xiaodan Wang）,周延舒Isabel（Yanshu Zhou）</v>
      </c>
      <c r="AE606" t="str">
        <f>VLOOKUP($H606,'[3]0509人员排班情况 副本'!$G:$U,13,FALSE)</f>
        <v>张骥Ji Zhang (Ji Zhang)</v>
      </c>
      <c r="AF606" t="str">
        <f>VLOOKUP($H606,'[3]0509人员排班情况 副本'!$G:$U,14,FALSE)</f>
        <v>张双甫(Shuangfu Zhang)</v>
      </c>
      <c r="AG606">
        <f>VLOOKUP($H606,'[3]0509人员排班情况 副本'!$G:$U,15,FALSE)</f>
        <v>0</v>
      </c>
    </row>
    <row r="607" customHeight="1" spans="1:33">
      <c r="A607" t="s">
        <v>202</v>
      </c>
      <c r="B607" t="s">
        <v>1948</v>
      </c>
      <c r="C607" t="s">
        <v>1949</v>
      </c>
      <c r="D607" t="s">
        <v>68</v>
      </c>
      <c r="E607" t="s">
        <v>76</v>
      </c>
      <c r="F607" t="s">
        <v>210</v>
      </c>
      <c r="G607" t="s">
        <v>112</v>
      </c>
      <c r="H607" t="str">
        <f t="shared" si="63"/>
        <v>NE 东北大区EWR.H操作组</v>
      </c>
      <c r="I607" t="s">
        <v>156</v>
      </c>
      <c r="J607" t="s">
        <v>487</v>
      </c>
      <c r="K607" s="15">
        <v>0.875</v>
      </c>
      <c r="L607" s="15" t="s">
        <v>488</v>
      </c>
      <c r="M607" s="15"/>
      <c r="N607" t="s">
        <v>148</v>
      </c>
      <c r="O607" s="20" t="str">
        <f t="shared" si="64"/>
        <v>不正确</v>
      </c>
      <c r="P607" s="21">
        <v>0</v>
      </c>
      <c r="Q607" s="21">
        <v>0</v>
      </c>
      <c r="R607" s="21">
        <v>0</v>
      </c>
      <c r="S607" s="21">
        <f t="shared" si="65"/>
        <v>0</v>
      </c>
      <c r="T607" s="21">
        <f t="shared" si="66"/>
        <v>0</v>
      </c>
      <c r="U607" s="21" t="str">
        <f t="shared" si="67"/>
        <v>否</v>
      </c>
      <c r="V607" s="21">
        <f>VLOOKUP($C607,[4]Sheet1!$B:$AN,39,FALSE)</f>
        <v>0</v>
      </c>
      <c r="W607" s="21">
        <v>0</v>
      </c>
      <c r="X607" s="23">
        <v>0</v>
      </c>
      <c r="Y607" s="23">
        <v>4</v>
      </c>
      <c r="Z607" s="25">
        <f t="shared" si="68"/>
        <v>4</v>
      </c>
      <c r="AA607" s="25" t="str">
        <f t="shared" si="69"/>
        <v>是</v>
      </c>
      <c r="AB607" t="s">
        <v>148</v>
      </c>
      <c r="AC607" t="e">
        <f>VLOOKUP(C607,[1]Sheet1!$C:$O,13,FALSE)</f>
        <v>#N/A</v>
      </c>
      <c r="AD607" t="str">
        <f>VLOOKUP($H607,'[3]0509人员排班情况 副本'!$G:$U,12,FALSE)</f>
        <v>孙可君Monica（Kejun Sun）</v>
      </c>
      <c r="AE607" t="str">
        <f>VLOOKUP($H607,'[3]0509人员排班情况 副本'!$G:$U,13,FALSE)</f>
        <v>马聪Cong (Cong Ma)</v>
      </c>
      <c r="AF607" t="str">
        <f>VLOOKUP($H607,'[3]0509人员排班情况 副本'!$G:$U,14,FALSE)</f>
        <v>Minqing (Minqing Xu),罗煜雄 Mike (Yuxiong Luo)</v>
      </c>
      <c r="AG607">
        <f>VLOOKUP($H607,'[3]0509人员排班情况 副本'!$G:$U,15,FALSE)</f>
        <v>0</v>
      </c>
    </row>
    <row r="608" customHeight="1" spans="1:33">
      <c r="A608" t="s">
        <v>202</v>
      </c>
      <c r="B608" t="s">
        <v>1950</v>
      </c>
      <c r="C608" t="s">
        <v>1951</v>
      </c>
      <c r="D608" t="s">
        <v>14</v>
      </c>
      <c r="E608" t="s">
        <v>1522</v>
      </c>
      <c r="F608" t="s">
        <v>148</v>
      </c>
      <c r="H608" t="str">
        <f t="shared" si="63"/>
        <v>DO 数字运营部美国项目交付组</v>
      </c>
      <c r="I608" t="s">
        <v>1952</v>
      </c>
      <c r="J608" t="s">
        <v>295</v>
      </c>
      <c r="K608" s="15">
        <v>0.375</v>
      </c>
      <c r="L608" s="15" t="s">
        <v>296</v>
      </c>
      <c r="M608" s="15"/>
      <c r="N608" t="s">
        <v>148</v>
      </c>
      <c r="O608" s="20" t="str">
        <f t="shared" si="64"/>
        <v>不正确</v>
      </c>
      <c r="P608" s="21">
        <v>0</v>
      </c>
      <c r="Q608" s="21">
        <v>0</v>
      </c>
      <c r="R608" s="21">
        <v>0</v>
      </c>
      <c r="S608" s="21">
        <f t="shared" si="65"/>
        <v>0</v>
      </c>
      <c r="T608" s="21">
        <f t="shared" si="66"/>
        <v>0</v>
      </c>
      <c r="U608" s="21" t="str">
        <f t="shared" si="67"/>
        <v>否</v>
      </c>
      <c r="V608" s="21">
        <f>VLOOKUP($C608,[4]Sheet1!$B:$AN,39,FALSE)</f>
        <v>0</v>
      </c>
      <c r="W608" s="21">
        <v>0</v>
      </c>
      <c r="X608" s="23">
        <v>0</v>
      </c>
      <c r="Y608" s="23">
        <v>4</v>
      </c>
      <c r="Z608" s="25">
        <f t="shared" si="68"/>
        <v>4</v>
      </c>
      <c r="AA608" s="25" t="str">
        <f t="shared" si="69"/>
        <v>是</v>
      </c>
      <c r="AB608" t="s">
        <v>148</v>
      </c>
      <c r="AC608" t="e">
        <f>VLOOKUP(C608,[1]Sheet1!$C:$O,13,FALSE)</f>
        <v>#N/A</v>
      </c>
      <c r="AD608" t="str">
        <f>VLOOKUP($H608,'[3]0509人员排班情况 副本'!$G:$U,12,FALSE)</f>
        <v>袁博闻(Bowen Yuan)</v>
      </c>
      <c r="AE608">
        <f>VLOOKUP($H608,'[3]0509人员排班情况 副本'!$G:$U,13,FALSE)</f>
        <v>0</v>
      </c>
      <c r="AF608">
        <f>VLOOKUP($H608,'[3]0509人员排班情况 副本'!$G:$U,14,FALSE)</f>
        <v>0</v>
      </c>
      <c r="AG608">
        <f>VLOOKUP($H608,'[3]0509人员排班情况 副本'!$G:$U,15,FALSE)</f>
        <v>0</v>
      </c>
    </row>
    <row r="609" customHeight="1" spans="1:33">
      <c r="A609" t="s">
        <v>202</v>
      </c>
      <c r="B609" t="s">
        <v>1953</v>
      </c>
      <c r="C609" t="s">
        <v>1954</v>
      </c>
      <c r="D609" t="s">
        <v>56</v>
      </c>
      <c r="E609" t="s">
        <v>913</v>
      </c>
      <c r="F609" t="s">
        <v>148</v>
      </c>
      <c r="H609" t="str">
        <f t="shared" si="63"/>
        <v>IC 跨境客户部海外客户组</v>
      </c>
      <c r="I609" t="s">
        <v>1591</v>
      </c>
      <c r="J609" t="s">
        <v>236</v>
      </c>
      <c r="K609" s="15">
        <v>0.395833333333333</v>
      </c>
      <c r="L609" s="15" t="s">
        <v>218</v>
      </c>
      <c r="M609" s="15"/>
      <c r="N609" t="s">
        <v>683</v>
      </c>
      <c r="O609" s="20" t="str">
        <f t="shared" si="64"/>
        <v>不正确</v>
      </c>
      <c r="P609" s="21">
        <v>0</v>
      </c>
      <c r="Q609" s="21">
        <v>0</v>
      </c>
      <c r="R609" s="21">
        <v>0</v>
      </c>
      <c r="S609" s="21">
        <f t="shared" si="65"/>
        <v>0</v>
      </c>
      <c r="T609" s="21">
        <f t="shared" si="66"/>
        <v>0</v>
      </c>
      <c r="U609" s="21" t="str">
        <f t="shared" si="67"/>
        <v>否</v>
      </c>
      <c r="V609" s="21">
        <f>VLOOKUP($C609,[4]Sheet1!$B:$AN,39,FALSE)</f>
        <v>7.6</v>
      </c>
      <c r="W609" s="21">
        <v>0</v>
      </c>
      <c r="X609" s="23">
        <v>1</v>
      </c>
      <c r="Y609" s="23">
        <v>4</v>
      </c>
      <c r="Z609" s="25">
        <f t="shared" si="68"/>
        <v>3</v>
      </c>
      <c r="AA609" s="25" t="str">
        <f t="shared" si="69"/>
        <v>是</v>
      </c>
      <c r="AB609" t="s">
        <v>148</v>
      </c>
      <c r="AC609" t="e">
        <f>VLOOKUP(C609,[1]Sheet1!$C:$O,13,FALSE)</f>
        <v>#N/A</v>
      </c>
      <c r="AD609" t="str">
        <f>VLOOKUP($H609,'[3]0509人员排班情况 副本'!$G:$U,12,FALSE)</f>
        <v>袁博闻(Bowen Yuan)</v>
      </c>
      <c r="AE609">
        <f>VLOOKUP($H609,'[3]0509人员排班情况 副本'!$G:$U,13,FALSE)</f>
        <v>0</v>
      </c>
      <c r="AF609">
        <f>VLOOKUP($H609,'[3]0509人员排班情况 副本'!$G:$U,14,FALSE)</f>
        <v>0</v>
      </c>
      <c r="AG609">
        <f>VLOOKUP($H609,'[3]0509人员排班情况 副本'!$G:$U,15,FALSE)</f>
        <v>0</v>
      </c>
    </row>
    <row r="610" customHeight="1" spans="1:33">
      <c r="A610" t="s">
        <v>202</v>
      </c>
      <c r="B610" t="s">
        <v>1955</v>
      </c>
      <c r="C610" t="s">
        <v>1956</v>
      </c>
      <c r="D610" t="s">
        <v>58</v>
      </c>
      <c r="E610" t="s">
        <v>64</v>
      </c>
      <c r="F610" t="s">
        <v>342</v>
      </c>
      <c r="H610" t="str">
        <f t="shared" si="63"/>
        <v>MS 中南大区CS 夏洛特及周边片区GSP01</v>
      </c>
      <c r="I610" t="s">
        <v>177</v>
      </c>
      <c r="J610" t="s">
        <v>343</v>
      </c>
      <c r="K610" s="15">
        <v>0.25</v>
      </c>
      <c r="L610" s="15" t="s">
        <v>344</v>
      </c>
      <c r="M610" s="15"/>
      <c r="N610" t="s">
        <v>148</v>
      </c>
      <c r="O610" s="20" t="str">
        <f t="shared" si="64"/>
        <v>不正确</v>
      </c>
      <c r="P610" s="21">
        <v>0</v>
      </c>
      <c r="Q610" s="21">
        <v>0</v>
      </c>
      <c r="R610" s="21">
        <v>0</v>
      </c>
      <c r="S610" s="21">
        <f t="shared" si="65"/>
        <v>0</v>
      </c>
      <c r="T610" s="21">
        <f t="shared" si="66"/>
        <v>0</v>
      </c>
      <c r="U610" s="21" t="str">
        <f t="shared" si="67"/>
        <v>否</v>
      </c>
      <c r="V610" s="21">
        <f>VLOOKUP($C610,[4]Sheet1!$B:$AN,39,FALSE)</f>
        <v>0</v>
      </c>
      <c r="W610" s="21">
        <v>0</v>
      </c>
      <c r="X610" s="23">
        <v>0</v>
      </c>
      <c r="Y610" s="23">
        <v>4</v>
      </c>
      <c r="Z610" s="25">
        <f t="shared" si="68"/>
        <v>4</v>
      </c>
      <c r="AA610" s="25" t="str">
        <f t="shared" si="69"/>
        <v>是</v>
      </c>
      <c r="AB610" t="s">
        <v>148</v>
      </c>
      <c r="AC610" t="e">
        <f>VLOOKUP(C610,[1]Sheet1!$C:$O,13,FALSE)</f>
        <v>#N/A</v>
      </c>
      <c r="AD610" t="str">
        <f>VLOOKUP($H610,'[3]0509人员排班情况 副本'!$G:$U,12,FALSE)</f>
        <v>欧阳迎春Flower（Yingchun Ouyang）</v>
      </c>
      <c r="AE610" t="str">
        <f>VLOOKUP($H610,'[3]0509人员排班情况 副本'!$G:$U,13,FALSE)</f>
        <v>杨云飞</v>
      </c>
      <c r="AF610" t="str">
        <f>VLOOKUP($H610,'[3]0509人员排班情况 副本'!$G:$U,14,FALSE)</f>
        <v>唐浩Thomas(Hao Tang)</v>
      </c>
      <c r="AG610">
        <f>VLOOKUP($H610,'[3]0509人员排班情况 副本'!$G:$U,15,FALSE)</f>
        <v>0</v>
      </c>
    </row>
    <row r="611" customHeight="1" spans="1:33">
      <c r="A611" t="s">
        <v>202</v>
      </c>
      <c r="B611" t="s">
        <v>1957</v>
      </c>
      <c r="C611" t="s">
        <v>1958</v>
      </c>
      <c r="D611" t="s">
        <v>48</v>
      </c>
      <c r="E611" t="s">
        <v>52</v>
      </c>
      <c r="F611" t="s">
        <v>839</v>
      </c>
      <c r="H611" t="str">
        <f t="shared" si="63"/>
        <v>Ground项目部OG 美中区运营支持组</v>
      </c>
      <c r="I611" t="s">
        <v>326</v>
      </c>
      <c r="J611" t="s">
        <v>295</v>
      </c>
      <c r="K611" s="15">
        <v>0.375</v>
      </c>
      <c r="L611" s="15" t="s">
        <v>296</v>
      </c>
      <c r="M611" s="15">
        <v>0.366666666666667</v>
      </c>
      <c r="N611" t="s">
        <v>1959</v>
      </c>
      <c r="O611" s="20" t="str">
        <f t="shared" si="64"/>
        <v>正确</v>
      </c>
      <c r="P611" s="21">
        <v>0</v>
      </c>
      <c r="Q611" s="21">
        <v>8.18</v>
      </c>
      <c r="R611" s="21">
        <v>0</v>
      </c>
      <c r="S611" s="21">
        <f t="shared" si="65"/>
        <v>8.18</v>
      </c>
      <c r="T611" s="21">
        <f t="shared" si="66"/>
        <v>0.18</v>
      </c>
      <c r="U611" s="21" t="str">
        <f t="shared" si="67"/>
        <v>是</v>
      </c>
      <c r="V611" s="21">
        <f>VLOOKUP($C611,[4]Sheet1!$B:$AN,39,FALSE)</f>
        <v>16.68</v>
      </c>
      <c r="W611" s="21">
        <v>0</v>
      </c>
      <c r="X611" s="23">
        <v>2</v>
      </c>
      <c r="Y611" s="23">
        <v>4</v>
      </c>
      <c r="Z611" s="25">
        <f t="shared" si="68"/>
        <v>2</v>
      </c>
      <c r="AA611" s="25" t="str">
        <f t="shared" si="69"/>
        <v>是</v>
      </c>
      <c r="AB611" t="s">
        <v>148</v>
      </c>
      <c r="AC611" t="e">
        <f>VLOOKUP(C611,[1]Sheet1!$C:$O,13,FALSE)</f>
        <v>#N/A</v>
      </c>
      <c r="AD611" t="str">
        <f>VLOOKUP($H611,'[3]0509人员排班情况 副本'!$G:$U,12,FALSE)</f>
        <v>王安琪 (Anqi Wang),张朱同 Thomson（Zhutong Zhang）</v>
      </c>
      <c r="AE611" t="str">
        <f>VLOOKUP($H611,'[3]0509人员排班情况 副本'!$G:$U,13,FALSE)</f>
        <v>陈锦昭</v>
      </c>
      <c r="AF611">
        <f>VLOOKUP($H611,'[3]0509人员排班情况 副本'!$G:$U,14,FALSE)</f>
        <v>0</v>
      </c>
      <c r="AG611">
        <f>VLOOKUP($H611,'[3]0509人员排班情况 副本'!$G:$U,15,FALSE)</f>
        <v>0</v>
      </c>
    </row>
    <row r="612" customHeight="1" spans="1:33">
      <c r="A612" t="s">
        <v>202</v>
      </c>
      <c r="B612" t="s">
        <v>1960</v>
      </c>
      <c r="C612" t="s">
        <v>1961</v>
      </c>
      <c r="D612" t="s">
        <v>68</v>
      </c>
      <c r="E612" t="s">
        <v>81</v>
      </c>
      <c r="F612" t="s">
        <v>186</v>
      </c>
      <c r="H612" t="str">
        <f t="shared" si="63"/>
        <v>NE 东北大区NY 纽约片区LGA01</v>
      </c>
      <c r="I612" t="s">
        <v>406</v>
      </c>
      <c r="J612" t="s">
        <v>221</v>
      </c>
      <c r="K612" s="15">
        <v>0.208333333333333</v>
      </c>
      <c r="L612" s="15" t="s">
        <v>222</v>
      </c>
      <c r="M612" s="15">
        <v>0.238888888888889</v>
      </c>
      <c r="N612" t="s">
        <v>378</v>
      </c>
      <c r="O612" s="20" t="str">
        <f t="shared" si="64"/>
        <v>正确</v>
      </c>
      <c r="P612" s="21">
        <v>0</v>
      </c>
      <c r="Q612" s="21">
        <v>7.47</v>
      </c>
      <c r="R612" s="21">
        <v>0</v>
      </c>
      <c r="S612" s="21">
        <f t="shared" si="65"/>
        <v>7.47</v>
      </c>
      <c r="T612" s="21">
        <f t="shared" si="66"/>
        <v>0</v>
      </c>
      <c r="U612" s="21" t="str">
        <f t="shared" si="67"/>
        <v>否</v>
      </c>
      <c r="V612" s="21">
        <f>VLOOKUP($C612,[4]Sheet1!$B:$AN,39,FALSE)</f>
        <v>7.47</v>
      </c>
      <c r="W612" s="21">
        <v>0</v>
      </c>
      <c r="X612" s="23">
        <v>4</v>
      </c>
      <c r="Y612" s="23">
        <v>4</v>
      </c>
      <c r="Z612" s="25">
        <f t="shared" si="68"/>
        <v>0</v>
      </c>
      <c r="AA612" s="25" t="str">
        <f t="shared" si="69"/>
        <v>是</v>
      </c>
      <c r="AB612" t="s">
        <v>148</v>
      </c>
      <c r="AC612" t="e">
        <f>VLOOKUP(C612,[1]Sheet1!$C:$O,13,FALSE)</f>
        <v>#N/A</v>
      </c>
      <c r="AD612" t="str">
        <f>VLOOKUP($H612,'[3]0509人员排班情况 副本'!$G:$U,12,FALSE)</f>
        <v>孙可君Monica（Kejun Sun）</v>
      </c>
      <c r="AE612" t="str">
        <f>VLOOKUP($H612,'[3]0509人员排班情况 副本'!$G:$U,13,FALSE)</f>
        <v>马聪Cong (Cong Ma)</v>
      </c>
      <c r="AF612" t="str">
        <f>VLOOKUP($H612,'[3]0509人员排班情况 副本'!$G:$U,14,FALSE)</f>
        <v>朱晗宇 Peter (Hanyu Zhu)</v>
      </c>
      <c r="AG612">
        <f>VLOOKUP($H612,'[3]0509人员排班情况 副本'!$G:$U,15,FALSE)</f>
        <v>0</v>
      </c>
    </row>
    <row r="613" customHeight="1" spans="1:33">
      <c r="A613" t="s">
        <v>202</v>
      </c>
      <c r="B613" t="s">
        <v>1962</v>
      </c>
      <c r="C613" t="s">
        <v>1963</v>
      </c>
      <c r="D613" t="s">
        <v>48</v>
      </c>
      <c r="E613" t="s">
        <v>49</v>
      </c>
      <c r="F613" t="s">
        <v>525</v>
      </c>
      <c r="G613" t="s">
        <v>112</v>
      </c>
      <c r="H613" t="str">
        <f t="shared" si="63"/>
        <v>Ground项目部OG 美东区EWR.G</v>
      </c>
      <c r="I613" t="s">
        <v>654</v>
      </c>
      <c r="J613" t="s">
        <v>282</v>
      </c>
      <c r="K613" s="15">
        <v>0.416666666666667</v>
      </c>
      <c r="L613" s="15" t="s">
        <v>283</v>
      </c>
      <c r="M613" s="15">
        <v>0.415277777777778</v>
      </c>
      <c r="N613" t="s">
        <v>1025</v>
      </c>
      <c r="O613" s="20" t="str">
        <f t="shared" si="64"/>
        <v>正确</v>
      </c>
      <c r="P613" s="21">
        <v>0</v>
      </c>
      <c r="Q613" s="21">
        <v>7.62</v>
      </c>
      <c r="R613" s="21">
        <v>0</v>
      </c>
      <c r="S613" s="21">
        <f t="shared" si="65"/>
        <v>7.62</v>
      </c>
      <c r="T613" s="21">
        <f t="shared" si="66"/>
        <v>0</v>
      </c>
      <c r="U613" s="21" t="str">
        <f t="shared" si="67"/>
        <v>否</v>
      </c>
      <c r="V613" s="21">
        <f>VLOOKUP($C613,[4]Sheet1!$B:$AN,39,FALSE)</f>
        <v>19.25</v>
      </c>
      <c r="W613" s="21">
        <v>0</v>
      </c>
      <c r="X613" s="23">
        <v>4</v>
      </c>
      <c r="Y613" s="23">
        <v>4</v>
      </c>
      <c r="Z613" s="25">
        <f t="shared" si="68"/>
        <v>0</v>
      </c>
      <c r="AA613" s="25" t="str">
        <f t="shared" si="69"/>
        <v>是</v>
      </c>
      <c r="AB613" t="s">
        <v>148</v>
      </c>
      <c r="AC613" t="e">
        <f>VLOOKUP(C613,[1]Sheet1!$C:$O,13,FALSE)</f>
        <v>#N/A</v>
      </c>
      <c r="AD613" t="str">
        <f>VLOOKUP($H613,'[3]0509人员排班情况 副本'!$G:$U,12,FALSE)</f>
        <v>王安琪 (Anqi Wang),张朱同 Thomson（Zhutong Zhang）</v>
      </c>
      <c r="AE613" t="str">
        <f>VLOOKUP($H613,'[3]0509人员排班情况 副本'!$G:$U,13,FALSE)</f>
        <v>陈锦昭</v>
      </c>
      <c r="AF613" t="str">
        <f>VLOOKUP($H613,'[3]0509人员排班情况 副本'!$G:$U,14,FALSE)</f>
        <v>王兵 Allen (Bing Wang)</v>
      </c>
      <c r="AG613">
        <f>VLOOKUP($H613,'[3]0509人员排班情况 副本'!$G:$U,15,FALSE)</f>
        <v>0</v>
      </c>
    </row>
    <row r="614" customHeight="1" spans="1:33">
      <c r="A614" t="s">
        <v>202</v>
      </c>
      <c r="B614" t="s">
        <v>1964</v>
      </c>
      <c r="C614" t="s">
        <v>1965</v>
      </c>
      <c r="D614" t="s">
        <v>31</v>
      </c>
      <c r="E614" t="s">
        <v>40</v>
      </c>
      <c r="F614" t="s">
        <v>38</v>
      </c>
      <c r="H614" t="str">
        <f t="shared" si="63"/>
        <v>GL 大湖大区NM 中西部北片区MCI01</v>
      </c>
      <c r="I614" t="s">
        <v>177</v>
      </c>
      <c r="J614" t="s">
        <v>221</v>
      </c>
      <c r="K614" s="15">
        <v>0.208333333333333</v>
      </c>
      <c r="L614" s="15" t="s">
        <v>222</v>
      </c>
      <c r="M614" s="15">
        <v>0.2</v>
      </c>
      <c r="N614" t="s">
        <v>1966</v>
      </c>
      <c r="O614" s="20" t="str">
        <f t="shared" si="64"/>
        <v>正确</v>
      </c>
      <c r="P614" s="21">
        <v>0</v>
      </c>
      <c r="Q614" s="21">
        <v>8.65</v>
      </c>
      <c r="R614" s="21">
        <v>0</v>
      </c>
      <c r="S614" s="21">
        <f t="shared" si="65"/>
        <v>8.65</v>
      </c>
      <c r="T614" s="21">
        <f t="shared" si="66"/>
        <v>0.65</v>
      </c>
      <c r="U614" s="21" t="str">
        <f t="shared" si="67"/>
        <v>是</v>
      </c>
      <c r="V614" s="21">
        <f>VLOOKUP($C614,[4]Sheet1!$B:$AN,39,FALSE)</f>
        <v>17.43</v>
      </c>
      <c r="W614" s="21">
        <v>0</v>
      </c>
      <c r="X614" s="23">
        <v>4</v>
      </c>
      <c r="Y614" s="23">
        <v>4</v>
      </c>
      <c r="Z614" s="25">
        <f t="shared" si="68"/>
        <v>0</v>
      </c>
      <c r="AA614" s="25" t="str">
        <f t="shared" si="69"/>
        <v>是</v>
      </c>
      <c r="AB614" t="s">
        <v>148</v>
      </c>
      <c r="AC614" t="e">
        <f>VLOOKUP(C614,[1]Sheet1!$C:$O,13,FALSE)</f>
        <v>#N/A</v>
      </c>
      <c r="AD614" t="str">
        <f>VLOOKUP($H614,'[3]0509人员排班情况 副本'!$G:$U,12,FALSE)</f>
        <v>王晓丹 Jasmine（Xiaodan Wang）,周延舒Isabel（Yanshu Zhou）</v>
      </c>
      <c r="AE614" t="str">
        <f>VLOOKUP($H614,'[3]0509人员排班情况 副本'!$G:$U,13,FALSE)</f>
        <v>张骥Ji Zhang (Ji Zhang)</v>
      </c>
      <c r="AF614" t="str">
        <f>VLOOKUP($H614,'[3]0509人员排班情况 副本'!$G:$U,14,FALSE)</f>
        <v>武杰 Jay（Jie Wu）,尚青蓓 Suki （Qingbei Shang）</v>
      </c>
      <c r="AG614">
        <f>VLOOKUP($H614,'[3]0509人员排班情况 副本'!$G:$U,15,FALSE)</f>
        <v>0</v>
      </c>
    </row>
    <row r="615" customHeight="1" spans="1:33">
      <c r="A615" t="s">
        <v>202</v>
      </c>
      <c r="B615" t="s">
        <v>1967</v>
      </c>
      <c r="C615" t="s">
        <v>1968</v>
      </c>
      <c r="D615" t="s">
        <v>31</v>
      </c>
      <c r="E615" t="s">
        <v>34</v>
      </c>
      <c r="F615" t="s">
        <v>148</v>
      </c>
      <c r="H615" t="str">
        <f t="shared" si="63"/>
        <v>GL 大湖大区CMH01</v>
      </c>
      <c r="I615" t="s">
        <v>177</v>
      </c>
      <c r="J615" t="s">
        <v>437</v>
      </c>
      <c r="K615" s="15">
        <v>0.229166666666667</v>
      </c>
      <c r="L615" s="15" t="s">
        <v>438</v>
      </c>
      <c r="M615" s="15"/>
      <c r="N615" t="s">
        <v>148</v>
      </c>
      <c r="O615" s="20" t="str">
        <f t="shared" si="64"/>
        <v>不正确</v>
      </c>
      <c r="P615" s="21">
        <v>0</v>
      </c>
      <c r="Q615" s="21">
        <v>0</v>
      </c>
      <c r="R615" s="21">
        <v>0</v>
      </c>
      <c r="S615" s="21">
        <f t="shared" si="65"/>
        <v>0</v>
      </c>
      <c r="T615" s="21">
        <f t="shared" si="66"/>
        <v>0</v>
      </c>
      <c r="U615" s="21" t="str">
        <f t="shared" si="67"/>
        <v>否</v>
      </c>
      <c r="V615" s="21">
        <f>VLOOKUP($C615,[4]Sheet1!$B:$AN,39,FALSE)</f>
        <v>0</v>
      </c>
      <c r="W615" s="21">
        <v>0</v>
      </c>
      <c r="X615" s="23">
        <v>0</v>
      </c>
      <c r="Y615" s="23">
        <v>4</v>
      </c>
      <c r="Z615" s="25">
        <f t="shared" si="68"/>
        <v>4</v>
      </c>
      <c r="AA615" s="25" t="str">
        <f t="shared" si="69"/>
        <v>是</v>
      </c>
      <c r="AB615" t="s">
        <v>148</v>
      </c>
      <c r="AC615" t="e">
        <f>VLOOKUP(C615,[1]Sheet1!$C:$O,13,FALSE)</f>
        <v>#N/A</v>
      </c>
      <c r="AD615" t="str">
        <f>VLOOKUP($H615,'[3]0509人员排班情况 副本'!$G:$U,12,FALSE)</f>
        <v>王晓丹 Jasmine（Xiaodan Wang）,周延舒Isabel（Yanshu Zhou）</v>
      </c>
      <c r="AE615" t="str">
        <f>VLOOKUP($H615,'[3]0509人员排班情况 副本'!$G:$U,13,FALSE)</f>
        <v>张骥Ji Zhang (Ji Zhang)</v>
      </c>
      <c r="AF615">
        <f>VLOOKUP($H615,'[3]0509人员排班情况 副本'!$G:$U,14,FALSE)</f>
        <v>0</v>
      </c>
      <c r="AG615">
        <f>VLOOKUP($H615,'[3]0509人员排班情况 副本'!$G:$U,15,FALSE)</f>
        <v>0</v>
      </c>
    </row>
    <row r="616" customHeight="1" spans="1:33">
      <c r="A616" t="s">
        <v>202</v>
      </c>
      <c r="B616" t="s">
        <v>1969</v>
      </c>
      <c r="C616" t="s">
        <v>1970</v>
      </c>
      <c r="D616" t="s">
        <v>15</v>
      </c>
      <c r="E616" t="s">
        <v>20</v>
      </c>
      <c r="F616" t="s">
        <v>312</v>
      </c>
      <c r="G616" t="s">
        <v>112</v>
      </c>
      <c r="H616" t="str">
        <f t="shared" si="63"/>
        <v>FL 佛州大区MIA.H异常处理组</v>
      </c>
      <c r="I616" t="s">
        <v>778</v>
      </c>
      <c r="J616" t="s">
        <v>295</v>
      </c>
      <c r="K616" s="15">
        <v>0.375</v>
      </c>
      <c r="L616" s="15" t="s">
        <v>296</v>
      </c>
      <c r="M616" s="15">
        <v>0.376388888888889</v>
      </c>
      <c r="N616" t="s">
        <v>381</v>
      </c>
      <c r="O616" s="20" t="str">
        <f t="shared" si="64"/>
        <v>正确</v>
      </c>
      <c r="P616" s="21">
        <v>0</v>
      </c>
      <c r="Q616" s="21">
        <v>9.4</v>
      </c>
      <c r="R616" s="21">
        <v>0</v>
      </c>
      <c r="S616" s="21">
        <f t="shared" si="65"/>
        <v>9.4</v>
      </c>
      <c r="T616" s="21">
        <f t="shared" si="66"/>
        <v>1.4</v>
      </c>
      <c r="U616" s="21" t="str">
        <f t="shared" si="67"/>
        <v>是</v>
      </c>
      <c r="V616" s="21">
        <f>VLOOKUP($C616,[4]Sheet1!$B:$AN,39,FALSE)</f>
        <v>18.82</v>
      </c>
      <c r="W616" s="21">
        <v>0</v>
      </c>
      <c r="X616" s="23">
        <v>2</v>
      </c>
      <c r="Y616" s="23">
        <v>4</v>
      </c>
      <c r="Z616" s="25">
        <f t="shared" si="68"/>
        <v>2</v>
      </c>
      <c r="AA616" s="25" t="str">
        <f t="shared" si="69"/>
        <v>是</v>
      </c>
      <c r="AB616" t="s">
        <v>148</v>
      </c>
      <c r="AC616" t="e">
        <f>VLOOKUP(C616,[1]Sheet1!$C:$O,13,FALSE)</f>
        <v>#N/A</v>
      </c>
      <c r="AD616" t="str">
        <f>VLOOKUP($H616,'[3]0509人员排班情况 副本'!$G:$U,12,FALSE)</f>
        <v>Natalia (Natalia Padilla),孙婕 Jasmine（Sunjie）</v>
      </c>
      <c r="AE616" t="str">
        <f>VLOOKUP($H616,'[3]0509人员排班情况 副本'!$G:$U,13,FALSE)</f>
        <v>贺子强Jeff (Ziqiang He)</v>
      </c>
      <c r="AF616" t="str">
        <f>VLOOKUP($H616,'[3]0509人员排班情况 副本'!$G:$U,14,FALSE)</f>
        <v>Minqing (Minqing Xu),罗煜雄 Mike (Yuxiong Luo)</v>
      </c>
      <c r="AG616">
        <f>VLOOKUP($H616,'[3]0509人员排班情况 副本'!$G:$U,15,FALSE)</f>
        <v>0</v>
      </c>
    </row>
    <row r="617" customHeight="1" spans="1:33">
      <c r="A617" t="s">
        <v>202</v>
      </c>
      <c r="B617" t="s">
        <v>1971</v>
      </c>
      <c r="C617" t="s">
        <v>1972</v>
      </c>
      <c r="D617" t="s">
        <v>68</v>
      </c>
      <c r="E617" t="s">
        <v>29</v>
      </c>
      <c r="F617" t="s">
        <v>200</v>
      </c>
      <c r="H617" t="str">
        <f t="shared" si="63"/>
        <v>NE 东北大区运营支持部区域支持组</v>
      </c>
      <c r="I617" t="s">
        <v>201</v>
      </c>
      <c r="J617" t="s">
        <v>236</v>
      </c>
      <c r="K617" s="15">
        <v>0.395833333333333</v>
      </c>
      <c r="L617" s="15" t="s">
        <v>218</v>
      </c>
      <c r="M617" s="15">
        <v>0.398611111111111</v>
      </c>
      <c r="N617" t="s">
        <v>1973</v>
      </c>
      <c r="O617" s="20" t="str">
        <f t="shared" si="64"/>
        <v>正确</v>
      </c>
      <c r="P617" s="21">
        <v>0</v>
      </c>
      <c r="Q617" s="21">
        <v>9.68</v>
      </c>
      <c r="R617" s="21">
        <v>0</v>
      </c>
      <c r="S617" s="21">
        <f t="shared" si="65"/>
        <v>9.68</v>
      </c>
      <c r="T617" s="21">
        <f t="shared" si="66"/>
        <v>1.68</v>
      </c>
      <c r="U617" s="21" t="str">
        <f t="shared" si="67"/>
        <v>是</v>
      </c>
      <c r="V617" s="21">
        <f>VLOOKUP($C617,[4]Sheet1!$B:$AN,39,FALSE)</f>
        <v>18.98</v>
      </c>
      <c r="W617" s="21">
        <v>0</v>
      </c>
      <c r="X617" s="23">
        <v>2</v>
      </c>
      <c r="Y617" s="23">
        <v>4</v>
      </c>
      <c r="Z617" s="25">
        <f t="shared" si="68"/>
        <v>2</v>
      </c>
      <c r="AA617" s="25" t="str">
        <f t="shared" si="69"/>
        <v>是</v>
      </c>
      <c r="AB617" t="s">
        <v>148</v>
      </c>
      <c r="AC617" t="e">
        <f>VLOOKUP(C617,[1]Sheet1!$C:$O,13,FALSE)</f>
        <v>#N/A</v>
      </c>
      <c r="AD617" t="str">
        <f>VLOOKUP($H617,'[3]0509人员排班情况 副本'!$G:$U,12,FALSE)</f>
        <v>孙可君Monica（Kejun Sun）</v>
      </c>
      <c r="AE617" t="str">
        <f>VLOOKUP($H617,'[3]0509人员排班情况 副本'!$G:$U,13,FALSE)</f>
        <v>马聪Cong (Cong Ma)</v>
      </c>
      <c r="AF617">
        <f>VLOOKUP($H617,'[3]0509人员排班情况 副本'!$G:$U,14,FALSE)</f>
        <v>0</v>
      </c>
      <c r="AG617">
        <f>VLOOKUP($H617,'[3]0509人员排班情况 副本'!$G:$U,15,FALSE)</f>
        <v>0</v>
      </c>
    </row>
    <row r="618" customHeight="1" spans="1:33">
      <c r="A618" t="s">
        <v>202</v>
      </c>
      <c r="B618" t="s">
        <v>1974</v>
      </c>
      <c r="C618" t="s">
        <v>1975</v>
      </c>
      <c r="D618" t="s">
        <v>68</v>
      </c>
      <c r="E618" t="s">
        <v>76</v>
      </c>
      <c r="F618" t="s">
        <v>210</v>
      </c>
      <c r="G618" t="s">
        <v>112</v>
      </c>
      <c r="H618" t="str">
        <f t="shared" si="63"/>
        <v>NE 东北大区EWR.H操作组</v>
      </c>
      <c r="I618" t="s">
        <v>281</v>
      </c>
      <c r="J618" t="s">
        <v>1907</v>
      </c>
      <c r="K618" s="15">
        <v>0.916666666666667</v>
      </c>
      <c r="L618" s="15" t="s">
        <v>1908</v>
      </c>
      <c r="M618" s="15">
        <v>0.930555555555556</v>
      </c>
      <c r="N618" t="s">
        <v>148</v>
      </c>
      <c r="O618" s="20" t="str">
        <f t="shared" si="64"/>
        <v>正确</v>
      </c>
      <c r="P618" s="21">
        <v>0</v>
      </c>
      <c r="Q618" s="21">
        <v>0</v>
      </c>
      <c r="R618" s="21">
        <v>0</v>
      </c>
      <c r="S618" s="21">
        <f t="shared" si="65"/>
        <v>0</v>
      </c>
      <c r="T618" s="21">
        <f t="shared" si="66"/>
        <v>0</v>
      </c>
      <c r="U618" s="21" t="str">
        <f t="shared" si="67"/>
        <v>否</v>
      </c>
      <c r="V618" s="21">
        <f>VLOOKUP($C618,[4]Sheet1!$B:$AN,39,FALSE)</f>
        <v>0</v>
      </c>
      <c r="W618" s="21">
        <v>0</v>
      </c>
      <c r="X618" s="23">
        <v>1</v>
      </c>
      <c r="Y618" s="23">
        <v>4</v>
      </c>
      <c r="Z618" s="25">
        <f t="shared" si="68"/>
        <v>3</v>
      </c>
      <c r="AA618" s="25" t="str">
        <f t="shared" si="69"/>
        <v>是</v>
      </c>
      <c r="AB618" t="s">
        <v>148</v>
      </c>
      <c r="AC618" t="e">
        <f>VLOOKUP(C618,[1]Sheet1!$C:$O,13,FALSE)</f>
        <v>#N/A</v>
      </c>
      <c r="AD618" t="str">
        <f>VLOOKUP($H618,'[3]0509人员排班情况 副本'!$G:$U,12,FALSE)</f>
        <v>孙可君Monica（Kejun Sun）</v>
      </c>
      <c r="AE618" t="str">
        <f>VLOOKUP($H618,'[3]0509人员排班情况 副本'!$G:$U,13,FALSE)</f>
        <v>马聪Cong (Cong Ma)</v>
      </c>
      <c r="AF618" t="str">
        <f>VLOOKUP($H618,'[3]0509人员排班情况 副本'!$G:$U,14,FALSE)</f>
        <v>Minqing (Minqing Xu),罗煜雄 Mike (Yuxiong Luo)</v>
      </c>
      <c r="AG618">
        <f>VLOOKUP($H618,'[3]0509人员排班情况 副本'!$G:$U,15,FALSE)</f>
        <v>0</v>
      </c>
    </row>
    <row r="619" customHeight="1" spans="1:33">
      <c r="A619" t="s">
        <v>202</v>
      </c>
      <c r="B619" t="s">
        <v>1976</v>
      </c>
      <c r="C619" t="s">
        <v>1977</v>
      </c>
      <c r="D619" t="s">
        <v>31</v>
      </c>
      <c r="E619" t="s">
        <v>42</v>
      </c>
      <c r="F619" t="s">
        <v>148</v>
      </c>
      <c r="H619" t="str">
        <f t="shared" si="63"/>
        <v>GL 大湖大区ORD01</v>
      </c>
      <c r="I619" t="s">
        <v>177</v>
      </c>
      <c r="J619" t="s">
        <v>221</v>
      </c>
      <c r="K619" s="15">
        <v>0.208333333333333</v>
      </c>
      <c r="L619" s="15" t="s">
        <v>222</v>
      </c>
      <c r="M619" s="15"/>
      <c r="N619" t="s">
        <v>148</v>
      </c>
      <c r="O619" s="20" t="str">
        <f t="shared" si="64"/>
        <v>不正确</v>
      </c>
      <c r="P619" s="21">
        <v>0</v>
      </c>
      <c r="Q619" s="21">
        <v>0</v>
      </c>
      <c r="R619" s="21">
        <v>0</v>
      </c>
      <c r="S619" s="21">
        <f t="shared" si="65"/>
        <v>0</v>
      </c>
      <c r="T619" s="21">
        <f t="shared" si="66"/>
        <v>0</v>
      </c>
      <c r="U619" s="21" t="str">
        <f t="shared" si="67"/>
        <v>否</v>
      </c>
      <c r="V619" s="21">
        <f>VLOOKUP($C619,[4]Sheet1!$B:$AN,39,FALSE)</f>
        <v>0</v>
      </c>
      <c r="W619" s="21">
        <v>0</v>
      </c>
      <c r="X619" s="23">
        <v>0</v>
      </c>
      <c r="Y619" s="23">
        <v>0</v>
      </c>
      <c r="Z619" s="25">
        <f t="shared" si="68"/>
        <v>0</v>
      </c>
      <c r="AA619" s="25" t="str">
        <f t="shared" si="69"/>
        <v>是</v>
      </c>
      <c r="AB619" t="s">
        <v>1978</v>
      </c>
      <c r="AC619" t="e">
        <f>VLOOKUP(C619,[1]Sheet1!$C:$O,13,FALSE)</f>
        <v>#N/A</v>
      </c>
      <c r="AD619" t="str">
        <f>VLOOKUP($H619,'[3]0509人员排班情况 副本'!$G:$U,12,FALSE)</f>
        <v>王晓丹 Jasmine（Xiaodan Wang）,周延舒Isabel（Yanshu Zhou）</v>
      </c>
      <c r="AE619" t="str">
        <f>VLOOKUP($H619,'[3]0509人员排班情况 副本'!$G:$U,13,FALSE)</f>
        <v>张骥Ji Zhang (Ji Zhang)</v>
      </c>
      <c r="AF619">
        <f>VLOOKUP($H619,'[3]0509人员排班情况 副本'!$G:$U,14,FALSE)</f>
        <v>0</v>
      </c>
      <c r="AG619">
        <f>VLOOKUP($H619,'[3]0509人员排班情况 副本'!$G:$U,15,FALSE)</f>
        <v>0</v>
      </c>
    </row>
    <row r="620" customHeight="1" spans="1:33">
      <c r="A620" t="s">
        <v>202</v>
      </c>
      <c r="B620" t="s">
        <v>1979</v>
      </c>
      <c r="C620" t="s">
        <v>1980</v>
      </c>
      <c r="D620" t="s">
        <v>68</v>
      </c>
      <c r="E620" t="s">
        <v>45</v>
      </c>
      <c r="F620" t="s">
        <v>148</v>
      </c>
      <c r="H620" t="str">
        <f t="shared" si="63"/>
        <v>NE 东北大区揽收部</v>
      </c>
      <c r="I620" t="s">
        <v>1623</v>
      </c>
      <c r="J620" t="s">
        <v>282</v>
      </c>
      <c r="K620" s="15">
        <v>0.416666666666667</v>
      </c>
      <c r="L620" s="15" t="s">
        <v>283</v>
      </c>
      <c r="M620" s="15">
        <v>0.402777777777778</v>
      </c>
      <c r="N620" t="s">
        <v>1209</v>
      </c>
      <c r="O620" s="20" t="str">
        <f t="shared" si="64"/>
        <v>正确</v>
      </c>
      <c r="P620" s="21">
        <v>0</v>
      </c>
      <c r="Q620" s="21">
        <v>9.05</v>
      </c>
      <c r="R620" s="21">
        <v>0</v>
      </c>
      <c r="S620" s="21">
        <f t="shared" si="65"/>
        <v>9.05</v>
      </c>
      <c r="T620" s="21">
        <f t="shared" si="66"/>
        <v>1.05</v>
      </c>
      <c r="U620" s="21" t="str">
        <f t="shared" si="67"/>
        <v>是</v>
      </c>
      <c r="V620" s="21">
        <f>VLOOKUP($C620,[4]Sheet1!$B:$AN,39,FALSE)</f>
        <v>9.05</v>
      </c>
      <c r="W620" s="21">
        <v>0</v>
      </c>
      <c r="X620" s="23">
        <v>2</v>
      </c>
      <c r="Y620" s="23">
        <v>4</v>
      </c>
      <c r="Z620" s="25">
        <f t="shared" si="68"/>
        <v>2</v>
      </c>
      <c r="AA620" s="25" t="str">
        <f t="shared" si="69"/>
        <v>是</v>
      </c>
      <c r="AB620" t="s">
        <v>148</v>
      </c>
      <c r="AC620" t="e">
        <f>VLOOKUP(C620,[1]Sheet1!$C:$O,13,FALSE)</f>
        <v>#N/A</v>
      </c>
      <c r="AD620" t="str">
        <f>VLOOKUP($H620,'[3]0509人员排班情况 副本'!$G:$U,12,FALSE)</f>
        <v>孙可君Monica（Kejun Sun）</v>
      </c>
      <c r="AE620" t="str">
        <f>VLOOKUP($H620,'[3]0509人员排班情况 副本'!$G:$U,13,FALSE)</f>
        <v>马聪Cong (Cong Ma)</v>
      </c>
      <c r="AF620">
        <f>VLOOKUP($H620,'[3]0509人员排班情况 副本'!$G:$U,14,FALSE)</f>
        <v>0</v>
      </c>
      <c r="AG620">
        <f>VLOOKUP($H620,'[3]0509人员排班情况 副本'!$G:$U,15,FALSE)</f>
        <v>0</v>
      </c>
    </row>
    <row r="621" customHeight="1" spans="1:33">
      <c r="A621" t="s">
        <v>202</v>
      </c>
      <c r="B621" t="s">
        <v>1981</v>
      </c>
      <c r="C621" t="s">
        <v>1982</v>
      </c>
      <c r="D621" t="s">
        <v>100</v>
      </c>
      <c r="E621" t="s">
        <v>101</v>
      </c>
      <c r="F621" t="s">
        <v>312</v>
      </c>
      <c r="G621" t="s">
        <v>112</v>
      </c>
      <c r="H621" t="str">
        <f t="shared" si="63"/>
        <v>WE 美西大区CNO.H异常处理组</v>
      </c>
      <c r="I621" t="s">
        <v>313</v>
      </c>
      <c r="J621" t="s">
        <v>211</v>
      </c>
      <c r="K621" s="15">
        <v>0.333333333333333</v>
      </c>
      <c r="L621" s="15" t="s">
        <v>212</v>
      </c>
      <c r="M621" s="15">
        <v>0.348611111111111</v>
      </c>
      <c r="N621" t="s">
        <v>1598</v>
      </c>
      <c r="O621" s="20" t="str">
        <f t="shared" si="64"/>
        <v>正确</v>
      </c>
      <c r="P621" s="21">
        <v>0</v>
      </c>
      <c r="Q621" s="21">
        <v>9.3</v>
      </c>
      <c r="R621" s="21">
        <v>0</v>
      </c>
      <c r="S621" s="21">
        <f t="shared" si="65"/>
        <v>9.3</v>
      </c>
      <c r="T621" s="21">
        <f t="shared" si="66"/>
        <v>1.3</v>
      </c>
      <c r="U621" s="21" t="str">
        <f t="shared" si="67"/>
        <v>是</v>
      </c>
      <c r="V621" s="21">
        <f>VLOOKUP($C621,[4]Sheet1!$B:$AN,39,FALSE)</f>
        <v>19.3</v>
      </c>
      <c r="W621" s="21">
        <v>0</v>
      </c>
      <c r="X621" s="23">
        <v>4</v>
      </c>
      <c r="Y621" s="23">
        <v>4</v>
      </c>
      <c r="Z621" s="25">
        <f t="shared" si="68"/>
        <v>0</v>
      </c>
      <c r="AA621" s="25" t="str">
        <f t="shared" si="69"/>
        <v>是</v>
      </c>
      <c r="AB621" t="s">
        <v>148</v>
      </c>
      <c r="AC621" t="e">
        <f>VLOOKUP(C621,[1]Sheet1!$C:$O,13,FALSE)</f>
        <v>#N/A</v>
      </c>
      <c r="AD621" t="str">
        <f>VLOOKUP($H621,'[3]0509人员排班情况 副本'!$G:$U,12,FALSE)</f>
        <v>王骞Ariel（Qian Wang）,叶秀芳Freya (Xiufang Ye)</v>
      </c>
      <c r="AE621" t="str">
        <f>VLOOKUP($H621,'[3]0509人员排班情况 副本'!$G:$U,13,FALSE)</f>
        <v>常哲</v>
      </c>
      <c r="AF621" t="str">
        <f>VLOOKUP($H621,'[3]0509人员排班情况 副本'!$G:$U,14,FALSE)</f>
        <v>Minqing (Minqing Xu),罗煜雄 Mike (Yuxiong Luo)</v>
      </c>
      <c r="AG621">
        <f>VLOOKUP($H621,'[3]0509人员排班情况 副本'!$G:$U,15,FALSE)</f>
        <v>0</v>
      </c>
    </row>
    <row r="622" customHeight="1" spans="1:33">
      <c r="A622" t="s">
        <v>202</v>
      </c>
      <c r="B622" t="s">
        <v>1983</v>
      </c>
      <c r="C622" t="s">
        <v>1984</v>
      </c>
      <c r="D622" t="s">
        <v>100</v>
      </c>
      <c r="E622" t="s">
        <v>107</v>
      </c>
      <c r="F622" t="s">
        <v>1006</v>
      </c>
      <c r="H622" t="str">
        <f t="shared" si="63"/>
        <v>WE 美西大区SP 西雅图·波特兰片区SEA.H</v>
      </c>
      <c r="I622" t="s">
        <v>281</v>
      </c>
      <c r="J622" t="s">
        <v>304</v>
      </c>
      <c r="K622" s="15">
        <v>0.666666666666667</v>
      </c>
      <c r="L622" s="15" t="s">
        <v>305</v>
      </c>
      <c r="M622" s="15">
        <v>0.665972222222222</v>
      </c>
      <c r="N622" t="s">
        <v>148</v>
      </c>
      <c r="O622" s="20" t="str">
        <f t="shared" si="64"/>
        <v>正确</v>
      </c>
      <c r="P622" s="21">
        <v>0</v>
      </c>
      <c r="Q622" s="21">
        <v>0</v>
      </c>
      <c r="R622" s="21">
        <v>0</v>
      </c>
      <c r="S622" s="21">
        <f t="shared" si="65"/>
        <v>0</v>
      </c>
      <c r="T622" s="21">
        <f t="shared" si="66"/>
        <v>0</v>
      </c>
      <c r="U622" s="21" t="str">
        <f t="shared" si="67"/>
        <v>否</v>
      </c>
      <c r="V622" s="21">
        <f>VLOOKUP($C622,[4]Sheet1!$B:$AN,39,FALSE)</f>
        <v>8.72</v>
      </c>
      <c r="W622" s="21">
        <v>0</v>
      </c>
      <c r="X622" s="23">
        <v>3</v>
      </c>
      <c r="Y622" s="23">
        <v>4</v>
      </c>
      <c r="Z622" s="25">
        <f t="shared" si="68"/>
        <v>1</v>
      </c>
      <c r="AA622" s="25" t="str">
        <f t="shared" si="69"/>
        <v>是</v>
      </c>
      <c r="AB622" t="s">
        <v>148</v>
      </c>
      <c r="AC622" t="e">
        <f>VLOOKUP(C622,[1]Sheet1!$C:$O,13,FALSE)</f>
        <v>#N/A</v>
      </c>
      <c r="AD622" t="str">
        <f>VLOOKUP($H622,'[3]0509人员排班情况 副本'!$G:$U,12,FALSE)</f>
        <v>王骞Ariel（Qian Wang）,叶秀芳Freya (Xiufang Ye)</v>
      </c>
      <c r="AE622" t="str">
        <f>VLOOKUP($H622,'[3]0509人员排班情况 副本'!$G:$U,13,FALSE)</f>
        <v>常哲</v>
      </c>
      <c r="AF622" t="str">
        <f>VLOOKUP($H622,'[3]0509人员排班情况 副本'!$G:$U,14,FALSE)</f>
        <v>尤梦楠Yuko（Mengnan You）</v>
      </c>
      <c r="AG622">
        <f>VLOOKUP($H622,'[3]0509人员排班情况 副本'!$G:$U,15,FALSE)</f>
        <v>0</v>
      </c>
    </row>
    <row r="623" customHeight="1" spans="1:33">
      <c r="A623" t="s">
        <v>202</v>
      </c>
      <c r="B623" t="s">
        <v>1985</v>
      </c>
      <c r="C623" t="s">
        <v>1986</v>
      </c>
      <c r="D623" t="s">
        <v>99</v>
      </c>
      <c r="E623" t="s">
        <v>677</v>
      </c>
      <c r="F623" t="s">
        <v>1342</v>
      </c>
      <c r="H623" t="str">
        <f t="shared" si="63"/>
        <v>US人力资源部美洲HRBP组Ground项目HR组</v>
      </c>
      <c r="I623" t="s">
        <v>1987</v>
      </c>
      <c r="J623" t="s">
        <v>236</v>
      </c>
      <c r="K623" s="15">
        <v>0.395833333333333</v>
      </c>
      <c r="L623" s="15" t="s">
        <v>218</v>
      </c>
      <c r="M623" s="15"/>
      <c r="N623" t="s">
        <v>148</v>
      </c>
      <c r="O623" s="20" t="str">
        <f t="shared" si="64"/>
        <v>不正确</v>
      </c>
      <c r="P623" s="21">
        <v>0</v>
      </c>
      <c r="Q623" s="21">
        <v>0</v>
      </c>
      <c r="R623" s="21">
        <v>0</v>
      </c>
      <c r="S623" s="21">
        <f t="shared" si="65"/>
        <v>0</v>
      </c>
      <c r="T623" s="21">
        <f t="shared" si="66"/>
        <v>0</v>
      </c>
      <c r="U623" s="21" t="str">
        <f t="shared" si="67"/>
        <v>否</v>
      </c>
      <c r="V623" s="21">
        <f>VLOOKUP($C623,[4]Sheet1!$B:$AN,39,FALSE)</f>
        <v>0</v>
      </c>
      <c r="W623" s="21">
        <v>0</v>
      </c>
      <c r="X623" s="23">
        <v>0</v>
      </c>
      <c r="Y623" s="23">
        <v>4</v>
      </c>
      <c r="Z623" s="25">
        <f t="shared" si="68"/>
        <v>4</v>
      </c>
      <c r="AA623" s="25" t="str">
        <f t="shared" si="69"/>
        <v>是</v>
      </c>
      <c r="AB623" t="s">
        <v>148</v>
      </c>
      <c r="AC623" t="e">
        <f>VLOOKUP(C623,[1]Sheet1!$C:$O,13,FALSE)</f>
        <v>#N/A</v>
      </c>
      <c r="AD623" t="str">
        <f>VLOOKUP($H623,'[3]0509人员排班情况 副本'!$G:$U,12,FALSE)</f>
        <v>袁博闻(Bowen Yuan)</v>
      </c>
      <c r="AE623">
        <f>VLOOKUP($H623,'[3]0509人员排班情况 副本'!$G:$U,13,FALSE)</f>
        <v>0</v>
      </c>
      <c r="AF623">
        <f>VLOOKUP($H623,'[3]0509人员排班情况 副本'!$G:$U,14,FALSE)</f>
        <v>0</v>
      </c>
      <c r="AG623">
        <f>VLOOKUP($H623,'[3]0509人员排班情况 副本'!$G:$U,15,FALSE)</f>
        <v>0</v>
      </c>
    </row>
    <row r="624" customHeight="1" spans="1:33">
      <c r="A624" t="s">
        <v>202</v>
      </c>
      <c r="B624" t="s">
        <v>1988</v>
      </c>
      <c r="C624" t="s">
        <v>1989</v>
      </c>
      <c r="D624" t="s">
        <v>99</v>
      </c>
      <c r="E624" t="s">
        <v>677</v>
      </c>
      <c r="F624" t="s">
        <v>148</v>
      </c>
      <c r="H624" t="str">
        <f t="shared" si="63"/>
        <v>US人力资源部美洲HRBP组</v>
      </c>
      <c r="I624" t="s">
        <v>1990</v>
      </c>
      <c r="J624" t="s">
        <v>236</v>
      </c>
      <c r="K624" s="15">
        <v>0.395833333333333</v>
      </c>
      <c r="L624" s="15" t="s">
        <v>218</v>
      </c>
      <c r="M624" s="15"/>
      <c r="N624" t="s">
        <v>148</v>
      </c>
      <c r="O624" s="20" t="str">
        <f t="shared" si="64"/>
        <v>不正确</v>
      </c>
      <c r="P624" s="21">
        <v>0</v>
      </c>
      <c r="Q624" s="21">
        <v>0</v>
      </c>
      <c r="R624" s="21">
        <v>0</v>
      </c>
      <c r="S624" s="21">
        <f t="shared" si="65"/>
        <v>0</v>
      </c>
      <c r="T624" s="21">
        <f t="shared" si="66"/>
        <v>0</v>
      </c>
      <c r="U624" s="21" t="str">
        <f t="shared" si="67"/>
        <v>否</v>
      </c>
      <c r="V624" s="21">
        <f>VLOOKUP($C624,[4]Sheet1!$B:$AN,39,FALSE)</f>
        <v>0</v>
      </c>
      <c r="W624" s="21">
        <v>0</v>
      </c>
      <c r="X624" s="23">
        <v>0</v>
      </c>
      <c r="Y624" s="23">
        <v>4</v>
      </c>
      <c r="Z624" s="25">
        <f t="shared" si="68"/>
        <v>4</v>
      </c>
      <c r="AA624" s="25" t="str">
        <f t="shared" si="69"/>
        <v>是</v>
      </c>
      <c r="AB624" t="s">
        <v>148</v>
      </c>
      <c r="AC624" t="e">
        <f>VLOOKUP(C624,[1]Sheet1!$C:$O,13,FALSE)</f>
        <v>#N/A</v>
      </c>
      <c r="AD624" t="str">
        <f>VLOOKUP($H624,'[3]0509人员排班情况 副本'!$G:$U,12,FALSE)</f>
        <v>袁博闻(Bowen Yuan)</v>
      </c>
      <c r="AE624">
        <f>VLOOKUP($H624,'[3]0509人员排班情况 副本'!$G:$U,13,FALSE)</f>
        <v>0</v>
      </c>
      <c r="AF624">
        <f>VLOOKUP($H624,'[3]0509人员排班情况 副本'!$G:$U,14,FALSE)</f>
        <v>0</v>
      </c>
      <c r="AG624">
        <f>VLOOKUP($H624,'[3]0509人员排班情况 副本'!$G:$U,15,FALSE)</f>
        <v>0</v>
      </c>
    </row>
    <row r="625" customHeight="1" spans="1:33">
      <c r="A625" t="s">
        <v>202</v>
      </c>
      <c r="B625" t="s">
        <v>1991</v>
      </c>
      <c r="C625" t="s">
        <v>1992</v>
      </c>
      <c r="D625" t="s">
        <v>48</v>
      </c>
      <c r="E625" t="s">
        <v>51</v>
      </c>
      <c r="F625" t="s">
        <v>1585</v>
      </c>
      <c r="H625" t="str">
        <f t="shared" si="63"/>
        <v>Ground项目部OG 美西区PT972</v>
      </c>
      <c r="I625" t="s">
        <v>406</v>
      </c>
      <c r="J625" t="s">
        <v>229</v>
      </c>
      <c r="K625" s="15">
        <v>0.270833333333333</v>
      </c>
      <c r="L625" s="15" t="s">
        <v>230</v>
      </c>
      <c r="M625" s="15">
        <v>0.14375</v>
      </c>
      <c r="N625" t="s">
        <v>230</v>
      </c>
      <c r="O625" s="20" t="str">
        <f t="shared" si="64"/>
        <v>不正确</v>
      </c>
      <c r="P625" s="21">
        <v>0</v>
      </c>
      <c r="Q625" s="21">
        <v>11.05</v>
      </c>
      <c r="R625" s="21">
        <v>0</v>
      </c>
      <c r="S625" s="21">
        <f t="shared" si="65"/>
        <v>11.05</v>
      </c>
      <c r="T625" s="21">
        <f t="shared" si="66"/>
        <v>3.05</v>
      </c>
      <c r="U625" s="21" t="str">
        <f t="shared" si="67"/>
        <v>是</v>
      </c>
      <c r="V625" s="21">
        <f>VLOOKUP($C625,[4]Sheet1!$B:$AN,39,FALSE)</f>
        <v>19.17</v>
      </c>
      <c r="W625" s="21">
        <v>8.27</v>
      </c>
      <c r="X625" s="23">
        <v>4</v>
      </c>
      <c r="Y625" s="23">
        <v>4</v>
      </c>
      <c r="Z625" s="25">
        <f t="shared" si="68"/>
        <v>0</v>
      </c>
      <c r="AA625" s="25" t="str">
        <f t="shared" si="69"/>
        <v>是</v>
      </c>
      <c r="AB625" t="s">
        <v>148</v>
      </c>
      <c r="AC625" t="e">
        <f>VLOOKUP(C625,[1]Sheet1!$C:$O,13,FALSE)</f>
        <v>#N/A</v>
      </c>
      <c r="AD625" t="str">
        <f>VLOOKUP($H625,'[3]0509人员排班情况 副本'!$G:$U,12,FALSE)</f>
        <v>王安琪 (Anqi Wang),张朱同 Thomson（Zhutong Zhang）</v>
      </c>
      <c r="AE625" t="str">
        <f>VLOOKUP($H625,'[3]0509人员排班情况 副本'!$G:$U,13,FALSE)</f>
        <v>陈锦昭</v>
      </c>
      <c r="AF625" t="str">
        <f>VLOOKUP($H625,'[3]0509人员排班情况 副本'!$G:$U,14,FALSE)</f>
        <v>张潇予（Angelia）Xiaoyu Zhang</v>
      </c>
      <c r="AG625">
        <f>VLOOKUP($H625,'[3]0509人员排班情况 副本'!$G:$U,15,FALSE)</f>
        <v>0</v>
      </c>
    </row>
    <row r="626" customHeight="1" spans="1:33">
      <c r="A626" t="s">
        <v>202</v>
      </c>
      <c r="B626" t="s">
        <v>1993</v>
      </c>
      <c r="C626" t="s">
        <v>1994</v>
      </c>
      <c r="D626" t="s">
        <v>31</v>
      </c>
      <c r="E626" t="s">
        <v>33</v>
      </c>
      <c r="F626" t="s">
        <v>1995</v>
      </c>
      <c r="H626" t="str">
        <f t="shared" si="63"/>
        <v>GL 大湖大区CM 中西部中心片区CVG01</v>
      </c>
      <c r="I626" t="s">
        <v>406</v>
      </c>
      <c r="J626" t="s">
        <v>437</v>
      </c>
      <c r="K626" s="15">
        <v>0.229166666666667</v>
      </c>
      <c r="L626" s="15" t="s">
        <v>438</v>
      </c>
      <c r="M626" s="15">
        <v>0.235416666666667</v>
      </c>
      <c r="N626" t="s">
        <v>1003</v>
      </c>
      <c r="O626" s="20" t="str">
        <f t="shared" si="64"/>
        <v>正确</v>
      </c>
      <c r="P626" s="21">
        <v>0</v>
      </c>
      <c r="Q626" s="21">
        <v>8.05</v>
      </c>
      <c r="R626" s="21">
        <v>0</v>
      </c>
      <c r="S626" s="21">
        <f t="shared" si="65"/>
        <v>8.05</v>
      </c>
      <c r="T626" s="21">
        <f t="shared" si="66"/>
        <v>0.0500000000000007</v>
      </c>
      <c r="U626" s="21" t="str">
        <f t="shared" si="67"/>
        <v>是</v>
      </c>
      <c r="V626" s="21">
        <f>VLOOKUP($C626,[4]Sheet1!$B:$AN,39,FALSE)</f>
        <v>16.1</v>
      </c>
      <c r="W626" s="21">
        <v>0</v>
      </c>
      <c r="X626" s="23">
        <v>4</v>
      </c>
      <c r="Y626" s="23">
        <v>4</v>
      </c>
      <c r="Z626" s="25">
        <f t="shared" si="68"/>
        <v>0</v>
      </c>
      <c r="AA626" s="25" t="str">
        <f t="shared" si="69"/>
        <v>是</v>
      </c>
      <c r="AB626" t="s">
        <v>148</v>
      </c>
      <c r="AC626" t="e">
        <f>VLOOKUP(C626,[1]Sheet1!$C:$O,13,FALSE)</f>
        <v>#N/A</v>
      </c>
      <c r="AD626" t="str">
        <f>VLOOKUP($H626,'[3]0509人员排班情况 副本'!$G:$U,12,FALSE)</f>
        <v>王晓丹 Jasmine（Xiaodan Wang）,周延舒Isabel（Yanshu Zhou）</v>
      </c>
      <c r="AE626" t="str">
        <f>VLOOKUP($H626,'[3]0509人员排班情况 副本'!$G:$U,13,FALSE)</f>
        <v>张骥Ji Zhang (Ji Zhang)</v>
      </c>
      <c r="AF626" t="str">
        <f>VLOOKUP($H626,'[3]0509人员排班情况 副本'!$G:$U,14,FALSE)</f>
        <v>欧阳溢巍 Nathan (Yiwei Ouyang),尚青蓓 Suki （Qingbei Shang）</v>
      </c>
      <c r="AG626">
        <f>VLOOKUP($H626,'[3]0509人员排班情况 副本'!$G:$U,15,FALSE)</f>
        <v>0</v>
      </c>
    </row>
    <row r="627" customHeight="1" spans="1:33">
      <c r="A627" t="s">
        <v>202</v>
      </c>
      <c r="B627" t="s">
        <v>1996</v>
      </c>
      <c r="C627" t="s">
        <v>1997</v>
      </c>
      <c r="D627" t="s">
        <v>68</v>
      </c>
      <c r="E627" t="s">
        <v>76</v>
      </c>
      <c r="F627" t="s">
        <v>850</v>
      </c>
      <c r="G627" t="s">
        <v>112</v>
      </c>
      <c r="H627" t="str">
        <f t="shared" si="63"/>
        <v>NE 东北大区EWR.H维保组</v>
      </c>
      <c r="I627" t="s">
        <v>851</v>
      </c>
      <c r="J627" t="s">
        <v>655</v>
      </c>
      <c r="K627" s="15">
        <v>0.583333333333333</v>
      </c>
      <c r="L627" s="15" t="s">
        <v>656</v>
      </c>
      <c r="M627" s="15">
        <v>0.532638888888889</v>
      </c>
      <c r="N627" t="s">
        <v>1998</v>
      </c>
      <c r="O627" s="20" t="str">
        <f t="shared" si="64"/>
        <v>不正确</v>
      </c>
      <c r="P627" s="21">
        <v>0</v>
      </c>
      <c r="Q627" s="21">
        <v>7.4</v>
      </c>
      <c r="R627" s="21">
        <v>0</v>
      </c>
      <c r="S627" s="21">
        <f t="shared" si="65"/>
        <v>7.4</v>
      </c>
      <c r="T627" s="21">
        <f t="shared" si="66"/>
        <v>0</v>
      </c>
      <c r="U627" s="21" t="str">
        <f t="shared" si="67"/>
        <v>否</v>
      </c>
      <c r="V627" s="21">
        <f>VLOOKUP($C627,[4]Sheet1!$B:$AN,39,FALSE)</f>
        <v>17.8</v>
      </c>
      <c r="W627" s="21">
        <v>0</v>
      </c>
      <c r="X627" s="23">
        <v>3</v>
      </c>
      <c r="Y627" s="23">
        <v>4</v>
      </c>
      <c r="Z627" s="25">
        <f t="shared" si="68"/>
        <v>1</v>
      </c>
      <c r="AA627" s="25" t="str">
        <f t="shared" si="69"/>
        <v>是</v>
      </c>
      <c r="AB627" t="s">
        <v>148</v>
      </c>
      <c r="AC627" t="e">
        <f>VLOOKUP(C627,[1]Sheet1!$C:$O,13,FALSE)</f>
        <v>#N/A</v>
      </c>
      <c r="AD627" t="str">
        <f>VLOOKUP($H627,'[3]0509人员排班情况 副本'!$G:$U,12,FALSE)</f>
        <v>孙可君Monica（Kejun Sun）</v>
      </c>
      <c r="AE627" t="str">
        <f>VLOOKUP($H627,'[3]0509人员排班情况 副本'!$G:$U,13,FALSE)</f>
        <v>马聪Cong (Cong Ma)</v>
      </c>
      <c r="AF627" t="str">
        <f>VLOOKUP($H627,'[3]0509人员排班情况 副本'!$G:$U,14,FALSE)</f>
        <v>章峻铭 J (Junming Zhang)</v>
      </c>
      <c r="AG627">
        <f>VLOOKUP($H627,'[3]0509人员排班情况 副本'!$G:$U,15,FALSE)</f>
        <v>0</v>
      </c>
    </row>
    <row r="628" customHeight="1" spans="1:33">
      <c r="A628" t="s">
        <v>202</v>
      </c>
      <c r="B628" t="s">
        <v>1999</v>
      </c>
      <c r="C628" t="s">
        <v>2000</v>
      </c>
      <c r="D628" t="s">
        <v>15</v>
      </c>
      <c r="E628" t="s">
        <v>27</v>
      </c>
      <c r="F628" t="s">
        <v>26</v>
      </c>
      <c r="H628" t="str">
        <f t="shared" si="63"/>
        <v>FL 佛州大区WF 西佛片区TPA01</v>
      </c>
      <c r="I628" t="s">
        <v>177</v>
      </c>
      <c r="J628" t="s">
        <v>217</v>
      </c>
      <c r="K628" s="15">
        <v>0.395833333333333</v>
      </c>
      <c r="L628" s="15" t="s">
        <v>218</v>
      </c>
      <c r="M628" s="15"/>
      <c r="N628" t="s">
        <v>148</v>
      </c>
      <c r="O628" s="20" t="s">
        <v>116</v>
      </c>
      <c r="P628" s="21">
        <v>0</v>
      </c>
      <c r="Q628" s="21">
        <v>0</v>
      </c>
      <c r="R628" s="21">
        <v>0</v>
      </c>
      <c r="S628" s="21">
        <f t="shared" si="65"/>
        <v>0</v>
      </c>
      <c r="T628" s="21">
        <f t="shared" si="66"/>
        <v>0</v>
      </c>
      <c r="U628" s="21" t="str">
        <f t="shared" si="67"/>
        <v>否</v>
      </c>
      <c r="V628" s="21">
        <f>VLOOKUP($C628,[4]Sheet1!$B:$AN,39,FALSE)</f>
        <v>9.38</v>
      </c>
      <c r="W628" s="21">
        <v>0</v>
      </c>
      <c r="X628" s="23">
        <v>4</v>
      </c>
      <c r="Y628" s="23">
        <v>0</v>
      </c>
      <c r="Z628" s="25">
        <f t="shared" si="68"/>
        <v>0</v>
      </c>
      <c r="AA628" s="25" t="str">
        <f t="shared" si="69"/>
        <v>是</v>
      </c>
      <c r="AB628" t="s">
        <v>148</v>
      </c>
      <c r="AC628" t="e">
        <f>VLOOKUP(C628,[1]Sheet1!$C:$O,13,FALSE)</f>
        <v>#N/A</v>
      </c>
      <c r="AD628" t="str">
        <f>VLOOKUP($H628,'[3]0509人员排班情况 副本'!$G:$U,12,FALSE)</f>
        <v>Natalia (Natalia Padilla),孙婕 Jasmine（Sunjie）</v>
      </c>
      <c r="AE628" t="str">
        <f>VLOOKUP($H628,'[3]0509人员排班情况 副本'!$G:$U,13,FALSE)</f>
        <v>贺子强Jeff (Ziqiang He)</v>
      </c>
      <c r="AF628" t="str">
        <f>VLOOKUP($H628,'[3]0509人员排班情况 副本'!$G:$U,14,FALSE)</f>
        <v>于文康 Henry (Wenkang Yu)</v>
      </c>
      <c r="AG628">
        <f>VLOOKUP($H628,'[3]0509人员排班情况 副本'!$G:$U,15,FALSE)</f>
        <v>0</v>
      </c>
    </row>
    <row r="629" customHeight="1" spans="1:33">
      <c r="A629" t="s">
        <v>202</v>
      </c>
      <c r="B629" t="s">
        <v>2001</v>
      </c>
      <c r="C629" t="s">
        <v>2002</v>
      </c>
      <c r="D629" t="s">
        <v>31</v>
      </c>
      <c r="E629" t="s">
        <v>41</v>
      </c>
      <c r="F629" t="s">
        <v>275</v>
      </c>
      <c r="G629" t="s">
        <v>112</v>
      </c>
      <c r="H629" t="str">
        <f t="shared" si="63"/>
        <v>GL 大湖大区ORD.H分拣组</v>
      </c>
      <c r="I629" t="s">
        <v>303</v>
      </c>
      <c r="J629" t="s">
        <v>217</v>
      </c>
      <c r="K629" s="15">
        <v>0.395833333333333</v>
      </c>
      <c r="L629" s="15" t="s">
        <v>218</v>
      </c>
      <c r="M629" s="15">
        <v>0.336111111111111</v>
      </c>
      <c r="N629" t="s">
        <v>148</v>
      </c>
      <c r="O629" s="20" t="str">
        <f t="shared" si="64"/>
        <v>不正确</v>
      </c>
      <c r="P629" s="21">
        <v>0</v>
      </c>
      <c r="Q629" s="21">
        <v>0</v>
      </c>
      <c r="R629" s="21">
        <v>0</v>
      </c>
      <c r="S629" s="21">
        <f t="shared" si="65"/>
        <v>0</v>
      </c>
      <c r="T629" s="21">
        <f t="shared" si="66"/>
        <v>0</v>
      </c>
      <c r="U629" s="21" t="str">
        <f t="shared" si="67"/>
        <v>否</v>
      </c>
      <c r="V629" s="21">
        <f>VLOOKUP($C629,[4]Sheet1!$B:$AN,39,FALSE)</f>
        <v>9.53</v>
      </c>
      <c r="W629" s="21">
        <v>0</v>
      </c>
      <c r="X629" s="23">
        <v>1</v>
      </c>
      <c r="Y629" s="23">
        <v>0</v>
      </c>
      <c r="Z629" s="25">
        <f t="shared" si="68"/>
        <v>0</v>
      </c>
      <c r="AA629" s="25" t="str">
        <f t="shared" si="69"/>
        <v>是</v>
      </c>
      <c r="AB629" t="s">
        <v>148</v>
      </c>
      <c r="AC629" t="e">
        <f>VLOOKUP(C629,[1]Sheet1!$C:$O,13,FALSE)</f>
        <v>#N/A</v>
      </c>
      <c r="AD629" t="str">
        <f>VLOOKUP($H629,'[3]0509人员排班情况 副本'!$G:$U,12,FALSE)</f>
        <v>王晓丹 Jasmine（Xiaodan Wang）,周延舒Isabel（Yanshu Zhou）</v>
      </c>
      <c r="AE629" t="str">
        <f>VLOOKUP($H629,'[3]0509人员排班情况 副本'!$G:$U,13,FALSE)</f>
        <v>张骥Ji Zhang (Ji Zhang)</v>
      </c>
      <c r="AF629" t="str">
        <f>VLOOKUP($H629,'[3]0509人员排班情况 副本'!$G:$U,14,FALSE)</f>
        <v>张双甫(Shuangfu Zhang)</v>
      </c>
      <c r="AG629">
        <f>VLOOKUP($H629,'[3]0509人员排班情况 副本'!$G:$U,15,FALSE)</f>
        <v>0</v>
      </c>
    </row>
    <row r="630" customHeight="1" spans="1:33">
      <c r="A630" t="s">
        <v>202</v>
      </c>
      <c r="B630" t="s">
        <v>2003</v>
      </c>
      <c r="C630" t="s">
        <v>2004</v>
      </c>
      <c r="D630" t="s">
        <v>56</v>
      </c>
      <c r="E630" t="s">
        <v>913</v>
      </c>
      <c r="F630" t="s">
        <v>148</v>
      </c>
      <c r="H630" t="str">
        <f t="shared" si="63"/>
        <v>IC 跨境客户部海外客户组</v>
      </c>
      <c r="I630" t="s">
        <v>1591</v>
      </c>
      <c r="J630" t="s">
        <v>236</v>
      </c>
      <c r="K630" s="15">
        <v>0.395833333333333</v>
      </c>
      <c r="L630" s="15" t="s">
        <v>218</v>
      </c>
      <c r="M630" s="15">
        <v>0.459027777777778</v>
      </c>
      <c r="N630" t="s">
        <v>1870</v>
      </c>
      <c r="O630" s="20" t="str">
        <f t="shared" si="64"/>
        <v>不正确</v>
      </c>
      <c r="P630" s="21">
        <v>0</v>
      </c>
      <c r="Q630" s="21">
        <v>6.15</v>
      </c>
      <c r="R630" s="21">
        <v>0</v>
      </c>
      <c r="S630" s="21">
        <f t="shared" si="65"/>
        <v>6.15</v>
      </c>
      <c r="T630" s="21">
        <f t="shared" si="66"/>
        <v>0</v>
      </c>
      <c r="U630" s="21" t="str">
        <f t="shared" si="67"/>
        <v>否</v>
      </c>
      <c r="V630" s="21">
        <f>VLOOKUP($C630,[4]Sheet1!$B:$AN,39,FALSE)</f>
        <v>15.05</v>
      </c>
      <c r="W630" s="21">
        <v>0</v>
      </c>
      <c r="X630" s="23">
        <v>2</v>
      </c>
      <c r="Y630" s="23">
        <v>4</v>
      </c>
      <c r="Z630" s="25">
        <f t="shared" si="68"/>
        <v>2</v>
      </c>
      <c r="AA630" s="25" t="str">
        <f t="shared" si="69"/>
        <v>是</v>
      </c>
      <c r="AB630" t="s">
        <v>148</v>
      </c>
      <c r="AC630" t="e">
        <f>VLOOKUP(C630,[1]Sheet1!$C:$O,13,FALSE)</f>
        <v>#N/A</v>
      </c>
      <c r="AD630" t="str">
        <f>VLOOKUP($H630,'[3]0509人员排班情况 副本'!$G:$U,12,FALSE)</f>
        <v>袁博闻(Bowen Yuan)</v>
      </c>
      <c r="AE630">
        <f>VLOOKUP($H630,'[3]0509人员排班情况 副本'!$G:$U,13,FALSE)</f>
        <v>0</v>
      </c>
      <c r="AF630">
        <f>VLOOKUP($H630,'[3]0509人员排班情况 副本'!$G:$U,14,FALSE)</f>
        <v>0</v>
      </c>
      <c r="AG630">
        <f>VLOOKUP($H630,'[3]0509人员排班情况 副本'!$G:$U,15,FALSE)</f>
        <v>0</v>
      </c>
    </row>
    <row r="631" customHeight="1" spans="1:33">
      <c r="A631" t="s">
        <v>202</v>
      </c>
      <c r="B631" t="s">
        <v>2005</v>
      </c>
      <c r="C631" t="s">
        <v>2006</v>
      </c>
      <c r="D631" t="s">
        <v>48</v>
      </c>
      <c r="E631" t="s">
        <v>53</v>
      </c>
      <c r="F631" t="s">
        <v>1099</v>
      </c>
      <c r="H631" t="str">
        <f t="shared" si="63"/>
        <v>Ground项目部派送管理部运力开发组</v>
      </c>
      <c r="I631" t="s">
        <v>1601</v>
      </c>
      <c r="J631" t="s">
        <v>236</v>
      </c>
      <c r="K631" s="15">
        <v>0.395833333333333</v>
      </c>
      <c r="L631" s="15" t="s">
        <v>218</v>
      </c>
      <c r="M631" s="15">
        <v>0.4</v>
      </c>
      <c r="N631" t="s">
        <v>1167</v>
      </c>
      <c r="O631" s="20" t="str">
        <f t="shared" si="64"/>
        <v>正确</v>
      </c>
      <c r="P631" s="21">
        <v>0</v>
      </c>
      <c r="Q631" s="21">
        <v>8.47</v>
      </c>
      <c r="R631" s="21">
        <v>0</v>
      </c>
      <c r="S631" s="21">
        <f t="shared" si="65"/>
        <v>8.47</v>
      </c>
      <c r="T631" s="21">
        <f t="shared" si="66"/>
        <v>0.470000000000001</v>
      </c>
      <c r="U631" s="21" t="str">
        <f t="shared" si="67"/>
        <v>是</v>
      </c>
      <c r="V631" s="21">
        <f>VLOOKUP($C631,[4]Sheet1!$B:$AN,39,FALSE)</f>
        <v>16.55</v>
      </c>
      <c r="W631" s="21">
        <v>0</v>
      </c>
      <c r="X631" s="23">
        <v>4</v>
      </c>
      <c r="Y631" s="23">
        <v>4</v>
      </c>
      <c r="Z631" s="25">
        <f t="shared" si="68"/>
        <v>0</v>
      </c>
      <c r="AA631" s="25" t="str">
        <f t="shared" si="69"/>
        <v>是</v>
      </c>
      <c r="AB631" t="s">
        <v>148</v>
      </c>
      <c r="AC631" t="e">
        <f>VLOOKUP(C631,[1]Sheet1!$C:$O,13,FALSE)</f>
        <v>#N/A</v>
      </c>
      <c r="AD631" t="str">
        <f>VLOOKUP($H631,'[3]0509人员排班情况 副本'!$G:$U,12,FALSE)</f>
        <v>王安琪 (Anqi Wang),张朱同 Thomson（Zhutong Zhang）</v>
      </c>
      <c r="AE631" t="str">
        <f>VLOOKUP($H631,'[3]0509人员排班情况 副本'!$G:$U,13,FALSE)</f>
        <v>陈锦昭</v>
      </c>
      <c r="AF631">
        <f>VLOOKUP($H631,'[3]0509人员排班情况 副本'!$G:$U,14,FALSE)</f>
        <v>0</v>
      </c>
      <c r="AG631">
        <f>VLOOKUP($H631,'[3]0509人员排班情况 副本'!$G:$U,15,FALSE)</f>
        <v>0</v>
      </c>
    </row>
    <row r="632" customHeight="1" spans="1:33">
      <c r="A632" t="s">
        <v>202</v>
      </c>
      <c r="B632" t="s">
        <v>2007</v>
      </c>
      <c r="C632" t="s">
        <v>2008</v>
      </c>
      <c r="D632" t="s">
        <v>99</v>
      </c>
      <c r="E632" t="s">
        <v>677</v>
      </c>
      <c r="F632" t="s">
        <v>864</v>
      </c>
      <c r="H632" t="str">
        <f t="shared" si="63"/>
        <v>US人力资源部美洲HRBP组招聘组</v>
      </c>
      <c r="I632" t="s">
        <v>1064</v>
      </c>
      <c r="J632" t="s">
        <v>236</v>
      </c>
      <c r="K632" s="15">
        <v>0.395833333333333</v>
      </c>
      <c r="L632" s="15" t="s">
        <v>218</v>
      </c>
      <c r="M632" s="15">
        <v>0.4375</v>
      </c>
      <c r="N632" t="s">
        <v>1724</v>
      </c>
      <c r="O632" s="20" t="str">
        <f t="shared" si="64"/>
        <v>正确</v>
      </c>
      <c r="P632" s="21">
        <v>0</v>
      </c>
      <c r="Q632" s="21">
        <v>10.7</v>
      </c>
      <c r="R632" s="21">
        <v>0</v>
      </c>
      <c r="S632" s="21">
        <f t="shared" si="65"/>
        <v>10.7</v>
      </c>
      <c r="T632" s="21">
        <f t="shared" si="66"/>
        <v>2.7</v>
      </c>
      <c r="U632" s="21" t="str">
        <f t="shared" si="67"/>
        <v>是</v>
      </c>
      <c r="V632" s="21">
        <f>VLOOKUP($C632,[4]Sheet1!$B:$AN,39,FALSE)</f>
        <v>19.23</v>
      </c>
      <c r="W632" s="21">
        <v>0</v>
      </c>
      <c r="X632" s="23">
        <v>2</v>
      </c>
      <c r="Y632" s="23">
        <v>4</v>
      </c>
      <c r="Z632" s="25">
        <f t="shared" si="68"/>
        <v>2</v>
      </c>
      <c r="AA632" s="25" t="str">
        <f t="shared" si="69"/>
        <v>是</v>
      </c>
      <c r="AB632" t="s">
        <v>148</v>
      </c>
      <c r="AC632" t="e">
        <f>VLOOKUP(C632,[1]Sheet1!$C:$O,13,FALSE)</f>
        <v>#N/A</v>
      </c>
      <c r="AD632" t="str">
        <f>VLOOKUP($H632,'[3]0509人员排班情况 副本'!$G:$U,12,FALSE)</f>
        <v>袁博闻(Bowen Yuan)</v>
      </c>
      <c r="AE632">
        <f>VLOOKUP($H632,'[3]0509人员排班情况 副本'!$G:$U,13,FALSE)</f>
        <v>0</v>
      </c>
      <c r="AF632">
        <f>VLOOKUP($H632,'[3]0509人员排班情况 副本'!$G:$U,14,FALSE)</f>
        <v>0</v>
      </c>
      <c r="AG632">
        <f>VLOOKUP($H632,'[3]0509人员排班情况 副本'!$G:$U,15,FALSE)</f>
        <v>0</v>
      </c>
    </row>
    <row r="633" customHeight="1" spans="1:33">
      <c r="A633" t="s">
        <v>202</v>
      </c>
      <c r="B633" t="s">
        <v>2009</v>
      </c>
      <c r="C633" t="s">
        <v>2010</v>
      </c>
      <c r="D633" t="s">
        <v>100</v>
      </c>
      <c r="E633" t="s">
        <v>105</v>
      </c>
      <c r="F633" t="s">
        <v>750</v>
      </c>
      <c r="H633" t="str">
        <f t="shared" si="63"/>
        <v>WE 美西大区NC 北加片区SFO.H</v>
      </c>
      <c r="I633" t="s">
        <v>303</v>
      </c>
      <c r="J633" t="s">
        <v>330</v>
      </c>
      <c r="K633" s="15">
        <v>0.625</v>
      </c>
      <c r="L633" s="15" t="s">
        <v>331</v>
      </c>
      <c r="M633" s="15"/>
      <c r="N633" t="s">
        <v>148</v>
      </c>
      <c r="O633" s="20" t="str">
        <f t="shared" si="64"/>
        <v>不正确</v>
      </c>
      <c r="P633" s="21">
        <v>0</v>
      </c>
      <c r="Q633" s="21">
        <v>0</v>
      </c>
      <c r="R633" s="21">
        <v>0</v>
      </c>
      <c r="S633" s="21">
        <f t="shared" si="65"/>
        <v>0</v>
      </c>
      <c r="T633" s="21">
        <f t="shared" si="66"/>
        <v>0</v>
      </c>
      <c r="U633" s="21" t="str">
        <f t="shared" si="67"/>
        <v>否</v>
      </c>
      <c r="V633" s="21">
        <f>VLOOKUP($C633,[4]Sheet1!$B:$AN,39,FALSE)</f>
        <v>10.6</v>
      </c>
      <c r="W633" s="21">
        <v>0</v>
      </c>
      <c r="X633" s="23">
        <v>0</v>
      </c>
      <c r="Y633" s="23">
        <v>4</v>
      </c>
      <c r="Z633" s="25">
        <f t="shared" si="68"/>
        <v>4</v>
      </c>
      <c r="AA633" s="25" t="str">
        <f t="shared" si="69"/>
        <v>是</v>
      </c>
      <c r="AB633" t="s">
        <v>148</v>
      </c>
      <c r="AC633" t="e">
        <f>VLOOKUP(C633,[1]Sheet1!$C:$O,13,FALSE)</f>
        <v>#N/A</v>
      </c>
      <c r="AD633" t="str">
        <f>VLOOKUP($H633,'[3]0509人员排班情况 副本'!$G:$U,12,FALSE)</f>
        <v>王骞Ariel（Qian Wang）,叶秀芳Freya (Xiufang Ye)</v>
      </c>
      <c r="AE633" t="str">
        <f>VLOOKUP($H633,'[3]0509人员排班情况 副本'!$G:$U,13,FALSE)</f>
        <v>常哲</v>
      </c>
      <c r="AF633" t="str">
        <f>VLOOKUP($H633,'[3]0509人员排班情况 副本'!$G:$U,14,FALSE)</f>
        <v>林美浚（Meijun Lin）</v>
      </c>
      <c r="AG633">
        <f>VLOOKUP($H633,'[3]0509人员排班情况 副本'!$G:$U,15,FALSE)</f>
        <v>0</v>
      </c>
    </row>
    <row r="634" customHeight="1" spans="1:33">
      <c r="A634" t="s">
        <v>202</v>
      </c>
      <c r="B634" t="s">
        <v>2011</v>
      </c>
      <c r="C634" t="s">
        <v>2012</v>
      </c>
      <c r="D634" t="s">
        <v>48</v>
      </c>
      <c r="E634" t="s">
        <v>54</v>
      </c>
      <c r="F634" t="s">
        <v>2013</v>
      </c>
      <c r="H634" t="str">
        <f t="shared" si="63"/>
        <v>Ground项目部运营管理部精益管理组</v>
      </c>
      <c r="I634" t="s">
        <v>2014</v>
      </c>
      <c r="J634" t="s">
        <v>295</v>
      </c>
      <c r="K634" s="15">
        <v>0.375</v>
      </c>
      <c r="L634" s="15" t="s">
        <v>296</v>
      </c>
      <c r="M634" s="15">
        <v>0.345138888888889</v>
      </c>
      <c r="N634" t="s">
        <v>1751</v>
      </c>
      <c r="O634" s="20" t="str">
        <f t="shared" si="64"/>
        <v>正确</v>
      </c>
      <c r="P634" s="21">
        <v>0</v>
      </c>
      <c r="Q634" s="21">
        <v>8.47</v>
      </c>
      <c r="R634" s="21">
        <v>0</v>
      </c>
      <c r="S634" s="21">
        <f t="shared" si="65"/>
        <v>8.47</v>
      </c>
      <c r="T634" s="21">
        <f t="shared" si="66"/>
        <v>0.470000000000001</v>
      </c>
      <c r="U634" s="21" t="str">
        <f t="shared" si="67"/>
        <v>是</v>
      </c>
      <c r="V634" s="21">
        <f>VLOOKUP($C634,[4]Sheet1!$B:$AN,39,FALSE)</f>
        <v>17</v>
      </c>
      <c r="W634" s="21">
        <v>0</v>
      </c>
      <c r="X634" s="23">
        <v>2</v>
      </c>
      <c r="Y634" s="23">
        <v>0</v>
      </c>
      <c r="Z634" s="25">
        <f t="shared" si="68"/>
        <v>0</v>
      </c>
      <c r="AA634" s="25" t="str">
        <f t="shared" si="69"/>
        <v>是</v>
      </c>
      <c r="AB634" t="s">
        <v>1011</v>
      </c>
      <c r="AC634" t="e">
        <f>VLOOKUP(C634,[1]Sheet1!$C:$O,13,FALSE)</f>
        <v>#N/A</v>
      </c>
      <c r="AD634" t="str">
        <f>VLOOKUP($H634,'[3]0509人员排班情况 副本'!$G:$U,12,FALSE)</f>
        <v>王安琪 (Anqi Wang),张朱同 Thomson（Zhutong Zhang）</v>
      </c>
      <c r="AE634" t="str">
        <f>VLOOKUP($H634,'[3]0509人员排班情况 副本'!$G:$U,13,FALSE)</f>
        <v>陈锦昭</v>
      </c>
      <c r="AF634">
        <f>VLOOKUP($H634,'[3]0509人员排班情况 副本'!$G:$U,14,FALSE)</f>
        <v>0</v>
      </c>
      <c r="AG634">
        <f>VLOOKUP($H634,'[3]0509人员排班情况 副本'!$G:$U,15,FALSE)</f>
        <v>0</v>
      </c>
    </row>
    <row r="635" customHeight="1" spans="1:33">
      <c r="A635" t="s">
        <v>202</v>
      </c>
      <c r="B635" t="s">
        <v>2015</v>
      </c>
      <c r="C635" t="s">
        <v>2016</v>
      </c>
      <c r="D635" t="s">
        <v>100</v>
      </c>
      <c r="E635" t="s">
        <v>101</v>
      </c>
      <c r="F635" t="s">
        <v>850</v>
      </c>
      <c r="G635" t="s">
        <v>112</v>
      </c>
      <c r="H635" t="str">
        <f t="shared" si="63"/>
        <v>WE 美西大区CNO.H维保组</v>
      </c>
      <c r="I635" t="s">
        <v>851</v>
      </c>
      <c r="J635" t="s">
        <v>437</v>
      </c>
      <c r="K635" s="15">
        <v>0.229166666666667</v>
      </c>
      <c r="L635" s="15" t="s">
        <v>438</v>
      </c>
      <c r="M635" s="15">
        <v>0.228472222222222</v>
      </c>
      <c r="N635" t="s">
        <v>2017</v>
      </c>
      <c r="O635" s="20" t="str">
        <f t="shared" si="64"/>
        <v>正确</v>
      </c>
      <c r="P635" s="21">
        <v>0</v>
      </c>
      <c r="Q635" s="21">
        <v>10.03</v>
      </c>
      <c r="R635" s="21">
        <v>0</v>
      </c>
      <c r="S635" s="21">
        <f t="shared" si="65"/>
        <v>10.03</v>
      </c>
      <c r="T635" s="21">
        <f t="shared" si="66"/>
        <v>2.03</v>
      </c>
      <c r="U635" s="21" t="str">
        <f t="shared" si="67"/>
        <v>是</v>
      </c>
      <c r="V635" s="21">
        <f>VLOOKUP($C635,[4]Sheet1!$B:$AN,39,FALSE)</f>
        <v>10.03</v>
      </c>
      <c r="W635" s="21">
        <v>0</v>
      </c>
      <c r="X635" s="23">
        <v>4</v>
      </c>
      <c r="Y635" s="23">
        <v>4</v>
      </c>
      <c r="Z635" s="25">
        <f t="shared" si="68"/>
        <v>0</v>
      </c>
      <c r="AA635" s="25" t="str">
        <f t="shared" si="69"/>
        <v>是</v>
      </c>
      <c r="AB635" t="s">
        <v>148</v>
      </c>
      <c r="AC635" t="e">
        <f>VLOOKUP(C635,[1]Sheet1!$C:$O,13,FALSE)</f>
        <v>#N/A</v>
      </c>
      <c r="AD635" t="str">
        <f>VLOOKUP($H635,'[3]0509人员排班情况 副本'!$G:$U,12,FALSE)</f>
        <v>王骞Ariel（Qian Wang）,叶秀芳Freya (Xiufang Ye)</v>
      </c>
      <c r="AE635" t="str">
        <f>VLOOKUP($H635,'[3]0509人员排班情况 副本'!$G:$U,13,FALSE)</f>
        <v>常哲</v>
      </c>
      <c r="AF635" t="str">
        <f>VLOOKUP($H635,'[3]0509人员排班情况 副本'!$G:$U,14,FALSE)</f>
        <v>章峻铭 J (Junming Zhang)</v>
      </c>
      <c r="AG635">
        <f>VLOOKUP($H635,'[3]0509人员排班情况 副本'!$G:$U,15,FALSE)</f>
        <v>0</v>
      </c>
    </row>
    <row r="636" customHeight="1" spans="1:33">
      <c r="A636" t="s">
        <v>202</v>
      </c>
      <c r="B636" t="s">
        <v>2018</v>
      </c>
      <c r="C636" t="s">
        <v>2019</v>
      </c>
      <c r="D636" t="s">
        <v>31</v>
      </c>
      <c r="E636" t="s">
        <v>41</v>
      </c>
      <c r="F636" t="s">
        <v>148</v>
      </c>
      <c r="G636" t="s">
        <v>112</v>
      </c>
      <c r="H636" t="str">
        <f t="shared" si="63"/>
        <v>GL 大湖大区ORD.H</v>
      </c>
      <c r="I636" t="s">
        <v>170</v>
      </c>
      <c r="J636" t="s">
        <v>295</v>
      </c>
      <c r="K636" s="15">
        <v>0.375</v>
      </c>
      <c r="L636" s="15" t="s">
        <v>296</v>
      </c>
      <c r="M636" s="15"/>
      <c r="N636" t="s">
        <v>148</v>
      </c>
      <c r="O636" s="20" t="str">
        <f t="shared" si="64"/>
        <v>不正确</v>
      </c>
      <c r="P636" s="21">
        <v>0</v>
      </c>
      <c r="Q636" s="21">
        <v>0</v>
      </c>
      <c r="R636" s="21">
        <v>0</v>
      </c>
      <c r="S636" s="21">
        <f t="shared" si="65"/>
        <v>0</v>
      </c>
      <c r="T636" s="21">
        <f t="shared" si="66"/>
        <v>0</v>
      </c>
      <c r="U636" s="21" t="str">
        <f t="shared" si="67"/>
        <v>否</v>
      </c>
      <c r="V636" s="21">
        <f>VLOOKUP($C636,[4]Sheet1!$B:$AN,39,FALSE)</f>
        <v>0</v>
      </c>
      <c r="W636" s="21">
        <v>0</v>
      </c>
      <c r="X636" s="23">
        <v>0</v>
      </c>
      <c r="Y636" s="23">
        <v>0</v>
      </c>
      <c r="Z636" s="25">
        <f t="shared" si="68"/>
        <v>0</v>
      </c>
      <c r="AA636" s="25" t="str">
        <f t="shared" si="69"/>
        <v>是</v>
      </c>
      <c r="AB636" t="s">
        <v>2020</v>
      </c>
      <c r="AC636" t="e">
        <f>VLOOKUP(C636,[1]Sheet1!$C:$O,13,FALSE)</f>
        <v>#N/A</v>
      </c>
      <c r="AD636" t="str">
        <f>VLOOKUP($H636,'[3]0509人员排班情况 副本'!$G:$U,12,FALSE)</f>
        <v>王晓丹 Jasmine（Xiaodan Wang）,周延舒Isabel（Yanshu Zhou）</v>
      </c>
      <c r="AE636" t="str">
        <f>VLOOKUP($H636,'[3]0509人员排班情况 副本'!$G:$U,13,FALSE)</f>
        <v>张骥Ji Zhang (Ji Zhang)</v>
      </c>
      <c r="AF636" t="str">
        <f>VLOOKUP($H636,'[3]0509人员排班情况 副本'!$G:$U,14,FALSE)</f>
        <v>Minqing (Minqing Xu),罗煜雄 Mike (Yuxiong Luo)</v>
      </c>
      <c r="AG636">
        <f>VLOOKUP($H636,'[3]0509人员排班情况 副本'!$G:$U,15,FALSE)</f>
        <v>0</v>
      </c>
    </row>
    <row r="637" customHeight="1" spans="1:33">
      <c r="A637" t="s">
        <v>202</v>
      </c>
      <c r="B637" t="s">
        <v>2021</v>
      </c>
      <c r="C637" t="s">
        <v>2022</v>
      </c>
      <c r="D637" t="s">
        <v>68</v>
      </c>
      <c r="E637" t="s">
        <v>82</v>
      </c>
      <c r="F637" t="s">
        <v>1105</v>
      </c>
      <c r="H637" t="str">
        <f t="shared" si="63"/>
        <v>NE 东北大区PA 宾州片区TEB01</v>
      </c>
      <c r="I637" t="s">
        <v>406</v>
      </c>
      <c r="J637" t="s">
        <v>221</v>
      </c>
      <c r="K637" s="15">
        <v>0.208333333333333</v>
      </c>
      <c r="L637" s="15" t="s">
        <v>222</v>
      </c>
      <c r="M637" s="15">
        <v>0.166666666666667</v>
      </c>
      <c r="N637" t="s">
        <v>2023</v>
      </c>
      <c r="O637" s="20" t="str">
        <f t="shared" si="64"/>
        <v>正确</v>
      </c>
      <c r="P637" s="21">
        <v>0</v>
      </c>
      <c r="Q637" s="21">
        <v>9.03</v>
      </c>
      <c r="R637" s="21">
        <v>0</v>
      </c>
      <c r="S637" s="21">
        <f t="shared" si="65"/>
        <v>9.03</v>
      </c>
      <c r="T637" s="21">
        <f t="shared" si="66"/>
        <v>1.03</v>
      </c>
      <c r="U637" s="21" t="str">
        <f t="shared" si="67"/>
        <v>是</v>
      </c>
      <c r="V637" s="21">
        <f>VLOOKUP($C637,[4]Sheet1!$B:$AN,39,FALSE)</f>
        <v>17.6</v>
      </c>
      <c r="W637" s="21">
        <v>0</v>
      </c>
      <c r="X637" s="23">
        <v>2</v>
      </c>
      <c r="Y637" s="23">
        <v>4</v>
      </c>
      <c r="Z637" s="25">
        <f t="shared" si="68"/>
        <v>2</v>
      </c>
      <c r="AA637" s="25" t="str">
        <f t="shared" si="69"/>
        <v>是</v>
      </c>
      <c r="AB637" t="s">
        <v>148</v>
      </c>
      <c r="AC637" t="e">
        <f>VLOOKUP(C637,[1]Sheet1!$C:$O,13,FALSE)</f>
        <v>#N/A</v>
      </c>
      <c r="AD637" t="str">
        <f>VLOOKUP($H637,'[3]0509人员排班情况 副本'!$G:$U,12,FALSE)</f>
        <v>孙可君Monica（Kejun Sun）</v>
      </c>
      <c r="AE637" t="str">
        <f>VLOOKUP($H637,'[3]0509人员排班情况 副本'!$G:$U,13,FALSE)</f>
        <v>马聪Cong (Cong Ma)</v>
      </c>
      <c r="AF637" t="str">
        <f>VLOOKUP($H637,'[3]0509人员排班情况 副本'!$G:$U,14,FALSE)</f>
        <v>朱晗宇 Peter (Hanyu Zhu)</v>
      </c>
      <c r="AG637">
        <f>VLOOKUP($H637,'[3]0509人员排班情况 副本'!$G:$U,15,FALSE)</f>
        <v>0</v>
      </c>
    </row>
    <row r="638" customHeight="1" spans="1:33">
      <c r="A638" t="s">
        <v>202</v>
      </c>
      <c r="B638" t="s">
        <v>2024</v>
      </c>
      <c r="C638" t="s">
        <v>2025</v>
      </c>
      <c r="D638" t="s">
        <v>92</v>
      </c>
      <c r="E638" t="s">
        <v>97</v>
      </c>
      <c r="F638" t="s">
        <v>262</v>
      </c>
      <c r="H638" t="str">
        <f t="shared" si="63"/>
        <v>TX 德州大区NT 北德州片区DFW01</v>
      </c>
      <c r="I638" t="s">
        <v>177</v>
      </c>
      <c r="J638" t="s">
        <v>437</v>
      </c>
      <c r="K638" s="15">
        <v>0.229166666666667</v>
      </c>
      <c r="L638" s="15" t="s">
        <v>438</v>
      </c>
      <c r="M638" s="15"/>
      <c r="N638" t="s">
        <v>1041</v>
      </c>
      <c r="O638" s="20" t="str">
        <f t="shared" si="64"/>
        <v>不正确</v>
      </c>
      <c r="P638" s="21">
        <v>2</v>
      </c>
      <c r="Q638" s="21">
        <v>0</v>
      </c>
      <c r="R638" s="21">
        <v>2</v>
      </c>
      <c r="S638" s="21">
        <f t="shared" si="65"/>
        <v>2</v>
      </c>
      <c r="T638" s="21">
        <f t="shared" si="66"/>
        <v>0</v>
      </c>
      <c r="U638" s="21" t="str">
        <f t="shared" si="67"/>
        <v>否</v>
      </c>
      <c r="V638" s="21">
        <f>VLOOKUP($C638,[4]Sheet1!$B:$AN,39,FALSE)</f>
        <v>8.3</v>
      </c>
      <c r="W638" s="21">
        <v>0</v>
      </c>
      <c r="X638" s="23">
        <v>3</v>
      </c>
      <c r="Y638" s="23">
        <v>4</v>
      </c>
      <c r="Z638" s="25">
        <f t="shared" si="68"/>
        <v>1</v>
      </c>
      <c r="AA638" s="25" t="str">
        <f t="shared" si="69"/>
        <v>是</v>
      </c>
      <c r="AB638" t="s">
        <v>2026</v>
      </c>
      <c r="AC638" t="e">
        <f>VLOOKUP(C638,[1]Sheet1!$C:$O,13,FALSE)</f>
        <v>#N/A</v>
      </c>
      <c r="AD638" t="str">
        <f>VLOOKUP($H638,'[3]0509人员排班情况 副本'!$G:$U,12,FALSE)</f>
        <v>肖芦莉Lily (Luli Xiao)</v>
      </c>
      <c r="AE638" t="str">
        <f>VLOOKUP($H638,'[3]0509人员排班情况 副本'!$G:$U,13,FALSE)</f>
        <v>张骥Ji Zhang (Ji Zhang)</v>
      </c>
      <c r="AF638" t="str">
        <f>VLOOKUP($H638,'[3]0509人员排班情况 副本'!$G:$U,14,FALSE)</f>
        <v>何琼joan(Qiong He)</v>
      </c>
      <c r="AG638">
        <f>VLOOKUP($H638,'[3]0509人员排班情况 副本'!$G:$U,15,FALSE)</f>
        <v>0</v>
      </c>
    </row>
    <row r="639" customHeight="1" spans="1:33">
      <c r="A639" t="s">
        <v>202</v>
      </c>
      <c r="B639" t="s">
        <v>2027</v>
      </c>
      <c r="C639" t="s">
        <v>2028</v>
      </c>
      <c r="D639" t="s">
        <v>92</v>
      </c>
      <c r="E639" t="s">
        <v>45</v>
      </c>
      <c r="F639" t="s">
        <v>148</v>
      </c>
      <c r="H639" t="str">
        <f t="shared" si="63"/>
        <v>TX 德州大区揽收部</v>
      </c>
      <c r="I639" t="s">
        <v>608</v>
      </c>
      <c r="J639" t="s">
        <v>236</v>
      </c>
      <c r="K639" s="15">
        <v>0.395833333333333</v>
      </c>
      <c r="L639" s="15" t="s">
        <v>218</v>
      </c>
      <c r="M639" s="15">
        <v>0.416666666666667</v>
      </c>
      <c r="N639" t="s">
        <v>1244</v>
      </c>
      <c r="O639" s="20" t="str">
        <f t="shared" si="64"/>
        <v>正确</v>
      </c>
      <c r="P639" s="21">
        <v>0</v>
      </c>
      <c r="Q639" s="21">
        <v>8.03</v>
      </c>
      <c r="R639" s="21">
        <v>0</v>
      </c>
      <c r="S639" s="21">
        <f t="shared" si="65"/>
        <v>8.03</v>
      </c>
      <c r="T639" s="21">
        <f t="shared" si="66"/>
        <v>0.0299999999999994</v>
      </c>
      <c r="U639" s="21" t="str">
        <f t="shared" si="67"/>
        <v>是</v>
      </c>
      <c r="V639" s="21">
        <f>VLOOKUP($C639,[4]Sheet1!$B:$AN,39,FALSE)</f>
        <v>8.03</v>
      </c>
      <c r="W639" s="21">
        <v>0</v>
      </c>
      <c r="X639" s="23">
        <v>4</v>
      </c>
      <c r="Y639" s="23">
        <v>4</v>
      </c>
      <c r="Z639" s="25">
        <f t="shared" si="68"/>
        <v>0</v>
      </c>
      <c r="AA639" s="25" t="str">
        <f t="shared" si="69"/>
        <v>是</v>
      </c>
      <c r="AB639" t="s">
        <v>148</v>
      </c>
      <c r="AC639" t="e">
        <f>VLOOKUP(C639,[1]Sheet1!$C:$O,13,FALSE)</f>
        <v>#N/A</v>
      </c>
      <c r="AD639" t="str">
        <f>VLOOKUP($H639,'[3]0509人员排班情况 副本'!$G:$U,12,FALSE)</f>
        <v>肖芦莉Lily (Luli Xiao)</v>
      </c>
      <c r="AE639" t="str">
        <f>VLOOKUP($H639,'[3]0509人员排班情况 副本'!$G:$U,13,FALSE)</f>
        <v>张骥Ji Zhang (Ji Zhang)</v>
      </c>
      <c r="AF639">
        <f>VLOOKUP($H639,'[3]0509人员排班情况 副本'!$G:$U,14,FALSE)</f>
        <v>0</v>
      </c>
      <c r="AG639">
        <f>VLOOKUP($H639,'[3]0509人员排班情况 副本'!$G:$U,15,FALSE)</f>
        <v>0</v>
      </c>
    </row>
    <row r="640" customHeight="1" spans="1:33">
      <c r="A640" t="s">
        <v>202</v>
      </c>
      <c r="B640" t="s">
        <v>2029</v>
      </c>
      <c r="C640" t="s">
        <v>2030</v>
      </c>
      <c r="D640" t="s">
        <v>15</v>
      </c>
      <c r="E640" t="s">
        <v>17</v>
      </c>
      <c r="F640" t="s">
        <v>312</v>
      </c>
      <c r="G640" t="s">
        <v>112</v>
      </c>
      <c r="H640" t="str">
        <f t="shared" si="63"/>
        <v>FL 佛州大区MCO.H异常处理组</v>
      </c>
      <c r="I640" t="s">
        <v>313</v>
      </c>
      <c r="J640" t="s">
        <v>295</v>
      </c>
      <c r="K640" s="15">
        <v>0.375</v>
      </c>
      <c r="L640" s="15" t="s">
        <v>296</v>
      </c>
      <c r="M640" s="15">
        <v>0.354861111111111</v>
      </c>
      <c r="N640" t="s">
        <v>1514</v>
      </c>
      <c r="O640" s="20" t="str">
        <f t="shared" si="64"/>
        <v>正确</v>
      </c>
      <c r="P640" s="21">
        <v>0</v>
      </c>
      <c r="Q640" s="21">
        <v>10.37</v>
      </c>
      <c r="R640" s="21">
        <v>0</v>
      </c>
      <c r="S640" s="21">
        <f t="shared" si="65"/>
        <v>10.37</v>
      </c>
      <c r="T640" s="21">
        <f t="shared" si="66"/>
        <v>2.37</v>
      </c>
      <c r="U640" s="21" t="str">
        <f t="shared" si="67"/>
        <v>是</v>
      </c>
      <c r="V640" s="21">
        <f>VLOOKUP($C640,[4]Sheet1!$B:$AN,39,FALSE)</f>
        <v>19.1</v>
      </c>
      <c r="W640" s="21">
        <v>0</v>
      </c>
      <c r="X640" s="23">
        <v>4</v>
      </c>
      <c r="Y640" s="23">
        <v>4</v>
      </c>
      <c r="Z640" s="25">
        <f t="shared" si="68"/>
        <v>0</v>
      </c>
      <c r="AA640" s="25" t="str">
        <f t="shared" si="69"/>
        <v>是</v>
      </c>
      <c r="AB640" t="s">
        <v>148</v>
      </c>
      <c r="AC640" t="e">
        <f>VLOOKUP(C640,[1]Sheet1!$C:$O,13,FALSE)</f>
        <v>#N/A</v>
      </c>
      <c r="AD640" t="str">
        <f>VLOOKUP($H640,'[3]0509人员排班情况 副本'!$G:$U,12,FALSE)</f>
        <v>Natalia (Natalia Padilla),孙婕 Jasmine（Sunjie）</v>
      </c>
      <c r="AE640" t="str">
        <f>VLOOKUP($H640,'[3]0509人员排班情况 副本'!$G:$U,13,FALSE)</f>
        <v>贺子强Jeff (Ziqiang He)</v>
      </c>
      <c r="AF640" t="str">
        <f>VLOOKUP($H640,'[3]0509人员排班情况 副本'!$G:$U,14,FALSE)</f>
        <v>Minqing (Minqing Xu),罗煜雄 Mike (Yuxiong Luo)</v>
      </c>
      <c r="AG640">
        <f>VLOOKUP($H640,'[3]0509人员排班情况 副本'!$G:$U,15,FALSE)</f>
        <v>0</v>
      </c>
    </row>
    <row r="641" customHeight="1" spans="1:33">
      <c r="A641" t="s">
        <v>202</v>
      </c>
      <c r="B641" t="s">
        <v>2031</v>
      </c>
      <c r="C641" t="s">
        <v>2032</v>
      </c>
      <c r="D641" t="s">
        <v>99</v>
      </c>
      <c r="E641" t="s">
        <v>677</v>
      </c>
      <c r="F641" t="s">
        <v>1054</v>
      </c>
      <c r="H641" t="str">
        <f t="shared" si="63"/>
        <v>US人力资源部美洲HRBP组大湖区HR组</v>
      </c>
      <c r="I641" t="s">
        <v>710</v>
      </c>
      <c r="J641" t="s">
        <v>236</v>
      </c>
      <c r="K641" s="15">
        <v>0.395833333333333</v>
      </c>
      <c r="L641" s="15" t="s">
        <v>218</v>
      </c>
      <c r="M641" s="15"/>
      <c r="N641" t="s">
        <v>148</v>
      </c>
      <c r="O641" s="20" t="str">
        <f t="shared" si="64"/>
        <v>不正确</v>
      </c>
      <c r="P641" s="21">
        <v>0</v>
      </c>
      <c r="Q641" s="21">
        <v>0</v>
      </c>
      <c r="R641" s="21">
        <v>0</v>
      </c>
      <c r="S641" s="21">
        <f t="shared" si="65"/>
        <v>0</v>
      </c>
      <c r="T641" s="21">
        <f t="shared" si="66"/>
        <v>0</v>
      </c>
      <c r="U641" s="21" t="str">
        <f t="shared" si="67"/>
        <v>否</v>
      </c>
      <c r="V641" s="21">
        <f>VLOOKUP($C641,[4]Sheet1!$B:$AN,39,FALSE)</f>
        <v>0</v>
      </c>
      <c r="W641" s="21">
        <v>0</v>
      </c>
      <c r="X641" s="23">
        <v>0</v>
      </c>
      <c r="Y641" s="23">
        <v>4</v>
      </c>
      <c r="Z641" s="25">
        <f t="shared" si="68"/>
        <v>4</v>
      </c>
      <c r="AA641" s="25" t="str">
        <f t="shared" si="69"/>
        <v>是</v>
      </c>
      <c r="AB641" t="s">
        <v>148</v>
      </c>
      <c r="AC641" t="e">
        <f>VLOOKUP(C641,[1]Sheet1!$C:$O,13,FALSE)</f>
        <v>#N/A</v>
      </c>
      <c r="AD641" t="str">
        <f>VLOOKUP($H641,'[3]0509人员排班情况 副本'!$G:$U,12,FALSE)</f>
        <v>袁博闻(Bowen Yuan)</v>
      </c>
      <c r="AE641">
        <f>VLOOKUP($H641,'[3]0509人员排班情况 副本'!$G:$U,13,FALSE)</f>
        <v>0</v>
      </c>
      <c r="AF641">
        <f>VLOOKUP($H641,'[3]0509人员排班情况 副本'!$G:$U,14,FALSE)</f>
        <v>0</v>
      </c>
      <c r="AG641">
        <f>VLOOKUP($H641,'[3]0509人员排班情况 副本'!$G:$U,15,FALSE)</f>
        <v>0</v>
      </c>
    </row>
    <row r="642" customHeight="1" spans="1:33">
      <c r="A642" t="s">
        <v>202</v>
      </c>
      <c r="B642" t="s">
        <v>2033</v>
      </c>
      <c r="C642" t="s">
        <v>2034</v>
      </c>
      <c r="D642" t="s">
        <v>92</v>
      </c>
      <c r="E642" t="s">
        <v>94</v>
      </c>
      <c r="F642" t="s">
        <v>210</v>
      </c>
      <c r="G642" t="s">
        <v>112</v>
      </c>
      <c r="H642" t="str">
        <f t="shared" si="63"/>
        <v>TX 德州大区DFW.H操作组</v>
      </c>
      <c r="I642" t="s">
        <v>281</v>
      </c>
      <c r="J642" t="s">
        <v>347</v>
      </c>
      <c r="K642" s="15">
        <v>0.541666666666667</v>
      </c>
      <c r="L642" s="15" t="s">
        <v>348</v>
      </c>
      <c r="M642" s="15">
        <v>0.542361111111111</v>
      </c>
      <c r="N642" t="s">
        <v>2035</v>
      </c>
      <c r="O642" s="20" t="str">
        <f t="shared" si="64"/>
        <v>正确</v>
      </c>
      <c r="P642" s="21">
        <v>0</v>
      </c>
      <c r="Q642" s="21">
        <v>9.92</v>
      </c>
      <c r="R642" s="21">
        <v>0</v>
      </c>
      <c r="S642" s="21">
        <f t="shared" si="65"/>
        <v>9.92</v>
      </c>
      <c r="T642" s="21">
        <f t="shared" si="66"/>
        <v>1.92</v>
      </c>
      <c r="U642" s="21" t="str">
        <f t="shared" si="67"/>
        <v>是</v>
      </c>
      <c r="V642" s="21">
        <f>VLOOKUP($C642,[4]Sheet1!$B:$AN,39,FALSE)</f>
        <v>9.92</v>
      </c>
      <c r="W642" s="21">
        <v>0</v>
      </c>
      <c r="X642" s="23">
        <v>4</v>
      </c>
      <c r="Y642" s="23">
        <v>4</v>
      </c>
      <c r="Z642" s="25">
        <f t="shared" si="68"/>
        <v>0</v>
      </c>
      <c r="AA642" s="25" t="str">
        <f t="shared" si="69"/>
        <v>是</v>
      </c>
      <c r="AB642" t="s">
        <v>148</v>
      </c>
      <c r="AC642" t="e">
        <f>VLOOKUP(C642,[1]Sheet1!$C:$O,13,FALSE)</f>
        <v>#N/A</v>
      </c>
      <c r="AD642" t="str">
        <f>VLOOKUP($H642,'[3]0509人员排班情况 副本'!$G:$U,12,FALSE)</f>
        <v>肖芦莉Lily (Luli Xiao)</v>
      </c>
      <c r="AE642" t="str">
        <f>VLOOKUP($H642,'[3]0509人员排班情况 副本'!$G:$U,13,FALSE)</f>
        <v>张骥Ji Zhang (Ji Zhang)</v>
      </c>
      <c r="AF642" t="str">
        <f>VLOOKUP($H642,'[3]0509人员排班情况 副本'!$G:$U,14,FALSE)</f>
        <v>Minqing (Minqing Xu),罗煜雄 Mike (Yuxiong Luo)</v>
      </c>
      <c r="AG642">
        <f>VLOOKUP($H642,'[3]0509人员排班情况 副本'!$G:$U,15,FALSE)</f>
        <v>0</v>
      </c>
    </row>
    <row r="643" customHeight="1" spans="1:33">
      <c r="A643" t="s">
        <v>202</v>
      </c>
      <c r="B643" t="s">
        <v>2036</v>
      </c>
      <c r="C643" t="s">
        <v>2037</v>
      </c>
      <c r="D643" t="s">
        <v>57</v>
      </c>
      <c r="E643" t="s">
        <v>1903</v>
      </c>
      <c r="F643" t="s">
        <v>148</v>
      </c>
      <c r="H643" t="str">
        <f t="shared" si="63"/>
        <v>LD 法务部美洲法务组</v>
      </c>
      <c r="I643" t="s">
        <v>2038</v>
      </c>
      <c r="J643" t="s">
        <v>236</v>
      </c>
      <c r="K643" s="15">
        <v>0.395833333333333</v>
      </c>
      <c r="L643" s="15" t="s">
        <v>218</v>
      </c>
      <c r="M643" s="15">
        <v>0.419444444444444</v>
      </c>
      <c r="N643" t="s">
        <v>148</v>
      </c>
      <c r="O643" s="20" t="str">
        <f t="shared" si="64"/>
        <v>正确</v>
      </c>
      <c r="P643" s="21">
        <v>0</v>
      </c>
      <c r="Q643" s="21">
        <v>0</v>
      </c>
      <c r="R643" s="21">
        <v>0</v>
      </c>
      <c r="S643" s="21">
        <f t="shared" si="65"/>
        <v>0</v>
      </c>
      <c r="T643" s="21">
        <f t="shared" si="66"/>
        <v>0</v>
      </c>
      <c r="U643" s="21" t="str">
        <f t="shared" si="67"/>
        <v>否</v>
      </c>
      <c r="V643" s="21">
        <f>VLOOKUP($C643,[4]Sheet1!$B:$AN,39,FALSE)</f>
        <v>8.88</v>
      </c>
      <c r="W643" s="21">
        <v>7.22</v>
      </c>
      <c r="X643" s="23">
        <v>3</v>
      </c>
      <c r="Y643" s="23">
        <v>4</v>
      </c>
      <c r="Z643" s="25">
        <f t="shared" si="68"/>
        <v>1</v>
      </c>
      <c r="AA643" s="25" t="str">
        <f t="shared" si="69"/>
        <v>是</v>
      </c>
      <c r="AB643" t="s">
        <v>148</v>
      </c>
      <c r="AC643" t="e">
        <f>VLOOKUP(C643,[1]Sheet1!$C:$O,13,FALSE)</f>
        <v>#N/A</v>
      </c>
      <c r="AD643" t="str">
        <f>VLOOKUP($H643,'[3]0509人员排班情况 副本'!$G:$U,12,FALSE)</f>
        <v>袁博闻(Bowen Yuan)</v>
      </c>
      <c r="AE643">
        <f>VLOOKUP($H643,'[3]0509人员排班情况 副本'!$G:$U,13,FALSE)</f>
        <v>0</v>
      </c>
      <c r="AF643">
        <f>VLOOKUP($H643,'[3]0509人员排班情况 副本'!$G:$U,14,FALSE)</f>
        <v>0</v>
      </c>
      <c r="AG643">
        <f>VLOOKUP($H643,'[3]0509人员排班情况 副本'!$G:$U,15,FALSE)</f>
        <v>0</v>
      </c>
    </row>
    <row r="644" customHeight="1" spans="1:33">
      <c r="A644" t="s">
        <v>202</v>
      </c>
      <c r="B644" t="s">
        <v>2039</v>
      </c>
      <c r="C644" t="s">
        <v>2040</v>
      </c>
      <c r="D644" t="s">
        <v>48</v>
      </c>
      <c r="E644" t="s">
        <v>49</v>
      </c>
      <c r="F644" t="s">
        <v>686</v>
      </c>
      <c r="H644" t="str">
        <f t="shared" ref="H644:H707" si="70">D644&amp;E644&amp;F644</f>
        <v>Ground项目部OG 美东区BA210</v>
      </c>
      <c r="I644" t="s">
        <v>177</v>
      </c>
      <c r="J644" t="s">
        <v>217</v>
      </c>
      <c r="K644" s="15">
        <v>0.395833333333333</v>
      </c>
      <c r="L644" s="15" t="s">
        <v>218</v>
      </c>
      <c r="M644" s="15"/>
      <c r="N644" t="s">
        <v>148</v>
      </c>
      <c r="O644" s="20" t="s">
        <v>116</v>
      </c>
      <c r="P644" s="21">
        <v>0</v>
      </c>
      <c r="Q644" s="21">
        <v>0</v>
      </c>
      <c r="R644" s="21">
        <v>0</v>
      </c>
      <c r="S644" s="21">
        <f t="shared" ref="S644:S707" si="71">Q644+R644</f>
        <v>0</v>
      </c>
      <c r="T644" s="21">
        <f t="shared" ref="T644:T707" si="72">IF(S644-8&gt;0,S644-8,0)</f>
        <v>0</v>
      </c>
      <c r="U644" s="21" t="str">
        <f t="shared" ref="U644:U707" si="73">IF(T644=0,"否","是")</f>
        <v>否</v>
      </c>
      <c r="V644" s="21">
        <f>VLOOKUP($C644,[4]Sheet1!$B:$AN,39,FALSE)</f>
        <v>8.13</v>
      </c>
      <c r="W644" s="21">
        <v>0</v>
      </c>
      <c r="X644" s="23">
        <v>0</v>
      </c>
      <c r="Y644" s="23">
        <v>0</v>
      </c>
      <c r="Z644" s="25">
        <f t="shared" ref="Z644:Z707" si="74">IF(Y644-X644&gt;=0,Y644-X644,0)</f>
        <v>0</v>
      </c>
      <c r="AA644" s="25" t="str">
        <f t="shared" ref="AA644:AA707" si="75">IF(J644="","否","是")</f>
        <v>是</v>
      </c>
      <c r="AB644" t="s">
        <v>148</v>
      </c>
      <c r="AC644" t="e">
        <f>VLOOKUP(C644,[1]Sheet1!$C:$O,13,FALSE)</f>
        <v>#N/A</v>
      </c>
      <c r="AD644" t="str">
        <f>VLOOKUP($H644,'[3]0509人员排班情况 副本'!$G:$U,12,FALSE)</f>
        <v>王安琪 (Anqi Wang),张朱同 Thomson（Zhutong Zhang）</v>
      </c>
      <c r="AE644" t="str">
        <f>VLOOKUP($H644,'[3]0509人员排班情况 副本'!$G:$U,13,FALSE)</f>
        <v>陈锦昭</v>
      </c>
      <c r="AF644" t="str">
        <f>VLOOKUP($H644,'[3]0509人员排班情况 副本'!$G:$U,14,FALSE)</f>
        <v>欧和枫 Henry (HeFeng Ou)</v>
      </c>
      <c r="AG644">
        <f>VLOOKUP($H644,'[3]0509人员排班情况 副本'!$G:$U,15,FALSE)</f>
        <v>0</v>
      </c>
    </row>
    <row r="645" customHeight="1" spans="1:33">
      <c r="A645" t="s">
        <v>202</v>
      </c>
      <c r="B645" t="s">
        <v>2041</v>
      </c>
      <c r="C645" t="s">
        <v>2042</v>
      </c>
      <c r="D645" t="s">
        <v>92</v>
      </c>
      <c r="E645" t="s">
        <v>94</v>
      </c>
      <c r="F645" t="s">
        <v>850</v>
      </c>
      <c r="G645" t="s">
        <v>112</v>
      </c>
      <c r="H645" t="str">
        <f t="shared" si="70"/>
        <v>TX 德州大区DFW.H维保组</v>
      </c>
      <c r="I645" t="s">
        <v>851</v>
      </c>
      <c r="J645" t="s">
        <v>217</v>
      </c>
      <c r="K645" s="15">
        <v>0.395833333333333</v>
      </c>
      <c r="L645" s="15" t="s">
        <v>218</v>
      </c>
      <c r="M645" s="15"/>
      <c r="N645" t="s">
        <v>148</v>
      </c>
      <c r="O645" s="20" t="s">
        <v>116</v>
      </c>
      <c r="P645" s="21">
        <v>0</v>
      </c>
      <c r="Q645" s="21">
        <v>0</v>
      </c>
      <c r="R645" s="21">
        <v>0</v>
      </c>
      <c r="S645" s="21">
        <f t="shared" si="71"/>
        <v>0</v>
      </c>
      <c r="T645" s="21">
        <f t="shared" si="72"/>
        <v>0</v>
      </c>
      <c r="U645" s="21" t="str">
        <f t="shared" si="73"/>
        <v>否</v>
      </c>
      <c r="V645" s="21">
        <f>VLOOKUP($C645,[4]Sheet1!$B:$AN,39,FALSE)</f>
        <v>0</v>
      </c>
      <c r="W645" s="21">
        <v>0</v>
      </c>
      <c r="X645" s="23">
        <v>0</v>
      </c>
      <c r="Y645" s="23">
        <v>0</v>
      </c>
      <c r="Z645" s="25">
        <f t="shared" si="74"/>
        <v>0</v>
      </c>
      <c r="AA645" s="25" t="str">
        <f t="shared" si="75"/>
        <v>是</v>
      </c>
      <c r="AB645" t="s">
        <v>148</v>
      </c>
      <c r="AC645" t="e">
        <f>VLOOKUP(C645,[1]Sheet1!$C:$O,13,FALSE)</f>
        <v>#N/A</v>
      </c>
      <c r="AD645" t="str">
        <f>VLOOKUP($H645,'[3]0509人员排班情况 副本'!$G:$U,12,FALSE)</f>
        <v>肖芦莉Lily (Luli Xiao)</v>
      </c>
      <c r="AE645" t="str">
        <f>VLOOKUP($H645,'[3]0509人员排班情况 副本'!$G:$U,13,FALSE)</f>
        <v>张骥Ji Zhang (Ji Zhang)</v>
      </c>
      <c r="AF645" t="str">
        <f>VLOOKUP($H645,'[3]0509人员排班情况 副本'!$G:$U,14,FALSE)</f>
        <v>章峻铭 J (Junming Zhang)</v>
      </c>
      <c r="AG645">
        <f>VLOOKUP($H645,'[3]0509人员排班情况 副本'!$G:$U,15,FALSE)</f>
        <v>0</v>
      </c>
    </row>
    <row r="646" customHeight="1" spans="1:33">
      <c r="A646" t="s">
        <v>202</v>
      </c>
      <c r="B646" t="s">
        <v>2043</v>
      </c>
      <c r="C646" t="s">
        <v>2044</v>
      </c>
      <c r="D646" t="s">
        <v>68</v>
      </c>
      <c r="E646" t="s">
        <v>80</v>
      </c>
      <c r="F646" t="s">
        <v>1002</v>
      </c>
      <c r="H646" t="str">
        <f t="shared" si="70"/>
        <v>NE 东北大区MA 新英格兰片区PVD01</v>
      </c>
      <c r="I646" t="s">
        <v>177</v>
      </c>
      <c r="J646" t="s">
        <v>229</v>
      </c>
      <c r="K646" s="15">
        <v>0.270833333333333</v>
      </c>
      <c r="L646" s="15" t="s">
        <v>230</v>
      </c>
      <c r="M646" s="15">
        <v>0.263888888888889</v>
      </c>
      <c r="N646" t="s">
        <v>2045</v>
      </c>
      <c r="O646" s="20" t="str">
        <f t="shared" ref="O644:O707" si="76">IFERROR(IF(ABS(M646-K646)&lt;=1/24,"正确","不正确"),"/")</f>
        <v>正确</v>
      </c>
      <c r="P646" s="21">
        <v>0</v>
      </c>
      <c r="Q646" s="21">
        <v>8.18</v>
      </c>
      <c r="R646" s="21">
        <v>0</v>
      </c>
      <c r="S646" s="21">
        <f t="shared" si="71"/>
        <v>8.18</v>
      </c>
      <c r="T646" s="21">
        <f t="shared" si="72"/>
        <v>0.18</v>
      </c>
      <c r="U646" s="21" t="str">
        <f t="shared" si="73"/>
        <v>是</v>
      </c>
      <c r="V646" s="21">
        <f>VLOOKUP($C646,[4]Sheet1!$B:$AN,39,FALSE)</f>
        <v>16.25</v>
      </c>
      <c r="W646" s="21">
        <v>0</v>
      </c>
      <c r="X646" s="23">
        <v>2</v>
      </c>
      <c r="Y646" s="23">
        <v>4</v>
      </c>
      <c r="Z646" s="25">
        <f t="shared" si="74"/>
        <v>2</v>
      </c>
      <c r="AA646" s="25" t="str">
        <f t="shared" si="75"/>
        <v>是</v>
      </c>
      <c r="AB646" t="s">
        <v>148</v>
      </c>
      <c r="AC646" t="e">
        <f>VLOOKUP(C646,[1]Sheet1!$C:$O,13,FALSE)</f>
        <v>#N/A</v>
      </c>
      <c r="AD646" t="str">
        <f>VLOOKUP($H646,'[3]0509人员排班情况 副本'!$G:$U,12,FALSE)</f>
        <v>孙可君Monica（Kejun Sun）</v>
      </c>
      <c r="AE646" t="str">
        <f>VLOOKUP($H646,'[3]0509人员排班情况 副本'!$G:$U,13,FALSE)</f>
        <v>马聪Cong (Cong Ma)</v>
      </c>
      <c r="AF646" t="str">
        <f>VLOOKUP($H646,'[3]0509人员排班情况 副本'!$G:$U,14,FALSE)</f>
        <v>朱晗宇 Peter (Hanyu Zhu)</v>
      </c>
      <c r="AG646">
        <f>VLOOKUP($H646,'[3]0509人员排班情况 副本'!$G:$U,15,FALSE)</f>
        <v>0</v>
      </c>
    </row>
    <row r="647" customHeight="1" spans="1:33">
      <c r="A647" t="s">
        <v>202</v>
      </c>
      <c r="B647" t="s">
        <v>2046</v>
      </c>
      <c r="C647" t="s">
        <v>2047</v>
      </c>
      <c r="D647" t="s">
        <v>99</v>
      </c>
      <c r="E647" t="s">
        <v>677</v>
      </c>
      <c r="F647" t="s">
        <v>1083</v>
      </c>
      <c r="H647" t="str">
        <f t="shared" si="70"/>
        <v>US人力资源部美洲HRBP组东北区HR组</v>
      </c>
      <c r="I647" t="s">
        <v>1084</v>
      </c>
      <c r="J647" t="s">
        <v>236</v>
      </c>
      <c r="K647" s="15">
        <v>0.395833333333333</v>
      </c>
      <c r="L647" s="15" t="s">
        <v>218</v>
      </c>
      <c r="M647" s="15">
        <v>0.364583333333333</v>
      </c>
      <c r="N647" t="s">
        <v>1534</v>
      </c>
      <c r="O647" s="20" t="str">
        <f t="shared" si="76"/>
        <v>正确</v>
      </c>
      <c r="P647" s="21">
        <v>0</v>
      </c>
      <c r="Q647" s="21">
        <v>13.38</v>
      </c>
      <c r="R647" s="21">
        <v>0</v>
      </c>
      <c r="S647" s="21">
        <f t="shared" si="71"/>
        <v>13.38</v>
      </c>
      <c r="T647" s="21">
        <f t="shared" si="72"/>
        <v>5.38</v>
      </c>
      <c r="U647" s="21" t="str">
        <f t="shared" si="73"/>
        <v>是</v>
      </c>
      <c r="V647" s="21">
        <f>VLOOKUP($C647,[4]Sheet1!$B:$AN,39,FALSE)</f>
        <v>22.26</v>
      </c>
      <c r="W647" s="21">
        <v>0</v>
      </c>
      <c r="X647" s="23">
        <v>2</v>
      </c>
      <c r="Y647" s="23">
        <v>4</v>
      </c>
      <c r="Z647" s="25">
        <f t="shared" si="74"/>
        <v>2</v>
      </c>
      <c r="AA647" s="25" t="str">
        <f t="shared" si="75"/>
        <v>是</v>
      </c>
      <c r="AB647" t="s">
        <v>148</v>
      </c>
      <c r="AC647" t="e">
        <f>VLOOKUP(C647,[1]Sheet1!$C:$O,13,FALSE)</f>
        <v>#N/A</v>
      </c>
      <c r="AD647" t="str">
        <f>VLOOKUP($H647,'[3]0509人员排班情况 副本'!$G:$U,12,FALSE)</f>
        <v>袁博闻(Bowen Yuan)</v>
      </c>
      <c r="AE647">
        <f>VLOOKUP($H647,'[3]0509人员排班情况 副本'!$G:$U,13,FALSE)</f>
        <v>0</v>
      </c>
      <c r="AF647">
        <f>VLOOKUP($H647,'[3]0509人员排班情况 副本'!$G:$U,14,FALSE)</f>
        <v>0</v>
      </c>
      <c r="AG647">
        <f>VLOOKUP($H647,'[3]0509人员排班情况 副本'!$G:$U,15,FALSE)</f>
        <v>0</v>
      </c>
    </row>
    <row r="648" customHeight="1" spans="1:33">
      <c r="A648" t="s">
        <v>202</v>
      </c>
      <c r="B648" t="s">
        <v>2048</v>
      </c>
      <c r="C648" t="s">
        <v>2049</v>
      </c>
      <c r="D648" t="s">
        <v>100</v>
      </c>
      <c r="E648" t="s">
        <v>105</v>
      </c>
      <c r="F648" t="s">
        <v>760</v>
      </c>
      <c r="H648" t="str">
        <f t="shared" si="70"/>
        <v>WE 美西大区NC 北加片区SFO01</v>
      </c>
      <c r="I648" t="s">
        <v>177</v>
      </c>
      <c r="J648" t="s">
        <v>437</v>
      </c>
      <c r="K648" s="15">
        <v>0.229166666666667</v>
      </c>
      <c r="L648" s="15" t="s">
        <v>438</v>
      </c>
      <c r="M648" s="15">
        <v>0.230555555555556</v>
      </c>
      <c r="N648" t="s">
        <v>2050</v>
      </c>
      <c r="O648" s="20" t="str">
        <f t="shared" si="76"/>
        <v>正确</v>
      </c>
      <c r="P648" s="21">
        <v>0</v>
      </c>
      <c r="Q648" s="21">
        <v>8.02</v>
      </c>
      <c r="R648" s="21">
        <v>0</v>
      </c>
      <c r="S648" s="21">
        <f t="shared" si="71"/>
        <v>8.02</v>
      </c>
      <c r="T648" s="21">
        <f t="shared" si="72"/>
        <v>0.0199999999999996</v>
      </c>
      <c r="U648" s="21" t="str">
        <f t="shared" si="73"/>
        <v>是</v>
      </c>
      <c r="V648" s="21">
        <f>VLOOKUP($C648,[4]Sheet1!$B:$AN,39,FALSE)</f>
        <v>14.95</v>
      </c>
      <c r="W648" s="21">
        <v>0</v>
      </c>
      <c r="X648" s="23">
        <v>4</v>
      </c>
      <c r="Y648" s="23">
        <v>4</v>
      </c>
      <c r="Z648" s="25">
        <f t="shared" si="74"/>
        <v>0</v>
      </c>
      <c r="AA648" s="25" t="str">
        <f t="shared" si="75"/>
        <v>是</v>
      </c>
      <c r="AB648" t="s">
        <v>148</v>
      </c>
      <c r="AC648" t="e">
        <f>VLOOKUP(C648,[1]Sheet1!$C:$O,13,FALSE)</f>
        <v>#N/A</v>
      </c>
      <c r="AD648" t="str">
        <f>VLOOKUP($H648,'[3]0509人员排班情况 副本'!$G:$U,12,FALSE)</f>
        <v>王骞Ariel（Qian Wang）,叶秀芳Freya (Xiufang Ye)</v>
      </c>
      <c r="AE648" t="str">
        <f>VLOOKUP($H648,'[3]0509人员排班情况 副本'!$G:$U,13,FALSE)</f>
        <v>常哲</v>
      </c>
      <c r="AF648" t="str">
        <f>VLOOKUP($H648,'[3]0509人员排班情况 副本'!$G:$U,14,FALSE)</f>
        <v>林美浚（Meijun Lin）</v>
      </c>
      <c r="AG648">
        <f>VLOOKUP($H648,'[3]0509人员排班情况 副本'!$G:$U,15,FALSE)</f>
        <v>0</v>
      </c>
    </row>
    <row r="649" customHeight="1" spans="1:33">
      <c r="A649" t="s">
        <v>202</v>
      </c>
      <c r="B649" t="s">
        <v>2051</v>
      </c>
      <c r="C649" t="s">
        <v>2052</v>
      </c>
      <c r="D649" t="s">
        <v>68</v>
      </c>
      <c r="E649" t="s">
        <v>81</v>
      </c>
      <c r="F649" t="s">
        <v>186</v>
      </c>
      <c r="H649" t="str">
        <f t="shared" si="70"/>
        <v>NE 东北大区NY 纽约片区LGA01</v>
      </c>
      <c r="I649" t="s">
        <v>177</v>
      </c>
      <c r="J649" t="s">
        <v>217</v>
      </c>
      <c r="K649" s="15">
        <v>0.395833333333333</v>
      </c>
      <c r="L649" s="15" t="s">
        <v>218</v>
      </c>
      <c r="M649" s="15">
        <v>0.604166666666667</v>
      </c>
      <c r="N649" t="s">
        <v>757</v>
      </c>
      <c r="O649" s="20" t="str">
        <f t="shared" si="76"/>
        <v>不正确</v>
      </c>
      <c r="P649" s="21">
        <v>0</v>
      </c>
      <c r="Q649" s="21">
        <v>4.48</v>
      </c>
      <c r="R649" s="21">
        <v>0</v>
      </c>
      <c r="S649" s="21">
        <f t="shared" si="71"/>
        <v>4.48</v>
      </c>
      <c r="T649" s="21">
        <f t="shared" si="72"/>
        <v>0</v>
      </c>
      <c r="U649" s="21" t="str">
        <f t="shared" si="73"/>
        <v>否</v>
      </c>
      <c r="V649" s="21">
        <f>VLOOKUP($C649,[4]Sheet1!$B:$AN,39,FALSE)</f>
        <v>8.85</v>
      </c>
      <c r="W649" s="21">
        <v>0</v>
      </c>
      <c r="X649" s="23">
        <v>4</v>
      </c>
      <c r="Y649" s="23">
        <v>0</v>
      </c>
      <c r="Z649" s="25">
        <f t="shared" si="74"/>
        <v>0</v>
      </c>
      <c r="AA649" s="25" t="str">
        <f t="shared" si="75"/>
        <v>是</v>
      </c>
      <c r="AB649" t="s">
        <v>148</v>
      </c>
      <c r="AC649" t="e">
        <f>VLOOKUP(C649,[1]Sheet1!$C:$O,13,FALSE)</f>
        <v>#N/A</v>
      </c>
      <c r="AD649" t="str">
        <f>VLOOKUP($H649,'[3]0509人员排班情况 副本'!$G:$U,12,FALSE)</f>
        <v>孙可君Monica（Kejun Sun）</v>
      </c>
      <c r="AE649" t="str">
        <f>VLOOKUP($H649,'[3]0509人员排班情况 副本'!$G:$U,13,FALSE)</f>
        <v>马聪Cong (Cong Ma)</v>
      </c>
      <c r="AF649" t="str">
        <f>VLOOKUP($H649,'[3]0509人员排班情况 副本'!$G:$U,14,FALSE)</f>
        <v>朱晗宇 Peter (Hanyu Zhu)</v>
      </c>
      <c r="AG649">
        <f>VLOOKUP($H649,'[3]0509人员排班情况 副本'!$G:$U,15,FALSE)</f>
        <v>0</v>
      </c>
    </row>
    <row r="650" customHeight="1" spans="1:33">
      <c r="A650" t="s">
        <v>202</v>
      </c>
      <c r="B650" t="s">
        <v>2053</v>
      </c>
      <c r="C650" t="s">
        <v>2054</v>
      </c>
      <c r="D650" t="s">
        <v>68</v>
      </c>
      <c r="E650" t="s">
        <v>80</v>
      </c>
      <c r="F650" t="s">
        <v>148</v>
      </c>
      <c r="H650" t="str">
        <f t="shared" si="70"/>
        <v>NE 东北大区MA 新英格兰片区</v>
      </c>
      <c r="I650" t="s">
        <v>173</v>
      </c>
      <c r="J650" t="s">
        <v>211</v>
      </c>
      <c r="K650" s="15">
        <v>0.333333333333333</v>
      </c>
      <c r="L650" s="15" t="s">
        <v>212</v>
      </c>
      <c r="M650" s="15">
        <v>0.33125</v>
      </c>
      <c r="N650" t="s">
        <v>946</v>
      </c>
      <c r="O650" s="20" t="str">
        <f t="shared" si="76"/>
        <v>正确</v>
      </c>
      <c r="P650" s="21">
        <v>0</v>
      </c>
      <c r="Q650" s="21">
        <v>10.02</v>
      </c>
      <c r="R650" s="21">
        <v>0</v>
      </c>
      <c r="S650" s="21">
        <f t="shared" si="71"/>
        <v>10.02</v>
      </c>
      <c r="T650" s="21">
        <f t="shared" si="72"/>
        <v>2.02</v>
      </c>
      <c r="U650" s="21" t="str">
        <f t="shared" si="73"/>
        <v>是</v>
      </c>
      <c r="V650" s="21">
        <f>VLOOKUP($C650,[4]Sheet1!$B:$AN,39,FALSE)</f>
        <v>20.34</v>
      </c>
      <c r="W650" s="21">
        <v>0</v>
      </c>
      <c r="X650" s="23">
        <v>4</v>
      </c>
      <c r="Y650" s="23">
        <v>4</v>
      </c>
      <c r="Z650" s="25">
        <f t="shared" si="74"/>
        <v>0</v>
      </c>
      <c r="AA650" s="25" t="str">
        <f t="shared" si="75"/>
        <v>是</v>
      </c>
      <c r="AB650" t="s">
        <v>148</v>
      </c>
      <c r="AC650" t="e">
        <f>VLOOKUP(C650,[1]Sheet1!$C:$O,13,FALSE)</f>
        <v>#N/A</v>
      </c>
      <c r="AD650" t="str">
        <f>VLOOKUP($H650,'[3]0509人员排班情况 副本'!$G:$U,12,FALSE)</f>
        <v>孙可君Monica（Kejun Sun）</v>
      </c>
      <c r="AE650" t="str">
        <f>VLOOKUP($H650,'[3]0509人员排班情况 副本'!$G:$U,13,FALSE)</f>
        <v>马聪Cong (Cong Ma)</v>
      </c>
      <c r="AF650">
        <f>VLOOKUP($H650,'[3]0509人员排班情况 副本'!$G:$U,14,FALSE)</f>
        <v>0</v>
      </c>
      <c r="AG650">
        <f>VLOOKUP($H650,'[3]0509人员排班情况 副本'!$G:$U,15,FALSE)</f>
        <v>0</v>
      </c>
    </row>
    <row r="651" customHeight="1" spans="1:33">
      <c r="A651" t="s">
        <v>202</v>
      </c>
      <c r="B651" t="s">
        <v>2055</v>
      </c>
      <c r="C651" t="s">
        <v>2056</v>
      </c>
      <c r="D651" t="s">
        <v>100</v>
      </c>
      <c r="E651" t="s">
        <v>106</v>
      </c>
      <c r="F651" t="s">
        <v>879</v>
      </c>
      <c r="H651" t="str">
        <f t="shared" si="70"/>
        <v>WE 美西大区SC 南加片区LAX01</v>
      </c>
      <c r="I651" t="s">
        <v>156</v>
      </c>
      <c r="J651" t="s">
        <v>221</v>
      </c>
      <c r="K651" s="15">
        <v>0.208333333333333</v>
      </c>
      <c r="L651" s="15" t="s">
        <v>222</v>
      </c>
      <c r="M651" s="15">
        <v>0.2375</v>
      </c>
      <c r="N651" t="s">
        <v>212</v>
      </c>
      <c r="O651" s="20" t="str">
        <f t="shared" si="76"/>
        <v>正确</v>
      </c>
      <c r="P651" s="21">
        <v>0</v>
      </c>
      <c r="Q651" s="21">
        <v>10.3</v>
      </c>
      <c r="R651" s="21">
        <v>0</v>
      </c>
      <c r="S651" s="21">
        <f t="shared" si="71"/>
        <v>10.3</v>
      </c>
      <c r="T651" s="21">
        <f t="shared" si="72"/>
        <v>2.3</v>
      </c>
      <c r="U651" s="21" t="str">
        <f t="shared" si="73"/>
        <v>是</v>
      </c>
      <c r="V651" s="21">
        <f>VLOOKUP($C651,[4]Sheet1!$B:$AN,39,FALSE)</f>
        <v>21.92</v>
      </c>
      <c r="W651" s="21">
        <v>0</v>
      </c>
      <c r="X651" s="23">
        <v>4</v>
      </c>
      <c r="Y651" s="23">
        <v>4</v>
      </c>
      <c r="Z651" s="25">
        <f t="shared" si="74"/>
        <v>0</v>
      </c>
      <c r="AA651" s="25" t="str">
        <f t="shared" si="75"/>
        <v>是</v>
      </c>
      <c r="AB651" t="s">
        <v>148</v>
      </c>
      <c r="AC651" t="e">
        <f>VLOOKUP(C651,[1]Sheet1!$C:$O,13,FALSE)</f>
        <v>#N/A</v>
      </c>
      <c r="AD651" t="str">
        <f>VLOOKUP($H651,'[3]0509人员排班情况 副本'!$G:$U,12,FALSE)</f>
        <v>王骞Ariel（Qian Wang）,叶秀芳Freya (Xiufang Ye)</v>
      </c>
      <c r="AE651" t="str">
        <f>VLOOKUP($H651,'[3]0509人员排班情况 副本'!$G:$U,13,FALSE)</f>
        <v>常哲</v>
      </c>
      <c r="AF651" t="str">
        <f>VLOOKUP($H651,'[3]0509人员排班情况 副本'!$G:$U,14,FALSE)</f>
        <v>尤梦楠Yuko（Mengnan You）</v>
      </c>
      <c r="AG651">
        <f>VLOOKUP($H651,'[3]0509人员排班情况 副本'!$G:$U,15,FALSE)</f>
        <v>0</v>
      </c>
    </row>
    <row r="652" customHeight="1" spans="1:33">
      <c r="A652" t="s">
        <v>202</v>
      </c>
      <c r="B652" t="s">
        <v>2057</v>
      </c>
      <c r="C652" t="s">
        <v>2058</v>
      </c>
      <c r="D652" t="s">
        <v>31</v>
      </c>
      <c r="E652" t="s">
        <v>41</v>
      </c>
      <c r="F652" t="s">
        <v>275</v>
      </c>
      <c r="G652" t="s">
        <v>112</v>
      </c>
      <c r="H652" t="str">
        <f t="shared" si="70"/>
        <v>GL 大湖大区ORD.H分拣组</v>
      </c>
      <c r="I652" t="s">
        <v>303</v>
      </c>
      <c r="J652" t="s">
        <v>217</v>
      </c>
      <c r="K652" s="15">
        <v>0.395833333333333</v>
      </c>
      <c r="L652" s="15" t="s">
        <v>218</v>
      </c>
      <c r="M652" s="15"/>
      <c r="N652" t="s">
        <v>148</v>
      </c>
      <c r="O652" s="20" t="s">
        <v>116</v>
      </c>
      <c r="P652" s="21">
        <v>0</v>
      </c>
      <c r="Q652" s="21">
        <v>0</v>
      </c>
      <c r="R652" s="21">
        <v>0</v>
      </c>
      <c r="S652" s="21">
        <f t="shared" si="71"/>
        <v>0</v>
      </c>
      <c r="T652" s="21">
        <f t="shared" si="72"/>
        <v>0</v>
      </c>
      <c r="U652" s="21" t="str">
        <f t="shared" si="73"/>
        <v>否</v>
      </c>
      <c r="V652" s="21">
        <f>VLOOKUP($C652,[4]Sheet1!$B:$AN,39,FALSE)</f>
        <v>11.05</v>
      </c>
      <c r="W652" s="21">
        <v>0</v>
      </c>
      <c r="X652" s="23">
        <v>0</v>
      </c>
      <c r="Y652" s="23">
        <v>0</v>
      </c>
      <c r="Z652" s="25">
        <f t="shared" si="74"/>
        <v>0</v>
      </c>
      <c r="AA652" s="25" t="str">
        <f t="shared" si="75"/>
        <v>是</v>
      </c>
      <c r="AB652" t="s">
        <v>148</v>
      </c>
      <c r="AC652" t="e">
        <f>VLOOKUP(C652,[1]Sheet1!$C:$O,13,FALSE)</f>
        <v>#N/A</v>
      </c>
      <c r="AD652" t="str">
        <f>VLOOKUP($H652,'[3]0509人员排班情况 副本'!$G:$U,12,FALSE)</f>
        <v>王晓丹 Jasmine（Xiaodan Wang）,周延舒Isabel（Yanshu Zhou）</v>
      </c>
      <c r="AE652" t="str">
        <f>VLOOKUP($H652,'[3]0509人员排班情况 副本'!$G:$U,13,FALSE)</f>
        <v>张骥Ji Zhang (Ji Zhang)</v>
      </c>
      <c r="AF652" t="str">
        <f>VLOOKUP($H652,'[3]0509人员排班情况 副本'!$G:$U,14,FALSE)</f>
        <v>张双甫(Shuangfu Zhang)</v>
      </c>
      <c r="AG652">
        <f>VLOOKUP($H652,'[3]0509人员排班情况 副本'!$G:$U,15,FALSE)</f>
        <v>0</v>
      </c>
    </row>
    <row r="653" customHeight="1" spans="1:33">
      <c r="A653" t="s">
        <v>202</v>
      </c>
      <c r="B653" t="s">
        <v>2059</v>
      </c>
      <c r="C653" t="s">
        <v>2060</v>
      </c>
      <c r="D653" t="s">
        <v>88</v>
      </c>
      <c r="E653" t="s">
        <v>631</v>
      </c>
      <c r="F653" t="s">
        <v>148</v>
      </c>
      <c r="H653" t="str">
        <f t="shared" si="70"/>
        <v>OM 操作管理部实施运营组</v>
      </c>
      <c r="I653" t="s">
        <v>632</v>
      </c>
      <c r="J653" t="s">
        <v>236</v>
      </c>
      <c r="K653" s="15">
        <v>0.395833333333333</v>
      </c>
      <c r="L653" s="15" t="s">
        <v>218</v>
      </c>
      <c r="M653" s="15">
        <v>0.395138888888889</v>
      </c>
      <c r="N653" t="s">
        <v>843</v>
      </c>
      <c r="O653" s="20" t="str">
        <f t="shared" si="76"/>
        <v>正确</v>
      </c>
      <c r="P653" s="21">
        <v>0</v>
      </c>
      <c r="Q653" s="21">
        <v>8.07</v>
      </c>
      <c r="R653" s="21">
        <v>0</v>
      </c>
      <c r="S653" s="21">
        <f t="shared" si="71"/>
        <v>8.07</v>
      </c>
      <c r="T653" s="21">
        <f t="shared" si="72"/>
        <v>0.0700000000000003</v>
      </c>
      <c r="U653" s="21" t="str">
        <f t="shared" si="73"/>
        <v>是</v>
      </c>
      <c r="V653" s="21">
        <f>VLOOKUP($C653,[4]Sheet1!$B:$AN,39,FALSE)</f>
        <v>16.12</v>
      </c>
      <c r="W653" s="21">
        <v>0</v>
      </c>
      <c r="X653" s="23">
        <v>4</v>
      </c>
      <c r="Y653" s="23">
        <v>4</v>
      </c>
      <c r="Z653" s="25">
        <f t="shared" si="74"/>
        <v>0</v>
      </c>
      <c r="AA653" s="25" t="str">
        <f t="shared" si="75"/>
        <v>是</v>
      </c>
      <c r="AB653" t="s">
        <v>148</v>
      </c>
      <c r="AC653" t="e">
        <f>VLOOKUP(C653,[1]Sheet1!$C:$O,13,FALSE)</f>
        <v>#N/A</v>
      </c>
      <c r="AD653" t="str">
        <f>VLOOKUP($H653,'[3]0509人员排班情况 副本'!$G:$U,12,FALSE)</f>
        <v>袁博闻(Bowen Yuan)</v>
      </c>
      <c r="AE653">
        <f>VLOOKUP($H653,'[3]0509人员排班情况 副本'!$G:$U,13,FALSE)</f>
        <v>0</v>
      </c>
      <c r="AF653">
        <f>VLOOKUP($H653,'[3]0509人员排班情况 副本'!$G:$U,14,FALSE)</f>
        <v>0</v>
      </c>
      <c r="AG653">
        <f>VLOOKUP($H653,'[3]0509人员排班情况 副本'!$G:$U,15,FALSE)</f>
        <v>0</v>
      </c>
    </row>
    <row r="654" customHeight="1" spans="1:33">
      <c r="A654" t="s">
        <v>202</v>
      </c>
      <c r="B654" t="s">
        <v>2061</v>
      </c>
      <c r="C654" t="s">
        <v>2062</v>
      </c>
      <c r="D654" t="s">
        <v>68</v>
      </c>
      <c r="E654" t="s">
        <v>78</v>
      </c>
      <c r="F654" t="s">
        <v>312</v>
      </c>
      <c r="G654" t="s">
        <v>112</v>
      </c>
      <c r="H654" t="str">
        <f t="shared" si="70"/>
        <v>NE 东北大区JFK.H异常处理组</v>
      </c>
      <c r="I654" t="s">
        <v>778</v>
      </c>
      <c r="J654" t="s">
        <v>400</v>
      </c>
      <c r="K654" s="15">
        <v>0.5</v>
      </c>
      <c r="L654" s="15" t="s">
        <v>401</v>
      </c>
      <c r="M654" s="15">
        <v>0.49375</v>
      </c>
      <c r="N654" t="s">
        <v>979</v>
      </c>
      <c r="O654" s="20" t="str">
        <f t="shared" si="76"/>
        <v>正确</v>
      </c>
      <c r="P654" s="21">
        <v>0</v>
      </c>
      <c r="Q654" s="21">
        <v>10.55</v>
      </c>
      <c r="R654" s="21">
        <v>0</v>
      </c>
      <c r="S654" s="21">
        <f t="shared" si="71"/>
        <v>10.55</v>
      </c>
      <c r="T654" s="21">
        <f t="shared" si="72"/>
        <v>2.55</v>
      </c>
      <c r="U654" s="21" t="str">
        <f t="shared" si="73"/>
        <v>是</v>
      </c>
      <c r="V654" s="21">
        <f>VLOOKUP($C654,[4]Sheet1!$B:$AN,39,FALSE)</f>
        <v>20.53</v>
      </c>
      <c r="W654" s="21">
        <v>0</v>
      </c>
      <c r="X654" s="23">
        <v>4</v>
      </c>
      <c r="Y654" s="23">
        <v>4</v>
      </c>
      <c r="Z654" s="25">
        <f t="shared" si="74"/>
        <v>0</v>
      </c>
      <c r="AA654" s="25" t="str">
        <f t="shared" si="75"/>
        <v>是</v>
      </c>
      <c r="AB654" t="s">
        <v>148</v>
      </c>
      <c r="AC654" t="e">
        <f>VLOOKUP(C654,[1]Sheet1!$C:$O,13,FALSE)</f>
        <v>#N/A</v>
      </c>
      <c r="AD654" t="str">
        <f>VLOOKUP($H654,'[3]0509人员排班情况 副本'!$G:$U,12,FALSE)</f>
        <v>孙可君Monica（Kejun Sun）</v>
      </c>
      <c r="AE654" t="str">
        <f>VLOOKUP($H654,'[3]0509人员排班情况 副本'!$G:$U,13,FALSE)</f>
        <v>马聪Cong (Cong Ma)</v>
      </c>
      <c r="AF654" t="str">
        <f>VLOOKUP($H654,'[3]0509人员排班情况 副本'!$G:$U,14,FALSE)</f>
        <v>Minqing (Minqing Xu),罗煜雄 Mike (Yuxiong Luo)</v>
      </c>
      <c r="AG654">
        <f>VLOOKUP($H654,'[3]0509人员排班情况 副本'!$G:$U,15,FALSE)</f>
        <v>0</v>
      </c>
    </row>
    <row r="655" customHeight="1" spans="1:33">
      <c r="A655" t="s">
        <v>202</v>
      </c>
      <c r="B655" t="s">
        <v>2063</v>
      </c>
      <c r="C655" t="s">
        <v>2064</v>
      </c>
      <c r="D655" t="s">
        <v>15</v>
      </c>
      <c r="E655" t="s">
        <v>24</v>
      </c>
      <c r="F655" t="s">
        <v>21</v>
      </c>
      <c r="H655" t="str">
        <f t="shared" si="70"/>
        <v>FL 佛州大区SF 南佛片区MIA01</v>
      </c>
      <c r="I655" t="s">
        <v>177</v>
      </c>
      <c r="J655" t="s">
        <v>229</v>
      </c>
      <c r="K655" s="15">
        <v>0.270833333333333</v>
      </c>
      <c r="L655" s="15" t="s">
        <v>230</v>
      </c>
      <c r="M655" s="15">
        <v>0.275694444444444</v>
      </c>
      <c r="N655" t="s">
        <v>1116</v>
      </c>
      <c r="O655" s="20" t="str">
        <f t="shared" si="76"/>
        <v>正确</v>
      </c>
      <c r="P655" s="21">
        <v>0</v>
      </c>
      <c r="Q655" s="21">
        <v>8.87</v>
      </c>
      <c r="R655" s="21">
        <v>0</v>
      </c>
      <c r="S655" s="21">
        <f t="shared" si="71"/>
        <v>8.87</v>
      </c>
      <c r="T655" s="21">
        <f t="shared" si="72"/>
        <v>0.869999999999999</v>
      </c>
      <c r="U655" s="21" t="str">
        <f t="shared" si="73"/>
        <v>是</v>
      </c>
      <c r="V655" s="21">
        <f>VLOOKUP($C655,[4]Sheet1!$B:$AN,39,FALSE)</f>
        <v>18.82</v>
      </c>
      <c r="W655" s="21">
        <v>0</v>
      </c>
      <c r="X655" s="23">
        <v>3</v>
      </c>
      <c r="Y655" s="23">
        <v>4</v>
      </c>
      <c r="Z655" s="25">
        <f t="shared" si="74"/>
        <v>1</v>
      </c>
      <c r="AA655" s="25" t="str">
        <f t="shared" si="75"/>
        <v>是</v>
      </c>
      <c r="AB655" t="s">
        <v>148</v>
      </c>
      <c r="AC655" t="e">
        <f>VLOOKUP(C655,[1]Sheet1!$C:$O,13,FALSE)</f>
        <v>#N/A</v>
      </c>
      <c r="AD655" t="str">
        <f>VLOOKUP($H655,'[3]0509人员排班情况 副本'!$G:$U,12,FALSE)</f>
        <v>Natalia (Natalia Padilla),孙婕 Jasmine（Sunjie）</v>
      </c>
      <c r="AE655" t="str">
        <f>VLOOKUP($H655,'[3]0509人员排班情况 副本'!$G:$U,13,FALSE)</f>
        <v>贺子强Jeff (Ziqiang He)</v>
      </c>
      <c r="AF655" t="str">
        <f>VLOOKUP($H655,'[3]0509人员排班情况 副本'!$G:$U,14,FALSE)</f>
        <v>王航 Hang (Hang Wang)</v>
      </c>
      <c r="AG655">
        <f>VLOOKUP($H655,'[3]0509人员排班情况 副本'!$G:$U,15,FALSE)</f>
        <v>0</v>
      </c>
    </row>
    <row r="656" customHeight="1" spans="1:33">
      <c r="A656" t="s">
        <v>202</v>
      </c>
      <c r="B656" t="s">
        <v>2065</v>
      </c>
      <c r="C656" t="s">
        <v>2066</v>
      </c>
      <c r="D656" t="s">
        <v>100</v>
      </c>
      <c r="E656" t="s">
        <v>105</v>
      </c>
      <c r="F656" t="s">
        <v>750</v>
      </c>
      <c r="H656" t="str">
        <f t="shared" si="70"/>
        <v>WE 美西大区NC 北加片区SFO.H</v>
      </c>
      <c r="I656" t="s">
        <v>281</v>
      </c>
      <c r="J656" t="s">
        <v>295</v>
      </c>
      <c r="K656" s="15">
        <v>0.375</v>
      </c>
      <c r="L656" s="15" t="s">
        <v>296</v>
      </c>
      <c r="M656" s="15">
        <v>0.384722222222222</v>
      </c>
      <c r="N656" t="s">
        <v>2067</v>
      </c>
      <c r="O656" s="20" t="str">
        <f t="shared" si="76"/>
        <v>正确</v>
      </c>
      <c r="P656" s="21">
        <v>0</v>
      </c>
      <c r="Q656" s="21">
        <v>8.97</v>
      </c>
      <c r="R656" s="21">
        <v>0</v>
      </c>
      <c r="S656" s="21">
        <f t="shared" si="71"/>
        <v>8.97</v>
      </c>
      <c r="T656" s="21">
        <f t="shared" si="72"/>
        <v>0.970000000000001</v>
      </c>
      <c r="U656" s="21" t="str">
        <f t="shared" si="73"/>
        <v>是</v>
      </c>
      <c r="V656" s="21">
        <f>VLOOKUP($C656,[4]Sheet1!$B:$AN,39,FALSE)</f>
        <v>17.79</v>
      </c>
      <c r="W656" s="21">
        <v>0</v>
      </c>
      <c r="X656" s="23">
        <v>2</v>
      </c>
      <c r="Y656" s="23">
        <v>4</v>
      </c>
      <c r="Z656" s="25">
        <f t="shared" si="74"/>
        <v>2</v>
      </c>
      <c r="AA656" s="25" t="str">
        <f t="shared" si="75"/>
        <v>是</v>
      </c>
      <c r="AB656" t="s">
        <v>148</v>
      </c>
      <c r="AC656" t="e">
        <f>VLOOKUP(C656,[1]Sheet1!$C:$O,13,FALSE)</f>
        <v>#N/A</v>
      </c>
      <c r="AD656" t="str">
        <f>VLOOKUP($H656,'[3]0509人员排班情况 副本'!$G:$U,12,FALSE)</f>
        <v>王骞Ariel（Qian Wang）,叶秀芳Freya (Xiufang Ye)</v>
      </c>
      <c r="AE656" t="str">
        <f>VLOOKUP($H656,'[3]0509人员排班情况 副本'!$G:$U,13,FALSE)</f>
        <v>常哲</v>
      </c>
      <c r="AF656" t="str">
        <f>VLOOKUP($H656,'[3]0509人员排班情况 副本'!$G:$U,14,FALSE)</f>
        <v>林美浚（Meijun Lin）</v>
      </c>
      <c r="AG656">
        <f>VLOOKUP($H656,'[3]0509人员排班情况 副本'!$G:$U,15,FALSE)</f>
        <v>0</v>
      </c>
    </row>
    <row r="657" customHeight="1" spans="1:33">
      <c r="A657" t="s">
        <v>202</v>
      </c>
      <c r="B657" t="s">
        <v>2068</v>
      </c>
      <c r="C657" t="s">
        <v>2069</v>
      </c>
      <c r="D657" t="s">
        <v>68</v>
      </c>
      <c r="E657" t="s">
        <v>69</v>
      </c>
      <c r="F657" t="s">
        <v>148</v>
      </c>
      <c r="H657" t="str">
        <f t="shared" si="70"/>
        <v>NE 东北大区BDL01</v>
      </c>
      <c r="I657" t="s">
        <v>177</v>
      </c>
      <c r="J657" t="s">
        <v>221</v>
      </c>
      <c r="K657" s="15">
        <v>0.208333333333333</v>
      </c>
      <c r="L657" s="15" t="s">
        <v>222</v>
      </c>
      <c r="M657" s="15">
        <v>0.206944444444444</v>
      </c>
      <c r="N657" t="s">
        <v>2070</v>
      </c>
      <c r="O657" s="20" t="str">
        <f t="shared" si="76"/>
        <v>正确</v>
      </c>
      <c r="P657" s="21">
        <v>0</v>
      </c>
      <c r="Q657" s="21">
        <v>8.05</v>
      </c>
      <c r="R657" s="21">
        <v>0</v>
      </c>
      <c r="S657" s="21">
        <f t="shared" si="71"/>
        <v>8.05</v>
      </c>
      <c r="T657" s="21">
        <f t="shared" si="72"/>
        <v>0.0500000000000007</v>
      </c>
      <c r="U657" s="21" t="str">
        <f t="shared" si="73"/>
        <v>是</v>
      </c>
      <c r="V657" s="21">
        <f>VLOOKUP($C657,[4]Sheet1!$B:$AN,39,FALSE)</f>
        <v>8.05</v>
      </c>
      <c r="W657" s="21">
        <v>8.23</v>
      </c>
      <c r="X657" s="23">
        <v>4</v>
      </c>
      <c r="Y657" s="23">
        <v>4</v>
      </c>
      <c r="Z657" s="25">
        <f t="shared" si="74"/>
        <v>0</v>
      </c>
      <c r="AA657" s="25" t="str">
        <f t="shared" si="75"/>
        <v>是</v>
      </c>
      <c r="AB657" t="s">
        <v>148</v>
      </c>
      <c r="AC657" t="e">
        <f>VLOOKUP(C657,[1]Sheet1!$C:$O,13,FALSE)</f>
        <v>#N/A</v>
      </c>
      <c r="AD657" t="str">
        <f>VLOOKUP($H657,'[3]0509人员排班情况 副本'!$G:$U,12,FALSE)</f>
        <v>孙可君Monica（Kejun Sun）</v>
      </c>
      <c r="AE657" t="str">
        <f>VLOOKUP($H657,'[3]0509人员排班情况 副本'!$G:$U,13,FALSE)</f>
        <v>马聪Cong (Cong Ma)</v>
      </c>
      <c r="AF657">
        <f>VLOOKUP($H657,'[3]0509人员排班情况 副本'!$G:$U,14,FALSE)</f>
        <v>0</v>
      </c>
      <c r="AG657">
        <f>VLOOKUP($H657,'[3]0509人员排班情况 副本'!$G:$U,15,FALSE)</f>
        <v>0</v>
      </c>
    </row>
    <row r="658" customHeight="1" spans="1:33">
      <c r="A658" t="s">
        <v>202</v>
      </c>
      <c r="B658" t="s">
        <v>2071</v>
      </c>
      <c r="C658" t="s">
        <v>2072</v>
      </c>
      <c r="D658" t="s">
        <v>68</v>
      </c>
      <c r="E658" t="s">
        <v>75</v>
      </c>
      <c r="F658" t="s">
        <v>1138</v>
      </c>
      <c r="H658" t="str">
        <f t="shared" si="70"/>
        <v>NE 东北大区DC 华盛顿片区IAD01</v>
      </c>
      <c r="I658" t="s">
        <v>177</v>
      </c>
      <c r="J658" t="s">
        <v>217</v>
      </c>
      <c r="K658" s="15">
        <v>0.395833333333333</v>
      </c>
      <c r="L658" s="15" t="s">
        <v>218</v>
      </c>
      <c r="M658" s="15"/>
      <c r="N658" t="s">
        <v>148</v>
      </c>
      <c r="O658" s="20" t="s">
        <v>116</v>
      </c>
      <c r="P658" s="21">
        <v>0</v>
      </c>
      <c r="Q658" s="21">
        <v>0</v>
      </c>
      <c r="R658" s="21">
        <v>0</v>
      </c>
      <c r="S658" s="21">
        <f t="shared" si="71"/>
        <v>0</v>
      </c>
      <c r="T658" s="21">
        <f t="shared" si="72"/>
        <v>0</v>
      </c>
      <c r="U658" s="21" t="str">
        <f t="shared" si="73"/>
        <v>否</v>
      </c>
      <c r="V658" s="21">
        <f>VLOOKUP($C658,[4]Sheet1!$B:$AN,39,FALSE)</f>
        <v>0</v>
      </c>
      <c r="W658" s="21">
        <v>0</v>
      </c>
      <c r="X658" s="23">
        <v>0</v>
      </c>
      <c r="Y658" s="23">
        <v>0</v>
      </c>
      <c r="Z658" s="25">
        <f t="shared" si="74"/>
        <v>0</v>
      </c>
      <c r="AA658" s="25" t="str">
        <f t="shared" si="75"/>
        <v>是</v>
      </c>
      <c r="AB658" t="s">
        <v>148</v>
      </c>
      <c r="AC658" t="e">
        <f>VLOOKUP(C658,[1]Sheet1!$C:$O,13,FALSE)</f>
        <v>#N/A</v>
      </c>
      <c r="AD658" t="str">
        <f>VLOOKUP($H658,'[3]0509人员排班情况 副本'!$G:$U,12,FALSE)</f>
        <v>孙可君Monica（Kejun Sun）</v>
      </c>
      <c r="AE658" t="str">
        <f>VLOOKUP($H658,'[3]0509人员排班情况 副本'!$G:$U,13,FALSE)</f>
        <v>马聪Cong (Cong Ma)</v>
      </c>
      <c r="AF658" t="str">
        <f>VLOOKUP($H658,'[3]0509人员排班情况 副本'!$G:$U,14,FALSE)</f>
        <v>朱晗宇 Peter (Hanyu Zhu)</v>
      </c>
      <c r="AG658">
        <f>VLOOKUP($H658,'[3]0509人员排班情况 副本'!$G:$U,15,FALSE)</f>
        <v>0</v>
      </c>
    </row>
    <row r="659" customHeight="1" spans="1:33">
      <c r="A659" t="s">
        <v>202</v>
      </c>
      <c r="B659" t="s">
        <v>2073</v>
      </c>
      <c r="C659" t="s">
        <v>2074</v>
      </c>
      <c r="D659" t="s">
        <v>100</v>
      </c>
      <c r="E659" t="s">
        <v>106</v>
      </c>
      <c r="F659" t="s">
        <v>1835</v>
      </c>
      <c r="H659" t="str">
        <f t="shared" si="70"/>
        <v>WE 美西大区SC 南加片区LAS01</v>
      </c>
      <c r="I659" t="s">
        <v>687</v>
      </c>
      <c r="J659" t="s">
        <v>221</v>
      </c>
      <c r="K659" s="15">
        <v>0.208333333333333</v>
      </c>
      <c r="L659" s="15" t="s">
        <v>222</v>
      </c>
      <c r="M659" s="15">
        <v>0.215277777777778</v>
      </c>
      <c r="N659" t="s">
        <v>636</v>
      </c>
      <c r="O659" s="20" t="str">
        <f t="shared" si="76"/>
        <v>正确</v>
      </c>
      <c r="P659" s="21">
        <v>0</v>
      </c>
      <c r="Q659" s="21">
        <v>10.07</v>
      </c>
      <c r="R659" s="21">
        <v>0</v>
      </c>
      <c r="S659" s="21">
        <f t="shared" si="71"/>
        <v>10.07</v>
      </c>
      <c r="T659" s="21">
        <f t="shared" si="72"/>
        <v>2.07</v>
      </c>
      <c r="U659" s="21" t="str">
        <f t="shared" si="73"/>
        <v>是</v>
      </c>
      <c r="V659" s="21">
        <f>VLOOKUP($C659,[4]Sheet1!$B:$AN,39,FALSE)</f>
        <v>18.4</v>
      </c>
      <c r="W659" s="21">
        <v>0</v>
      </c>
      <c r="X659" s="23">
        <v>4</v>
      </c>
      <c r="Y659" s="23">
        <v>4</v>
      </c>
      <c r="Z659" s="25">
        <f t="shared" si="74"/>
        <v>0</v>
      </c>
      <c r="AA659" s="25" t="str">
        <f t="shared" si="75"/>
        <v>是</v>
      </c>
      <c r="AB659" t="s">
        <v>148</v>
      </c>
      <c r="AC659" t="e">
        <f>VLOOKUP(C659,[1]Sheet1!$C:$O,13,FALSE)</f>
        <v>#N/A</v>
      </c>
      <c r="AD659" t="str">
        <f>VLOOKUP($H659,'[3]0509人员排班情况 副本'!$G:$U,12,FALSE)</f>
        <v>王骞Ariel（Qian Wang）,叶秀芳Freya (Xiufang Ye)</v>
      </c>
      <c r="AE659" t="str">
        <f>VLOOKUP($H659,'[3]0509人员排班情况 副本'!$G:$U,13,FALSE)</f>
        <v>常哲</v>
      </c>
      <c r="AF659" t="str">
        <f>VLOOKUP($H659,'[3]0509人员排班情况 副本'!$G:$U,14,FALSE)</f>
        <v>尤梦楠Yuko（Mengnan You）</v>
      </c>
      <c r="AG659">
        <f>VLOOKUP($H659,'[3]0509人员排班情况 副本'!$G:$U,15,FALSE)</f>
        <v>0</v>
      </c>
    </row>
    <row r="660" customHeight="1" spans="1:33">
      <c r="A660" t="s">
        <v>202</v>
      </c>
      <c r="B660" t="s">
        <v>2075</v>
      </c>
      <c r="C660" t="s">
        <v>2076</v>
      </c>
      <c r="D660" t="s">
        <v>12</v>
      </c>
      <c r="E660" t="s">
        <v>1805</v>
      </c>
      <c r="F660" t="s">
        <v>148</v>
      </c>
      <c r="H660" t="str">
        <f t="shared" si="70"/>
        <v>CM 运力管理部调度运营组</v>
      </c>
      <c r="I660" t="s">
        <v>2077</v>
      </c>
      <c r="J660" t="s">
        <v>236</v>
      </c>
      <c r="K660" s="15">
        <v>0.395833333333333</v>
      </c>
      <c r="L660" s="15" t="s">
        <v>218</v>
      </c>
      <c r="M660" s="15">
        <v>0.424305555555556</v>
      </c>
      <c r="N660" t="s">
        <v>381</v>
      </c>
      <c r="O660" s="20" t="str">
        <f t="shared" si="76"/>
        <v>正确</v>
      </c>
      <c r="P660" s="21">
        <v>0</v>
      </c>
      <c r="Q660" s="21">
        <v>8.25</v>
      </c>
      <c r="R660" s="21">
        <v>0</v>
      </c>
      <c r="S660" s="21">
        <f t="shared" si="71"/>
        <v>8.25</v>
      </c>
      <c r="T660" s="21">
        <f t="shared" si="72"/>
        <v>0.25</v>
      </c>
      <c r="U660" s="21" t="str">
        <f t="shared" si="73"/>
        <v>是</v>
      </c>
      <c r="V660" s="21">
        <f>VLOOKUP($C660,[4]Sheet1!$B:$AN,39,FALSE)</f>
        <v>8.25</v>
      </c>
      <c r="W660" s="21">
        <v>0</v>
      </c>
      <c r="X660" s="23">
        <v>2</v>
      </c>
      <c r="Y660" s="23">
        <v>4</v>
      </c>
      <c r="Z660" s="25">
        <f t="shared" si="74"/>
        <v>2</v>
      </c>
      <c r="AA660" s="25" t="str">
        <f t="shared" si="75"/>
        <v>是</v>
      </c>
      <c r="AB660" t="s">
        <v>148</v>
      </c>
      <c r="AC660" t="e">
        <f>VLOOKUP(C660,[1]Sheet1!$C:$O,13,FALSE)</f>
        <v>#N/A</v>
      </c>
      <c r="AD660" t="str">
        <f>VLOOKUP($H660,'[3]0509人员排班情况 副本'!$G:$U,12,FALSE)</f>
        <v>袁博闻(Bowen Yuan)</v>
      </c>
      <c r="AE660">
        <f>VLOOKUP($H660,'[3]0509人员排班情况 副本'!$G:$U,13,FALSE)</f>
        <v>0</v>
      </c>
      <c r="AF660">
        <f>VLOOKUP($H660,'[3]0509人员排班情况 副本'!$G:$U,14,FALSE)</f>
        <v>0</v>
      </c>
      <c r="AG660">
        <f>VLOOKUP($H660,'[3]0509人员排班情况 副本'!$G:$U,15,FALSE)</f>
        <v>0</v>
      </c>
    </row>
    <row r="661" customHeight="1" spans="1:33">
      <c r="A661" t="s">
        <v>202</v>
      </c>
      <c r="B661" t="s">
        <v>2078</v>
      </c>
      <c r="C661" t="s">
        <v>2079</v>
      </c>
      <c r="D661" t="s">
        <v>99</v>
      </c>
      <c r="E661" t="s">
        <v>677</v>
      </c>
      <c r="F661" t="s">
        <v>678</v>
      </c>
      <c r="H661" t="str">
        <f t="shared" si="70"/>
        <v>US人力资源部美洲HRBP组德州区HR组</v>
      </c>
      <c r="I661" t="s">
        <v>1156</v>
      </c>
      <c r="J661" t="s">
        <v>236</v>
      </c>
      <c r="K661" s="15">
        <v>0.395833333333333</v>
      </c>
      <c r="L661" s="15" t="s">
        <v>218</v>
      </c>
      <c r="M661" s="15"/>
      <c r="N661" t="s">
        <v>148</v>
      </c>
      <c r="O661" s="20" t="str">
        <f t="shared" si="76"/>
        <v>不正确</v>
      </c>
      <c r="P661" s="21">
        <v>0</v>
      </c>
      <c r="Q661" s="21">
        <v>0</v>
      </c>
      <c r="R661" s="21">
        <v>0</v>
      </c>
      <c r="S661" s="21">
        <f t="shared" si="71"/>
        <v>0</v>
      </c>
      <c r="T661" s="21">
        <f t="shared" si="72"/>
        <v>0</v>
      </c>
      <c r="U661" s="21" t="str">
        <f t="shared" si="73"/>
        <v>否</v>
      </c>
      <c r="V661" s="21">
        <f>VLOOKUP($C661,[4]Sheet1!$B:$AN,39,FALSE)</f>
        <v>0</v>
      </c>
      <c r="W661" s="21">
        <v>0</v>
      </c>
      <c r="X661" s="23">
        <v>0</v>
      </c>
      <c r="Y661" s="23">
        <v>4</v>
      </c>
      <c r="Z661" s="25">
        <f t="shared" si="74"/>
        <v>4</v>
      </c>
      <c r="AA661" s="25" t="str">
        <f t="shared" si="75"/>
        <v>是</v>
      </c>
      <c r="AB661" t="s">
        <v>148</v>
      </c>
      <c r="AC661" t="e">
        <f>VLOOKUP(C661,[1]Sheet1!$C:$O,13,FALSE)</f>
        <v>#N/A</v>
      </c>
      <c r="AD661" t="str">
        <f>VLOOKUP($H661,'[3]0509人员排班情况 副本'!$G:$U,12,FALSE)</f>
        <v>袁博闻(Bowen Yuan)</v>
      </c>
      <c r="AE661">
        <f>VLOOKUP($H661,'[3]0509人员排班情况 副本'!$G:$U,13,FALSE)</f>
        <v>0</v>
      </c>
      <c r="AF661">
        <f>VLOOKUP($H661,'[3]0509人员排班情况 副本'!$G:$U,14,FALSE)</f>
        <v>0</v>
      </c>
      <c r="AG661">
        <f>VLOOKUP($H661,'[3]0509人员排班情况 副本'!$G:$U,15,FALSE)</f>
        <v>0</v>
      </c>
    </row>
    <row r="662" customHeight="1" spans="1:33">
      <c r="A662" t="s">
        <v>202</v>
      </c>
      <c r="B662" t="s">
        <v>2080</v>
      </c>
      <c r="C662" t="s">
        <v>2081</v>
      </c>
      <c r="D662" t="s">
        <v>100</v>
      </c>
      <c r="E662" t="s">
        <v>103</v>
      </c>
      <c r="F662" t="s">
        <v>243</v>
      </c>
      <c r="G662" t="s">
        <v>112</v>
      </c>
      <c r="H662" t="str">
        <f t="shared" si="70"/>
        <v>WE 美西大区LAV.H调度组</v>
      </c>
      <c r="I662" t="s">
        <v>160</v>
      </c>
      <c r="J662" t="s">
        <v>343</v>
      </c>
      <c r="K662" s="15">
        <v>0.25</v>
      </c>
      <c r="L662" s="15" t="s">
        <v>344</v>
      </c>
      <c r="M662" s="15">
        <v>0.236111111111111</v>
      </c>
      <c r="N662" t="s">
        <v>447</v>
      </c>
      <c r="O662" s="20" t="str">
        <f t="shared" si="76"/>
        <v>正确</v>
      </c>
      <c r="P662" s="21">
        <v>0</v>
      </c>
      <c r="Q662" s="21">
        <v>9.43</v>
      </c>
      <c r="R662" s="21">
        <v>0</v>
      </c>
      <c r="S662" s="21">
        <f t="shared" si="71"/>
        <v>9.43</v>
      </c>
      <c r="T662" s="21">
        <f t="shared" si="72"/>
        <v>1.43</v>
      </c>
      <c r="U662" s="21" t="str">
        <f t="shared" si="73"/>
        <v>是</v>
      </c>
      <c r="V662" s="21">
        <f>VLOOKUP($C662,[4]Sheet1!$B:$AN,39,FALSE)</f>
        <v>9.43</v>
      </c>
      <c r="W662" s="21">
        <v>0</v>
      </c>
      <c r="X662" s="23">
        <v>4</v>
      </c>
      <c r="Y662" s="23">
        <v>4</v>
      </c>
      <c r="Z662" s="25">
        <f t="shared" si="74"/>
        <v>0</v>
      </c>
      <c r="AA662" s="25" t="str">
        <f t="shared" si="75"/>
        <v>是</v>
      </c>
      <c r="AB662" t="s">
        <v>148</v>
      </c>
      <c r="AC662" t="e">
        <f>VLOOKUP(C662,[1]Sheet1!$C:$O,13,FALSE)</f>
        <v>#N/A</v>
      </c>
      <c r="AD662" t="str">
        <f>VLOOKUP($H662,'[3]0509人员排班情况 副本'!$G:$U,12,FALSE)</f>
        <v>王骞Ariel（Qian Wang）,叶秀芳Freya (Xiufang Ye)</v>
      </c>
      <c r="AE662" t="str">
        <f>VLOOKUP($H662,'[3]0509人员排班情况 副本'!$G:$U,13,FALSE)</f>
        <v>常哲</v>
      </c>
      <c r="AF662" t="str">
        <f>VLOOKUP($H662,'[3]0509人员排班情况 副本'!$G:$U,14,FALSE)</f>
        <v>Minqing (Minqing Xu),罗煜雄 Mike (Yuxiong Luo)</v>
      </c>
      <c r="AG662">
        <f>VLOOKUP($H662,'[3]0509人员排班情况 副本'!$G:$U,15,FALSE)</f>
        <v>0</v>
      </c>
    </row>
    <row r="663" customHeight="1" spans="1:33">
      <c r="A663" t="s">
        <v>202</v>
      </c>
      <c r="B663" t="s">
        <v>2082</v>
      </c>
      <c r="C663" t="s">
        <v>2083</v>
      </c>
      <c r="D663" t="s">
        <v>92</v>
      </c>
      <c r="E663" t="s">
        <v>95</v>
      </c>
      <c r="F663" t="s">
        <v>798</v>
      </c>
      <c r="H663" t="str">
        <f t="shared" si="70"/>
        <v>TX 德州大区GC 墨湾片区IAH01</v>
      </c>
      <c r="I663" t="s">
        <v>177</v>
      </c>
      <c r="J663" t="s">
        <v>217</v>
      </c>
      <c r="K663" s="15">
        <v>0.395833333333333</v>
      </c>
      <c r="L663" s="15" t="s">
        <v>218</v>
      </c>
      <c r="M663" s="15"/>
      <c r="N663" t="s">
        <v>148</v>
      </c>
      <c r="O663" s="20" t="s">
        <v>116</v>
      </c>
      <c r="P663" s="21">
        <v>0</v>
      </c>
      <c r="Q663" s="21">
        <v>0</v>
      </c>
      <c r="R663" s="21">
        <v>0</v>
      </c>
      <c r="S663" s="21">
        <f t="shared" si="71"/>
        <v>0</v>
      </c>
      <c r="T663" s="21">
        <f t="shared" si="72"/>
        <v>0</v>
      </c>
      <c r="U663" s="21" t="str">
        <f t="shared" si="73"/>
        <v>否</v>
      </c>
      <c r="V663" s="21">
        <f>VLOOKUP($C663,[4]Sheet1!$B:$AN,39,FALSE)</f>
        <v>6.42</v>
      </c>
      <c r="W663" s="21">
        <v>0</v>
      </c>
      <c r="X663" s="23">
        <v>0</v>
      </c>
      <c r="Y663" s="23">
        <v>0</v>
      </c>
      <c r="Z663" s="25">
        <f t="shared" si="74"/>
        <v>0</v>
      </c>
      <c r="AA663" s="25" t="str">
        <f t="shared" si="75"/>
        <v>是</v>
      </c>
      <c r="AB663" t="s">
        <v>148</v>
      </c>
      <c r="AC663" t="e">
        <f>VLOOKUP(C663,[1]Sheet1!$C:$O,13,FALSE)</f>
        <v>#N/A</v>
      </c>
      <c r="AD663" t="str">
        <f>VLOOKUP($H663,'[3]0509人员排班情况 副本'!$G:$U,12,FALSE)</f>
        <v>肖芦莉Lily (Luli Xiao)</v>
      </c>
      <c r="AE663" t="str">
        <f>VLOOKUP($H663,'[3]0509人员排班情况 副本'!$G:$U,13,FALSE)</f>
        <v>张骥Ji Zhang (Ji Zhang)</v>
      </c>
      <c r="AF663" t="str">
        <f>VLOOKUP($H663,'[3]0509人员排班情况 副本'!$G:$U,14,FALSE)</f>
        <v>金磊Brian（LEI JIN）</v>
      </c>
      <c r="AG663">
        <f>VLOOKUP($H663,'[3]0509人员排班情况 副本'!$G:$U,15,FALSE)</f>
        <v>0</v>
      </c>
    </row>
    <row r="664" customHeight="1" spans="1:33">
      <c r="A664" t="s">
        <v>202</v>
      </c>
      <c r="B664" t="s">
        <v>2084</v>
      </c>
      <c r="C664" t="s">
        <v>2085</v>
      </c>
      <c r="D664" t="s">
        <v>100</v>
      </c>
      <c r="E664" t="s">
        <v>101</v>
      </c>
      <c r="F664" t="s">
        <v>243</v>
      </c>
      <c r="G664" t="s">
        <v>112</v>
      </c>
      <c r="H664" t="str">
        <f t="shared" si="70"/>
        <v>WE 美西大区CNO.H调度组</v>
      </c>
      <c r="I664" t="s">
        <v>244</v>
      </c>
      <c r="J664" t="s">
        <v>343</v>
      </c>
      <c r="K664" s="15">
        <v>0.25</v>
      </c>
      <c r="L664" s="15" t="s">
        <v>344</v>
      </c>
      <c r="M664" s="15"/>
      <c r="N664" t="s">
        <v>2086</v>
      </c>
      <c r="O664" s="20" t="str">
        <f t="shared" si="76"/>
        <v>不正确</v>
      </c>
      <c r="P664" s="21">
        <v>0</v>
      </c>
      <c r="Q664" s="21">
        <v>0</v>
      </c>
      <c r="R664" s="21">
        <v>0</v>
      </c>
      <c r="S664" s="21">
        <f t="shared" si="71"/>
        <v>0</v>
      </c>
      <c r="T664" s="21">
        <f t="shared" si="72"/>
        <v>0</v>
      </c>
      <c r="U664" s="21" t="str">
        <f t="shared" si="73"/>
        <v>否</v>
      </c>
      <c r="V664" s="21">
        <f>VLOOKUP($C664,[4]Sheet1!$B:$AN,39,FALSE)</f>
        <v>0</v>
      </c>
      <c r="W664" s="21">
        <v>0</v>
      </c>
      <c r="X664" s="23">
        <v>4</v>
      </c>
      <c r="Y664" s="23">
        <v>4</v>
      </c>
      <c r="Z664" s="25">
        <f t="shared" si="74"/>
        <v>0</v>
      </c>
      <c r="AA664" s="25" t="str">
        <f t="shared" si="75"/>
        <v>是</v>
      </c>
      <c r="AB664" t="s">
        <v>148</v>
      </c>
      <c r="AC664" t="e">
        <f>VLOOKUP(C664,[1]Sheet1!$C:$O,13,FALSE)</f>
        <v>#N/A</v>
      </c>
      <c r="AD664" t="str">
        <f>VLOOKUP($H664,'[3]0509人员排班情况 副本'!$G:$U,12,FALSE)</f>
        <v>王骞Ariel（Qian Wang）,叶秀芳Freya (Xiufang Ye)</v>
      </c>
      <c r="AE664" t="str">
        <f>VLOOKUP($H664,'[3]0509人员排班情况 副本'!$G:$U,13,FALSE)</f>
        <v>常哲</v>
      </c>
      <c r="AF664" t="str">
        <f>VLOOKUP($H664,'[3]0509人员排班情况 副本'!$G:$U,14,FALSE)</f>
        <v>Minqing (Minqing Xu),罗煜雄 Mike (Yuxiong Luo)</v>
      </c>
      <c r="AG664">
        <f>VLOOKUP($H664,'[3]0509人员排班情况 副本'!$G:$U,15,FALSE)</f>
        <v>0</v>
      </c>
    </row>
    <row r="665" customHeight="1" spans="1:33">
      <c r="A665" t="s">
        <v>202</v>
      </c>
      <c r="B665" t="s">
        <v>2087</v>
      </c>
      <c r="C665" t="s">
        <v>2088</v>
      </c>
      <c r="D665" t="s">
        <v>99</v>
      </c>
      <c r="E665" t="s">
        <v>677</v>
      </c>
      <c r="F665" t="s">
        <v>894</v>
      </c>
      <c r="H665" t="str">
        <f t="shared" si="70"/>
        <v>US人力资源部美洲HRBP组美西区HR组</v>
      </c>
      <c r="I665" t="s">
        <v>2089</v>
      </c>
      <c r="J665" t="s">
        <v>236</v>
      </c>
      <c r="K665" s="15">
        <v>0.395833333333333</v>
      </c>
      <c r="L665" s="15" t="s">
        <v>218</v>
      </c>
      <c r="M665" s="15">
        <v>0.402777777777778</v>
      </c>
      <c r="N665" t="s">
        <v>852</v>
      </c>
      <c r="O665" s="20" t="str">
        <f t="shared" si="76"/>
        <v>正确</v>
      </c>
      <c r="P665" s="21">
        <v>0</v>
      </c>
      <c r="Q665" s="21">
        <v>8.45</v>
      </c>
      <c r="R665" s="21">
        <v>0</v>
      </c>
      <c r="S665" s="21">
        <f t="shared" si="71"/>
        <v>8.45</v>
      </c>
      <c r="T665" s="21">
        <f t="shared" si="72"/>
        <v>0.449999999999999</v>
      </c>
      <c r="U665" s="21" t="str">
        <f t="shared" si="73"/>
        <v>是</v>
      </c>
      <c r="V665" s="21">
        <f>VLOOKUP($C665,[4]Sheet1!$B:$AN,39,FALSE)</f>
        <v>16.75</v>
      </c>
      <c r="W665" s="21">
        <v>0</v>
      </c>
      <c r="X665" s="23">
        <v>2</v>
      </c>
      <c r="Y665" s="23">
        <v>4</v>
      </c>
      <c r="Z665" s="25">
        <f t="shared" si="74"/>
        <v>2</v>
      </c>
      <c r="AA665" s="25" t="str">
        <f t="shared" si="75"/>
        <v>是</v>
      </c>
      <c r="AB665" t="s">
        <v>148</v>
      </c>
      <c r="AC665" t="e">
        <f>VLOOKUP(C665,[1]Sheet1!$C:$O,13,FALSE)</f>
        <v>#N/A</v>
      </c>
      <c r="AD665" t="str">
        <f>VLOOKUP($H665,'[3]0509人员排班情况 副本'!$G:$U,12,FALSE)</f>
        <v>袁博闻(Bowen Yuan)</v>
      </c>
      <c r="AE665">
        <f>VLOOKUP($H665,'[3]0509人员排班情况 副本'!$G:$U,13,FALSE)</f>
        <v>0</v>
      </c>
      <c r="AF665">
        <f>VLOOKUP($H665,'[3]0509人员排班情况 副本'!$G:$U,14,FALSE)</f>
        <v>0</v>
      </c>
      <c r="AG665">
        <f>VLOOKUP($H665,'[3]0509人员排班情况 副本'!$G:$U,15,FALSE)</f>
        <v>0</v>
      </c>
    </row>
    <row r="666" customHeight="1" spans="1:33">
      <c r="A666" t="s">
        <v>202</v>
      </c>
      <c r="B666" t="s">
        <v>2090</v>
      </c>
      <c r="C666" t="s">
        <v>2091</v>
      </c>
      <c r="D666" t="s">
        <v>92</v>
      </c>
      <c r="E666" t="s">
        <v>95</v>
      </c>
      <c r="F666" t="s">
        <v>798</v>
      </c>
      <c r="H666" t="str">
        <f t="shared" si="70"/>
        <v>TX 德州大区GC 墨湾片区IAH01</v>
      </c>
      <c r="I666" t="s">
        <v>177</v>
      </c>
      <c r="J666" t="s">
        <v>217</v>
      </c>
      <c r="K666" s="15">
        <v>0.395833333333333</v>
      </c>
      <c r="L666" s="15" t="s">
        <v>218</v>
      </c>
      <c r="M666" s="15"/>
      <c r="N666" t="s">
        <v>148</v>
      </c>
      <c r="O666" s="20" t="s">
        <v>116</v>
      </c>
      <c r="P666" s="21">
        <v>0</v>
      </c>
      <c r="Q666" s="21">
        <v>0</v>
      </c>
      <c r="R666" s="21">
        <v>0</v>
      </c>
      <c r="S666" s="21">
        <f t="shared" si="71"/>
        <v>0</v>
      </c>
      <c r="T666" s="21">
        <f t="shared" si="72"/>
        <v>0</v>
      </c>
      <c r="U666" s="21" t="str">
        <f t="shared" si="73"/>
        <v>否</v>
      </c>
      <c r="V666" s="21">
        <f>VLOOKUP($C666,[4]Sheet1!$B:$AN,39,FALSE)</f>
        <v>0</v>
      </c>
      <c r="W666" s="21">
        <v>0</v>
      </c>
      <c r="X666" s="23">
        <v>0</v>
      </c>
      <c r="Y666" s="23">
        <v>0</v>
      </c>
      <c r="Z666" s="25">
        <f t="shared" si="74"/>
        <v>0</v>
      </c>
      <c r="AA666" s="25" t="str">
        <f t="shared" si="75"/>
        <v>是</v>
      </c>
      <c r="AB666" t="s">
        <v>148</v>
      </c>
      <c r="AC666" t="e">
        <f>VLOOKUP(C666,[1]Sheet1!$C:$O,13,FALSE)</f>
        <v>#N/A</v>
      </c>
      <c r="AD666" t="str">
        <f>VLOOKUP($H666,'[3]0509人员排班情况 副本'!$G:$U,12,FALSE)</f>
        <v>肖芦莉Lily (Luli Xiao)</v>
      </c>
      <c r="AE666" t="str">
        <f>VLOOKUP($H666,'[3]0509人员排班情况 副本'!$G:$U,13,FALSE)</f>
        <v>张骥Ji Zhang (Ji Zhang)</v>
      </c>
      <c r="AF666" t="str">
        <f>VLOOKUP($H666,'[3]0509人员排班情况 副本'!$G:$U,14,FALSE)</f>
        <v>金磊Brian（LEI JIN）</v>
      </c>
      <c r="AG666">
        <f>VLOOKUP($H666,'[3]0509人员排班情况 副本'!$G:$U,15,FALSE)</f>
        <v>0</v>
      </c>
    </row>
    <row r="667" customHeight="1" spans="1:33">
      <c r="A667" t="s">
        <v>202</v>
      </c>
      <c r="B667" t="s">
        <v>2092</v>
      </c>
      <c r="C667" t="s">
        <v>2093</v>
      </c>
      <c r="D667" t="s">
        <v>99</v>
      </c>
      <c r="E667" t="s">
        <v>677</v>
      </c>
      <c r="F667" t="s">
        <v>678</v>
      </c>
      <c r="H667" t="str">
        <f t="shared" si="70"/>
        <v>US人力资源部美洲HRBP组德州区HR组</v>
      </c>
      <c r="I667" t="s">
        <v>1084</v>
      </c>
      <c r="J667" t="s">
        <v>236</v>
      </c>
      <c r="K667" s="15">
        <v>0.395833333333333</v>
      </c>
      <c r="L667" s="15" t="s">
        <v>218</v>
      </c>
      <c r="M667" s="15">
        <v>0.396527777777778</v>
      </c>
      <c r="N667" t="s">
        <v>1297</v>
      </c>
      <c r="O667" s="20" t="str">
        <f t="shared" si="76"/>
        <v>正确</v>
      </c>
      <c r="P667" s="21">
        <v>0</v>
      </c>
      <c r="Q667" s="21">
        <v>8.08</v>
      </c>
      <c r="R667" s="21">
        <v>0</v>
      </c>
      <c r="S667" s="21">
        <f t="shared" si="71"/>
        <v>8.08</v>
      </c>
      <c r="T667" s="21">
        <f t="shared" si="72"/>
        <v>0.0800000000000001</v>
      </c>
      <c r="U667" s="21" t="str">
        <f t="shared" si="73"/>
        <v>是</v>
      </c>
      <c r="V667" s="21">
        <f>VLOOKUP($C667,[4]Sheet1!$B:$AN,39,FALSE)</f>
        <v>16.11</v>
      </c>
      <c r="W667" s="21">
        <v>0</v>
      </c>
      <c r="X667" s="23">
        <v>3</v>
      </c>
      <c r="Y667" s="23">
        <v>4</v>
      </c>
      <c r="Z667" s="25">
        <f t="shared" si="74"/>
        <v>1</v>
      </c>
      <c r="AA667" s="25" t="str">
        <f t="shared" si="75"/>
        <v>是</v>
      </c>
      <c r="AB667" t="s">
        <v>148</v>
      </c>
      <c r="AC667" t="e">
        <f>VLOOKUP(C667,[1]Sheet1!$C:$O,13,FALSE)</f>
        <v>#N/A</v>
      </c>
      <c r="AD667" t="str">
        <f>VLOOKUP($H667,'[3]0509人员排班情况 副本'!$G:$U,12,FALSE)</f>
        <v>袁博闻(Bowen Yuan)</v>
      </c>
      <c r="AE667">
        <f>VLOOKUP($H667,'[3]0509人员排班情况 副本'!$G:$U,13,FALSE)</f>
        <v>0</v>
      </c>
      <c r="AF667">
        <f>VLOOKUP($H667,'[3]0509人员排班情况 副本'!$G:$U,14,FALSE)</f>
        <v>0</v>
      </c>
      <c r="AG667">
        <f>VLOOKUP($H667,'[3]0509人员排班情况 副本'!$G:$U,15,FALSE)</f>
        <v>0</v>
      </c>
    </row>
    <row r="668" customHeight="1" spans="1:33">
      <c r="A668" t="s">
        <v>202</v>
      </c>
      <c r="B668" t="s">
        <v>2094</v>
      </c>
      <c r="C668" t="s">
        <v>2095</v>
      </c>
      <c r="D668" t="s">
        <v>100</v>
      </c>
      <c r="E668" t="s">
        <v>104</v>
      </c>
      <c r="F668" t="s">
        <v>744</v>
      </c>
      <c r="H668" t="str">
        <f t="shared" si="70"/>
        <v>WE 美西大区LA揽收部揽收调度组</v>
      </c>
      <c r="I668" t="s">
        <v>608</v>
      </c>
      <c r="J668" t="s">
        <v>746</v>
      </c>
      <c r="K668" s="15">
        <v>0.4375</v>
      </c>
      <c r="L668" s="15" t="s">
        <v>491</v>
      </c>
      <c r="M668" s="15"/>
      <c r="N668" t="s">
        <v>2096</v>
      </c>
      <c r="O668" s="20" t="str">
        <f t="shared" si="76"/>
        <v>不正确</v>
      </c>
      <c r="P668" s="21">
        <v>0</v>
      </c>
      <c r="Q668" s="21">
        <v>0</v>
      </c>
      <c r="R668" s="21">
        <v>0</v>
      </c>
      <c r="S668" s="21">
        <f t="shared" si="71"/>
        <v>0</v>
      </c>
      <c r="T668" s="21">
        <f t="shared" si="72"/>
        <v>0</v>
      </c>
      <c r="U668" s="21" t="str">
        <f t="shared" si="73"/>
        <v>否</v>
      </c>
      <c r="V668" s="21">
        <f>VLOOKUP($C668,[4]Sheet1!$B:$AN,39,FALSE)</f>
        <v>12.22</v>
      </c>
      <c r="W668" s="21">
        <v>0</v>
      </c>
      <c r="X668" s="23">
        <v>1</v>
      </c>
      <c r="Y668" s="23">
        <v>4</v>
      </c>
      <c r="Z668" s="25">
        <f t="shared" si="74"/>
        <v>3</v>
      </c>
      <c r="AA668" s="25" t="str">
        <f t="shared" si="75"/>
        <v>是</v>
      </c>
      <c r="AB668" t="s">
        <v>148</v>
      </c>
      <c r="AC668" t="e">
        <f>VLOOKUP(C668,[1]Sheet1!$C:$O,13,FALSE)</f>
        <v>#N/A</v>
      </c>
      <c r="AD668" t="str">
        <f>VLOOKUP($H668,'[3]0509人员排班情况 副本'!$G:$U,12,FALSE)</f>
        <v>王骞Ariel（Qian Wang）,叶秀芳Freya (Xiufang Ye)</v>
      </c>
      <c r="AE668" t="str">
        <f>VLOOKUP($H668,'[3]0509人员排班情况 副本'!$G:$U,13,FALSE)</f>
        <v>常哲</v>
      </c>
      <c r="AF668">
        <f>VLOOKUP($H668,'[3]0509人员排班情况 副本'!$G:$U,14,FALSE)</f>
        <v>0</v>
      </c>
      <c r="AG668">
        <f>VLOOKUP($H668,'[3]0509人员排班情况 副本'!$G:$U,15,FALSE)</f>
        <v>0</v>
      </c>
    </row>
    <row r="669" customHeight="1" spans="1:33">
      <c r="A669" t="s">
        <v>202</v>
      </c>
      <c r="B669" t="s">
        <v>2097</v>
      </c>
      <c r="C669" t="s">
        <v>2098</v>
      </c>
      <c r="D669" t="s">
        <v>58</v>
      </c>
      <c r="E669" t="s">
        <v>61</v>
      </c>
      <c r="F669" t="s">
        <v>275</v>
      </c>
      <c r="G669" t="s">
        <v>112</v>
      </c>
      <c r="H669" t="str">
        <f t="shared" si="70"/>
        <v>MS 中南大区ATL.H分拣组</v>
      </c>
      <c r="I669" t="s">
        <v>276</v>
      </c>
      <c r="J669" t="s">
        <v>975</v>
      </c>
      <c r="K669" s="15">
        <v>0.3125</v>
      </c>
      <c r="L669" s="15" t="s">
        <v>976</v>
      </c>
      <c r="M669" s="15">
        <v>0.320138888888889</v>
      </c>
      <c r="N669" t="s">
        <v>2099</v>
      </c>
      <c r="O669" s="20" t="str">
        <f t="shared" si="76"/>
        <v>正确</v>
      </c>
      <c r="P669" s="21">
        <v>0</v>
      </c>
      <c r="Q669" s="21">
        <v>12</v>
      </c>
      <c r="R669" s="21">
        <v>0</v>
      </c>
      <c r="S669" s="21">
        <f t="shared" si="71"/>
        <v>12</v>
      </c>
      <c r="T669" s="21">
        <f t="shared" si="72"/>
        <v>4</v>
      </c>
      <c r="U669" s="21" t="str">
        <f t="shared" si="73"/>
        <v>是</v>
      </c>
      <c r="V669" s="21">
        <f>VLOOKUP($C669,[4]Sheet1!$B:$AN,39,FALSE)</f>
        <v>23.85</v>
      </c>
      <c r="W669" s="21">
        <v>42.6</v>
      </c>
      <c r="X669" s="23">
        <v>4</v>
      </c>
      <c r="Y669" s="23">
        <v>4</v>
      </c>
      <c r="Z669" s="25">
        <f t="shared" si="74"/>
        <v>0</v>
      </c>
      <c r="AA669" s="25" t="str">
        <f t="shared" si="75"/>
        <v>是</v>
      </c>
      <c r="AB669" t="s">
        <v>148</v>
      </c>
      <c r="AC669" t="e">
        <f>VLOOKUP(C669,[1]Sheet1!$C:$O,13,FALSE)</f>
        <v>#N/A</v>
      </c>
      <c r="AD669" t="str">
        <f>VLOOKUP($H669,'[3]0509人员排班情况 副本'!$G:$U,12,FALSE)</f>
        <v>欧阳迎春Flower（Yingchun Ouyang）</v>
      </c>
      <c r="AE669" t="str">
        <f>VLOOKUP($H669,'[3]0509人员排班情况 副本'!$G:$U,13,FALSE)</f>
        <v>杨云飞</v>
      </c>
      <c r="AF669" t="str">
        <f>VLOOKUP($H669,'[3]0509人员排班情况 副本'!$G:$U,14,FALSE)</f>
        <v>张双甫(Shuangfu Zhang),明杰麟Jennie (Jielin Ming)</v>
      </c>
      <c r="AG669" t="str">
        <f>VLOOKUP($H669,'[3]0509人员排班情况 副本'!$G:$U,15,FALSE)</f>
        <v>文艳平</v>
      </c>
    </row>
    <row r="670" customHeight="1" spans="1:33">
      <c r="A670" t="s">
        <v>202</v>
      </c>
      <c r="B670" t="s">
        <v>2100</v>
      </c>
      <c r="C670" t="s">
        <v>2101</v>
      </c>
      <c r="D670" t="s">
        <v>31</v>
      </c>
      <c r="E670" t="s">
        <v>42</v>
      </c>
      <c r="F670" t="s">
        <v>148</v>
      </c>
      <c r="H670" t="str">
        <f t="shared" si="70"/>
        <v>GL 大湖大区ORD01</v>
      </c>
      <c r="I670" t="s">
        <v>177</v>
      </c>
      <c r="J670" t="s">
        <v>437</v>
      </c>
      <c r="K670" s="15">
        <v>0.229166666666667</v>
      </c>
      <c r="L670" s="15" t="s">
        <v>438</v>
      </c>
      <c r="M670" s="15"/>
      <c r="N670" t="s">
        <v>148</v>
      </c>
      <c r="O670" s="20" t="str">
        <f t="shared" si="76"/>
        <v>不正确</v>
      </c>
      <c r="P670" s="21">
        <v>0</v>
      </c>
      <c r="Q670" s="21">
        <v>0</v>
      </c>
      <c r="R670" s="21">
        <v>0</v>
      </c>
      <c r="S670" s="21">
        <f t="shared" si="71"/>
        <v>0</v>
      </c>
      <c r="T670" s="21">
        <f t="shared" si="72"/>
        <v>0</v>
      </c>
      <c r="U670" s="21" t="str">
        <f t="shared" si="73"/>
        <v>否</v>
      </c>
      <c r="V670" s="21">
        <f>VLOOKUP($C670,[4]Sheet1!$B:$AN,39,FALSE)</f>
        <v>0</v>
      </c>
      <c r="W670" s="21">
        <v>0</v>
      </c>
      <c r="X670" s="23">
        <v>0</v>
      </c>
      <c r="Y670" s="23">
        <v>4</v>
      </c>
      <c r="Z670" s="25">
        <f t="shared" si="74"/>
        <v>4</v>
      </c>
      <c r="AA670" s="25" t="str">
        <f t="shared" si="75"/>
        <v>是</v>
      </c>
      <c r="AB670" t="s">
        <v>148</v>
      </c>
      <c r="AC670" t="e">
        <f>VLOOKUP(C670,[1]Sheet1!$C:$O,13,FALSE)</f>
        <v>#N/A</v>
      </c>
      <c r="AD670" t="str">
        <f>VLOOKUP($H670,'[3]0509人员排班情况 副本'!$G:$U,12,FALSE)</f>
        <v>王晓丹 Jasmine（Xiaodan Wang）,周延舒Isabel（Yanshu Zhou）</v>
      </c>
      <c r="AE670" t="str">
        <f>VLOOKUP($H670,'[3]0509人员排班情况 副本'!$G:$U,13,FALSE)</f>
        <v>张骥Ji Zhang (Ji Zhang)</v>
      </c>
      <c r="AF670">
        <f>VLOOKUP($H670,'[3]0509人员排班情况 副本'!$G:$U,14,FALSE)</f>
        <v>0</v>
      </c>
      <c r="AG670">
        <f>VLOOKUP($H670,'[3]0509人员排班情况 副本'!$G:$U,15,FALSE)</f>
        <v>0</v>
      </c>
    </row>
    <row r="671" customHeight="1" spans="1:33">
      <c r="A671" t="s">
        <v>202</v>
      </c>
      <c r="B671" t="s">
        <v>2102</v>
      </c>
      <c r="C671" t="s">
        <v>2103</v>
      </c>
      <c r="D671" t="s">
        <v>100</v>
      </c>
      <c r="E671" t="s">
        <v>101</v>
      </c>
      <c r="F671" t="s">
        <v>243</v>
      </c>
      <c r="G671" t="s">
        <v>112</v>
      </c>
      <c r="H671" t="str">
        <f t="shared" si="70"/>
        <v>WE 美西大区CNO.H调度组</v>
      </c>
      <c r="I671" t="s">
        <v>160</v>
      </c>
      <c r="J671" t="s">
        <v>343</v>
      </c>
      <c r="K671" s="15">
        <v>0.25</v>
      </c>
      <c r="L671" s="15" t="s">
        <v>344</v>
      </c>
      <c r="M671" s="15">
        <v>0.250694444444444</v>
      </c>
      <c r="N671" t="s">
        <v>1692</v>
      </c>
      <c r="O671" s="20" t="str">
        <f t="shared" si="76"/>
        <v>正确</v>
      </c>
      <c r="P671" s="21">
        <v>0</v>
      </c>
      <c r="Q671" s="21">
        <v>11.27</v>
      </c>
      <c r="R671" s="21">
        <v>0</v>
      </c>
      <c r="S671" s="21">
        <f t="shared" si="71"/>
        <v>11.27</v>
      </c>
      <c r="T671" s="21">
        <f t="shared" si="72"/>
        <v>3.27</v>
      </c>
      <c r="U671" s="21" t="str">
        <f t="shared" si="73"/>
        <v>是</v>
      </c>
      <c r="V671" s="21">
        <f>VLOOKUP($C671,[4]Sheet1!$B:$AN,39,FALSE)</f>
        <v>11.27</v>
      </c>
      <c r="W671" s="21">
        <v>0</v>
      </c>
      <c r="X671" s="23">
        <v>4</v>
      </c>
      <c r="Y671" s="23">
        <v>4</v>
      </c>
      <c r="Z671" s="25">
        <f t="shared" si="74"/>
        <v>0</v>
      </c>
      <c r="AA671" s="25" t="str">
        <f t="shared" si="75"/>
        <v>是</v>
      </c>
      <c r="AB671" t="s">
        <v>148</v>
      </c>
      <c r="AC671" t="e">
        <f>VLOOKUP(C671,[1]Sheet1!$C:$O,13,FALSE)</f>
        <v>#N/A</v>
      </c>
      <c r="AD671" t="str">
        <f>VLOOKUP($H671,'[3]0509人员排班情况 副本'!$G:$U,12,FALSE)</f>
        <v>王骞Ariel（Qian Wang）,叶秀芳Freya (Xiufang Ye)</v>
      </c>
      <c r="AE671" t="str">
        <f>VLOOKUP($H671,'[3]0509人员排班情况 副本'!$G:$U,13,FALSE)</f>
        <v>常哲</v>
      </c>
      <c r="AF671" t="str">
        <f>VLOOKUP($H671,'[3]0509人员排班情况 副本'!$G:$U,14,FALSE)</f>
        <v>Minqing (Minqing Xu),罗煜雄 Mike (Yuxiong Luo)</v>
      </c>
      <c r="AG671">
        <f>VLOOKUP($H671,'[3]0509人员排班情况 副本'!$G:$U,15,FALSE)</f>
        <v>0</v>
      </c>
    </row>
    <row r="672" customHeight="1" spans="1:33">
      <c r="A672" t="s">
        <v>202</v>
      </c>
      <c r="B672" t="s">
        <v>2104</v>
      </c>
      <c r="C672" t="s">
        <v>2105</v>
      </c>
      <c r="D672" t="s">
        <v>68</v>
      </c>
      <c r="E672" t="s">
        <v>71</v>
      </c>
      <c r="F672" t="s">
        <v>148</v>
      </c>
      <c r="H672" t="str">
        <f t="shared" si="70"/>
        <v>NE 东北大区BOS01</v>
      </c>
      <c r="I672" t="s">
        <v>177</v>
      </c>
      <c r="J672" t="s">
        <v>217</v>
      </c>
      <c r="K672" s="15">
        <v>0.395833333333333</v>
      </c>
      <c r="L672" s="15" t="s">
        <v>218</v>
      </c>
      <c r="M672" s="15"/>
      <c r="N672" t="s">
        <v>148</v>
      </c>
      <c r="O672" s="20" t="s">
        <v>116</v>
      </c>
      <c r="P672" s="21">
        <v>0</v>
      </c>
      <c r="Q672" s="21">
        <v>0</v>
      </c>
      <c r="R672" s="21">
        <v>0</v>
      </c>
      <c r="S672" s="21">
        <f t="shared" si="71"/>
        <v>0</v>
      </c>
      <c r="T672" s="21">
        <f t="shared" si="72"/>
        <v>0</v>
      </c>
      <c r="U672" s="21" t="str">
        <f t="shared" si="73"/>
        <v>否</v>
      </c>
      <c r="V672" s="21">
        <f>VLOOKUP($C672,[4]Sheet1!$B:$AN,39,FALSE)</f>
        <v>8.1</v>
      </c>
      <c r="W672" s="21">
        <v>0</v>
      </c>
      <c r="X672" s="23">
        <v>0</v>
      </c>
      <c r="Y672" s="23">
        <v>0</v>
      </c>
      <c r="Z672" s="25">
        <f t="shared" si="74"/>
        <v>0</v>
      </c>
      <c r="AA672" s="25" t="str">
        <f t="shared" si="75"/>
        <v>是</v>
      </c>
      <c r="AB672" t="s">
        <v>148</v>
      </c>
      <c r="AC672" t="e">
        <f>VLOOKUP(C672,[1]Sheet1!$C:$O,13,FALSE)</f>
        <v>#N/A</v>
      </c>
      <c r="AD672" t="str">
        <f>VLOOKUP($H672,'[3]0509人员排班情况 副本'!$G:$U,12,FALSE)</f>
        <v>孙可君Monica（Kejun Sun）</v>
      </c>
      <c r="AE672" t="str">
        <f>VLOOKUP($H672,'[3]0509人员排班情况 副本'!$G:$U,13,FALSE)</f>
        <v>马聪Cong (Cong Ma)</v>
      </c>
      <c r="AF672">
        <f>VLOOKUP($H672,'[3]0509人员排班情况 副本'!$G:$U,14,FALSE)</f>
        <v>0</v>
      </c>
      <c r="AG672">
        <f>VLOOKUP($H672,'[3]0509人员排班情况 副本'!$G:$U,15,FALSE)</f>
        <v>0</v>
      </c>
    </row>
    <row r="673" customHeight="1" spans="1:33">
      <c r="A673" t="s">
        <v>202</v>
      </c>
      <c r="B673" t="s">
        <v>2106</v>
      </c>
      <c r="C673" t="s">
        <v>2107</v>
      </c>
      <c r="D673" t="s">
        <v>58</v>
      </c>
      <c r="E673" t="s">
        <v>63</v>
      </c>
      <c r="F673" t="s">
        <v>275</v>
      </c>
      <c r="G673" t="s">
        <v>112</v>
      </c>
      <c r="H673" t="str">
        <f t="shared" si="70"/>
        <v>MS 中南大区CLT.H分拣组</v>
      </c>
      <c r="I673" t="s">
        <v>276</v>
      </c>
      <c r="J673" t="s">
        <v>236</v>
      </c>
      <c r="K673" s="15">
        <v>0.395833333333333</v>
      </c>
      <c r="L673" s="15" t="s">
        <v>218</v>
      </c>
      <c r="M673" s="15">
        <v>0.349305555555556</v>
      </c>
      <c r="N673" t="s">
        <v>2108</v>
      </c>
      <c r="O673" s="20" t="str">
        <f t="shared" si="76"/>
        <v>不正确</v>
      </c>
      <c r="P673" s="21">
        <v>1.8</v>
      </c>
      <c r="Q673" s="21">
        <v>10.48</v>
      </c>
      <c r="R673" s="21">
        <v>1.8</v>
      </c>
      <c r="S673" s="21">
        <f t="shared" si="71"/>
        <v>12.28</v>
      </c>
      <c r="T673" s="21">
        <f t="shared" si="72"/>
        <v>4.28</v>
      </c>
      <c r="U673" s="21" t="str">
        <f t="shared" si="73"/>
        <v>是</v>
      </c>
      <c r="V673" s="21">
        <f>VLOOKUP($C673,[4]Sheet1!$B:$AN,39,FALSE)</f>
        <v>10.48</v>
      </c>
      <c r="W673" s="21">
        <v>15.57</v>
      </c>
      <c r="X673" s="23">
        <v>4</v>
      </c>
      <c r="Y673" s="23">
        <v>4</v>
      </c>
      <c r="Z673" s="25">
        <f t="shared" si="74"/>
        <v>0</v>
      </c>
      <c r="AA673" s="25" t="str">
        <f t="shared" si="75"/>
        <v>是</v>
      </c>
      <c r="AB673" t="s">
        <v>2109</v>
      </c>
      <c r="AC673" t="e">
        <f>VLOOKUP(C673,[1]Sheet1!$C:$O,13,FALSE)</f>
        <v>#N/A</v>
      </c>
      <c r="AD673" t="str">
        <f>VLOOKUP($H673,'[3]0509人员排班情况 副本'!$G:$U,12,FALSE)</f>
        <v>欧阳迎春Flower（Yingchun Ouyang）</v>
      </c>
      <c r="AE673" t="str">
        <f>VLOOKUP($H673,'[3]0509人员排班情况 副本'!$G:$U,13,FALSE)</f>
        <v>杨云飞</v>
      </c>
      <c r="AF673" t="str">
        <f>VLOOKUP($H673,'[3]0509人员排班情况 副本'!$G:$U,14,FALSE)</f>
        <v>张双甫(Shuangfu Zhang)</v>
      </c>
      <c r="AG673">
        <f>VLOOKUP($H673,'[3]0509人员排班情况 副本'!$G:$U,15,FALSE)</f>
        <v>0</v>
      </c>
    </row>
    <row r="674" customHeight="1" spans="1:33">
      <c r="A674" t="s">
        <v>202</v>
      </c>
      <c r="B674" t="s">
        <v>2110</v>
      </c>
      <c r="C674" t="s">
        <v>2111</v>
      </c>
      <c r="D674" t="s">
        <v>100</v>
      </c>
      <c r="E674" t="s">
        <v>29</v>
      </c>
      <c r="F674" t="s">
        <v>200</v>
      </c>
      <c r="H674" t="str">
        <f t="shared" si="70"/>
        <v>WE 美西大区运营支持部区域支持组</v>
      </c>
      <c r="I674" t="s">
        <v>201</v>
      </c>
      <c r="J674" t="s">
        <v>236</v>
      </c>
      <c r="K674" s="15">
        <v>0.395833333333333</v>
      </c>
      <c r="L674" s="15" t="s">
        <v>218</v>
      </c>
      <c r="M674" s="15"/>
      <c r="N674" t="s">
        <v>148</v>
      </c>
      <c r="O674" s="20" t="str">
        <f t="shared" si="76"/>
        <v>不正确</v>
      </c>
      <c r="P674" s="21">
        <v>0</v>
      </c>
      <c r="Q674" s="21">
        <v>0</v>
      </c>
      <c r="R674" s="21">
        <v>0</v>
      </c>
      <c r="S674" s="21">
        <f t="shared" si="71"/>
        <v>0</v>
      </c>
      <c r="T674" s="21">
        <f t="shared" si="72"/>
        <v>0</v>
      </c>
      <c r="U674" s="21" t="str">
        <f t="shared" si="73"/>
        <v>否</v>
      </c>
      <c r="V674" s="21">
        <f>VLOOKUP($C674,[4]Sheet1!$B:$AN,39,FALSE)</f>
        <v>0</v>
      </c>
      <c r="W674" s="21">
        <v>0</v>
      </c>
      <c r="X674" s="23">
        <v>0</v>
      </c>
      <c r="Y674" s="23">
        <v>0</v>
      </c>
      <c r="Z674" s="25">
        <f t="shared" si="74"/>
        <v>0</v>
      </c>
      <c r="AA674" s="25" t="str">
        <f t="shared" si="75"/>
        <v>是</v>
      </c>
      <c r="AB674" t="s">
        <v>339</v>
      </c>
      <c r="AC674" t="e">
        <f>VLOOKUP(C674,[1]Sheet1!$C:$O,13,FALSE)</f>
        <v>#N/A</v>
      </c>
      <c r="AD674" t="str">
        <f>VLOOKUP($H674,'[3]0509人员排班情况 副本'!$G:$U,12,FALSE)</f>
        <v>王骞Ariel（Qian Wang）,叶秀芳Freya (Xiufang Ye)</v>
      </c>
      <c r="AE674" t="str">
        <f>VLOOKUP($H674,'[3]0509人员排班情况 副本'!$G:$U,13,FALSE)</f>
        <v>常哲</v>
      </c>
      <c r="AF674">
        <f>VLOOKUP($H674,'[3]0509人员排班情况 副本'!$G:$U,14,FALSE)</f>
        <v>0</v>
      </c>
      <c r="AG674">
        <f>VLOOKUP($H674,'[3]0509人员排班情况 副本'!$G:$U,15,FALSE)</f>
        <v>0</v>
      </c>
    </row>
    <row r="675" customHeight="1" spans="1:33">
      <c r="A675" t="s">
        <v>202</v>
      </c>
      <c r="B675" t="s">
        <v>2112</v>
      </c>
      <c r="C675" t="s">
        <v>2113</v>
      </c>
      <c r="D675" t="s">
        <v>100</v>
      </c>
      <c r="E675" t="s">
        <v>103</v>
      </c>
      <c r="F675" t="s">
        <v>210</v>
      </c>
      <c r="G675" t="s">
        <v>112</v>
      </c>
      <c r="H675" t="str">
        <f t="shared" si="70"/>
        <v>WE 美西大区LAV.H操作组</v>
      </c>
      <c r="I675" t="s">
        <v>156</v>
      </c>
      <c r="J675" t="s">
        <v>211</v>
      </c>
      <c r="K675" s="15">
        <v>0.333333333333333</v>
      </c>
      <c r="L675" s="15" t="s">
        <v>212</v>
      </c>
      <c r="M675" s="15">
        <v>0.352777777777778</v>
      </c>
      <c r="N675" t="s">
        <v>428</v>
      </c>
      <c r="O675" s="20" t="str">
        <f t="shared" si="76"/>
        <v>正确</v>
      </c>
      <c r="P675" s="21">
        <v>0</v>
      </c>
      <c r="Q675" s="21">
        <v>8.67</v>
      </c>
      <c r="R675" s="21">
        <v>0</v>
      </c>
      <c r="S675" s="21">
        <f t="shared" si="71"/>
        <v>8.67</v>
      </c>
      <c r="T675" s="21">
        <f t="shared" si="72"/>
        <v>0.67</v>
      </c>
      <c r="U675" s="21" t="str">
        <f t="shared" si="73"/>
        <v>是</v>
      </c>
      <c r="V675" s="21">
        <f>VLOOKUP($C675,[4]Sheet1!$B:$AN,39,FALSE)</f>
        <v>17.15</v>
      </c>
      <c r="W675" s="21">
        <v>0</v>
      </c>
      <c r="X675" s="23">
        <v>4</v>
      </c>
      <c r="Y675" s="23">
        <v>4</v>
      </c>
      <c r="Z675" s="25">
        <f t="shared" si="74"/>
        <v>0</v>
      </c>
      <c r="AA675" s="25" t="str">
        <f t="shared" si="75"/>
        <v>是</v>
      </c>
      <c r="AB675" t="s">
        <v>148</v>
      </c>
      <c r="AC675" t="e">
        <f>VLOOKUP(C675,[1]Sheet1!$C:$O,13,FALSE)</f>
        <v>#N/A</v>
      </c>
      <c r="AD675" t="str">
        <f>VLOOKUP($H675,'[3]0509人员排班情况 副本'!$G:$U,12,FALSE)</f>
        <v>王骞Ariel（Qian Wang）,叶秀芳Freya (Xiufang Ye)</v>
      </c>
      <c r="AE675" t="str">
        <f>VLOOKUP($H675,'[3]0509人员排班情况 副本'!$G:$U,13,FALSE)</f>
        <v>常哲</v>
      </c>
      <c r="AF675" t="str">
        <f>VLOOKUP($H675,'[3]0509人员排班情况 副本'!$G:$U,14,FALSE)</f>
        <v>Minqing (Minqing Xu),罗煜雄 Mike (Yuxiong Luo)</v>
      </c>
      <c r="AG675">
        <f>VLOOKUP($H675,'[3]0509人员排班情况 副本'!$G:$U,15,FALSE)</f>
        <v>0</v>
      </c>
    </row>
    <row r="676" customHeight="1" spans="1:33">
      <c r="A676" t="s">
        <v>202</v>
      </c>
      <c r="B676" t="s">
        <v>2114</v>
      </c>
      <c r="C676" t="s">
        <v>2115</v>
      </c>
      <c r="D676" t="s">
        <v>12</v>
      </c>
      <c r="E676" t="s">
        <v>1708</v>
      </c>
      <c r="F676" t="s">
        <v>148</v>
      </c>
      <c r="H676" t="str">
        <f t="shared" si="70"/>
        <v>CM 运力管理部自营运力组</v>
      </c>
      <c r="I676" t="s">
        <v>2116</v>
      </c>
      <c r="J676" t="s">
        <v>236</v>
      </c>
      <c r="K676" s="15">
        <v>0.395833333333333</v>
      </c>
      <c r="L676" s="15" t="s">
        <v>218</v>
      </c>
      <c r="M676" s="15"/>
      <c r="N676" t="s">
        <v>148</v>
      </c>
      <c r="O676" s="20" t="str">
        <f t="shared" si="76"/>
        <v>不正确</v>
      </c>
      <c r="P676" s="21">
        <v>0</v>
      </c>
      <c r="Q676" s="21">
        <v>0</v>
      </c>
      <c r="R676" s="21">
        <v>0</v>
      </c>
      <c r="S676" s="21">
        <f t="shared" si="71"/>
        <v>0</v>
      </c>
      <c r="T676" s="21">
        <f t="shared" si="72"/>
        <v>0</v>
      </c>
      <c r="U676" s="21" t="str">
        <f t="shared" si="73"/>
        <v>否</v>
      </c>
      <c r="V676" s="21">
        <f>VLOOKUP($C676,[4]Sheet1!$B:$AN,39,FALSE)</f>
        <v>0</v>
      </c>
      <c r="W676" s="21">
        <v>0</v>
      </c>
      <c r="X676" s="23">
        <v>0</v>
      </c>
      <c r="Y676" s="23">
        <v>4</v>
      </c>
      <c r="Z676" s="25">
        <f t="shared" si="74"/>
        <v>4</v>
      </c>
      <c r="AA676" s="25" t="str">
        <f t="shared" si="75"/>
        <v>是</v>
      </c>
      <c r="AB676" t="s">
        <v>148</v>
      </c>
      <c r="AC676" t="e">
        <f>VLOOKUP(C676,[1]Sheet1!$C:$O,13,FALSE)</f>
        <v>#N/A</v>
      </c>
      <c r="AD676" t="str">
        <f>VLOOKUP($H676,'[3]0509人员排班情况 副本'!$G:$U,12,FALSE)</f>
        <v>袁博闻(Bowen Yuan)</v>
      </c>
      <c r="AE676">
        <f>VLOOKUP($H676,'[3]0509人员排班情况 副本'!$G:$U,13,FALSE)</f>
        <v>0</v>
      </c>
      <c r="AF676">
        <f>VLOOKUP($H676,'[3]0509人员排班情况 副本'!$G:$U,14,FALSE)</f>
        <v>0</v>
      </c>
      <c r="AG676">
        <f>VLOOKUP($H676,'[3]0509人员排班情况 副本'!$G:$U,15,FALSE)</f>
        <v>0</v>
      </c>
    </row>
    <row r="677" customHeight="1" spans="1:33">
      <c r="A677" t="s">
        <v>202</v>
      </c>
      <c r="B677" t="s">
        <v>2117</v>
      </c>
      <c r="C677" t="s">
        <v>2118</v>
      </c>
      <c r="D677" t="s">
        <v>89</v>
      </c>
      <c r="E677" t="s">
        <v>736</v>
      </c>
      <c r="F677" t="s">
        <v>148</v>
      </c>
      <c r="H677" t="str">
        <f t="shared" si="70"/>
        <v>QC 质量控制部质量改善组</v>
      </c>
      <c r="I677" t="s">
        <v>1093</v>
      </c>
      <c r="J677" t="s">
        <v>236</v>
      </c>
      <c r="K677" s="15">
        <v>0.395833333333333</v>
      </c>
      <c r="L677" s="15" t="s">
        <v>218</v>
      </c>
      <c r="M677" s="15">
        <v>0.363194444444444</v>
      </c>
      <c r="N677" t="s">
        <v>284</v>
      </c>
      <c r="O677" s="20" t="str">
        <f t="shared" si="76"/>
        <v>正确</v>
      </c>
      <c r="P677" s="21">
        <v>0</v>
      </c>
      <c r="Q677" s="21">
        <v>10.1</v>
      </c>
      <c r="R677" s="21">
        <v>0</v>
      </c>
      <c r="S677" s="21">
        <f t="shared" si="71"/>
        <v>10.1</v>
      </c>
      <c r="T677" s="21">
        <f t="shared" si="72"/>
        <v>2.1</v>
      </c>
      <c r="U677" s="21" t="str">
        <f t="shared" si="73"/>
        <v>是</v>
      </c>
      <c r="V677" s="21">
        <f>VLOOKUP($C677,[4]Sheet1!$B:$AN,39,FALSE)</f>
        <v>19</v>
      </c>
      <c r="W677" s="21">
        <v>0</v>
      </c>
      <c r="X677" s="23">
        <v>5</v>
      </c>
      <c r="Y677" s="23">
        <v>4</v>
      </c>
      <c r="Z677" s="25">
        <f t="shared" si="74"/>
        <v>0</v>
      </c>
      <c r="AA677" s="25" t="str">
        <f t="shared" si="75"/>
        <v>是</v>
      </c>
      <c r="AB677" t="s">
        <v>148</v>
      </c>
      <c r="AC677" t="e">
        <f>VLOOKUP(C677,[1]Sheet1!$C:$O,13,FALSE)</f>
        <v>#N/A</v>
      </c>
      <c r="AD677" t="str">
        <f>VLOOKUP($H677,'[3]0509人员排班情况 副本'!$G:$U,12,FALSE)</f>
        <v>袁博闻(Bowen Yuan)</v>
      </c>
      <c r="AE677">
        <f>VLOOKUP($H677,'[3]0509人员排班情况 副本'!$G:$U,13,FALSE)</f>
        <v>0</v>
      </c>
      <c r="AF677">
        <f>VLOOKUP($H677,'[3]0509人员排班情况 副本'!$G:$U,14,FALSE)</f>
        <v>0</v>
      </c>
      <c r="AG677">
        <f>VLOOKUP($H677,'[3]0509人员排班情况 副本'!$G:$U,15,FALSE)</f>
        <v>0</v>
      </c>
    </row>
    <row r="678" customHeight="1" spans="1:33">
      <c r="A678" t="s">
        <v>202</v>
      </c>
      <c r="B678" t="s">
        <v>2119</v>
      </c>
      <c r="C678" t="s">
        <v>2120</v>
      </c>
      <c r="D678" t="s">
        <v>68</v>
      </c>
      <c r="E678" t="s">
        <v>72</v>
      </c>
      <c r="F678" t="s">
        <v>148</v>
      </c>
      <c r="H678" t="str">
        <f t="shared" si="70"/>
        <v>NE 东北大区BUF01</v>
      </c>
      <c r="I678" t="s">
        <v>177</v>
      </c>
      <c r="J678" t="s">
        <v>217</v>
      </c>
      <c r="K678" s="15">
        <v>0.395833333333333</v>
      </c>
      <c r="L678" s="15" t="s">
        <v>218</v>
      </c>
      <c r="M678" s="15"/>
      <c r="N678" t="s">
        <v>148</v>
      </c>
      <c r="O678" s="20" t="s">
        <v>116</v>
      </c>
      <c r="P678" s="21">
        <v>0</v>
      </c>
      <c r="Q678" s="21">
        <v>0</v>
      </c>
      <c r="R678" s="21">
        <v>0</v>
      </c>
      <c r="S678" s="21">
        <f t="shared" si="71"/>
        <v>0</v>
      </c>
      <c r="T678" s="21">
        <f t="shared" si="72"/>
        <v>0</v>
      </c>
      <c r="U678" s="21" t="str">
        <f t="shared" si="73"/>
        <v>否</v>
      </c>
      <c r="V678" s="21">
        <f>VLOOKUP($C678,[4]Sheet1!$B:$AN,39,FALSE)</f>
        <v>0</v>
      </c>
      <c r="W678" s="21">
        <v>0</v>
      </c>
      <c r="X678" s="23">
        <v>0</v>
      </c>
      <c r="Y678" s="23">
        <v>0</v>
      </c>
      <c r="Z678" s="25">
        <f t="shared" si="74"/>
        <v>0</v>
      </c>
      <c r="AA678" s="25" t="str">
        <f t="shared" si="75"/>
        <v>是</v>
      </c>
      <c r="AB678" t="s">
        <v>148</v>
      </c>
      <c r="AC678" t="e">
        <f>VLOOKUP(C678,[1]Sheet1!$C:$O,13,FALSE)</f>
        <v>#N/A</v>
      </c>
      <c r="AD678" t="str">
        <f>VLOOKUP($H678,'[3]0509人员排班情况 副本'!$G:$U,12,FALSE)</f>
        <v>孙可君Monica（Kejun Sun）</v>
      </c>
      <c r="AE678" t="str">
        <f>VLOOKUP($H678,'[3]0509人员排班情况 副本'!$G:$U,13,FALSE)</f>
        <v>马聪Cong (Cong Ma)</v>
      </c>
      <c r="AF678">
        <f>VLOOKUP($H678,'[3]0509人员排班情况 副本'!$G:$U,14,FALSE)</f>
        <v>0</v>
      </c>
      <c r="AG678">
        <f>VLOOKUP($H678,'[3]0509人员排班情况 副本'!$G:$U,15,FALSE)</f>
        <v>0</v>
      </c>
    </row>
    <row r="679" customHeight="1" spans="1:33">
      <c r="A679" t="s">
        <v>202</v>
      </c>
      <c r="B679" t="s">
        <v>2121</v>
      </c>
      <c r="C679" t="s">
        <v>2122</v>
      </c>
      <c r="D679" t="s">
        <v>58</v>
      </c>
      <c r="E679" t="s">
        <v>61</v>
      </c>
      <c r="F679" t="s">
        <v>243</v>
      </c>
      <c r="G679" t="s">
        <v>112</v>
      </c>
      <c r="H679" t="str">
        <f t="shared" si="70"/>
        <v>MS 中南大区ATL.H调度组</v>
      </c>
      <c r="I679" t="s">
        <v>244</v>
      </c>
      <c r="J679" t="s">
        <v>1907</v>
      </c>
      <c r="K679" s="15">
        <v>0.916666666666667</v>
      </c>
      <c r="L679" s="15" t="s">
        <v>1908</v>
      </c>
      <c r="M679" s="15">
        <v>0.926388888888889</v>
      </c>
      <c r="N679" t="s">
        <v>148</v>
      </c>
      <c r="O679" s="20" t="str">
        <f t="shared" si="76"/>
        <v>正确</v>
      </c>
      <c r="P679" s="21">
        <v>0</v>
      </c>
      <c r="Q679" s="21">
        <v>0</v>
      </c>
      <c r="R679" s="21">
        <v>0</v>
      </c>
      <c r="S679" s="21">
        <f t="shared" si="71"/>
        <v>0</v>
      </c>
      <c r="T679" s="21">
        <f t="shared" si="72"/>
        <v>0</v>
      </c>
      <c r="U679" s="21" t="str">
        <f t="shared" si="73"/>
        <v>否</v>
      </c>
      <c r="V679" s="21">
        <f>VLOOKUP($C679,[4]Sheet1!$B:$AN,39,FALSE)</f>
        <v>11.07</v>
      </c>
      <c r="W679" s="21">
        <v>0</v>
      </c>
      <c r="X679" s="23">
        <v>3</v>
      </c>
      <c r="Y679" s="23">
        <v>4</v>
      </c>
      <c r="Z679" s="25">
        <f t="shared" si="74"/>
        <v>1</v>
      </c>
      <c r="AA679" s="25" t="str">
        <f t="shared" si="75"/>
        <v>是</v>
      </c>
      <c r="AB679" t="s">
        <v>148</v>
      </c>
      <c r="AC679" t="e">
        <f>VLOOKUP(C679,[1]Sheet1!$C:$O,13,FALSE)</f>
        <v>#N/A</v>
      </c>
      <c r="AD679" t="str">
        <f>VLOOKUP($H679,'[3]0509人员排班情况 副本'!$G:$U,12,FALSE)</f>
        <v>欧阳迎春Flower（Yingchun Ouyang）</v>
      </c>
      <c r="AE679" t="str">
        <f>VLOOKUP($H679,'[3]0509人员排班情况 副本'!$G:$U,13,FALSE)</f>
        <v>杨云飞</v>
      </c>
      <c r="AF679" t="str">
        <f>VLOOKUP($H679,'[3]0509人员排班情况 副本'!$G:$U,14,FALSE)</f>
        <v>Minqing (Minqing Xu),罗煜雄 Mike (Yuxiong Luo),明杰麟Jennie (Jielin Ming)</v>
      </c>
      <c r="AG679" t="str">
        <f>VLOOKUP($H679,'[3]0509人员排班情况 副本'!$G:$U,15,FALSE)</f>
        <v>文艳平</v>
      </c>
    </row>
    <row r="680" customHeight="1" spans="1:33">
      <c r="A680" t="s">
        <v>202</v>
      </c>
      <c r="B680" t="s">
        <v>2123</v>
      </c>
      <c r="C680" t="s">
        <v>2124</v>
      </c>
      <c r="D680" t="s">
        <v>88</v>
      </c>
      <c r="E680" t="s">
        <v>2125</v>
      </c>
      <c r="F680" t="s">
        <v>148</v>
      </c>
      <c r="H680" t="str">
        <f t="shared" si="70"/>
        <v>OM 操作管理部精益改善组</v>
      </c>
      <c r="I680" t="s">
        <v>2126</v>
      </c>
      <c r="J680" t="s">
        <v>236</v>
      </c>
      <c r="K680" s="15">
        <v>0.395833333333333</v>
      </c>
      <c r="L680" s="15" t="s">
        <v>218</v>
      </c>
      <c r="M680" s="15">
        <v>0.439583333333333</v>
      </c>
      <c r="N680" t="s">
        <v>2127</v>
      </c>
      <c r="O680" s="20" t="str">
        <f t="shared" si="76"/>
        <v>不正确</v>
      </c>
      <c r="P680" s="21">
        <v>0</v>
      </c>
      <c r="Q680" s="21">
        <v>7.82</v>
      </c>
      <c r="R680" s="21">
        <v>0</v>
      </c>
      <c r="S680" s="21">
        <f t="shared" si="71"/>
        <v>7.82</v>
      </c>
      <c r="T680" s="21">
        <f t="shared" si="72"/>
        <v>0</v>
      </c>
      <c r="U680" s="21" t="str">
        <f t="shared" si="73"/>
        <v>否</v>
      </c>
      <c r="V680" s="21">
        <f>VLOOKUP($C680,[4]Sheet1!$B:$AN,39,FALSE)</f>
        <v>16.05</v>
      </c>
      <c r="W680" s="21">
        <v>0</v>
      </c>
      <c r="X680" s="23">
        <v>4</v>
      </c>
      <c r="Y680" s="23">
        <v>4</v>
      </c>
      <c r="Z680" s="25">
        <f t="shared" si="74"/>
        <v>0</v>
      </c>
      <c r="AA680" s="25" t="str">
        <f t="shared" si="75"/>
        <v>是</v>
      </c>
      <c r="AB680" t="s">
        <v>148</v>
      </c>
      <c r="AC680" t="e">
        <f>VLOOKUP(C680,[1]Sheet1!$C:$O,13,FALSE)</f>
        <v>#N/A</v>
      </c>
      <c r="AD680" t="str">
        <f>VLOOKUP($H680,'[3]0509人员排班情况 副本'!$G:$U,12,FALSE)</f>
        <v>袁博闻(Bowen Yuan)</v>
      </c>
      <c r="AE680">
        <f>VLOOKUP($H680,'[3]0509人员排班情况 副本'!$G:$U,13,FALSE)</f>
        <v>0</v>
      </c>
      <c r="AF680">
        <f>VLOOKUP($H680,'[3]0509人员排班情况 副本'!$G:$U,14,FALSE)</f>
        <v>0</v>
      </c>
      <c r="AG680">
        <f>VLOOKUP($H680,'[3]0509人员排班情况 副本'!$G:$U,15,FALSE)</f>
        <v>0</v>
      </c>
    </row>
    <row r="681" customHeight="1" spans="1:33">
      <c r="A681" t="s">
        <v>202</v>
      </c>
      <c r="B681" t="s">
        <v>2128</v>
      </c>
      <c r="C681" t="s">
        <v>2129</v>
      </c>
      <c r="D681" t="s">
        <v>68</v>
      </c>
      <c r="E681" t="s">
        <v>75</v>
      </c>
      <c r="F681" t="s">
        <v>83</v>
      </c>
      <c r="H681" t="str">
        <f t="shared" si="70"/>
        <v>NE 东北大区DC 华盛顿片区PHL01</v>
      </c>
      <c r="I681" t="s">
        <v>406</v>
      </c>
      <c r="J681" t="s">
        <v>373</v>
      </c>
      <c r="K681" s="15">
        <v>0.291666666666667</v>
      </c>
      <c r="L681" s="15" t="s">
        <v>374</v>
      </c>
      <c r="M681" s="15">
        <v>0.251388888888889</v>
      </c>
      <c r="N681" t="s">
        <v>1007</v>
      </c>
      <c r="O681" s="20" t="str">
        <f t="shared" si="76"/>
        <v>正确</v>
      </c>
      <c r="P681" s="21">
        <v>0</v>
      </c>
      <c r="Q681" s="21">
        <v>9.68</v>
      </c>
      <c r="R681" s="21">
        <v>0</v>
      </c>
      <c r="S681" s="21">
        <f t="shared" si="71"/>
        <v>9.68</v>
      </c>
      <c r="T681" s="21">
        <f t="shared" si="72"/>
        <v>1.68</v>
      </c>
      <c r="U681" s="21" t="str">
        <f t="shared" si="73"/>
        <v>是</v>
      </c>
      <c r="V681" s="21">
        <f>VLOOKUP($C681,[4]Sheet1!$B:$AN,39,FALSE)</f>
        <v>18.13</v>
      </c>
      <c r="W681" s="21">
        <v>0</v>
      </c>
      <c r="X681" s="23">
        <v>4</v>
      </c>
      <c r="Y681" s="23">
        <v>4</v>
      </c>
      <c r="Z681" s="25">
        <f t="shared" si="74"/>
        <v>0</v>
      </c>
      <c r="AA681" s="25" t="str">
        <f t="shared" si="75"/>
        <v>是</v>
      </c>
      <c r="AB681" t="s">
        <v>148</v>
      </c>
      <c r="AC681" t="e">
        <f>VLOOKUP(C681,[1]Sheet1!$C:$O,13,FALSE)</f>
        <v>#N/A</v>
      </c>
      <c r="AD681" t="str">
        <f>VLOOKUP($H681,'[3]0509人员排班情况 副本'!$G:$U,12,FALSE)</f>
        <v>孙可君Monica（Kejun Sun）</v>
      </c>
      <c r="AE681" t="str">
        <f>VLOOKUP($H681,'[3]0509人员排班情况 副本'!$G:$U,13,FALSE)</f>
        <v>马聪Cong (Cong Ma)</v>
      </c>
      <c r="AF681" t="str">
        <f>VLOOKUP($H681,'[3]0509人员排班情况 副本'!$G:$U,14,FALSE)</f>
        <v>朱晗宇 Peter (Hanyu Zhu)</v>
      </c>
      <c r="AG681">
        <f>VLOOKUP($H681,'[3]0509人员排班情况 副本'!$G:$U,15,FALSE)</f>
        <v>0</v>
      </c>
    </row>
    <row r="682" customHeight="1" spans="1:33">
      <c r="A682" t="s">
        <v>202</v>
      </c>
      <c r="B682" t="s">
        <v>2130</v>
      </c>
      <c r="C682" t="s">
        <v>2131</v>
      </c>
      <c r="D682" t="s">
        <v>100</v>
      </c>
      <c r="E682" t="s">
        <v>105</v>
      </c>
      <c r="F682" t="s">
        <v>750</v>
      </c>
      <c r="H682" t="str">
        <f t="shared" si="70"/>
        <v>WE 美西大区NC 北加片区SFO.H</v>
      </c>
      <c r="I682" t="s">
        <v>156</v>
      </c>
      <c r="J682" t="s">
        <v>217</v>
      </c>
      <c r="K682" s="15">
        <v>0.395833333333333</v>
      </c>
      <c r="L682" s="15" t="s">
        <v>218</v>
      </c>
      <c r="M682" s="15"/>
      <c r="N682" t="s">
        <v>148</v>
      </c>
      <c r="O682" s="20" t="s">
        <v>116</v>
      </c>
      <c r="P682" s="21">
        <v>0</v>
      </c>
      <c r="Q682" s="21">
        <v>0</v>
      </c>
      <c r="R682" s="21">
        <v>0</v>
      </c>
      <c r="S682" s="21">
        <f t="shared" si="71"/>
        <v>0</v>
      </c>
      <c r="T682" s="21">
        <f t="shared" si="72"/>
        <v>0</v>
      </c>
      <c r="U682" s="21" t="str">
        <f t="shared" si="73"/>
        <v>否</v>
      </c>
      <c r="V682" s="21">
        <f>VLOOKUP($C682,[4]Sheet1!$B:$AN,39,FALSE)</f>
        <v>0</v>
      </c>
      <c r="W682" s="21">
        <v>0</v>
      </c>
      <c r="X682" s="23">
        <v>0</v>
      </c>
      <c r="Y682" s="23">
        <v>0</v>
      </c>
      <c r="Z682" s="25">
        <f t="shared" si="74"/>
        <v>0</v>
      </c>
      <c r="AA682" s="25" t="str">
        <f t="shared" si="75"/>
        <v>是</v>
      </c>
      <c r="AB682" t="s">
        <v>148</v>
      </c>
      <c r="AC682" t="e">
        <f>VLOOKUP(C682,[1]Sheet1!$C:$O,13,FALSE)</f>
        <v>#N/A</v>
      </c>
      <c r="AD682" t="str">
        <f>VLOOKUP($H682,'[3]0509人员排班情况 副本'!$G:$U,12,FALSE)</f>
        <v>王骞Ariel（Qian Wang）,叶秀芳Freya (Xiufang Ye)</v>
      </c>
      <c r="AE682" t="str">
        <f>VLOOKUP($H682,'[3]0509人员排班情况 副本'!$G:$U,13,FALSE)</f>
        <v>常哲</v>
      </c>
      <c r="AF682" t="str">
        <f>VLOOKUP($H682,'[3]0509人员排班情况 副本'!$G:$U,14,FALSE)</f>
        <v>林美浚（Meijun Lin）</v>
      </c>
      <c r="AG682">
        <f>VLOOKUP($H682,'[3]0509人员排班情况 副本'!$G:$U,15,FALSE)</f>
        <v>0</v>
      </c>
    </row>
    <row r="683" customHeight="1" spans="1:33">
      <c r="A683" t="s">
        <v>202</v>
      </c>
      <c r="B683" t="s">
        <v>2132</v>
      </c>
      <c r="C683" t="s">
        <v>2133</v>
      </c>
      <c r="D683" t="s">
        <v>58</v>
      </c>
      <c r="E683" t="s">
        <v>66</v>
      </c>
      <c r="F683" t="s">
        <v>148</v>
      </c>
      <c r="H683" t="str">
        <f t="shared" si="70"/>
        <v>MS 中南大区RE 北卡和东南海岸片区</v>
      </c>
      <c r="I683" t="s">
        <v>173</v>
      </c>
      <c r="J683" t="s">
        <v>221</v>
      </c>
      <c r="K683" s="15">
        <v>0.208333333333333</v>
      </c>
      <c r="L683" s="15" t="s">
        <v>222</v>
      </c>
      <c r="M683" s="15"/>
      <c r="N683" t="s">
        <v>148</v>
      </c>
      <c r="O683" s="20" t="str">
        <f t="shared" si="76"/>
        <v>不正确</v>
      </c>
      <c r="P683" s="21">
        <v>0</v>
      </c>
      <c r="Q683" s="21">
        <v>0</v>
      </c>
      <c r="R683" s="21">
        <v>0</v>
      </c>
      <c r="S683" s="21">
        <f t="shared" si="71"/>
        <v>0</v>
      </c>
      <c r="T683" s="21">
        <f t="shared" si="72"/>
        <v>0</v>
      </c>
      <c r="U683" s="21" t="str">
        <f t="shared" si="73"/>
        <v>否</v>
      </c>
      <c r="V683" s="21">
        <f>VLOOKUP($C683,[4]Sheet1!$B:$AN,39,FALSE)</f>
        <v>0</v>
      </c>
      <c r="W683" s="21">
        <v>0</v>
      </c>
      <c r="X683" s="23">
        <v>0</v>
      </c>
      <c r="Y683" s="23">
        <v>4</v>
      </c>
      <c r="Z683" s="25">
        <f t="shared" si="74"/>
        <v>4</v>
      </c>
      <c r="AA683" s="25" t="str">
        <f t="shared" si="75"/>
        <v>是</v>
      </c>
      <c r="AB683" t="s">
        <v>148</v>
      </c>
      <c r="AC683" t="e">
        <f>VLOOKUP(C683,[1]Sheet1!$C:$O,13,FALSE)</f>
        <v>#N/A</v>
      </c>
      <c r="AD683" t="str">
        <f>VLOOKUP($H683,'[3]0509人员排班情况 副本'!$G:$U,12,FALSE)</f>
        <v>欧阳迎春Flower（Yingchun Ouyang）</v>
      </c>
      <c r="AE683" t="str">
        <f>VLOOKUP($H683,'[3]0509人员排班情况 副本'!$G:$U,13,FALSE)</f>
        <v>杨云飞</v>
      </c>
      <c r="AF683">
        <f>VLOOKUP($H683,'[3]0509人员排班情况 副本'!$G:$U,14,FALSE)</f>
        <v>0</v>
      </c>
      <c r="AG683">
        <f>VLOOKUP($H683,'[3]0509人员排班情况 副本'!$G:$U,15,FALSE)</f>
        <v>0</v>
      </c>
    </row>
    <row r="684" customHeight="1" spans="1:33">
      <c r="A684" t="s">
        <v>202</v>
      </c>
      <c r="B684" t="s">
        <v>2134</v>
      </c>
      <c r="C684" t="s">
        <v>2135</v>
      </c>
      <c r="D684" t="s">
        <v>15</v>
      </c>
      <c r="E684" t="s">
        <v>20</v>
      </c>
      <c r="F684" t="s">
        <v>243</v>
      </c>
      <c r="G684" t="s">
        <v>112</v>
      </c>
      <c r="H684" t="str">
        <f t="shared" si="70"/>
        <v>FL 佛州大区MIA.H调度组</v>
      </c>
      <c r="I684" t="s">
        <v>160</v>
      </c>
      <c r="J684" t="s">
        <v>211</v>
      </c>
      <c r="K684" s="15">
        <v>0.333333333333333</v>
      </c>
      <c r="L684" s="15" t="s">
        <v>212</v>
      </c>
      <c r="M684" s="15">
        <v>0.290972222222222</v>
      </c>
      <c r="N684" t="s">
        <v>2136</v>
      </c>
      <c r="O684" s="20" t="str">
        <f t="shared" si="76"/>
        <v>不正确</v>
      </c>
      <c r="P684" s="21">
        <v>0</v>
      </c>
      <c r="Q684" s="21">
        <v>8.7</v>
      </c>
      <c r="R684" s="21">
        <v>0</v>
      </c>
      <c r="S684" s="21">
        <f t="shared" si="71"/>
        <v>8.7</v>
      </c>
      <c r="T684" s="21">
        <f t="shared" si="72"/>
        <v>0.699999999999999</v>
      </c>
      <c r="U684" s="21" t="str">
        <f t="shared" si="73"/>
        <v>是</v>
      </c>
      <c r="V684" s="21">
        <f>VLOOKUP($C684,[4]Sheet1!$B:$AN,39,FALSE)</f>
        <v>17.37</v>
      </c>
      <c r="W684" s="21">
        <v>0</v>
      </c>
      <c r="X684" s="23">
        <v>4</v>
      </c>
      <c r="Y684" s="23">
        <v>4</v>
      </c>
      <c r="Z684" s="25">
        <f t="shared" si="74"/>
        <v>0</v>
      </c>
      <c r="AA684" s="25" t="str">
        <f t="shared" si="75"/>
        <v>是</v>
      </c>
      <c r="AB684" t="s">
        <v>148</v>
      </c>
      <c r="AC684" t="e">
        <f>VLOOKUP(C684,[1]Sheet1!$C:$O,13,FALSE)</f>
        <v>#N/A</v>
      </c>
      <c r="AD684" t="str">
        <f>VLOOKUP($H684,'[3]0509人员排班情况 副本'!$G:$U,12,FALSE)</f>
        <v>Natalia (Natalia Padilla),孙婕 Jasmine（Sunjie）</v>
      </c>
      <c r="AE684" t="str">
        <f>VLOOKUP($H684,'[3]0509人员排班情况 副本'!$G:$U,13,FALSE)</f>
        <v>贺子强Jeff (Ziqiang He)</v>
      </c>
      <c r="AF684" t="str">
        <f>VLOOKUP($H684,'[3]0509人员排班情况 副本'!$G:$U,14,FALSE)</f>
        <v>Minqing (Minqing Xu),罗煜雄 Mike (Yuxiong Luo)</v>
      </c>
      <c r="AG684">
        <f>VLOOKUP($H684,'[3]0509人员排班情况 副本'!$G:$U,15,FALSE)</f>
        <v>0</v>
      </c>
    </row>
    <row r="685" customHeight="1" spans="1:33">
      <c r="A685" t="s">
        <v>202</v>
      </c>
      <c r="B685" t="s">
        <v>2137</v>
      </c>
      <c r="C685" t="s">
        <v>2138</v>
      </c>
      <c r="D685" t="s">
        <v>15</v>
      </c>
      <c r="E685" t="s">
        <v>19</v>
      </c>
      <c r="F685" t="s">
        <v>18</v>
      </c>
      <c r="H685" t="str">
        <f t="shared" si="70"/>
        <v>FL 佛州大区MF 中佛片区MCO01</v>
      </c>
      <c r="I685" t="s">
        <v>687</v>
      </c>
      <c r="J685" t="s">
        <v>217</v>
      </c>
      <c r="K685" s="15">
        <v>0.395833333333333</v>
      </c>
      <c r="L685" s="15" t="s">
        <v>218</v>
      </c>
      <c r="M685" s="15"/>
      <c r="N685" t="s">
        <v>148</v>
      </c>
      <c r="O685" s="20" t="s">
        <v>116</v>
      </c>
      <c r="P685" s="21">
        <v>0</v>
      </c>
      <c r="Q685" s="21">
        <v>0</v>
      </c>
      <c r="R685" s="21">
        <v>0</v>
      </c>
      <c r="S685" s="21">
        <f t="shared" si="71"/>
        <v>0</v>
      </c>
      <c r="T685" s="21">
        <f t="shared" si="72"/>
        <v>0</v>
      </c>
      <c r="U685" s="21" t="str">
        <f t="shared" si="73"/>
        <v>否</v>
      </c>
      <c r="V685" s="21">
        <f>VLOOKUP($C685,[4]Sheet1!$B:$AN,39,FALSE)</f>
        <v>7.62</v>
      </c>
      <c r="W685" s="21">
        <v>0</v>
      </c>
      <c r="X685" s="23">
        <v>0</v>
      </c>
      <c r="Y685" s="23">
        <v>0</v>
      </c>
      <c r="Z685" s="25">
        <f t="shared" si="74"/>
        <v>0</v>
      </c>
      <c r="AA685" s="25" t="str">
        <f t="shared" si="75"/>
        <v>是</v>
      </c>
      <c r="AB685" t="s">
        <v>148</v>
      </c>
      <c r="AC685" t="e">
        <f>VLOOKUP(C685,[1]Sheet1!$C:$O,13,FALSE)</f>
        <v>#N/A</v>
      </c>
      <c r="AD685" t="str">
        <f>VLOOKUP($H685,'[3]0509人员排班情况 副本'!$G:$U,12,FALSE)</f>
        <v>Natalia (Natalia Padilla),孙婕 Jasmine（Sunjie）</v>
      </c>
      <c r="AE685" t="str">
        <f>VLOOKUP($H685,'[3]0509人员排班情况 副本'!$G:$U,13,FALSE)</f>
        <v>贺子强Jeff (Ziqiang He)</v>
      </c>
      <c r="AF685" t="str">
        <f>VLOOKUP($H685,'[3]0509人员排班情况 副本'!$G:$U,14,FALSE)</f>
        <v>朱家仡Andrew (Jiayi Zhu)</v>
      </c>
      <c r="AG685">
        <f>VLOOKUP($H685,'[3]0509人员排班情况 副本'!$G:$U,15,FALSE)</f>
        <v>0</v>
      </c>
    </row>
    <row r="686" customHeight="1" spans="1:33">
      <c r="A686" t="s">
        <v>202</v>
      </c>
      <c r="B686" t="s">
        <v>2139</v>
      </c>
      <c r="C686" t="s">
        <v>2140</v>
      </c>
      <c r="D686" t="s">
        <v>99</v>
      </c>
      <c r="E686" t="s">
        <v>677</v>
      </c>
      <c r="F686" t="s">
        <v>1669</v>
      </c>
      <c r="H686" t="str">
        <f t="shared" si="70"/>
        <v>US人力资源部美洲HRBP组综合HRBP组</v>
      </c>
      <c r="I686" t="s">
        <v>988</v>
      </c>
      <c r="J686" t="s">
        <v>236</v>
      </c>
      <c r="K686" s="15">
        <v>0.395833333333333</v>
      </c>
      <c r="L686" s="15" t="s">
        <v>218</v>
      </c>
      <c r="M686" s="15">
        <v>0.398611111111111</v>
      </c>
      <c r="N686" t="s">
        <v>2141</v>
      </c>
      <c r="O686" s="20" t="str">
        <f t="shared" si="76"/>
        <v>正确</v>
      </c>
      <c r="P686" s="21">
        <v>0</v>
      </c>
      <c r="Q686" s="21">
        <v>8.3</v>
      </c>
      <c r="R686" s="21">
        <v>0</v>
      </c>
      <c r="S686" s="21">
        <f t="shared" si="71"/>
        <v>8.3</v>
      </c>
      <c r="T686" s="21">
        <f t="shared" si="72"/>
        <v>0.300000000000001</v>
      </c>
      <c r="U686" s="21" t="str">
        <f t="shared" si="73"/>
        <v>是</v>
      </c>
      <c r="V686" s="21">
        <f>VLOOKUP($C686,[4]Sheet1!$B:$AN,39,FALSE)</f>
        <v>16.32</v>
      </c>
      <c r="W686" s="21">
        <v>0</v>
      </c>
      <c r="X686" s="23">
        <v>2</v>
      </c>
      <c r="Y686" s="23">
        <v>4</v>
      </c>
      <c r="Z686" s="25">
        <f t="shared" si="74"/>
        <v>2</v>
      </c>
      <c r="AA686" s="25" t="str">
        <f t="shared" si="75"/>
        <v>是</v>
      </c>
      <c r="AB686" t="s">
        <v>148</v>
      </c>
      <c r="AC686" t="e">
        <f>VLOOKUP(C686,[1]Sheet1!$C:$O,13,FALSE)</f>
        <v>#N/A</v>
      </c>
      <c r="AD686" t="str">
        <f>VLOOKUP($H686,'[3]0509人员排班情况 副本'!$G:$U,12,FALSE)</f>
        <v>袁博闻(Bowen Yuan)</v>
      </c>
      <c r="AE686">
        <f>VLOOKUP($H686,'[3]0509人员排班情况 副本'!$G:$U,13,FALSE)</f>
        <v>0</v>
      </c>
      <c r="AF686">
        <f>VLOOKUP($H686,'[3]0509人员排班情况 副本'!$G:$U,14,FALSE)</f>
        <v>0</v>
      </c>
      <c r="AG686">
        <f>VLOOKUP($H686,'[3]0509人员排班情况 副本'!$G:$U,15,FALSE)</f>
        <v>0</v>
      </c>
    </row>
    <row r="687" customHeight="1" spans="1:33">
      <c r="A687" t="s">
        <v>202</v>
      </c>
      <c r="B687" t="s">
        <v>2142</v>
      </c>
      <c r="C687" t="s">
        <v>2143</v>
      </c>
      <c r="D687" t="s">
        <v>92</v>
      </c>
      <c r="E687" t="s">
        <v>94</v>
      </c>
      <c r="F687" t="s">
        <v>312</v>
      </c>
      <c r="G687" t="s">
        <v>112</v>
      </c>
      <c r="H687" t="str">
        <f t="shared" si="70"/>
        <v>TX 德州大区DFW.H异常处理组</v>
      </c>
      <c r="I687" t="s">
        <v>313</v>
      </c>
      <c r="J687" t="s">
        <v>217</v>
      </c>
      <c r="K687" s="15">
        <v>0.395833333333333</v>
      </c>
      <c r="L687" s="15" t="s">
        <v>218</v>
      </c>
      <c r="M687" s="15">
        <v>0.386111111111111</v>
      </c>
      <c r="N687" t="s">
        <v>1314</v>
      </c>
      <c r="O687" s="20" t="str">
        <f t="shared" si="76"/>
        <v>正确</v>
      </c>
      <c r="P687" s="21">
        <v>0</v>
      </c>
      <c r="Q687" s="21">
        <v>9.77</v>
      </c>
      <c r="R687" s="21">
        <v>0</v>
      </c>
      <c r="S687" s="21">
        <f t="shared" si="71"/>
        <v>9.77</v>
      </c>
      <c r="T687" s="21">
        <f t="shared" si="72"/>
        <v>1.77</v>
      </c>
      <c r="U687" s="21" t="str">
        <f t="shared" si="73"/>
        <v>是</v>
      </c>
      <c r="V687" s="21">
        <f>VLOOKUP($C687,[4]Sheet1!$B:$AN,39,FALSE)</f>
        <v>20.1</v>
      </c>
      <c r="W687" s="21">
        <v>0</v>
      </c>
      <c r="X687" s="23">
        <v>4</v>
      </c>
      <c r="Y687" s="23">
        <v>0</v>
      </c>
      <c r="Z687" s="25">
        <f t="shared" si="74"/>
        <v>0</v>
      </c>
      <c r="AA687" s="25" t="str">
        <f t="shared" si="75"/>
        <v>是</v>
      </c>
      <c r="AB687" t="s">
        <v>148</v>
      </c>
      <c r="AC687" t="e">
        <f>VLOOKUP(C687,[1]Sheet1!$C:$O,13,FALSE)</f>
        <v>#N/A</v>
      </c>
      <c r="AD687" t="str">
        <f>VLOOKUP($H687,'[3]0509人员排班情况 副本'!$G:$U,12,FALSE)</f>
        <v>肖芦莉Lily (Luli Xiao)</v>
      </c>
      <c r="AE687" t="str">
        <f>VLOOKUP($H687,'[3]0509人员排班情况 副本'!$G:$U,13,FALSE)</f>
        <v>张骥Ji Zhang (Ji Zhang)</v>
      </c>
      <c r="AF687" t="str">
        <f>VLOOKUP($H687,'[3]0509人员排班情况 副本'!$G:$U,14,FALSE)</f>
        <v>Minqing (Minqing Xu),罗煜雄 Mike (Yuxiong Luo)</v>
      </c>
      <c r="AG687">
        <f>VLOOKUP($H687,'[3]0509人员排班情况 副本'!$G:$U,15,FALSE)</f>
        <v>0</v>
      </c>
    </row>
    <row r="688" customHeight="1" spans="1:33">
      <c r="A688" t="s">
        <v>202</v>
      </c>
      <c r="B688" t="s">
        <v>2144</v>
      </c>
      <c r="C688" t="s">
        <v>2145</v>
      </c>
      <c r="D688" t="s">
        <v>92</v>
      </c>
      <c r="E688" t="s">
        <v>94</v>
      </c>
      <c r="F688" t="s">
        <v>148</v>
      </c>
      <c r="G688" t="s">
        <v>112</v>
      </c>
      <c r="H688" t="str">
        <f t="shared" si="70"/>
        <v>TX 德州大区DFW.H</v>
      </c>
      <c r="I688" t="s">
        <v>654</v>
      </c>
      <c r="J688" t="s">
        <v>347</v>
      </c>
      <c r="K688" s="15">
        <v>0.541666666666667</v>
      </c>
      <c r="L688" s="15" t="s">
        <v>348</v>
      </c>
      <c r="M688" s="15">
        <v>0.521527777777778</v>
      </c>
      <c r="N688" t="s">
        <v>2146</v>
      </c>
      <c r="O688" s="20" t="str">
        <f t="shared" si="76"/>
        <v>正确</v>
      </c>
      <c r="P688" s="21">
        <v>0</v>
      </c>
      <c r="Q688" s="21">
        <v>10.87</v>
      </c>
      <c r="R688" s="21">
        <v>0</v>
      </c>
      <c r="S688" s="21">
        <f t="shared" si="71"/>
        <v>10.87</v>
      </c>
      <c r="T688" s="21">
        <f t="shared" si="72"/>
        <v>2.87</v>
      </c>
      <c r="U688" s="21" t="str">
        <f t="shared" si="73"/>
        <v>是</v>
      </c>
      <c r="V688" s="21">
        <f>VLOOKUP($C688,[4]Sheet1!$B:$AN,39,FALSE)</f>
        <v>20.62</v>
      </c>
      <c r="W688" s="21">
        <v>0</v>
      </c>
      <c r="X688" s="23">
        <v>2</v>
      </c>
      <c r="Y688" s="23">
        <v>4</v>
      </c>
      <c r="Z688" s="25">
        <f t="shared" si="74"/>
        <v>2</v>
      </c>
      <c r="AA688" s="25" t="str">
        <f t="shared" si="75"/>
        <v>是</v>
      </c>
      <c r="AB688" t="s">
        <v>148</v>
      </c>
      <c r="AC688" t="e">
        <f>VLOOKUP(C688,[1]Sheet1!$C:$O,13,FALSE)</f>
        <v>#N/A</v>
      </c>
      <c r="AD688" t="str">
        <f>VLOOKUP($H688,'[3]0509人员排班情况 副本'!$G:$U,12,FALSE)</f>
        <v>肖芦莉Lily (Luli Xiao)</v>
      </c>
      <c r="AE688" t="str">
        <f>VLOOKUP($H688,'[3]0509人员排班情况 副本'!$G:$U,13,FALSE)</f>
        <v>张骥Ji Zhang (Ji Zhang)</v>
      </c>
      <c r="AF688">
        <f>VLOOKUP($H688,'[3]0509人员排班情况 副本'!$G:$U,14,FALSE)</f>
        <v>0</v>
      </c>
      <c r="AG688">
        <f>VLOOKUP($H688,'[3]0509人员排班情况 副本'!$G:$U,15,FALSE)</f>
        <v>0</v>
      </c>
    </row>
    <row r="689" customHeight="1" spans="1:33">
      <c r="A689" t="s">
        <v>202</v>
      </c>
      <c r="B689" t="s">
        <v>2147</v>
      </c>
      <c r="C689" t="s">
        <v>2148</v>
      </c>
      <c r="D689" t="s">
        <v>92</v>
      </c>
      <c r="E689" t="s">
        <v>94</v>
      </c>
      <c r="F689" t="s">
        <v>275</v>
      </c>
      <c r="G689" t="s">
        <v>112</v>
      </c>
      <c r="H689" t="str">
        <f t="shared" si="70"/>
        <v>TX 德州大区DFW.H分拣组</v>
      </c>
      <c r="I689" t="s">
        <v>276</v>
      </c>
      <c r="J689" t="s">
        <v>217</v>
      </c>
      <c r="K689" s="15">
        <v>0.395833333333333</v>
      </c>
      <c r="L689" s="15" t="s">
        <v>218</v>
      </c>
      <c r="M689" s="15"/>
      <c r="N689" t="s">
        <v>148</v>
      </c>
      <c r="O689" s="20" t="s">
        <v>116</v>
      </c>
      <c r="P689" s="21">
        <v>0</v>
      </c>
      <c r="Q689" s="21">
        <v>0</v>
      </c>
      <c r="R689" s="21">
        <v>0</v>
      </c>
      <c r="S689" s="21">
        <f t="shared" si="71"/>
        <v>0</v>
      </c>
      <c r="T689" s="21">
        <f t="shared" si="72"/>
        <v>0</v>
      </c>
      <c r="U689" s="21" t="str">
        <f t="shared" si="73"/>
        <v>否</v>
      </c>
      <c r="V689" s="21">
        <f>VLOOKUP($C689,[4]Sheet1!$B:$AN,39,FALSE)</f>
        <v>13.63</v>
      </c>
      <c r="W689" s="21">
        <v>0</v>
      </c>
      <c r="X689" s="23">
        <v>0</v>
      </c>
      <c r="Y689" s="23">
        <v>0</v>
      </c>
      <c r="Z689" s="25">
        <f t="shared" si="74"/>
        <v>0</v>
      </c>
      <c r="AA689" s="25" t="str">
        <f t="shared" si="75"/>
        <v>是</v>
      </c>
      <c r="AB689" t="s">
        <v>148</v>
      </c>
      <c r="AC689" t="e">
        <f>VLOOKUP(C689,[1]Sheet1!$C:$O,13,FALSE)</f>
        <v>#N/A</v>
      </c>
      <c r="AD689" t="str">
        <f>VLOOKUP($H689,'[3]0509人员排班情况 副本'!$G:$U,12,FALSE)</f>
        <v>肖芦莉Lily (Luli Xiao)</v>
      </c>
      <c r="AE689" t="str">
        <f>VLOOKUP($H689,'[3]0509人员排班情况 副本'!$G:$U,13,FALSE)</f>
        <v>张骥Ji Zhang (Ji Zhang)</v>
      </c>
      <c r="AF689" t="str">
        <f>VLOOKUP($H689,'[3]0509人员排班情况 副本'!$G:$U,14,FALSE)</f>
        <v>张双甫(Shuangfu Zhang)</v>
      </c>
      <c r="AG689">
        <f>VLOOKUP($H689,'[3]0509人员排班情况 副本'!$G:$U,15,FALSE)</f>
        <v>0</v>
      </c>
    </row>
    <row r="690" customHeight="1" spans="1:33">
      <c r="A690" t="s">
        <v>202</v>
      </c>
      <c r="B690" t="s">
        <v>2149</v>
      </c>
      <c r="C690" t="s">
        <v>2150</v>
      </c>
      <c r="D690" t="s">
        <v>31</v>
      </c>
      <c r="E690" t="s">
        <v>43</v>
      </c>
      <c r="F690" t="s">
        <v>484</v>
      </c>
      <c r="H690" t="str">
        <f t="shared" si="70"/>
        <v>GL 大湖大区WG 西大湖片区MSN01</v>
      </c>
      <c r="I690" t="s">
        <v>177</v>
      </c>
      <c r="J690" t="s">
        <v>221</v>
      </c>
      <c r="K690" s="15">
        <v>0.208333333333333</v>
      </c>
      <c r="L690" s="15" t="s">
        <v>222</v>
      </c>
      <c r="M690" s="15">
        <v>0.204166666666667</v>
      </c>
      <c r="N690" t="s">
        <v>148</v>
      </c>
      <c r="O690" s="20" t="str">
        <f t="shared" si="76"/>
        <v>正确</v>
      </c>
      <c r="P690" s="21">
        <v>0</v>
      </c>
      <c r="Q690" s="21">
        <v>0</v>
      </c>
      <c r="R690" s="21">
        <v>0</v>
      </c>
      <c r="S690" s="21">
        <f t="shared" si="71"/>
        <v>0</v>
      </c>
      <c r="T690" s="21">
        <f t="shared" si="72"/>
        <v>0</v>
      </c>
      <c r="U690" s="21" t="str">
        <f t="shared" si="73"/>
        <v>否</v>
      </c>
      <c r="V690" s="21">
        <f>VLOOKUP($C690,[4]Sheet1!$B:$AN,39,FALSE)</f>
        <v>0</v>
      </c>
      <c r="W690" s="21">
        <v>0</v>
      </c>
      <c r="X690" s="23">
        <v>1</v>
      </c>
      <c r="Y690" s="23">
        <v>4</v>
      </c>
      <c r="Z690" s="25">
        <f t="shared" si="74"/>
        <v>3</v>
      </c>
      <c r="AA690" s="25" t="str">
        <f t="shared" si="75"/>
        <v>是</v>
      </c>
      <c r="AB690" t="s">
        <v>148</v>
      </c>
      <c r="AC690" t="e">
        <f>VLOOKUP(C690,[1]Sheet1!$C:$O,13,FALSE)</f>
        <v>#N/A</v>
      </c>
      <c r="AD690" t="str">
        <f>VLOOKUP($H690,'[3]0509人员排班情况 副本'!$G:$U,12,FALSE)</f>
        <v>王晓丹 Jasmine（Xiaodan Wang）,周延舒Isabel（Yanshu Zhou）</v>
      </c>
      <c r="AE690" t="str">
        <f>VLOOKUP($H690,'[3]0509人员排班情况 副本'!$G:$U,13,FALSE)</f>
        <v>张骥Ji Zhang (Ji Zhang)</v>
      </c>
      <c r="AF690" t="str">
        <f>VLOOKUP($H690,'[3]0509人员排班情况 副本'!$G:$U,14,FALSE)</f>
        <v>易至聪Zac (Zhicong Yi),尚青蓓 Suki （Qingbei Shang）</v>
      </c>
      <c r="AG690">
        <f>VLOOKUP($H690,'[3]0509人员排班情况 副本'!$G:$U,15,FALSE)</f>
        <v>0</v>
      </c>
    </row>
    <row r="691" customHeight="1" spans="1:33">
      <c r="A691" t="s">
        <v>202</v>
      </c>
      <c r="B691" t="s">
        <v>2151</v>
      </c>
      <c r="C691" t="s">
        <v>2152</v>
      </c>
      <c r="D691" t="s">
        <v>48</v>
      </c>
      <c r="E691" t="s">
        <v>53</v>
      </c>
      <c r="F691" t="s">
        <v>1099</v>
      </c>
      <c r="H691" t="str">
        <f t="shared" si="70"/>
        <v>Ground项目部派送管理部运力开发组</v>
      </c>
      <c r="I691" t="s">
        <v>1215</v>
      </c>
      <c r="J691" t="s">
        <v>295</v>
      </c>
      <c r="K691" s="15">
        <v>0.375</v>
      </c>
      <c r="L691" s="15" t="s">
        <v>296</v>
      </c>
      <c r="M691" s="15">
        <v>0.388194444444444</v>
      </c>
      <c r="N691" t="s">
        <v>2153</v>
      </c>
      <c r="O691" s="20" t="str">
        <f t="shared" si="76"/>
        <v>正确</v>
      </c>
      <c r="P691" s="21">
        <v>0</v>
      </c>
      <c r="Q691" s="21">
        <v>7.92</v>
      </c>
      <c r="R691" s="21">
        <v>0</v>
      </c>
      <c r="S691" s="21">
        <f t="shared" si="71"/>
        <v>7.92</v>
      </c>
      <c r="T691" s="21">
        <f t="shared" si="72"/>
        <v>0</v>
      </c>
      <c r="U691" s="21" t="str">
        <f t="shared" si="73"/>
        <v>否</v>
      </c>
      <c r="V691" s="21">
        <f>VLOOKUP($C691,[4]Sheet1!$B:$AN,39,FALSE)</f>
        <v>14.64</v>
      </c>
      <c r="W691" s="21">
        <v>0</v>
      </c>
      <c r="X691" s="23">
        <v>4</v>
      </c>
      <c r="Y691" s="23">
        <v>4</v>
      </c>
      <c r="Z691" s="25">
        <f t="shared" si="74"/>
        <v>0</v>
      </c>
      <c r="AA691" s="25" t="str">
        <f t="shared" si="75"/>
        <v>是</v>
      </c>
      <c r="AB691" t="s">
        <v>148</v>
      </c>
      <c r="AC691" t="e">
        <f>VLOOKUP(C691,[1]Sheet1!$C:$O,13,FALSE)</f>
        <v>#N/A</v>
      </c>
      <c r="AD691" t="str">
        <f>VLOOKUP($H691,'[3]0509人员排班情况 副本'!$G:$U,12,FALSE)</f>
        <v>王安琪 (Anqi Wang),张朱同 Thomson（Zhutong Zhang）</v>
      </c>
      <c r="AE691" t="str">
        <f>VLOOKUP($H691,'[3]0509人员排班情况 副本'!$G:$U,13,FALSE)</f>
        <v>陈锦昭</v>
      </c>
      <c r="AF691">
        <f>VLOOKUP($H691,'[3]0509人员排班情况 副本'!$G:$U,14,FALSE)</f>
        <v>0</v>
      </c>
      <c r="AG691">
        <f>VLOOKUP($H691,'[3]0509人员排班情况 副本'!$G:$U,15,FALSE)</f>
        <v>0</v>
      </c>
    </row>
    <row r="692" customHeight="1" spans="1:33">
      <c r="A692" t="s">
        <v>202</v>
      </c>
      <c r="B692" t="s">
        <v>2154</v>
      </c>
      <c r="C692" t="s">
        <v>2155</v>
      </c>
      <c r="D692" t="s">
        <v>99</v>
      </c>
      <c r="E692" t="s">
        <v>677</v>
      </c>
      <c r="F692" t="s">
        <v>1669</v>
      </c>
      <c r="H692" t="str">
        <f t="shared" si="70"/>
        <v>US人力资源部美洲HRBP组综合HRBP组</v>
      </c>
      <c r="I692" t="s">
        <v>1156</v>
      </c>
      <c r="J692" t="s">
        <v>236</v>
      </c>
      <c r="K692" s="15">
        <v>0.395833333333333</v>
      </c>
      <c r="L692" s="15" t="s">
        <v>218</v>
      </c>
      <c r="M692" s="15">
        <v>0.425694444444444</v>
      </c>
      <c r="N692" t="s">
        <v>2127</v>
      </c>
      <c r="O692" s="20" t="str">
        <f t="shared" si="76"/>
        <v>正确</v>
      </c>
      <c r="P692" s="21">
        <v>0</v>
      </c>
      <c r="Q692" s="21">
        <v>8.15</v>
      </c>
      <c r="R692" s="21">
        <v>0</v>
      </c>
      <c r="S692" s="21">
        <f t="shared" si="71"/>
        <v>8.15</v>
      </c>
      <c r="T692" s="21">
        <f t="shared" si="72"/>
        <v>0.15</v>
      </c>
      <c r="U692" s="21" t="str">
        <f t="shared" si="73"/>
        <v>是</v>
      </c>
      <c r="V692" s="21">
        <f>VLOOKUP($C692,[4]Sheet1!$B:$AN,39,FALSE)</f>
        <v>16.5</v>
      </c>
      <c r="W692" s="21">
        <v>10.81</v>
      </c>
      <c r="X692" s="23">
        <v>2</v>
      </c>
      <c r="Y692" s="23">
        <v>4</v>
      </c>
      <c r="Z692" s="25">
        <f t="shared" si="74"/>
        <v>2</v>
      </c>
      <c r="AA692" s="25" t="str">
        <f t="shared" si="75"/>
        <v>是</v>
      </c>
      <c r="AB692" t="s">
        <v>148</v>
      </c>
      <c r="AC692" t="e">
        <f>VLOOKUP(C692,[1]Sheet1!$C:$O,13,FALSE)</f>
        <v>#N/A</v>
      </c>
      <c r="AD692" t="str">
        <f>VLOOKUP($H692,'[3]0509人员排班情况 副本'!$G:$U,12,FALSE)</f>
        <v>袁博闻(Bowen Yuan)</v>
      </c>
      <c r="AE692">
        <f>VLOOKUP($H692,'[3]0509人员排班情况 副本'!$G:$U,13,FALSE)</f>
        <v>0</v>
      </c>
      <c r="AF692">
        <f>VLOOKUP($H692,'[3]0509人员排班情况 副本'!$G:$U,14,FALSE)</f>
        <v>0</v>
      </c>
      <c r="AG692">
        <f>VLOOKUP($H692,'[3]0509人员排班情况 副本'!$G:$U,15,FALSE)</f>
        <v>0</v>
      </c>
    </row>
    <row r="693" customHeight="1" spans="1:33">
      <c r="A693" t="s">
        <v>202</v>
      </c>
      <c r="B693" t="s">
        <v>2156</v>
      </c>
      <c r="C693" t="s">
        <v>2157</v>
      </c>
      <c r="D693" t="s">
        <v>100</v>
      </c>
      <c r="E693" t="s">
        <v>29</v>
      </c>
      <c r="F693" t="s">
        <v>200</v>
      </c>
      <c r="H693" t="str">
        <f t="shared" si="70"/>
        <v>WE 美西大区运营支持部区域支持组</v>
      </c>
      <c r="I693" t="s">
        <v>201</v>
      </c>
      <c r="J693" t="s">
        <v>236</v>
      </c>
      <c r="K693" s="15">
        <v>0.395833333333333</v>
      </c>
      <c r="L693" s="15" t="s">
        <v>218</v>
      </c>
      <c r="M693" s="15">
        <v>0.392361111111111</v>
      </c>
      <c r="N693" t="s">
        <v>1598</v>
      </c>
      <c r="O693" s="20" t="str">
        <f t="shared" si="76"/>
        <v>正确</v>
      </c>
      <c r="P693" s="21">
        <v>0</v>
      </c>
      <c r="Q693" s="21">
        <v>8.25</v>
      </c>
      <c r="R693" s="21">
        <v>0</v>
      </c>
      <c r="S693" s="21">
        <f t="shared" si="71"/>
        <v>8.25</v>
      </c>
      <c r="T693" s="21">
        <f t="shared" si="72"/>
        <v>0.25</v>
      </c>
      <c r="U693" s="21" t="str">
        <f t="shared" si="73"/>
        <v>是</v>
      </c>
      <c r="V693" s="21">
        <f>VLOOKUP($C693,[4]Sheet1!$B:$AN,39,FALSE)</f>
        <v>16.32</v>
      </c>
      <c r="W693" s="21">
        <v>0</v>
      </c>
      <c r="X693" s="23">
        <v>4</v>
      </c>
      <c r="Y693" s="23">
        <v>4</v>
      </c>
      <c r="Z693" s="25">
        <f t="shared" si="74"/>
        <v>0</v>
      </c>
      <c r="AA693" s="25" t="str">
        <f t="shared" si="75"/>
        <v>是</v>
      </c>
      <c r="AB693" t="s">
        <v>148</v>
      </c>
      <c r="AC693" t="e">
        <f>VLOOKUP(C693,[1]Sheet1!$C:$O,13,FALSE)</f>
        <v>#N/A</v>
      </c>
      <c r="AD693" t="str">
        <f>VLOOKUP($H693,'[3]0509人员排班情况 副本'!$G:$U,12,FALSE)</f>
        <v>王骞Ariel（Qian Wang）,叶秀芳Freya (Xiufang Ye)</v>
      </c>
      <c r="AE693" t="str">
        <f>VLOOKUP($H693,'[3]0509人员排班情况 副本'!$G:$U,13,FALSE)</f>
        <v>常哲</v>
      </c>
      <c r="AF693">
        <f>VLOOKUP($H693,'[3]0509人员排班情况 副本'!$G:$U,14,FALSE)</f>
        <v>0</v>
      </c>
      <c r="AG693">
        <f>VLOOKUP($H693,'[3]0509人员排班情况 副本'!$G:$U,15,FALSE)</f>
        <v>0</v>
      </c>
    </row>
    <row r="694" customHeight="1" spans="1:33">
      <c r="A694" t="s">
        <v>202</v>
      </c>
      <c r="B694" t="s">
        <v>2158</v>
      </c>
      <c r="C694" t="s">
        <v>2159</v>
      </c>
      <c r="D694" t="s">
        <v>12</v>
      </c>
      <c r="E694" t="s">
        <v>1805</v>
      </c>
      <c r="F694" t="s">
        <v>148</v>
      </c>
      <c r="H694" t="str">
        <f t="shared" si="70"/>
        <v>CM 运力管理部调度运营组</v>
      </c>
      <c r="I694" t="s">
        <v>2160</v>
      </c>
      <c r="J694" t="s">
        <v>236</v>
      </c>
      <c r="K694" s="15">
        <v>0.395833333333333</v>
      </c>
      <c r="L694" s="15" t="s">
        <v>218</v>
      </c>
      <c r="M694" s="15">
        <v>0.401388888888889</v>
      </c>
      <c r="N694" t="s">
        <v>1681</v>
      </c>
      <c r="O694" s="20" t="str">
        <f t="shared" si="76"/>
        <v>正确</v>
      </c>
      <c r="P694" s="21">
        <v>0</v>
      </c>
      <c r="Q694" s="21">
        <v>8.32</v>
      </c>
      <c r="R694" s="21">
        <v>0</v>
      </c>
      <c r="S694" s="21">
        <f t="shared" si="71"/>
        <v>8.32</v>
      </c>
      <c r="T694" s="21">
        <f t="shared" si="72"/>
        <v>0.32</v>
      </c>
      <c r="U694" s="21" t="str">
        <f t="shared" si="73"/>
        <v>是</v>
      </c>
      <c r="V694" s="21">
        <f>VLOOKUP($C694,[4]Sheet1!$B:$AN,39,FALSE)</f>
        <v>15.89</v>
      </c>
      <c r="W694" s="21">
        <v>0</v>
      </c>
      <c r="X694" s="23">
        <v>2</v>
      </c>
      <c r="Y694" s="23">
        <v>4</v>
      </c>
      <c r="Z694" s="25">
        <f t="shared" si="74"/>
        <v>2</v>
      </c>
      <c r="AA694" s="25" t="str">
        <f t="shared" si="75"/>
        <v>是</v>
      </c>
      <c r="AB694" t="s">
        <v>148</v>
      </c>
      <c r="AC694" t="e">
        <f>VLOOKUP(C694,[1]Sheet1!$C:$O,13,FALSE)</f>
        <v>#N/A</v>
      </c>
      <c r="AD694" t="str">
        <f>VLOOKUP($H694,'[3]0509人员排班情况 副本'!$G:$U,12,FALSE)</f>
        <v>袁博闻(Bowen Yuan)</v>
      </c>
      <c r="AE694">
        <f>VLOOKUP($H694,'[3]0509人员排班情况 副本'!$G:$U,13,FALSE)</f>
        <v>0</v>
      </c>
      <c r="AF694">
        <f>VLOOKUP($H694,'[3]0509人员排班情况 副本'!$G:$U,14,FALSE)</f>
        <v>0</v>
      </c>
      <c r="AG694">
        <f>VLOOKUP($H694,'[3]0509人员排班情况 副本'!$G:$U,15,FALSE)</f>
        <v>0</v>
      </c>
    </row>
    <row r="695" customHeight="1" spans="1:33">
      <c r="A695" t="s">
        <v>202</v>
      </c>
      <c r="B695" t="s">
        <v>2161</v>
      </c>
      <c r="C695" t="s">
        <v>2162</v>
      </c>
      <c r="D695" t="s">
        <v>68</v>
      </c>
      <c r="E695" t="s">
        <v>81</v>
      </c>
      <c r="F695" t="s">
        <v>943</v>
      </c>
      <c r="H695" t="str">
        <f t="shared" si="70"/>
        <v>NE 东北大区NY 纽约片区FRG01</v>
      </c>
      <c r="I695" t="s">
        <v>177</v>
      </c>
      <c r="J695" t="s">
        <v>217</v>
      </c>
      <c r="K695" s="15">
        <v>0.395833333333333</v>
      </c>
      <c r="L695" s="15" t="s">
        <v>218</v>
      </c>
      <c r="M695" s="15"/>
      <c r="N695" t="s">
        <v>148</v>
      </c>
      <c r="O695" s="20" t="s">
        <v>116</v>
      </c>
      <c r="P695" s="21">
        <v>0</v>
      </c>
      <c r="Q695" s="21">
        <v>0</v>
      </c>
      <c r="R695" s="21">
        <v>0</v>
      </c>
      <c r="S695" s="21">
        <f t="shared" si="71"/>
        <v>0</v>
      </c>
      <c r="T695" s="21">
        <f t="shared" si="72"/>
        <v>0</v>
      </c>
      <c r="U695" s="21" t="str">
        <f t="shared" si="73"/>
        <v>否</v>
      </c>
      <c r="V695" s="21">
        <f>VLOOKUP($C695,[4]Sheet1!$B:$AN,39,FALSE)</f>
        <v>8.18</v>
      </c>
      <c r="W695" s="21">
        <v>0</v>
      </c>
      <c r="X695" s="23">
        <v>0</v>
      </c>
      <c r="Y695" s="23">
        <v>0</v>
      </c>
      <c r="Z695" s="25">
        <f t="shared" si="74"/>
        <v>0</v>
      </c>
      <c r="AA695" s="25" t="str">
        <f t="shared" si="75"/>
        <v>是</v>
      </c>
      <c r="AB695" t="s">
        <v>148</v>
      </c>
      <c r="AC695" t="e">
        <f>VLOOKUP(C695,[1]Sheet1!$C:$O,13,FALSE)</f>
        <v>#N/A</v>
      </c>
      <c r="AD695" t="str">
        <f>VLOOKUP($H695,'[3]0509人员排班情况 副本'!$G:$U,12,FALSE)</f>
        <v>孙可君Monica（Kejun Sun）</v>
      </c>
      <c r="AE695" t="str">
        <f>VLOOKUP($H695,'[3]0509人员排班情况 副本'!$G:$U,13,FALSE)</f>
        <v>马聪Cong (Cong Ma)</v>
      </c>
      <c r="AF695" t="str">
        <f>VLOOKUP($H695,'[3]0509人员排班情况 副本'!$G:$U,14,FALSE)</f>
        <v>朱晗宇 Peter (Hanyu Zhu)</v>
      </c>
      <c r="AG695">
        <f>VLOOKUP($H695,'[3]0509人员排班情况 副本'!$G:$U,15,FALSE)</f>
        <v>0</v>
      </c>
    </row>
    <row r="696" customHeight="1" spans="1:33">
      <c r="A696" t="s">
        <v>202</v>
      </c>
      <c r="B696" t="s">
        <v>2163</v>
      </c>
      <c r="C696" t="s">
        <v>2164</v>
      </c>
      <c r="D696" t="s">
        <v>15</v>
      </c>
      <c r="E696" t="s">
        <v>17</v>
      </c>
      <c r="F696" t="s">
        <v>243</v>
      </c>
      <c r="G696" t="s">
        <v>112</v>
      </c>
      <c r="H696" t="str">
        <f t="shared" si="70"/>
        <v>FL 佛州大区MCO.H调度组</v>
      </c>
      <c r="I696" t="s">
        <v>244</v>
      </c>
      <c r="J696" t="s">
        <v>205</v>
      </c>
      <c r="K696" s="15">
        <v>0.166666666666667</v>
      </c>
      <c r="L696" s="15" t="s">
        <v>206</v>
      </c>
      <c r="M696" s="15">
        <v>0.153472222222222</v>
      </c>
      <c r="N696" t="s">
        <v>438</v>
      </c>
      <c r="O696" s="20" t="str">
        <f t="shared" si="76"/>
        <v>正确</v>
      </c>
      <c r="P696" s="21">
        <v>0</v>
      </c>
      <c r="Q696" s="21">
        <v>9.82</v>
      </c>
      <c r="R696" s="21">
        <v>0</v>
      </c>
      <c r="S696" s="21">
        <f t="shared" si="71"/>
        <v>9.82</v>
      </c>
      <c r="T696" s="21">
        <f t="shared" si="72"/>
        <v>1.82</v>
      </c>
      <c r="U696" s="21" t="str">
        <f t="shared" si="73"/>
        <v>是</v>
      </c>
      <c r="V696" s="21">
        <f>VLOOKUP($C696,[4]Sheet1!$B:$AN,39,FALSE)</f>
        <v>20.67</v>
      </c>
      <c r="W696" s="21">
        <v>0</v>
      </c>
      <c r="X696" s="23">
        <v>4</v>
      </c>
      <c r="Y696" s="23">
        <v>4</v>
      </c>
      <c r="Z696" s="25">
        <f t="shared" si="74"/>
        <v>0</v>
      </c>
      <c r="AA696" s="25" t="str">
        <f t="shared" si="75"/>
        <v>是</v>
      </c>
      <c r="AB696" t="s">
        <v>148</v>
      </c>
      <c r="AC696" t="e">
        <f>VLOOKUP(C696,[1]Sheet1!$C:$O,13,FALSE)</f>
        <v>#N/A</v>
      </c>
      <c r="AD696" t="str">
        <f>VLOOKUP($H696,'[3]0509人员排班情况 副本'!$G:$U,12,FALSE)</f>
        <v>Natalia (Natalia Padilla),孙婕 Jasmine（Sunjie）</v>
      </c>
      <c r="AE696" t="str">
        <f>VLOOKUP($H696,'[3]0509人员排班情况 副本'!$G:$U,13,FALSE)</f>
        <v>贺子强Jeff (Ziqiang He)</v>
      </c>
      <c r="AF696" t="str">
        <f>VLOOKUP($H696,'[3]0509人员排班情况 副本'!$G:$U,14,FALSE)</f>
        <v>Minqing (Minqing Xu),罗煜雄 Mike (Yuxiong Luo)</v>
      </c>
      <c r="AG696">
        <f>VLOOKUP($H696,'[3]0509人员排班情况 副本'!$G:$U,15,FALSE)</f>
        <v>0</v>
      </c>
    </row>
    <row r="697" customHeight="1" spans="1:33">
      <c r="A697" t="s">
        <v>202</v>
      </c>
      <c r="B697" t="s">
        <v>2165</v>
      </c>
      <c r="C697" t="s">
        <v>2166</v>
      </c>
      <c r="D697" t="s">
        <v>88</v>
      </c>
      <c r="E697" t="s">
        <v>631</v>
      </c>
      <c r="F697" t="s">
        <v>148</v>
      </c>
      <c r="H697" t="str">
        <f t="shared" si="70"/>
        <v>OM 操作管理部实施运营组</v>
      </c>
      <c r="I697" t="s">
        <v>2167</v>
      </c>
      <c r="J697" t="s">
        <v>236</v>
      </c>
      <c r="K697" s="15">
        <v>0.395833333333333</v>
      </c>
      <c r="L697" s="15" t="s">
        <v>218</v>
      </c>
      <c r="M697" s="15"/>
      <c r="N697" t="s">
        <v>148</v>
      </c>
      <c r="O697" s="20" t="str">
        <f t="shared" si="76"/>
        <v>不正确</v>
      </c>
      <c r="P697" s="21">
        <v>0</v>
      </c>
      <c r="Q697" s="21">
        <v>0</v>
      </c>
      <c r="R697" s="21">
        <v>0</v>
      </c>
      <c r="S697" s="21">
        <f t="shared" si="71"/>
        <v>0</v>
      </c>
      <c r="T697" s="21">
        <f t="shared" si="72"/>
        <v>0</v>
      </c>
      <c r="U697" s="21" t="str">
        <f t="shared" si="73"/>
        <v>否</v>
      </c>
      <c r="V697" s="21">
        <f>VLOOKUP($C697,[4]Sheet1!$B:$AN,39,FALSE)</f>
        <v>0</v>
      </c>
      <c r="W697" s="21">
        <v>0</v>
      </c>
      <c r="X697" s="23">
        <v>0</v>
      </c>
      <c r="Y697" s="23">
        <v>0</v>
      </c>
      <c r="Z697" s="25">
        <f t="shared" si="74"/>
        <v>0</v>
      </c>
      <c r="AA697" s="25" t="str">
        <f t="shared" si="75"/>
        <v>是</v>
      </c>
      <c r="AB697" t="s">
        <v>339</v>
      </c>
      <c r="AC697" t="e">
        <f>VLOOKUP(C697,[1]Sheet1!$C:$O,13,FALSE)</f>
        <v>#N/A</v>
      </c>
      <c r="AD697" t="str">
        <f>VLOOKUP($H697,'[3]0509人员排班情况 副本'!$G:$U,12,FALSE)</f>
        <v>袁博闻(Bowen Yuan)</v>
      </c>
      <c r="AE697">
        <f>VLOOKUP($H697,'[3]0509人员排班情况 副本'!$G:$U,13,FALSE)</f>
        <v>0</v>
      </c>
      <c r="AF697">
        <f>VLOOKUP($H697,'[3]0509人员排班情况 副本'!$G:$U,14,FALSE)</f>
        <v>0</v>
      </c>
      <c r="AG697">
        <f>VLOOKUP($H697,'[3]0509人员排班情况 副本'!$G:$U,15,FALSE)</f>
        <v>0</v>
      </c>
    </row>
    <row r="698" customHeight="1" spans="1:33">
      <c r="A698" t="s">
        <v>202</v>
      </c>
      <c r="B698" t="s">
        <v>2168</v>
      </c>
      <c r="C698" t="s">
        <v>2169</v>
      </c>
      <c r="D698" t="s">
        <v>100</v>
      </c>
      <c r="E698" t="s">
        <v>105</v>
      </c>
      <c r="F698" t="s">
        <v>750</v>
      </c>
      <c r="H698" t="str">
        <f t="shared" si="70"/>
        <v>WE 美西大区NC 北加片区SFO.H</v>
      </c>
      <c r="I698" t="s">
        <v>156</v>
      </c>
      <c r="J698" t="s">
        <v>373</v>
      </c>
      <c r="K698" s="15">
        <v>0.291666666666667</v>
      </c>
      <c r="L698" s="15" t="s">
        <v>374</v>
      </c>
      <c r="M698" s="15">
        <v>0.28125</v>
      </c>
      <c r="N698" t="s">
        <v>976</v>
      </c>
      <c r="O698" s="20" t="str">
        <f t="shared" si="76"/>
        <v>正确</v>
      </c>
      <c r="P698" s="21">
        <v>0</v>
      </c>
      <c r="Q698" s="21">
        <v>8.75</v>
      </c>
      <c r="R698" s="21">
        <v>0</v>
      </c>
      <c r="S698" s="21">
        <f t="shared" si="71"/>
        <v>8.75</v>
      </c>
      <c r="T698" s="21">
        <f t="shared" si="72"/>
        <v>0.75</v>
      </c>
      <c r="U698" s="21" t="str">
        <f t="shared" si="73"/>
        <v>是</v>
      </c>
      <c r="V698" s="21">
        <f>VLOOKUP($C698,[4]Sheet1!$B:$AN,39,FALSE)</f>
        <v>17.37</v>
      </c>
      <c r="W698" s="21">
        <v>16.29</v>
      </c>
      <c r="X698" s="23">
        <v>4</v>
      </c>
      <c r="Y698" s="23">
        <v>4</v>
      </c>
      <c r="Z698" s="25">
        <f t="shared" si="74"/>
        <v>0</v>
      </c>
      <c r="AA698" s="25" t="str">
        <f t="shared" si="75"/>
        <v>是</v>
      </c>
      <c r="AB698" t="s">
        <v>148</v>
      </c>
      <c r="AC698" t="e">
        <f>VLOOKUP(C698,[1]Sheet1!$C:$O,13,FALSE)</f>
        <v>#N/A</v>
      </c>
      <c r="AD698" t="str">
        <f>VLOOKUP($H698,'[3]0509人员排班情况 副本'!$G:$U,12,FALSE)</f>
        <v>王骞Ariel（Qian Wang）,叶秀芳Freya (Xiufang Ye)</v>
      </c>
      <c r="AE698" t="str">
        <f>VLOOKUP($H698,'[3]0509人员排班情况 副本'!$G:$U,13,FALSE)</f>
        <v>常哲</v>
      </c>
      <c r="AF698" t="str">
        <f>VLOOKUP($H698,'[3]0509人员排班情况 副本'!$G:$U,14,FALSE)</f>
        <v>林美浚（Meijun Lin）</v>
      </c>
      <c r="AG698">
        <f>VLOOKUP($H698,'[3]0509人员排班情况 副本'!$G:$U,15,FALSE)</f>
        <v>0</v>
      </c>
    </row>
    <row r="699" customHeight="1" spans="1:33">
      <c r="A699" t="s">
        <v>202</v>
      </c>
      <c r="B699" t="s">
        <v>2170</v>
      </c>
      <c r="C699" t="s">
        <v>2171</v>
      </c>
      <c r="D699" t="s">
        <v>15</v>
      </c>
      <c r="E699" t="s">
        <v>20</v>
      </c>
      <c r="F699" t="s">
        <v>148</v>
      </c>
      <c r="G699" t="s">
        <v>112</v>
      </c>
      <c r="H699" t="str">
        <f t="shared" si="70"/>
        <v>FL 佛州大区MIA.H</v>
      </c>
      <c r="I699" t="s">
        <v>654</v>
      </c>
      <c r="J699" t="s">
        <v>282</v>
      </c>
      <c r="K699" s="15">
        <v>0.416666666666667</v>
      </c>
      <c r="L699" s="15" t="s">
        <v>283</v>
      </c>
      <c r="M699" s="15"/>
      <c r="N699" t="s">
        <v>148</v>
      </c>
      <c r="O699" s="20" t="str">
        <f t="shared" si="76"/>
        <v>不正确</v>
      </c>
      <c r="P699" s="21">
        <v>0</v>
      </c>
      <c r="Q699" s="21">
        <v>0</v>
      </c>
      <c r="R699" s="21">
        <v>0</v>
      </c>
      <c r="S699" s="21">
        <f t="shared" si="71"/>
        <v>0</v>
      </c>
      <c r="T699" s="21">
        <f t="shared" si="72"/>
        <v>0</v>
      </c>
      <c r="U699" s="21" t="str">
        <f t="shared" si="73"/>
        <v>否</v>
      </c>
      <c r="V699" s="21">
        <f>VLOOKUP($C699,[4]Sheet1!$B:$AN,39,FALSE)</f>
        <v>0</v>
      </c>
      <c r="W699" s="21">
        <v>0</v>
      </c>
      <c r="X699" s="23">
        <v>0</v>
      </c>
      <c r="Y699" s="23">
        <v>4</v>
      </c>
      <c r="Z699" s="25">
        <f t="shared" si="74"/>
        <v>4</v>
      </c>
      <c r="AA699" s="25" t="str">
        <f t="shared" si="75"/>
        <v>是</v>
      </c>
      <c r="AB699" t="s">
        <v>148</v>
      </c>
      <c r="AC699" t="e">
        <f>VLOOKUP(C699,[1]Sheet1!$C:$O,13,FALSE)</f>
        <v>#N/A</v>
      </c>
      <c r="AD699" t="str">
        <f>VLOOKUP($H699,'[3]0509人员排班情况 副本'!$G:$U,12,FALSE)</f>
        <v>Natalia (Natalia Padilla),孙婕 Jasmine（Sunjie）</v>
      </c>
      <c r="AE699" t="str">
        <f>VLOOKUP($H699,'[3]0509人员排班情况 副本'!$G:$U,13,FALSE)</f>
        <v>贺子强Jeff (Ziqiang He)</v>
      </c>
      <c r="AF699">
        <f>VLOOKUP($H699,'[3]0509人员排班情况 副本'!$G:$U,14,FALSE)</f>
        <v>0</v>
      </c>
      <c r="AG699">
        <f>VLOOKUP($H699,'[3]0509人员排班情况 副本'!$G:$U,15,FALSE)</f>
        <v>0</v>
      </c>
    </row>
    <row r="700" customHeight="1" spans="1:33">
      <c r="A700" t="s">
        <v>202</v>
      </c>
      <c r="B700" t="s">
        <v>2172</v>
      </c>
      <c r="C700" t="s">
        <v>2173</v>
      </c>
      <c r="D700" t="s">
        <v>100</v>
      </c>
      <c r="E700" t="s">
        <v>44</v>
      </c>
      <c r="F700" t="s">
        <v>148</v>
      </c>
      <c r="H700" t="str">
        <f t="shared" si="70"/>
        <v>WE 美西大区车辆管理部</v>
      </c>
      <c r="I700" t="s">
        <v>769</v>
      </c>
      <c r="J700" t="s">
        <v>236</v>
      </c>
      <c r="K700" s="15">
        <v>0.395833333333333</v>
      </c>
      <c r="L700" s="15" t="s">
        <v>218</v>
      </c>
      <c r="M700" s="15">
        <v>0.422916666666667</v>
      </c>
      <c r="N700" t="s">
        <v>2174</v>
      </c>
      <c r="O700" s="20" t="str">
        <f t="shared" si="76"/>
        <v>正确</v>
      </c>
      <c r="P700" s="21">
        <v>0</v>
      </c>
      <c r="Q700" s="21">
        <v>8.42</v>
      </c>
      <c r="R700" s="21">
        <v>0</v>
      </c>
      <c r="S700" s="21">
        <f t="shared" si="71"/>
        <v>8.42</v>
      </c>
      <c r="T700" s="21">
        <f t="shared" si="72"/>
        <v>0.42</v>
      </c>
      <c r="U700" s="21" t="str">
        <f t="shared" si="73"/>
        <v>是</v>
      </c>
      <c r="V700" s="21">
        <f>VLOOKUP($C700,[4]Sheet1!$B:$AN,39,FALSE)</f>
        <v>18.12</v>
      </c>
      <c r="W700" s="21">
        <v>0</v>
      </c>
      <c r="X700" s="23">
        <v>4</v>
      </c>
      <c r="Y700" s="23">
        <v>4</v>
      </c>
      <c r="Z700" s="25">
        <f t="shared" si="74"/>
        <v>0</v>
      </c>
      <c r="AA700" s="25" t="str">
        <f t="shared" si="75"/>
        <v>是</v>
      </c>
      <c r="AB700" t="s">
        <v>148</v>
      </c>
      <c r="AC700" t="e">
        <f>VLOOKUP(C700,[1]Sheet1!$C:$O,13,FALSE)</f>
        <v>#N/A</v>
      </c>
      <c r="AD700" t="str">
        <f>VLOOKUP($H700,'[3]0509人员排班情况 副本'!$G:$U,12,FALSE)</f>
        <v>王骞Ariel（Qian Wang）,叶秀芳Freya (Xiufang Ye)</v>
      </c>
      <c r="AE700" t="str">
        <f>VLOOKUP($H700,'[3]0509人员排班情况 副本'!$G:$U,13,FALSE)</f>
        <v>常哲</v>
      </c>
      <c r="AF700">
        <f>VLOOKUP($H700,'[3]0509人员排班情况 副本'!$G:$U,14,FALSE)</f>
        <v>0</v>
      </c>
      <c r="AG700">
        <f>VLOOKUP($H700,'[3]0509人员排班情况 副本'!$G:$U,15,FALSE)</f>
        <v>0</v>
      </c>
    </row>
    <row r="701" customHeight="1" spans="1:33">
      <c r="A701" t="s">
        <v>202</v>
      </c>
      <c r="B701" t="s">
        <v>2175</v>
      </c>
      <c r="C701" t="s">
        <v>2176</v>
      </c>
      <c r="D701" t="s">
        <v>15</v>
      </c>
      <c r="E701" t="s">
        <v>21</v>
      </c>
      <c r="F701" t="s">
        <v>148</v>
      </c>
      <c r="H701" t="str">
        <f t="shared" si="70"/>
        <v>FL 佛州大区MIA01</v>
      </c>
      <c r="I701" t="s">
        <v>177</v>
      </c>
      <c r="J701" t="s">
        <v>205</v>
      </c>
      <c r="K701" s="15">
        <v>0.166666666666667</v>
      </c>
      <c r="L701" s="15" t="s">
        <v>206</v>
      </c>
      <c r="M701" s="15">
        <v>0.16875</v>
      </c>
      <c r="N701" t="s">
        <v>696</v>
      </c>
      <c r="O701" s="20" t="str">
        <f t="shared" si="76"/>
        <v>正确</v>
      </c>
      <c r="P701" s="21">
        <v>0</v>
      </c>
      <c r="Q701" s="21">
        <v>10.68</v>
      </c>
      <c r="R701" s="21">
        <v>0</v>
      </c>
      <c r="S701" s="21">
        <f t="shared" si="71"/>
        <v>10.68</v>
      </c>
      <c r="T701" s="21">
        <f t="shared" si="72"/>
        <v>2.68</v>
      </c>
      <c r="U701" s="21" t="str">
        <f t="shared" si="73"/>
        <v>是</v>
      </c>
      <c r="V701" s="21">
        <f>VLOOKUP($C701,[4]Sheet1!$B:$AN,39,FALSE)</f>
        <v>10.68</v>
      </c>
      <c r="W701" s="21">
        <v>15.23</v>
      </c>
      <c r="X701" s="23">
        <v>4</v>
      </c>
      <c r="Y701" s="23">
        <v>4</v>
      </c>
      <c r="Z701" s="25">
        <f t="shared" si="74"/>
        <v>0</v>
      </c>
      <c r="AA701" s="25" t="str">
        <f t="shared" si="75"/>
        <v>是</v>
      </c>
      <c r="AB701" t="s">
        <v>148</v>
      </c>
      <c r="AC701" t="e">
        <f>VLOOKUP(C701,[1]Sheet1!$C:$O,13,FALSE)</f>
        <v>#N/A</v>
      </c>
      <c r="AD701" t="str">
        <f>VLOOKUP($H701,'[3]0509人员排班情况 副本'!$G:$U,12,FALSE)</f>
        <v>Natalia (Natalia Padilla),孙婕 Jasmine（Sunjie）</v>
      </c>
      <c r="AE701" t="str">
        <f>VLOOKUP($H701,'[3]0509人员排班情况 副本'!$G:$U,13,FALSE)</f>
        <v>贺子强Jeff (Ziqiang He)</v>
      </c>
      <c r="AF701">
        <f>VLOOKUP($H701,'[3]0509人员排班情况 副本'!$G:$U,14,FALSE)</f>
        <v>0</v>
      </c>
      <c r="AG701">
        <f>VLOOKUP($H701,'[3]0509人员排班情况 副本'!$G:$U,15,FALSE)</f>
        <v>0</v>
      </c>
    </row>
    <row r="702" customHeight="1" spans="1:33">
      <c r="A702" t="s">
        <v>202</v>
      </c>
      <c r="B702" t="s">
        <v>2177</v>
      </c>
      <c r="C702" t="s">
        <v>2178</v>
      </c>
      <c r="D702" t="s">
        <v>92</v>
      </c>
      <c r="E702" t="s">
        <v>97</v>
      </c>
      <c r="F702" t="s">
        <v>908</v>
      </c>
      <c r="H702" t="str">
        <f t="shared" si="70"/>
        <v>TX 德州大区NT 北德州片区OKC01</v>
      </c>
      <c r="I702" t="s">
        <v>406</v>
      </c>
      <c r="J702" t="s">
        <v>437</v>
      </c>
      <c r="K702" s="15">
        <v>0.229166666666667</v>
      </c>
      <c r="L702" s="15" t="s">
        <v>438</v>
      </c>
      <c r="M702" s="15"/>
      <c r="N702" t="s">
        <v>148</v>
      </c>
      <c r="O702" s="20" t="str">
        <f t="shared" si="76"/>
        <v>不正确</v>
      </c>
      <c r="P702" s="21">
        <v>0</v>
      </c>
      <c r="Q702" s="21">
        <v>0</v>
      </c>
      <c r="R702" s="21">
        <v>0</v>
      </c>
      <c r="S702" s="21">
        <f t="shared" si="71"/>
        <v>0</v>
      </c>
      <c r="T702" s="21">
        <f t="shared" si="72"/>
        <v>0</v>
      </c>
      <c r="U702" s="21" t="str">
        <f t="shared" si="73"/>
        <v>否</v>
      </c>
      <c r="V702" s="21">
        <f>VLOOKUP($C702,[4]Sheet1!$B:$AN,39,FALSE)</f>
        <v>0</v>
      </c>
      <c r="W702" s="21">
        <v>0</v>
      </c>
      <c r="X702" s="23">
        <v>0</v>
      </c>
      <c r="Y702" s="23">
        <v>4</v>
      </c>
      <c r="Z702" s="25">
        <f t="shared" si="74"/>
        <v>4</v>
      </c>
      <c r="AA702" s="25" t="str">
        <f t="shared" si="75"/>
        <v>是</v>
      </c>
      <c r="AB702" t="s">
        <v>148</v>
      </c>
      <c r="AC702" t="e">
        <f>VLOOKUP(C702,[1]Sheet1!$C:$O,13,FALSE)</f>
        <v>#N/A</v>
      </c>
      <c r="AD702" t="str">
        <f>VLOOKUP($H702,'[3]0509人员排班情况 副本'!$G:$U,12,FALSE)</f>
        <v>肖芦莉Lily (Luli Xiao)</v>
      </c>
      <c r="AE702" t="str">
        <f>VLOOKUP($H702,'[3]0509人员排班情况 副本'!$G:$U,13,FALSE)</f>
        <v>张骥Ji Zhang (Ji Zhang)</v>
      </c>
      <c r="AF702" t="str">
        <f>VLOOKUP($H702,'[3]0509人员排班情况 副本'!$G:$U,14,FALSE)</f>
        <v>何琼joan(Qiong He)</v>
      </c>
      <c r="AG702">
        <f>VLOOKUP($H702,'[3]0509人员排班情况 副本'!$G:$U,15,FALSE)</f>
        <v>0</v>
      </c>
    </row>
    <row r="703" customHeight="1" spans="1:33">
      <c r="A703" t="s">
        <v>202</v>
      </c>
      <c r="B703" t="s">
        <v>2179</v>
      </c>
      <c r="C703" t="s">
        <v>2180</v>
      </c>
      <c r="D703" t="s">
        <v>68</v>
      </c>
      <c r="E703" t="s">
        <v>29</v>
      </c>
      <c r="F703" t="s">
        <v>200</v>
      </c>
      <c r="H703" t="str">
        <f t="shared" si="70"/>
        <v>NE 东北大区运营支持部区域支持组</v>
      </c>
      <c r="I703" t="s">
        <v>195</v>
      </c>
      <c r="J703" t="s">
        <v>217</v>
      </c>
      <c r="K703" s="15">
        <v>0.395833333333333</v>
      </c>
      <c r="L703" s="15" t="s">
        <v>218</v>
      </c>
      <c r="M703" s="15"/>
      <c r="N703" t="s">
        <v>148</v>
      </c>
      <c r="O703" s="20" t="s">
        <v>116</v>
      </c>
      <c r="P703" s="21">
        <v>0</v>
      </c>
      <c r="Q703" s="21">
        <v>0</v>
      </c>
      <c r="R703" s="21">
        <v>0</v>
      </c>
      <c r="S703" s="21">
        <f t="shared" si="71"/>
        <v>0</v>
      </c>
      <c r="T703" s="21">
        <f t="shared" si="72"/>
        <v>0</v>
      </c>
      <c r="U703" s="21" t="str">
        <f t="shared" si="73"/>
        <v>否</v>
      </c>
      <c r="V703" s="21">
        <f>VLOOKUP($C703,[4]Sheet1!$B:$AN,39,FALSE)</f>
        <v>0</v>
      </c>
      <c r="W703" s="21">
        <v>0</v>
      </c>
      <c r="X703" s="23">
        <v>0</v>
      </c>
      <c r="Y703" s="23">
        <v>0</v>
      </c>
      <c r="Z703" s="25">
        <f t="shared" si="74"/>
        <v>0</v>
      </c>
      <c r="AA703" s="25" t="str">
        <f t="shared" si="75"/>
        <v>是</v>
      </c>
      <c r="AB703" t="s">
        <v>148</v>
      </c>
      <c r="AC703" t="e">
        <f>VLOOKUP(C703,[1]Sheet1!$C:$O,13,FALSE)</f>
        <v>#N/A</v>
      </c>
      <c r="AD703" t="str">
        <f>VLOOKUP($H703,'[3]0509人员排班情况 副本'!$G:$U,12,FALSE)</f>
        <v>孙可君Monica（Kejun Sun）</v>
      </c>
      <c r="AE703" t="str">
        <f>VLOOKUP($H703,'[3]0509人员排班情况 副本'!$G:$U,13,FALSE)</f>
        <v>马聪Cong (Cong Ma)</v>
      </c>
      <c r="AF703">
        <f>VLOOKUP($H703,'[3]0509人员排班情况 副本'!$G:$U,14,FALSE)</f>
        <v>0</v>
      </c>
      <c r="AG703">
        <f>VLOOKUP($H703,'[3]0509人员排班情况 副本'!$G:$U,15,FALSE)</f>
        <v>0</v>
      </c>
    </row>
    <row r="704" customHeight="1" spans="1:33">
      <c r="A704" t="s">
        <v>202</v>
      </c>
      <c r="B704" t="s">
        <v>2181</v>
      </c>
      <c r="C704" t="s">
        <v>2182</v>
      </c>
      <c r="D704" t="s">
        <v>68</v>
      </c>
      <c r="E704" t="s">
        <v>45</v>
      </c>
      <c r="F704" t="s">
        <v>744</v>
      </c>
      <c r="H704" t="str">
        <f t="shared" si="70"/>
        <v>NE 东北大区揽收部揽收调度组</v>
      </c>
      <c r="I704" t="s">
        <v>608</v>
      </c>
      <c r="J704" t="s">
        <v>295</v>
      </c>
      <c r="K704" s="15">
        <v>0.375</v>
      </c>
      <c r="L704" s="15" t="s">
        <v>296</v>
      </c>
      <c r="M704" s="15">
        <v>0.352083333333333</v>
      </c>
      <c r="N704" t="s">
        <v>401</v>
      </c>
      <c r="O704" s="20" t="str">
        <f t="shared" si="76"/>
        <v>正确</v>
      </c>
      <c r="P704" s="21">
        <v>0</v>
      </c>
      <c r="Q704" s="21">
        <v>11.55</v>
      </c>
      <c r="R704" s="21">
        <v>0</v>
      </c>
      <c r="S704" s="21">
        <f t="shared" si="71"/>
        <v>11.55</v>
      </c>
      <c r="T704" s="21">
        <f t="shared" si="72"/>
        <v>3.55</v>
      </c>
      <c r="U704" s="21" t="str">
        <f t="shared" si="73"/>
        <v>是</v>
      </c>
      <c r="V704" s="21">
        <f>VLOOKUP($C704,[4]Sheet1!$B:$AN,39,FALSE)</f>
        <v>24.78</v>
      </c>
      <c r="W704" s="21">
        <v>0</v>
      </c>
      <c r="X704" s="23">
        <v>2</v>
      </c>
      <c r="Y704" s="23">
        <v>4</v>
      </c>
      <c r="Z704" s="25">
        <f t="shared" si="74"/>
        <v>2</v>
      </c>
      <c r="AA704" s="25" t="str">
        <f t="shared" si="75"/>
        <v>是</v>
      </c>
      <c r="AB704" t="s">
        <v>148</v>
      </c>
      <c r="AC704" t="e">
        <f>VLOOKUP(C704,[1]Sheet1!$C:$O,13,FALSE)</f>
        <v>#N/A</v>
      </c>
      <c r="AD704" t="str">
        <f>VLOOKUP($H704,'[3]0509人员排班情况 副本'!$G:$U,12,FALSE)</f>
        <v>孙可君Monica（Kejun Sun）</v>
      </c>
      <c r="AE704" t="str">
        <f>VLOOKUP($H704,'[3]0509人员排班情况 副本'!$G:$U,13,FALSE)</f>
        <v>马聪Cong (Cong Ma)</v>
      </c>
      <c r="AF704">
        <f>VLOOKUP($H704,'[3]0509人员排班情况 副本'!$G:$U,14,FALSE)</f>
        <v>0</v>
      </c>
      <c r="AG704">
        <f>VLOOKUP($H704,'[3]0509人员排班情况 副本'!$G:$U,15,FALSE)</f>
        <v>0</v>
      </c>
    </row>
    <row r="705" customHeight="1" spans="1:33">
      <c r="A705" t="s">
        <v>202</v>
      </c>
      <c r="B705" t="s">
        <v>2183</v>
      </c>
      <c r="C705" t="s">
        <v>2184</v>
      </c>
      <c r="D705" t="s">
        <v>100</v>
      </c>
      <c r="E705" t="s">
        <v>106</v>
      </c>
      <c r="F705" t="s">
        <v>879</v>
      </c>
      <c r="H705" t="str">
        <f t="shared" si="70"/>
        <v>WE 美西大区SC 南加片区LAX01</v>
      </c>
      <c r="I705" t="s">
        <v>156</v>
      </c>
      <c r="J705" t="s">
        <v>205</v>
      </c>
      <c r="K705" s="15">
        <v>0.166666666666667</v>
      </c>
      <c r="L705" s="15" t="s">
        <v>206</v>
      </c>
      <c r="M705" s="15">
        <v>0.165972222222222</v>
      </c>
      <c r="N705" t="s">
        <v>2185</v>
      </c>
      <c r="O705" s="20" t="str">
        <f t="shared" si="76"/>
        <v>正确</v>
      </c>
      <c r="P705" s="21">
        <v>0</v>
      </c>
      <c r="Q705" s="21">
        <v>8.35</v>
      </c>
      <c r="R705" s="21">
        <v>0</v>
      </c>
      <c r="S705" s="21">
        <f t="shared" si="71"/>
        <v>8.35</v>
      </c>
      <c r="T705" s="21">
        <f t="shared" si="72"/>
        <v>0.35</v>
      </c>
      <c r="U705" s="21" t="str">
        <f t="shared" si="73"/>
        <v>是</v>
      </c>
      <c r="V705" s="21">
        <f>VLOOKUP($C705,[4]Sheet1!$B:$AN,39,FALSE)</f>
        <v>12.47</v>
      </c>
      <c r="W705" s="21">
        <v>0</v>
      </c>
      <c r="X705" s="23">
        <v>4</v>
      </c>
      <c r="Y705" s="23">
        <v>4</v>
      </c>
      <c r="Z705" s="25">
        <f t="shared" si="74"/>
        <v>0</v>
      </c>
      <c r="AA705" s="25" t="str">
        <f t="shared" si="75"/>
        <v>是</v>
      </c>
      <c r="AB705" t="s">
        <v>148</v>
      </c>
      <c r="AC705" t="e">
        <f>VLOOKUP(C705,[1]Sheet1!$C:$O,13,FALSE)</f>
        <v>#N/A</v>
      </c>
      <c r="AD705" t="str">
        <f>VLOOKUP($H705,'[3]0509人员排班情况 副本'!$G:$U,12,FALSE)</f>
        <v>王骞Ariel（Qian Wang）,叶秀芳Freya (Xiufang Ye)</v>
      </c>
      <c r="AE705" t="str">
        <f>VLOOKUP($H705,'[3]0509人员排班情况 副本'!$G:$U,13,FALSE)</f>
        <v>常哲</v>
      </c>
      <c r="AF705" t="str">
        <f>VLOOKUP($H705,'[3]0509人员排班情况 副本'!$G:$U,14,FALSE)</f>
        <v>尤梦楠Yuko（Mengnan You）</v>
      </c>
      <c r="AG705">
        <f>VLOOKUP($H705,'[3]0509人员排班情况 副本'!$G:$U,15,FALSE)</f>
        <v>0</v>
      </c>
    </row>
    <row r="706" customHeight="1" spans="1:33">
      <c r="A706" t="s">
        <v>202</v>
      </c>
      <c r="B706" t="s">
        <v>2186</v>
      </c>
      <c r="C706" t="s">
        <v>2187</v>
      </c>
      <c r="D706" t="s">
        <v>100</v>
      </c>
      <c r="E706" t="s">
        <v>104</v>
      </c>
      <c r="F706" t="s">
        <v>927</v>
      </c>
      <c r="H706" t="str">
        <f t="shared" si="70"/>
        <v>WE 美西大区LA揽收部揽收支持组</v>
      </c>
      <c r="I706" t="s">
        <v>928</v>
      </c>
      <c r="J706" t="s">
        <v>236</v>
      </c>
      <c r="K706" s="15">
        <v>0.395833333333333</v>
      </c>
      <c r="L706" s="15" t="s">
        <v>218</v>
      </c>
      <c r="M706" s="15"/>
      <c r="N706" t="s">
        <v>148</v>
      </c>
      <c r="O706" s="20" t="str">
        <f t="shared" si="76"/>
        <v>不正确</v>
      </c>
      <c r="P706" s="21">
        <v>0</v>
      </c>
      <c r="Q706" s="21">
        <v>0</v>
      </c>
      <c r="R706" s="21">
        <v>0</v>
      </c>
      <c r="S706" s="21">
        <f t="shared" si="71"/>
        <v>0</v>
      </c>
      <c r="T706" s="21">
        <f t="shared" si="72"/>
        <v>0</v>
      </c>
      <c r="U706" s="21" t="str">
        <f t="shared" si="73"/>
        <v>否</v>
      </c>
      <c r="V706" s="21">
        <f>VLOOKUP($C706,[4]Sheet1!$B:$AN,39,FALSE)</f>
        <v>0</v>
      </c>
      <c r="W706" s="21">
        <v>0</v>
      </c>
      <c r="X706" s="23">
        <v>0</v>
      </c>
      <c r="Y706" s="23">
        <v>0</v>
      </c>
      <c r="Z706" s="25">
        <f t="shared" si="74"/>
        <v>0</v>
      </c>
      <c r="AA706" s="25" t="str">
        <f t="shared" si="75"/>
        <v>是</v>
      </c>
      <c r="AB706" t="s">
        <v>240</v>
      </c>
      <c r="AC706" t="e">
        <f>VLOOKUP(C706,[1]Sheet1!$C:$O,13,FALSE)</f>
        <v>#N/A</v>
      </c>
      <c r="AD706" t="str">
        <f>VLOOKUP($H706,'[3]0509人员排班情况 副本'!$G:$U,12,FALSE)</f>
        <v>王骞Ariel（Qian Wang）,叶秀芳Freya (Xiufang Ye)</v>
      </c>
      <c r="AE706" t="str">
        <f>VLOOKUP($H706,'[3]0509人员排班情况 副本'!$G:$U,13,FALSE)</f>
        <v>常哲</v>
      </c>
      <c r="AF706" t="str">
        <f>VLOOKUP($H706,'[3]0509人员排班情况 副本'!$G:$U,14,FALSE)</f>
        <v>王姝涵Function（Shuhan Wang)</v>
      </c>
      <c r="AG706">
        <f>VLOOKUP($H706,'[3]0509人员排班情况 副本'!$G:$U,15,FALSE)</f>
        <v>0</v>
      </c>
    </row>
    <row r="707" customHeight="1" spans="1:33">
      <c r="A707" t="s">
        <v>202</v>
      </c>
      <c r="B707" t="s">
        <v>2188</v>
      </c>
      <c r="C707" t="s">
        <v>2189</v>
      </c>
      <c r="D707" t="s">
        <v>31</v>
      </c>
      <c r="E707" t="s">
        <v>36</v>
      </c>
      <c r="F707" t="s">
        <v>148</v>
      </c>
      <c r="H707" t="str">
        <f t="shared" si="70"/>
        <v>GL 大湖大区EG 东大湖片区</v>
      </c>
      <c r="I707" t="s">
        <v>682</v>
      </c>
      <c r="J707" t="s">
        <v>343</v>
      </c>
      <c r="K707" s="15">
        <v>0.25</v>
      </c>
      <c r="L707" s="15" t="s">
        <v>344</v>
      </c>
      <c r="M707" s="15"/>
      <c r="N707" t="s">
        <v>148</v>
      </c>
      <c r="O707" s="20" t="str">
        <f t="shared" si="76"/>
        <v>不正确</v>
      </c>
      <c r="P707" s="21">
        <v>0</v>
      </c>
      <c r="Q707" s="21">
        <v>0</v>
      </c>
      <c r="R707" s="21">
        <v>0</v>
      </c>
      <c r="S707" s="21">
        <f t="shared" si="71"/>
        <v>0</v>
      </c>
      <c r="T707" s="21">
        <f t="shared" si="72"/>
        <v>0</v>
      </c>
      <c r="U707" s="21" t="str">
        <f t="shared" si="73"/>
        <v>否</v>
      </c>
      <c r="V707" s="21">
        <f>VLOOKUP($C707,[4]Sheet1!$B:$AN,39,FALSE)</f>
        <v>0</v>
      </c>
      <c r="W707" s="21">
        <v>0</v>
      </c>
      <c r="X707" s="23">
        <v>0</v>
      </c>
      <c r="Y707" s="23">
        <v>0</v>
      </c>
      <c r="Z707" s="25">
        <f t="shared" si="74"/>
        <v>0</v>
      </c>
      <c r="AA707" s="25" t="str">
        <f t="shared" si="75"/>
        <v>是</v>
      </c>
      <c r="AB707" t="s">
        <v>1620</v>
      </c>
      <c r="AC707" t="e">
        <f>VLOOKUP(C707,[1]Sheet1!$C:$O,13,FALSE)</f>
        <v>#N/A</v>
      </c>
      <c r="AD707" t="str">
        <f>VLOOKUP($H707,'[3]0509人员排班情况 副本'!$G:$U,12,FALSE)</f>
        <v>王晓丹 Jasmine（Xiaodan Wang）,周延舒Isabel（Yanshu Zhou）</v>
      </c>
      <c r="AE707" t="str">
        <f>VLOOKUP($H707,'[3]0509人员排班情况 副本'!$G:$U,13,FALSE)</f>
        <v>张骥Ji Zhang (Ji Zhang)</v>
      </c>
      <c r="AF707">
        <f>VLOOKUP($H707,'[3]0509人员排班情况 副本'!$G:$U,14,FALSE)</f>
        <v>0</v>
      </c>
      <c r="AG707">
        <f>VLOOKUP($H707,'[3]0509人员排班情况 副本'!$G:$U,15,FALSE)</f>
        <v>0</v>
      </c>
    </row>
    <row r="708" customHeight="1" spans="1:33">
      <c r="A708" t="s">
        <v>202</v>
      </c>
      <c r="B708" t="s">
        <v>2190</v>
      </c>
      <c r="C708" t="s">
        <v>2191</v>
      </c>
      <c r="D708" t="s">
        <v>68</v>
      </c>
      <c r="E708" t="s">
        <v>45</v>
      </c>
      <c r="F708" t="s">
        <v>744</v>
      </c>
      <c r="H708" t="str">
        <f t="shared" ref="H708:H771" si="77">D708&amp;E708&amp;F708</f>
        <v>NE 东北大区揽收部揽收调度组</v>
      </c>
      <c r="I708" t="s">
        <v>608</v>
      </c>
      <c r="J708" t="s">
        <v>236</v>
      </c>
      <c r="K708" s="15">
        <v>0.395833333333333</v>
      </c>
      <c r="L708" s="15" t="s">
        <v>218</v>
      </c>
      <c r="M708" s="15">
        <v>0.390972222222222</v>
      </c>
      <c r="N708" t="s">
        <v>2192</v>
      </c>
      <c r="O708" s="20" t="str">
        <f t="shared" ref="O708:O771" si="78">IFERROR(IF(ABS(M708-K708)&lt;=1/24,"正确","不正确"),"/")</f>
        <v>正确</v>
      </c>
      <c r="P708" s="21">
        <v>0</v>
      </c>
      <c r="Q708" s="21">
        <v>11.57</v>
      </c>
      <c r="R708" s="21">
        <v>0</v>
      </c>
      <c r="S708" s="21">
        <f t="shared" ref="S708:S771" si="79">Q708+R708</f>
        <v>11.57</v>
      </c>
      <c r="T708" s="21">
        <f t="shared" ref="T708:T771" si="80">IF(S708-8&gt;0,S708-8,0)</f>
        <v>3.57</v>
      </c>
      <c r="U708" s="21" t="str">
        <f t="shared" ref="U708:U771" si="81">IF(T708=0,"否","是")</f>
        <v>是</v>
      </c>
      <c r="V708" s="21">
        <f>VLOOKUP($C708,[4]Sheet1!$B:$AN,39,FALSE)</f>
        <v>23.24</v>
      </c>
      <c r="W708" s="21">
        <v>27.35</v>
      </c>
      <c r="X708" s="23">
        <v>2</v>
      </c>
      <c r="Y708" s="23">
        <v>4</v>
      </c>
      <c r="Z708" s="25">
        <f t="shared" ref="Z708:Z771" si="82">IF(Y708-X708&gt;=0,Y708-X708,0)</f>
        <v>2</v>
      </c>
      <c r="AA708" s="25" t="str">
        <f t="shared" ref="AA708:AA771" si="83">IF(J708="","否","是")</f>
        <v>是</v>
      </c>
      <c r="AB708" t="s">
        <v>148</v>
      </c>
      <c r="AC708" t="e">
        <f>VLOOKUP(C708,[1]Sheet1!$C:$O,13,FALSE)</f>
        <v>#N/A</v>
      </c>
      <c r="AD708" t="str">
        <f>VLOOKUP($H708,'[3]0509人员排班情况 副本'!$G:$U,12,FALSE)</f>
        <v>孙可君Monica（Kejun Sun）</v>
      </c>
      <c r="AE708" t="str">
        <f>VLOOKUP($H708,'[3]0509人员排班情况 副本'!$G:$U,13,FALSE)</f>
        <v>马聪Cong (Cong Ma)</v>
      </c>
      <c r="AF708">
        <f>VLOOKUP($H708,'[3]0509人员排班情况 副本'!$G:$U,14,FALSE)</f>
        <v>0</v>
      </c>
      <c r="AG708">
        <f>VLOOKUP($H708,'[3]0509人员排班情况 副本'!$G:$U,15,FALSE)</f>
        <v>0</v>
      </c>
    </row>
    <row r="709" customHeight="1" spans="1:33">
      <c r="A709" t="s">
        <v>202</v>
      </c>
      <c r="B709" t="s">
        <v>2193</v>
      </c>
      <c r="C709" t="s">
        <v>2194</v>
      </c>
      <c r="D709" t="s">
        <v>99</v>
      </c>
      <c r="E709" t="s">
        <v>677</v>
      </c>
      <c r="F709" t="s">
        <v>678</v>
      </c>
      <c r="H709" t="str">
        <f t="shared" si="77"/>
        <v>US人力资源部美洲HRBP组德州区HR组</v>
      </c>
      <c r="I709" t="s">
        <v>710</v>
      </c>
      <c r="J709" t="s">
        <v>236</v>
      </c>
      <c r="K709" s="15">
        <v>0.395833333333333</v>
      </c>
      <c r="L709" s="15" t="s">
        <v>218</v>
      </c>
      <c r="M709" s="15"/>
      <c r="N709" t="s">
        <v>148</v>
      </c>
      <c r="O709" s="20" t="str">
        <f t="shared" si="78"/>
        <v>不正确</v>
      </c>
      <c r="P709" s="21">
        <v>0</v>
      </c>
      <c r="Q709" s="21">
        <v>0</v>
      </c>
      <c r="R709" s="21">
        <v>0</v>
      </c>
      <c r="S709" s="21">
        <f t="shared" si="79"/>
        <v>0</v>
      </c>
      <c r="T709" s="21">
        <f t="shared" si="80"/>
        <v>0</v>
      </c>
      <c r="U709" s="21" t="str">
        <f t="shared" si="81"/>
        <v>否</v>
      </c>
      <c r="V709" s="21">
        <f>VLOOKUP($C709,[4]Sheet1!$B:$AN,39,FALSE)</f>
        <v>0</v>
      </c>
      <c r="W709" s="21">
        <v>0</v>
      </c>
      <c r="X709" s="23">
        <v>0</v>
      </c>
      <c r="Y709" s="23">
        <v>4</v>
      </c>
      <c r="Z709" s="25">
        <f t="shared" si="82"/>
        <v>4</v>
      </c>
      <c r="AA709" s="25" t="str">
        <f t="shared" si="83"/>
        <v>是</v>
      </c>
      <c r="AB709" t="s">
        <v>148</v>
      </c>
      <c r="AC709" t="e">
        <f>VLOOKUP(C709,[1]Sheet1!$C:$O,13,FALSE)</f>
        <v>#N/A</v>
      </c>
      <c r="AD709" t="str">
        <f>VLOOKUP($H709,'[3]0509人员排班情况 副本'!$G:$U,12,FALSE)</f>
        <v>袁博闻(Bowen Yuan)</v>
      </c>
      <c r="AE709">
        <f>VLOOKUP($H709,'[3]0509人员排班情况 副本'!$G:$U,13,FALSE)</f>
        <v>0</v>
      </c>
      <c r="AF709">
        <f>VLOOKUP($H709,'[3]0509人员排班情况 副本'!$G:$U,14,FALSE)</f>
        <v>0</v>
      </c>
      <c r="AG709">
        <f>VLOOKUP($H709,'[3]0509人员排班情况 副本'!$G:$U,15,FALSE)</f>
        <v>0</v>
      </c>
    </row>
    <row r="710" customHeight="1" spans="1:33">
      <c r="A710" t="s">
        <v>202</v>
      </c>
      <c r="B710" t="s">
        <v>2195</v>
      </c>
      <c r="C710" t="s">
        <v>2196</v>
      </c>
      <c r="D710" t="s">
        <v>31</v>
      </c>
      <c r="E710" t="s">
        <v>40</v>
      </c>
      <c r="F710" t="s">
        <v>2197</v>
      </c>
      <c r="H710" t="str">
        <f t="shared" si="77"/>
        <v>GL 大湖大区NM 中西部北片区MSP01</v>
      </c>
      <c r="I710" t="s">
        <v>406</v>
      </c>
      <c r="J710" t="s">
        <v>437</v>
      </c>
      <c r="K710" s="15">
        <v>0.229166666666667</v>
      </c>
      <c r="L710" s="15" t="s">
        <v>438</v>
      </c>
      <c r="M710" s="15">
        <v>0.263888888888889</v>
      </c>
      <c r="N710" t="s">
        <v>2198</v>
      </c>
      <c r="O710" s="20" t="str">
        <f t="shared" si="78"/>
        <v>正确</v>
      </c>
      <c r="P710" s="21">
        <v>0</v>
      </c>
      <c r="Q710" s="21">
        <v>7.68</v>
      </c>
      <c r="R710" s="21">
        <v>0</v>
      </c>
      <c r="S710" s="21">
        <f t="shared" si="79"/>
        <v>7.68</v>
      </c>
      <c r="T710" s="21">
        <f t="shared" si="80"/>
        <v>0</v>
      </c>
      <c r="U710" s="21" t="str">
        <f t="shared" si="81"/>
        <v>否</v>
      </c>
      <c r="V710" s="21">
        <f>VLOOKUP($C710,[4]Sheet1!$B:$AN,39,FALSE)</f>
        <v>7.68</v>
      </c>
      <c r="W710" s="21">
        <v>0</v>
      </c>
      <c r="X710" s="23">
        <v>4</v>
      </c>
      <c r="Y710" s="23">
        <v>4</v>
      </c>
      <c r="Z710" s="25">
        <f t="shared" si="82"/>
        <v>0</v>
      </c>
      <c r="AA710" s="25" t="str">
        <f t="shared" si="83"/>
        <v>是</v>
      </c>
      <c r="AB710" t="s">
        <v>148</v>
      </c>
      <c r="AC710" t="e">
        <f>VLOOKUP(C710,[1]Sheet1!$C:$O,13,FALSE)</f>
        <v>#N/A</v>
      </c>
      <c r="AD710" t="str">
        <f>VLOOKUP($H710,'[3]0509人员排班情况 副本'!$G:$U,12,FALSE)</f>
        <v>王晓丹 Jasmine（Xiaodan Wang）,周延舒Isabel（Yanshu Zhou）</v>
      </c>
      <c r="AE710" t="str">
        <f>VLOOKUP($H710,'[3]0509人员排班情况 副本'!$G:$U,13,FALSE)</f>
        <v>张骥Ji Zhang (Ji Zhang)</v>
      </c>
      <c r="AF710" t="str">
        <f>VLOOKUP($H710,'[3]0509人员排班情况 副本'!$G:$U,14,FALSE)</f>
        <v>武杰 Jay（Jie Wu）,尚青蓓 Suki （Qingbei Shang）</v>
      </c>
      <c r="AG710">
        <f>VLOOKUP($H710,'[3]0509人员排班情况 副本'!$G:$U,15,FALSE)</f>
        <v>0</v>
      </c>
    </row>
    <row r="711" customHeight="1" spans="1:33">
      <c r="A711" t="s">
        <v>202</v>
      </c>
      <c r="B711" t="s">
        <v>2199</v>
      </c>
      <c r="C711" t="s">
        <v>2200</v>
      </c>
      <c r="D711" t="s">
        <v>8</v>
      </c>
      <c r="E711" t="s">
        <v>1549</v>
      </c>
      <c r="F711" t="s">
        <v>148</v>
      </c>
      <c r="H711" t="str">
        <f t="shared" si="77"/>
        <v>AD 行政部美中组</v>
      </c>
      <c r="I711" t="s">
        <v>1607</v>
      </c>
      <c r="J711" t="s">
        <v>236</v>
      </c>
      <c r="K711" s="15">
        <v>0.395833333333333</v>
      </c>
      <c r="L711" s="15" t="s">
        <v>218</v>
      </c>
      <c r="M711" s="15"/>
      <c r="N711" t="s">
        <v>148</v>
      </c>
      <c r="O711" s="20" t="str">
        <f t="shared" si="78"/>
        <v>不正确</v>
      </c>
      <c r="P711" s="21">
        <v>0</v>
      </c>
      <c r="Q711" s="21">
        <v>0</v>
      </c>
      <c r="R711" s="21">
        <v>0</v>
      </c>
      <c r="S711" s="21">
        <f t="shared" si="79"/>
        <v>0</v>
      </c>
      <c r="T711" s="21">
        <f t="shared" si="80"/>
        <v>0</v>
      </c>
      <c r="U711" s="21" t="str">
        <f t="shared" si="81"/>
        <v>否</v>
      </c>
      <c r="V711" s="21">
        <f>VLOOKUP($C711,[4]Sheet1!$B:$AN,39,FALSE)</f>
        <v>0</v>
      </c>
      <c r="W711" s="21">
        <v>0</v>
      </c>
      <c r="X711" s="23">
        <v>0</v>
      </c>
      <c r="Y711" s="23">
        <v>0</v>
      </c>
      <c r="Z711" s="25">
        <f t="shared" si="82"/>
        <v>0</v>
      </c>
      <c r="AA711" s="25" t="str">
        <f t="shared" si="83"/>
        <v>是</v>
      </c>
      <c r="AB711" t="s">
        <v>240</v>
      </c>
      <c r="AC711" t="e">
        <f>VLOOKUP(C711,[1]Sheet1!$C:$O,13,FALSE)</f>
        <v>#N/A</v>
      </c>
      <c r="AD711" t="str">
        <f>VLOOKUP($H711,'[3]0509人员排班情况 副本'!$G:$U,12,FALSE)</f>
        <v>袁博闻(Bowen Yuan)</v>
      </c>
      <c r="AE711">
        <f>VLOOKUP($H711,'[3]0509人员排班情况 副本'!$G:$U,13,FALSE)</f>
        <v>0</v>
      </c>
      <c r="AF711">
        <f>VLOOKUP($H711,'[3]0509人员排班情况 副本'!$G:$U,14,FALSE)</f>
        <v>0</v>
      </c>
      <c r="AG711">
        <f>VLOOKUP($H711,'[3]0509人员排班情况 副本'!$G:$U,15,FALSE)</f>
        <v>0</v>
      </c>
    </row>
    <row r="712" customHeight="1" spans="1:33">
      <c r="A712" t="s">
        <v>202</v>
      </c>
      <c r="B712" t="s">
        <v>2201</v>
      </c>
      <c r="C712" t="s">
        <v>2202</v>
      </c>
      <c r="D712" t="s">
        <v>47</v>
      </c>
      <c r="E712" t="s">
        <v>2203</v>
      </c>
      <c r="F712" t="s">
        <v>2204</v>
      </c>
      <c r="H712" t="str">
        <f t="shared" si="77"/>
        <v>Gofo财务部综合财务组美区核算组</v>
      </c>
      <c r="I712" t="s">
        <v>2205</v>
      </c>
      <c r="J712" t="s">
        <v>236</v>
      </c>
      <c r="K712" s="15">
        <v>0.395833333333333</v>
      </c>
      <c r="L712" s="15" t="s">
        <v>218</v>
      </c>
      <c r="M712" s="15"/>
      <c r="N712" t="s">
        <v>148</v>
      </c>
      <c r="O712" s="20" t="str">
        <f t="shared" si="78"/>
        <v>不正确</v>
      </c>
      <c r="P712" s="21">
        <v>0</v>
      </c>
      <c r="Q712" s="21">
        <v>0</v>
      </c>
      <c r="R712" s="21">
        <v>0</v>
      </c>
      <c r="S712" s="21">
        <f t="shared" si="79"/>
        <v>0</v>
      </c>
      <c r="T712" s="21">
        <f t="shared" si="80"/>
        <v>0</v>
      </c>
      <c r="U712" s="21" t="str">
        <f t="shared" si="81"/>
        <v>否</v>
      </c>
      <c r="V712" s="21">
        <f>VLOOKUP($C712,[4]Sheet1!$B:$AN,39,FALSE)</f>
        <v>0</v>
      </c>
      <c r="W712" s="21">
        <v>0</v>
      </c>
      <c r="X712" s="23">
        <v>0</v>
      </c>
      <c r="Y712" s="23">
        <v>4</v>
      </c>
      <c r="Z712" s="25">
        <f t="shared" si="82"/>
        <v>4</v>
      </c>
      <c r="AA712" s="25" t="str">
        <f t="shared" si="83"/>
        <v>是</v>
      </c>
      <c r="AB712" t="s">
        <v>148</v>
      </c>
      <c r="AC712" t="e">
        <f>VLOOKUP(C712,[1]Sheet1!$C:$O,13,FALSE)</f>
        <v>#N/A</v>
      </c>
      <c r="AD712" t="str">
        <f>VLOOKUP($H712,'[3]0509人员排班情况 副本'!$G:$U,12,FALSE)</f>
        <v>袁博闻(Bowen Yuan)</v>
      </c>
      <c r="AE712">
        <f>VLOOKUP($H712,'[3]0509人员排班情况 副本'!$G:$U,13,FALSE)</f>
        <v>0</v>
      </c>
      <c r="AF712">
        <f>VLOOKUP($H712,'[3]0509人员排班情况 副本'!$G:$U,14,FALSE)</f>
        <v>0</v>
      </c>
      <c r="AG712">
        <f>VLOOKUP($H712,'[3]0509人员排班情况 副本'!$G:$U,15,FALSE)</f>
        <v>0</v>
      </c>
    </row>
    <row r="713" customHeight="1" spans="1:33">
      <c r="A713" t="s">
        <v>202</v>
      </c>
      <c r="B713" t="s">
        <v>2206</v>
      </c>
      <c r="C713" t="s">
        <v>2207</v>
      </c>
      <c r="D713" t="s">
        <v>92</v>
      </c>
      <c r="E713" t="s">
        <v>93</v>
      </c>
      <c r="F713" t="s">
        <v>2208</v>
      </c>
      <c r="H713" t="str">
        <f t="shared" si="77"/>
        <v>TX 德州大区CT 中德州片区SAT01</v>
      </c>
      <c r="I713" t="s">
        <v>177</v>
      </c>
      <c r="J713" t="s">
        <v>437</v>
      </c>
      <c r="K713" s="15">
        <v>0.229166666666667</v>
      </c>
      <c r="L713" s="15" t="s">
        <v>438</v>
      </c>
      <c r="M713" s="15">
        <v>0.219444444444444</v>
      </c>
      <c r="N713" t="s">
        <v>2209</v>
      </c>
      <c r="O713" s="20" t="str">
        <f t="shared" si="78"/>
        <v>正确</v>
      </c>
      <c r="P713" s="21">
        <v>0</v>
      </c>
      <c r="Q713" s="21">
        <v>5.37</v>
      </c>
      <c r="R713" s="21">
        <v>0</v>
      </c>
      <c r="S713" s="21">
        <f t="shared" si="79"/>
        <v>5.37</v>
      </c>
      <c r="T713" s="21">
        <f t="shared" si="80"/>
        <v>0</v>
      </c>
      <c r="U713" s="21" t="str">
        <f t="shared" si="81"/>
        <v>否</v>
      </c>
      <c r="V713" s="21">
        <f>VLOOKUP($C713,[4]Sheet1!$B:$AN,39,FALSE)</f>
        <v>12.57</v>
      </c>
      <c r="W713" s="21">
        <v>13.23</v>
      </c>
      <c r="X713" s="23">
        <v>4</v>
      </c>
      <c r="Y713" s="23">
        <v>4</v>
      </c>
      <c r="Z713" s="25">
        <f t="shared" si="82"/>
        <v>0</v>
      </c>
      <c r="AA713" s="25" t="str">
        <f t="shared" si="83"/>
        <v>是</v>
      </c>
      <c r="AB713" t="s">
        <v>148</v>
      </c>
      <c r="AC713" t="e">
        <f>VLOOKUP(C713,[1]Sheet1!$C:$O,13,FALSE)</f>
        <v>#N/A</v>
      </c>
      <c r="AD713" t="str">
        <f>VLOOKUP($H713,'[3]0509人员排班情况 副本'!$G:$U,12,FALSE)</f>
        <v>肖芦莉Lily (Luli Xiao)</v>
      </c>
      <c r="AE713" t="str">
        <f>VLOOKUP($H713,'[3]0509人员排班情况 副本'!$G:$U,13,FALSE)</f>
        <v>张骥Ji Zhang (Ji Zhang)</v>
      </c>
      <c r="AF713" t="str">
        <f>VLOOKUP($H713,'[3]0509人员排班情况 副本'!$G:$U,14,FALSE)</f>
        <v>陈潇剑Echo(Xiaojian Chen)</v>
      </c>
      <c r="AG713">
        <f>VLOOKUP($H713,'[3]0509人员排班情况 副本'!$G:$U,15,FALSE)</f>
        <v>0</v>
      </c>
    </row>
    <row r="714" customHeight="1" spans="1:33">
      <c r="A714" t="s">
        <v>202</v>
      </c>
      <c r="B714" t="s">
        <v>2210</v>
      </c>
      <c r="C714" t="s">
        <v>2211</v>
      </c>
      <c r="D714" t="s">
        <v>31</v>
      </c>
      <c r="E714" t="s">
        <v>41</v>
      </c>
      <c r="F714" t="s">
        <v>243</v>
      </c>
      <c r="G714" t="s">
        <v>112</v>
      </c>
      <c r="H714" t="str">
        <f t="shared" si="77"/>
        <v>GL 大湖大区ORD.H调度组</v>
      </c>
      <c r="I714" t="s">
        <v>160</v>
      </c>
      <c r="J714" t="s">
        <v>655</v>
      </c>
      <c r="K714" s="15">
        <v>0.583333333333333</v>
      </c>
      <c r="L714" s="15" t="s">
        <v>656</v>
      </c>
      <c r="M714" s="15">
        <v>0.570138888888889</v>
      </c>
      <c r="N714" t="s">
        <v>2212</v>
      </c>
      <c r="O714" s="20" t="str">
        <f t="shared" si="78"/>
        <v>正确</v>
      </c>
      <c r="P714" s="21">
        <v>0</v>
      </c>
      <c r="Q714" s="21">
        <v>8.68</v>
      </c>
      <c r="R714" s="21">
        <v>0</v>
      </c>
      <c r="S714" s="21">
        <f t="shared" si="79"/>
        <v>8.68</v>
      </c>
      <c r="T714" s="21">
        <f t="shared" si="80"/>
        <v>0.68</v>
      </c>
      <c r="U714" s="21" t="str">
        <f t="shared" si="81"/>
        <v>是</v>
      </c>
      <c r="V714" s="21">
        <f>VLOOKUP($C714,[4]Sheet1!$B:$AN,39,FALSE)</f>
        <v>8.68</v>
      </c>
      <c r="W714" s="21">
        <v>0</v>
      </c>
      <c r="X714" s="23">
        <v>2</v>
      </c>
      <c r="Y714" s="23">
        <v>4</v>
      </c>
      <c r="Z714" s="25">
        <f t="shared" si="82"/>
        <v>2</v>
      </c>
      <c r="AA714" s="25" t="str">
        <f t="shared" si="83"/>
        <v>是</v>
      </c>
      <c r="AB714" t="s">
        <v>148</v>
      </c>
      <c r="AC714" t="e">
        <f>VLOOKUP(C714,[1]Sheet1!$C:$O,13,FALSE)</f>
        <v>#N/A</v>
      </c>
      <c r="AD714" t="str">
        <f>VLOOKUP($H714,'[3]0509人员排班情况 副本'!$G:$U,12,FALSE)</f>
        <v>王晓丹 Jasmine（Xiaodan Wang）,周延舒Isabel（Yanshu Zhou）</v>
      </c>
      <c r="AE714" t="str">
        <f>VLOOKUP($H714,'[3]0509人员排班情况 副本'!$G:$U,13,FALSE)</f>
        <v>张骥Ji Zhang (Ji Zhang)</v>
      </c>
      <c r="AF714" t="str">
        <f>VLOOKUP($H714,'[3]0509人员排班情况 副本'!$G:$U,14,FALSE)</f>
        <v>Minqing (Minqing Xu),罗煜雄 Mike (Yuxiong Luo)</v>
      </c>
      <c r="AG714">
        <f>VLOOKUP($H714,'[3]0509人员排班情况 副本'!$G:$U,15,FALSE)</f>
        <v>0</v>
      </c>
    </row>
    <row r="715" customHeight="1" spans="1:33">
      <c r="A715" t="s">
        <v>202</v>
      </c>
      <c r="B715" t="s">
        <v>2213</v>
      </c>
      <c r="C715" t="s">
        <v>2214</v>
      </c>
      <c r="D715" t="s">
        <v>48</v>
      </c>
      <c r="E715" t="s">
        <v>51</v>
      </c>
      <c r="F715" t="s">
        <v>563</v>
      </c>
      <c r="G715" t="s">
        <v>112</v>
      </c>
      <c r="H715" t="str">
        <f t="shared" si="77"/>
        <v>Ground项目部OG 美西区CNO.G</v>
      </c>
      <c r="I715" t="s">
        <v>160</v>
      </c>
      <c r="J715" t="s">
        <v>533</v>
      </c>
      <c r="K715" s="15">
        <v>0.604166666666667</v>
      </c>
      <c r="L715" s="15" t="s">
        <v>534</v>
      </c>
      <c r="M715" s="15">
        <v>0.628472222222222</v>
      </c>
      <c r="N715" t="s">
        <v>2215</v>
      </c>
      <c r="O715" s="20" t="str">
        <f t="shared" si="78"/>
        <v>正确</v>
      </c>
      <c r="P715" s="21">
        <v>0</v>
      </c>
      <c r="Q715" s="21">
        <v>7.48</v>
      </c>
      <c r="R715" s="21">
        <v>0</v>
      </c>
      <c r="S715" s="21">
        <f t="shared" si="79"/>
        <v>7.48</v>
      </c>
      <c r="T715" s="21">
        <f t="shared" si="80"/>
        <v>0</v>
      </c>
      <c r="U715" s="21" t="str">
        <f t="shared" si="81"/>
        <v>否</v>
      </c>
      <c r="V715" s="21">
        <f>VLOOKUP($C715,[4]Sheet1!$B:$AN,39,FALSE)</f>
        <v>14.56</v>
      </c>
      <c r="W715" s="21">
        <v>0</v>
      </c>
      <c r="X715" s="23">
        <v>2</v>
      </c>
      <c r="Y715" s="23">
        <v>4</v>
      </c>
      <c r="Z715" s="25">
        <f t="shared" si="82"/>
        <v>2</v>
      </c>
      <c r="AA715" s="25" t="str">
        <f t="shared" si="83"/>
        <v>是</v>
      </c>
      <c r="AB715" t="s">
        <v>148</v>
      </c>
      <c r="AC715" t="e">
        <f>VLOOKUP(C715,[1]Sheet1!$C:$O,13,FALSE)</f>
        <v>#N/A</v>
      </c>
      <c r="AD715" t="str">
        <f>VLOOKUP($H715,'[3]0509人员排班情况 副本'!$G:$U,12,FALSE)</f>
        <v>王安琪 (Anqi Wang),张朱同 Thomson（Zhutong Zhang）</v>
      </c>
      <c r="AE715" t="str">
        <f>VLOOKUP($H715,'[3]0509人员排班情况 副本'!$G:$U,13,FALSE)</f>
        <v>陈锦昭</v>
      </c>
      <c r="AF715" t="str">
        <f>VLOOKUP($H715,'[3]0509人员排班情况 副本'!$G:$U,14,FALSE)</f>
        <v>张弘毅 Hongyi （Hongyi Zhang）</v>
      </c>
      <c r="AG715">
        <f>VLOOKUP($H715,'[3]0509人员排班情况 副本'!$G:$U,15,FALSE)</f>
        <v>0</v>
      </c>
    </row>
    <row r="716" customHeight="1" spans="1:33">
      <c r="A716" t="s">
        <v>202</v>
      </c>
      <c r="B716" t="s">
        <v>2216</v>
      </c>
      <c r="C716" t="s">
        <v>2217</v>
      </c>
      <c r="D716" t="s">
        <v>68</v>
      </c>
      <c r="E716" t="s">
        <v>76</v>
      </c>
      <c r="F716" t="s">
        <v>275</v>
      </c>
      <c r="G716" t="s">
        <v>112</v>
      </c>
      <c r="H716" t="str">
        <f t="shared" si="77"/>
        <v>NE 东北大区EWR.H分拣组</v>
      </c>
      <c r="I716" t="s">
        <v>303</v>
      </c>
      <c r="J716" t="s">
        <v>2218</v>
      </c>
      <c r="K716" s="15">
        <v>0</v>
      </c>
      <c r="L716" s="15" t="s">
        <v>2219</v>
      </c>
      <c r="M716" s="15">
        <v>0.0104166666666667</v>
      </c>
      <c r="N716" t="s">
        <v>2220</v>
      </c>
      <c r="O716" s="20" t="str">
        <f t="shared" si="78"/>
        <v>正确</v>
      </c>
      <c r="P716" s="21">
        <v>0</v>
      </c>
      <c r="Q716" s="21">
        <v>10.33</v>
      </c>
      <c r="R716" s="21">
        <v>0</v>
      </c>
      <c r="S716" s="21">
        <f t="shared" si="79"/>
        <v>10.33</v>
      </c>
      <c r="T716" s="21">
        <f t="shared" si="80"/>
        <v>2.33</v>
      </c>
      <c r="U716" s="21" t="str">
        <f t="shared" si="81"/>
        <v>是</v>
      </c>
      <c r="V716" s="21">
        <f>VLOOKUP($C716,[4]Sheet1!$B:$AN,39,FALSE)</f>
        <v>10.33</v>
      </c>
      <c r="W716" s="21">
        <v>0</v>
      </c>
      <c r="X716" s="23">
        <v>2</v>
      </c>
      <c r="Y716" s="23">
        <v>4</v>
      </c>
      <c r="Z716" s="25">
        <f t="shared" si="82"/>
        <v>2</v>
      </c>
      <c r="AA716" s="25" t="str">
        <f t="shared" si="83"/>
        <v>是</v>
      </c>
      <c r="AB716" t="s">
        <v>148</v>
      </c>
      <c r="AC716" t="e">
        <f>VLOOKUP(C716,[1]Sheet1!$C:$O,13,FALSE)</f>
        <v>#N/A</v>
      </c>
      <c r="AD716" t="str">
        <f>VLOOKUP($H716,'[3]0509人员排班情况 副本'!$G:$U,12,FALSE)</f>
        <v>孙可君Monica（Kejun Sun）</v>
      </c>
      <c r="AE716" t="str">
        <f>VLOOKUP($H716,'[3]0509人员排班情况 副本'!$G:$U,13,FALSE)</f>
        <v>马聪Cong (Cong Ma)</v>
      </c>
      <c r="AF716" t="str">
        <f>VLOOKUP($H716,'[3]0509人员排班情况 副本'!$G:$U,14,FALSE)</f>
        <v>张双甫(Shuangfu Zhang)</v>
      </c>
      <c r="AG716">
        <f>VLOOKUP($H716,'[3]0509人员排班情况 副本'!$G:$U,15,FALSE)</f>
        <v>0</v>
      </c>
    </row>
    <row r="717" customHeight="1" spans="1:33">
      <c r="A717" t="s">
        <v>202</v>
      </c>
      <c r="B717" t="s">
        <v>2221</v>
      </c>
      <c r="C717" t="s">
        <v>2222</v>
      </c>
      <c r="D717" t="s">
        <v>68</v>
      </c>
      <c r="E717" t="s">
        <v>75</v>
      </c>
      <c r="F717" t="s">
        <v>890</v>
      </c>
      <c r="H717" t="str">
        <f t="shared" si="77"/>
        <v>NE 东北大区DC 华盛顿片区ORF01</v>
      </c>
      <c r="I717" t="s">
        <v>177</v>
      </c>
      <c r="J717" t="s">
        <v>343</v>
      </c>
      <c r="K717" s="15">
        <v>0.25</v>
      </c>
      <c r="L717" s="15" t="s">
        <v>344</v>
      </c>
      <c r="M717" s="15">
        <v>0.245833333333333</v>
      </c>
      <c r="N717" t="s">
        <v>2223</v>
      </c>
      <c r="O717" s="20" t="str">
        <f t="shared" si="78"/>
        <v>正确</v>
      </c>
      <c r="P717" s="21">
        <v>0</v>
      </c>
      <c r="Q717" s="21">
        <v>8.18</v>
      </c>
      <c r="R717" s="21">
        <v>0</v>
      </c>
      <c r="S717" s="21">
        <f t="shared" si="79"/>
        <v>8.18</v>
      </c>
      <c r="T717" s="21">
        <f t="shared" si="80"/>
        <v>0.18</v>
      </c>
      <c r="U717" s="21" t="str">
        <f t="shared" si="81"/>
        <v>是</v>
      </c>
      <c r="V717" s="21">
        <f>VLOOKUP($C717,[4]Sheet1!$B:$AN,39,FALSE)</f>
        <v>8.18</v>
      </c>
      <c r="W717" s="21">
        <v>9.26</v>
      </c>
      <c r="X717" s="23">
        <v>2</v>
      </c>
      <c r="Y717" s="23">
        <v>4</v>
      </c>
      <c r="Z717" s="25">
        <f t="shared" si="82"/>
        <v>2</v>
      </c>
      <c r="AA717" s="25" t="str">
        <f t="shared" si="83"/>
        <v>是</v>
      </c>
      <c r="AB717" t="s">
        <v>148</v>
      </c>
      <c r="AC717" t="e">
        <f>VLOOKUP(C717,[1]Sheet1!$C:$O,13,FALSE)</f>
        <v>#N/A</v>
      </c>
      <c r="AD717" t="str">
        <f>VLOOKUP($H717,'[3]0509人员排班情况 副本'!$G:$U,12,FALSE)</f>
        <v>孙可君Monica（Kejun Sun）</v>
      </c>
      <c r="AE717" t="str">
        <f>VLOOKUP($H717,'[3]0509人员排班情况 副本'!$G:$U,13,FALSE)</f>
        <v>马聪Cong (Cong Ma)</v>
      </c>
      <c r="AF717" t="str">
        <f>VLOOKUP($H717,'[3]0509人员排班情况 副本'!$G:$U,14,FALSE)</f>
        <v>朱晗宇 Peter (Hanyu Zhu)</v>
      </c>
      <c r="AG717">
        <f>VLOOKUP($H717,'[3]0509人员排班情况 副本'!$G:$U,15,FALSE)</f>
        <v>0</v>
      </c>
    </row>
    <row r="718" customHeight="1" spans="1:33">
      <c r="A718" t="s">
        <v>202</v>
      </c>
      <c r="B718" t="s">
        <v>2224</v>
      </c>
      <c r="C718" t="s">
        <v>2225</v>
      </c>
      <c r="D718" t="s">
        <v>15</v>
      </c>
      <c r="E718" t="s">
        <v>17</v>
      </c>
      <c r="F718" t="s">
        <v>166</v>
      </c>
      <c r="G718" t="s">
        <v>112</v>
      </c>
      <c r="H718" t="str">
        <f t="shared" si="77"/>
        <v>FL 佛州大区MCO.H综办组</v>
      </c>
      <c r="I718" t="s">
        <v>167</v>
      </c>
      <c r="J718" t="s">
        <v>295</v>
      </c>
      <c r="K718" s="15">
        <v>0.375</v>
      </c>
      <c r="L718" s="15" t="s">
        <v>296</v>
      </c>
      <c r="M718" s="15">
        <v>0.370833333333333</v>
      </c>
      <c r="N718" t="s">
        <v>2226</v>
      </c>
      <c r="O718" s="20" t="str">
        <f t="shared" si="78"/>
        <v>正确</v>
      </c>
      <c r="P718" s="21">
        <v>0</v>
      </c>
      <c r="Q718" s="21">
        <v>8.25</v>
      </c>
      <c r="R718" s="21">
        <v>0</v>
      </c>
      <c r="S718" s="21">
        <f t="shared" si="79"/>
        <v>8.25</v>
      </c>
      <c r="T718" s="21">
        <f t="shared" si="80"/>
        <v>0.25</v>
      </c>
      <c r="U718" s="21" t="str">
        <f t="shared" si="81"/>
        <v>是</v>
      </c>
      <c r="V718" s="21">
        <f>VLOOKUP($C718,[4]Sheet1!$B:$AN,39,FALSE)</f>
        <v>16.43</v>
      </c>
      <c r="W718" s="21">
        <v>0</v>
      </c>
      <c r="X718" s="23">
        <v>4</v>
      </c>
      <c r="Y718" s="23">
        <v>4</v>
      </c>
      <c r="Z718" s="25">
        <f t="shared" si="82"/>
        <v>0</v>
      </c>
      <c r="AA718" s="25" t="str">
        <f t="shared" si="83"/>
        <v>是</v>
      </c>
      <c r="AB718" t="s">
        <v>148</v>
      </c>
      <c r="AC718" t="e">
        <f>VLOOKUP(C718,[1]Sheet1!$C:$O,13,FALSE)</f>
        <v>#N/A</v>
      </c>
      <c r="AD718" t="str">
        <f>VLOOKUP($H718,'[3]0509人员排班情况 副本'!$G:$U,12,FALSE)</f>
        <v>Natalia (Natalia Padilla),孙婕 Jasmine（Sunjie）</v>
      </c>
      <c r="AE718" t="str">
        <f>VLOOKUP($H718,'[3]0509人员排班情况 副本'!$G:$U,13,FALSE)</f>
        <v>贺子强Jeff (Ziqiang He)</v>
      </c>
      <c r="AF718" t="str">
        <f>VLOOKUP($H718,'[3]0509人员排班情况 副本'!$G:$U,14,FALSE)</f>
        <v>Minqing (Minqing Xu),罗煜雄 Mike (Yuxiong Luo)</v>
      </c>
      <c r="AG718">
        <f>VLOOKUP($H718,'[3]0509人员排班情况 副本'!$G:$U,15,FALSE)</f>
        <v>0</v>
      </c>
    </row>
    <row r="719" customHeight="1" spans="1:33">
      <c r="A719" t="s">
        <v>202</v>
      </c>
      <c r="B719" t="s">
        <v>2227</v>
      </c>
      <c r="C719" t="s">
        <v>2228</v>
      </c>
      <c r="D719" t="s">
        <v>68</v>
      </c>
      <c r="E719" t="s">
        <v>84</v>
      </c>
      <c r="F719" t="s">
        <v>148</v>
      </c>
      <c r="H719" t="str">
        <f t="shared" si="77"/>
        <v>NE 东北大区PIT01</v>
      </c>
      <c r="I719" t="s">
        <v>177</v>
      </c>
      <c r="J719" t="s">
        <v>343</v>
      </c>
      <c r="K719" s="15">
        <v>0.25</v>
      </c>
      <c r="L719" s="15" t="s">
        <v>344</v>
      </c>
      <c r="M719" s="15">
        <v>0.353472222222222</v>
      </c>
      <c r="N719" t="s">
        <v>296</v>
      </c>
      <c r="O719" s="20" t="str">
        <f t="shared" si="78"/>
        <v>不正确</v>
      </c>
      <c r="P719" s="21">
        <v>0</v>
      </c>
      <c r="Q719" s="21">
        <v>8.52</v>
      </c>
      <c r="R719" s="21">
        <v>0</v>
      </c>
      <c r="S719" s="21">
        <f t="shared" si="79"/>
        <v>8.52</v>
      </c>
      <c r="T719" s="21">
        <f t="shared" si="80"/>
        <v>0.52</v>
      </c>
      <c r="U719" s="21" t="str">
        <f t="shared" si="81"/>
        <v>是</v>
      </c>
      <c r="V719" s="21">
        <f>VLOOKUP($C719,[4]Sheet1!$B:$AN,39,FALSE)</f>
        <v>16.64</v>
      </c>
      <c r="W719" s="21">
        <v>0</v>
      </c>
      <c r="X719" s="23">
        <v>2</v>
      </c>
      <c r="Y719" s="23">
        <v>4</v>
      </c>
      <c r="Z719" s="25">
        <f t="shared" si="82"/>
        <v>2</v>
      </c>
      <c r="AA719" s="25" t="str">
        <f t="shared" si="83"/>
        <v>是</v>
      </c>
      <c r="AB719" t="s">
        <v>148</v>
      </c>
      <c r="AC719" t="e">
        <f>VLOOKUP(C719,[1]Sheet1!$C:$O,13,FALSE)</f>
        <v>#N/A</v>
      </c>
      <c r="AD719" t="str">
        <f>VLOOKUP($H719,'[3]0509人员排班情况 副本'!$G:$U,12,FALSE)</f>
        <v>孙可君Monica（Kejun Sun）</v>
      </c>
      <c r="AE719" t="str">
        <f>VLOOKUP($H719,'[3]0509人员排班情况 副本'!$G:$U,13,FALSE)</f>
        <v>马聪Cong (Cong Ma)</v>
      </c>
      <c r="AF719">
        <f>VLOOKUP($H719,'[3]0509人员排班情况 副本'!$G:$U,14,FALSE)</f>
        <v>0</v>
      </c>
      <c r="AG719">
        <f>VLOOKUP($H719,'[3]0509人员排班情况 副本'!$G:$U,15,FALSE)</f>
        <v>0</v>
      </c>
    </row>
    <row r="720" customHeight="1" spans="1:33">
      <c r="A720" t="s">
        <v>202</v>
      </c>
      <c r="B720" t="s">
        <v>2229</v>
      </c>
      <c r="C720" t="s">
        <v>2230</v>
      </c>
      <c r="D720" t="s">
        <v>100</v>
      </c>
      <c r="E720" t="s">
        <v>105</v>
      </c>
      <c r="F720" t="s">
        <v>750</v>
      </c>
      <c r="H720" t="str">
        <f t="shared" si="77"/>
        <v>WE 美西大区NC 北加片区SFO.H</v>
      </c>
      <c r="I720" t="s">
        <v>156</v>
      </c>
      <c r="J720" t="s">
        <v>304</v>
      </c>
      <c r="K720" s="15">
        <v>0.666666666666667</v>
      </c>
      <c r="L720" s="15" t="s">
        <v>305</v>
      </c>
      <c r="M720" s="15">
        <v>0.659027777777778</v>
      </c>
      <c r="N720" t="s">
        <v>148</v>
      </c>
      <c r="O720" s="20" t="str">
        <f t="shared" si="78"/>
        <v>正确</v>
      </c>
      <c r="P720" s="21">
        <v>0</v>
      </c>
      <c r="Q720" s="21">
        <v>0</v>
      </c>
      <c r="R720" s="21">
        <v>0</v>
      </c>
      <c r="S720" s="21">
        <f t="shared" si="79"/>
        <v>0</v>
      </c>
      <c r="T720" s="21">
        <f t="shared" si="80"/>
        <v>0</v>
      </c>
      <c r="U720" s="21" t="str">
        <f t="shared" si="81"/>
        <v>否</v>
      </c>
      <c r="V720" s="21">
        <f>VLOOKUP($C720,[4]Sheet1!$B:$AN,39,FALSE)</f>
        <v>9.43</v>
      </c>
      <c r="W720" s="21">
        <v>13.87</v>
      </c>
      <c r="X720" s="23">
        <v>3</v>
      </c>
      <c r="Y720" s="23">
        <v>4</v>
      </c>
      <c r="Z720" s="25">
        <f t="shared" si="82"/>
        <v>1</v>
      </c>
      <c r="AA720" s="25" t="str">
        <f t="shared" si="83"/>
        <v>是</v>
      </c>
      <c r="AB720" t="s">
        <v>148</v>
      </c>
      <c r="AC720" t="e">
        <f>VLOOKUP(C720,[1]Sheet1!$C:$O,13,FALSE)</f>
        <v>#N/A</v>
      </c>
      <c r="AD720" t="str">
        <f>VLOOKUP($H720,'[3]0509人员排班情况 副本'!$G:$U,12,FALSE)</f>
        <v>王骞Ariel（Qian Wang）,叶秀芳Freya (Xiufang Ye)</v>
      </c>
      <c r="AE720" t="str">
        <f>VLOOKUP($H720,'[3]0509人员排班情况 副本'!$G:$U,13,FALSE)</f>
        <v>常哲</v>
      </c>
      <c r="AF720" t="str">
        <f>VLOOKUP($H720,'[3]0509人员排班情况 副本'!$G:$U,14,FALSE)</f>
        <v>林美浚（Meijun Lin）</v>
      </c>
      <c r="AG720">
        <f>VLOOKUP($H720,'[3]0509人员排班情况 副本'!$G:$U,15,FALSE)</f>
        <v>0</v>
      </c>
    </row>
    <row r="721" customHeight="1" spans="1:33">
      <c r="A721" t="s">
        <v>202</v>
      </c>
      <c r="B721" t="s">
        <v>2231</v>
      </c>
      <c r="C721" t="s">
        <v>2232</v>
      </c>
      <c r="D721" t="s">
        <v>99</v>
      </c>
      <c r="E721" t="s">
        <v>677</v>
      </c>
      <c r="F721" t="s">
        <v>1669</v>
      </c>
      <c r="H721" t="str">
        <f t="shared" si="77"/>
        <v>US人力资源部美洲HRBP组综合HRBP组</v>
      </c>
      <c r="I721" t="s">
        <v>988</v>
      </c>
      <c r="J721" t="s">
        <v>236</v>
      </c>
      <c r="K721" s="15">
        <v>0.395833333333333</v>
      </c>
      <c r="L721" s="15" t="s">
        <v>218</v>
      </c>
      <c r="M721" s="15">
        <v>0.40625</v>
      </c>
      <c r="N721" t="s">
        <v>218</v>
      </c>
      <c r="O721" s="20" t="str">
        <f t="shared" si="78"/>
        <v>正确</v>
      </c>
      <c r="P721" s="21">
        <v>0</v>
      </c>
      <c r="Q721" s="21">
        <v>7.75</v>
      </c>
      <c r="R721" s="21">
        <v>0</v>
      </c>
      <c r="S721" s="21">
        <f t="shared" si="79"/>
        <v>7.75</v>
      </c>
      <c r="T721" s="21">
        <f t="shared" si="80"/>
        <v>0</v>
      </c>
      <c r="U721" s="21" t="str">
        <f t="shared" si="81"/>
        <v>否</v>
      </c>
      <c r="V721" s="21">
        <f>VLOOKUP($C721,[4]Sheet1!$B:$AN,39,FALSE)</f>
        <v>15.73</v>
      </c>
      <c r="W721" s="21">
        <v>0</v>
      </c>
      <c r="X721" s="23">
        <v>3</v>
      </c>
      <c r="Y721" s="23">
        <v>4</v>
      </c>
      <c r="Z721" s="25">
        <f t="shared" si="82"/>
        <v>1</v>
      </c>
      <c r="AA721" s="25" t="str">
        <f t="shared" si="83"/>
        <v>是</v>
      </c>
      <c r="AB721" t="s">
        <v>148</v>
      </c>
      <c r="AC721" t="e">
        <f>VLOOKUP(C721,[1]Sheet1!$C:$O,13,FALSE)</f>
        <v>#N/A</v>
      </c>
      <c r="AD721" t="str">
        <f>VLOOKUP($H721,'[3]0509人员排班情况 副本'!$G:$U,12,FALSE)</f>
        <v>袁博闻(Bowen Yuan)</v>
      </c>
      <c r="AE721">
        <f>VLOOKUP($H721,'[3]0509人员排班情况 副本'!$G:$U,13,FALSE)</f>
        <v>0</v>
      </c>
      <c r="AF721">
        <f>VLOOKUP($H721,'[3]0509人员排班情况 副本'!$G:$U,14,FALSE)</f>
        <v>0</v>
      </c>
      <c r="AG721">
        <f>VLOOKUP($H721,'[3]0509人员排班情况 副本'!$G:$U,15,FALSE)</f>
        <v>0</v>
      </c>
    </row>
    <row r="722" customHeight="1" spans="1:33">
      <c r="A722" t="s">
        <v>202</v>
      </c>
      <c r="B722" t="s">
        <v>2233</v>
      </c>
      <c r="C722" t="s">
        <v>2234</v>
      </c>
      <c r="D722" t="s">
        <v>48</v>
      </c>
      <c r="E722" t="s">
        <v>49</v>
      </c>
      <c r="F722" t="s">
        <v>2235</v>
      </c>
      <c r="H722" t="str">
        <f t="shared" si="77"/>
        <v>Ground项目部OG 美东区NY112</v>
      </c>
      <c r="I722" t="s">
        <v>177</v>
      </c>
      <c r="J722" t="s">
        <v>211</v>
      </c>
      <c r="K722" s="15">
        <v>0.333333333333333</v>
      </c>
      <c r="L722" s="15" t="s">
        <v>212</v>
      </c>
      <c r="M722" s="15">
        <v>0.333333333333333</v>
      </c>
      <c r="N722" t="s">
        <v>1233</v>
      </c>
      <c r="O722" s="20" t="str">
        <f t="shared" si="78"/>
        <v>正确</v>
      </c>
      <c r="P722" s="21">
        <v>0</v>
      </c>
      <c r="Q722" s="21">
        <v>8.07</v>
      </c>
      <c r="R722" s="21">
        <v>0</v>
      </c>
      <c r="S722" s="21">
        <f t="shared" si="79"/>
        <v>8.07</v>
      </c>
      <c r="T722" s="21">
        <f t="shared" si="80"/>
        <v>0.0700000000000003</v>
      </c>
      <c r="U722" s="21" t="str">
        <f t="shared" si="81"/>
        <v>是</v>
      </c>
      <c r="V722" s="21">
        <f>VLOOKUP($C722,[4]Sheet1!$B:$AN,39,FALSE)</f>
        <v>8.07</v>
      </c>
      <c r="W722" s="21">
        <v>0</v>
      </c>
      <c r="X722" s="23">
        <v>3</v>
      </c>
      <c r="Y722" s="23">
        <v>4</v>
      </c>
      <c r="Z722" s="25">
        <f t="shared" si="82"/>
        <v>1</v>
      </c>
      <c r="AA722" s="25" t="str">
        <f t="shared" si="83"/>
        <v>是</v>
      </c>
      <c r="AB722" t="s">
        <v>148</v>
      </c>
      <c r="AC722" t="e">
        <f>VLOOKUP(C722,[1]Sheet1!$C:$O,13,FALSE)</f>
        <v>#N/A</v>
      </c>
      <c r="AD722" t="str">
        <f>VLOOKUP($H722,'[3]0509人员排班情况 副本'!$G:$U,12,FALSE)</f>
        <v>王安琪 (Anqi Wang),张朱同 Thomson（Zhutong Zhang）</v>
      </c>
      <c r="AE722" t="str">
        <f>VLOOKUP($H722,'[3]0509人员排班情况 副本'!$G:$U,13,FALSE)</f>
        <v>陈锦昭</v>
      </c>
      <c r="AF722" t="str">
        <f>VLOOKUP($H722,'[3]0509人员排班情况 副本'!$G:$U,14,FALSE)</f>
        <v>欧和枫 Henry (HeFeng Ou)</v>
      </c>
      <c r="AG722">
        <f>VLOOKUP($H722,'[3]0509人员排班情况 副本'!$G:$U,15,FALSE)</f>
        <v>0</v>
      </c>
    </row>
    <row r="723" customHeight="1" spans="1:33">
      <c r="A723" t="s">
        <v>202</v>
      </c>
      <c r="B723" t="s">
        <v>2236</v>
      </c>
      <c r="C723" t="s">
        <v>2237</v>
      </c>
      <c r="D723" t="s">
        <v>15</v>
      </c>
      <c r="E723" t="s">
        <v>17</v>
      </c>
      <c r="F723" t="s">
        <v>312</v>
      </c>
      <c r="G723" t="s">
        <v>112</v>
      </c>
      <c r="H723" t="str">
        <f t="shared" si="77"/>
        <v>FL 佛州大区MCO.H异常处理组</v>
      </c>
      <c r="I723" t="s">
        <v>313</v>
      </c>
      <c r="J723" t="s">
        <v>347</v>
      </c>
      <c r="K723" s="15">
        <v>0.541666666666667</v>
      </c>
      <c r="L723" s="15" t="s">
        <v>348</v>
      </c>
      <c r="M723" s="15"/>
      <c r="N723" t="s">
        <v>148</v>
      </c>
      <c r="O723" s="20" t="str">
        <f t="shared" si="78"/>
        <v>不正确</v>
      </c>
      <c r="P723" s="21">
        <v>0</v>
      </c>
      <c r="Q723" s="21">
        <v>0</v>
      </c>
      <c r="R723" s="21">
        <v>0</v>
      </c>
      <c r="S723" s="21">
        <f t="shared" si="79"/>
        <v>0</v>
      </c>
      <c r="T723" s="21">
        <f t="shared" si="80"/>
        <v>0</v>
      </c>
      <c r="U723" s="21" t="str">
        <f t="shared" si="81"/>
        <v>否</v>
      </c>
      <c r="V723" s="21">
        <f>VLOOKUP($C723,[4]Sheet1!$B:$AN,39,FALSE)</f>
        <v>0</v>
      </c>
      <c r="W723" s="21">
        <v>0</v>
      </c>
      <c r="X723" s="23">
        <v>0</v>
      </c>
      <c r="Y723" s="23">
        <v>0</v>
      </c>
      <c r="Z723" s="25">
        <f t="shared" si="82"/>
        <v>0</v>
      </c>
      <c r="AA723" s="25" t="str">
        <f t="shared" si="83"/>
        <v>是</v>
      </c>
      <c r="AB723" t="s">
        <v>2238</v>
      </c>
      <c r="AC723" t="e">
        <f>VLOOKUP(C723,[1]Sheet1!$C:$O,13,FALSE)</f>
        <v>#N/A</v>
      </c>
      <c r="AD723" t="str">
        <f>VLOOKUP($H723,'[3]0509人员排班情况 副本'!$G:$U,12,FALSE)</f>
        <v>Natalia (Natalia Padilla),孙婕 Jasmine（Sunjie）</v>
      </c>
      <c r="AE723" t="str">
        <f>VLOOKUP($H723,'[3]0509人员排班情况 副本'!$G:$U,13,FALSE)</f>
        <v>贺子强Jeff (Ziqiang He)</v>
      </c>
      <c r="AF723" t="str">
        <f>VLOOKUP($H723,'[3]0509人员排班情况 副本'!$G:$U,14,FALSE)</f>
        <v>Minqing (Minqing Xu),罗煜雄 Mike (Yuxiong Luo)</v>
      </c>
      <c r="AG723">
        <f>VLOOKUP($H723,'[3]0509人员排班情况 副本'!$G:$U,15,FALSE)</f>
        <v>0</v>
      </c>
    </row>
    <row r="724" customHeight="1" spans="1:33">
      <c r="A724" t="s">
        <v>202</v>
      </c>
      <c r="B724" t="s">
        <v>2239</v>
      </c>
      <c r="C724" t="s">
        <v>2240</v>
      </c>
      <c r="D724" t="s">
        <v>100</v>
      </c>
      <c r="E724" t="s">
        <v>101</v>
      </c>
      <c r="F724" t="s">
        <v>243</v>
      </c>
      <c r="G724" t="s">
        <v>112</v>
      </c>
      <c r="H724" t="str">
        <f t="shared" si="77"/>
        <v>WE 美西大区CNO.H调度组</v>
      </c>
      <c r="I724" t="s">
        <v>160</v>
      </c>
      <c r="J724" t="s">
        <v>400</v>
      </c>
      <c r="K724" s="15">
        <v>0.5</v>
      </c>
      <c r="L724" s="15" t="s">
        <v>401</v>
      </c>
      <c r="M724" s="15">
        <v>0.479861111111111</v>
      </c>
      <c r="N724" t="s">
        <v>969</v>
      </c>
      <c r="O724" s="20" t="str">
        <f t="shared" si="78"/>
        <v>正确</v>
      </c>
      <c r="P724" s="21">
        <v>0</v>
      </c>
      <c r="Q724" s="21">
        <v>10.38</v>
      </c>
      <c r="R724" s="21">
        <v>0</v>
      </c>
      <c r="S724" s="21">
        <f t="shared" si="79"/>
        <v>10.38</v>
      </c>
      <c r="T724" s="21">
        <f t="shared" si="80"/>
        <v>2.38</v>
      </c>
      <c r="U724" s="21" t="str">
        <f t="shared" si="81"/>
        <v>是</v>
      </c>
      <c r="V724" s="21">
        <f>VLOOKUP($C724,[4]Sheet1!$B:$AN,39,FALSE)</f>
        <v>19.56</v>
      </c>
      <c r="W724" s="21">
        <v>0</v>
      </c>
      <c r="X724" s="23">
        <v>3</v>
      </c>
      <c r="Y724" s="23">
        <v>4</v>
      </c>
      <c r="Z724" s="25">
        <f t="shared" si="82"/>
        <v>1</v>
      </c>
      <c r="AA724" s="25" t="str">
        <f t="shared" si="83"/>
        <v>是</v>
      </c>
      <c r="AB724" t="s">
        <v>148</v>
      </c>
      <c r="AC724" t="e">
        <f>VLOOKUP(C724,[1]Sheet1!$C:$O,13,FALSE)</f>
        <v>#N/A</v>
      </c>
      <c r="AD724" t="str">
        <f>VLOOKUP($H724,'[3]0509人员排班情况 副本'!$G:$U,12,FALSE)</f>
        <v>王骞Ariel（Qian Wang）,叶秀芳Freya (Xiufang Ye)</v>
      </c>
      <c r="AE724" t="str">
        <f>VLOOKUP($H724,'[3]0509人员排班情况 副本'!$G:$U,13,FALSE)</f>
        <v>常哲</v>
      </c>
      <c r="AF724" t="str">
        <f>VLOOKUP($H724,'[3]0509人员排班情况 副本'!$G:$U,14,FALSE)</f>
        <v>Minqing (Minqing Xu),罗煜雄 Mike (Yuxiong Luo)</v>
      </c>
      <c r="AG724">
        <f>VLOOKUP($H724,'[3]0509人员排班情况 副本'!$G:$U,15,FALSE)</f>
        <v>0</v>
      </c>
    </row>
    <row r="725" customHeight="1" spans="1:33">
      <c r="A725" t="s">
        <v>202</v>
      </c>
      <c r="B725" t="s">
        <v>2241</v>
      </c>
      <c r="C725" t="s">
        <v>2242</v>
      </c>
      <c r="D725" t="s">
        <v>100</v>
      </c>
      <c r="E725" t="s">
        <v>104</v>
      </c>
      <c r="F725" t="s">
        <v>927</v>
      </c>
      <c r="H725" t="str">
        <f t="shared" si="77"/>
        <v>WE 美西大区LA揽收部揽收支持组</v>
      </c>
      <c r="I725" t="s">
        <v>928</v>
      </c>
      <c r="J725" t="s">
        <v>746</v>
      </c>
      <c r="K725" s="15">
        <v>0.4375</v>
      </c>
      <c r="L725" s="15" t="s">
        <v>491</v>
      </c>
      <c r="M725" s="15">
        <v>0.445138888888889</v>
      </c>
      <c r="N725" t="s">
        <v>2243</v>
      </c>
      <c r="O725" s="20" t="str">
        <f t="shared" si="78"/>
        <v>正确</v>
      </c>
      <c r="P725" s="21">
        <v>0</v>
      </c>
      <c r="Q725" s="21">
        <v>5.05</v>
      </c>
      <c r="R725" s="21">
        <v>0</v>
      </c>
      <c r="S725" s="21">
        <f t="shared" si="79"/>
        <v>5.05</v>
      </c>
      <c r="T725" s="21">
        <f t="shared" si="80"/>
        <v>0</v>
      </c>
      <c r="U725" s="21" t="str">
        <f t="shared" si="81"/>
        <v>否</v>
      </c>
      <c r="V725" s="21">
        <f>VLOOKUP($C725,[4]Sheet1!$B:$AN,39,FALSE)</f>
        <v>16.35</v>
      </c>
      <c r="W725" s="21">
        <v>0</v>
      </c>
      <c r="X725" s="23">
        <v>2</v>
      </c>
      <c r="Y725" s="23">
        <v>4</v>
      </c>
      <c r="Z725" s="25">
        <f t="shared" si="82"/>
        <v>2</v>
      </c>
      <c r="AA725" s="25" t="str">
        <f t="shared" si="83"/>
        <v>是</v>
      </c>
      <c r="AB725" t="s">
        <v>148</v>
      </c>
      <c r="AC725" t="e">
        <f>VLOOKUP(C725,[1]Sheet1!$C:$O,13,FALSE)</f>
        <v>#N/A</v>
      </c>
      <c r="AD725" t="str">
        <f>VLOOKUP($H725,'[3]0509人员排班情况 副本'!$G:$U,12,FALSE)</f>
        <v>王骞Ariel（Qian Wang）,叶秀芳Freya (Xiufang Ye)</v>
      </c>
      <c r="AE725" t="str">
        <f>VLOOKUP($H725,'[3]0509人员排班情况 副本'!$G:$U,13,FALSE)</f>
        <v>常哲</v>
      </c>
      <c r="AF725" t="str">
        <f>VLOOKUP($H725,'[3]0509人员排班情况 副本'!$G:$U,14,FALSE)</f>
        <v>王姝涵Function（Shuhan Wang)</v>
      </c>
      <c r="AG725">
        <f>VLOOKUP($H725,'[3]0509人员排班情况 副本'!$G:$U,15,FALSE)</f>
        <v>0</v>
      </c>
    </row>
    <row r="726" customHeight="1" spans="1:33">
      <c r="A726" t="s">
        <v>202</v>
      </c>
      <c r="B726" t="s">
        <v>2244</v>
      </c>
      <c r="C726" t="s">
        <v>2245</v>
      </c>
      <c r="D726" t="s">
        <v>31</v>
      </c>
      <c r="E726" t="s">
        <v>36</v>
      </c>
      <c r="F726" t="s">
        <v>2246</v>
      </c>
      <c r="H726" t="str">
        <f t="shared" si="77"/>
        <v>GL 大湖大区EG 东大湖片区DTW01</v>
      </c>
      <c r="I726" t="s">
        <v>177</v>
      </c>
      <c r="J726" t="s">
        <v>217</v>
      </c>
      <c r="K726" s="15">
        <v>0.395833333333333</v>
      </c>
      <c r="L726" s="15" t="s">
        <v>218</v>
      </c>
      <c r="M726" s="15"/>
      <c r="N726" t="s">
        <v>148</v>
      </c>
      <c r="O726" s="20" t="s">
        <v>116</v>
      </c>
      <c r="P726" s="21">
        <v>0</v>
      </c>
      <c r="Q726" s="21">
        <v>0</v>
      </c>
      <c r="R726" s="21">
        <v>0</v>
      </c>
      <c r="S726" s="21">
        <f t="shared" si="79"/>
        <v>0</v>
      </c>
      <c r="T726" s="21">
        <f t="shared" si="80"/>
        <v>0</v>
      </c>
      <c r="U726" s="21" t="str">
        <f t="shared" si="81"/>
        <v>否</v>
      </c>
      <c r="V726" s="21">
        <f>VLOOKUP($C726,[4]Sheet1!$B:$AN,39,FALSE)</f>
        <v>7.58</v>
      </c>
      <c r="W726" s="21">
        <v>0</v>
      </c>
      <c r="X726" s="23">
        <v>0</v>
      </c>
      <c r="Y726" s="23">
        <v>0</v>
      </c>
      <c r="Z726" s="25">
        <f t="shared" si="82"/>
        <v>0</v>
      </c>
      <c r="AA726" s="25" t="str">
        <f t="shared" si="83"/>
        <v>是</v>
      </c>
      <c r="AB726" t="s">
        <v>148</v>
      </c>
      <c r="AC726" t="e">
        <f>VLOOKUP(C726,[1]Sheet1!$C:$O,13,FALSE)</f>
        <v>#N/A</v>
      </c>
      <c r="AD726" t="str">
        <f>VLOOKUP($H726,'[3]0509人员排班情况 副本'!$G:$U,12,FALSE)</f>
        <v>王晓丹 Jasmine（Xiaodan Wang）,周延舒Isabel（Yanshu Zhou）</v>
      </c>
      <c r="AE726" t="str">
        <f>VLOOKUP($H726,'[3]0509人员排班情况 副本'!$G:$U,13,FALSE)</f>
        <v>张骥Ji Zhang (Ji Zhang)</v>
      </c>
      <c r="AF726" t="str">
        <f>VLOOKUP($H726,'[3]0509人员排班情况 副本'!$G:$U,14,FALSE)</f>
        <v>肖泓杰 Leo （hongjie Xiao）,尚青蓓 Suki （Qingbei Shang）</v>
      </c>
      <c r="AG726">
        <f>VLOOKUP($H726,'[3]0509人员排班情况 副本'!$G:$U,15,FALSE)</f>
        <v>0</v>
      </c>
    </row>
    <row r="727" customHeight="1" spans="1:33">
      <c r="A727" t="s">
        <v>202</v>
      </c>
      <c r="B727" t="s">
        <v>2247</v>
      </c>
      <c r="C727" t="s">
        <v>2248</v>
      </c>
      <c r="D727" t="s">
        <v>58</v>
      </c>
      <c r="E727" t="s">
        <v>66</v>
      </c>
      <c r="F727" t="s">
        <v>2249</v>
      </c>
      <c r="H727" t="str">
        <f t="shared" si="77"/>
        <v>MS 中南大区RE 北卡和东南海岸片区FAY01</v>
      </c>
      <c r="I727" t="s">
        <v>177</v>
      </c>
      <c r="J727" t="s">
        <v>221</v>
      </c>
      <c r="K727" s="15">
        <v>0.208333333333333</v>
      </c>
      <c r="L727" s="15" t="s">
        <v>222</v>
      </c>
      <c r="M727" s="15"/>
      <c r="N727" t="s">
        <v>148</v>
      </c>
      <c r="O727" s="20" t="str">
        <f t="shared" si="78"/>
        <v>不正确</v>
      </c>
      <c r="P727" s="21">
        <v>0</v>
      </c>
      <c r="Q727" s="21">
        <v>0</v>
      </c>
      <c r="R727" s="21">
        <v>0</v>
      </c>
      <c r="S727" s="21">
        <f t="shared" si="79"/>
        <v>0</v>
      </c>
      <c r="T727" s="21">
        <f t="shared" si="80"/>
        <v>0</v>
      </c>
      <c r="U727" s="21" t="str">
        <f t="shared" si="81"/>
        <v>否</v>
      </c>
      <c r="V727" s="21">
        <f>VLOOKUP($C727,[4]Sheet1!$B:$AN,39,FALSE)</f>
        <v>0</v>
      </c>
      <c r="W727" s="21">
        <v>0</v>
      </c>
      <c r="X727" s="23">
        <v>0</v>
      </c>
      <c r="Y727" s="23">
        <v>0</v>
      </c>
      <c r="Z727" s="25">
        <f t="shared" si="82"/>
        <v>0</v>
      </c>
      <c r="AA727" s="25" t="str">
        <f t="shared" si="83"/>
        <v>是</v>
      </c>
      <c r="AB727" t="s">
        <v>2250</v>
      </c>
      <c r="AC727" t="e">
        <f>VLOOKUP(C727,[1]Sheet1!$C:$O,13,FALSE)</f>
        <v>#N/A</v>
      </c>
      <c r="AD727" t="str">
        <f>VLOOKUP($H727,'[3]0509人员排班情况 副本'!$G:$U,12,FALSE)</f>
        <v>欧阳迎春Flower（Yingchun Ouyang）</v>
      </c>
      <c r="AE727" t="str">
        <f>VLOOKUP($H727,'[3]0509人员排班情况 副本'!$G:$U,13,FALSE)</f>
        <v>杨云飞</v>
      </c>
      <c r="AF727" t="str">
        <f>VLOOKUP($H727,'[3]0509人员排班情况 副本'!$G:$U,14,FALSE)</f>
        <v>苏政欣Sue（Zhengxin Su）</v>
      </c>
      <c r="AG727">
        <f>VLOOKUP($H727,'[3]0509人员排班情况 副本'!$G:$U,15,FALSE)</f>
        <v>0</v>
      </c>
    </row>
    <row r="728" customHeight="1" spans="1:33">
      <c r="A728" t="s">
        <v>202</v>
      </c>
      <c r="B728" t="s">
        <v>2251</v>
      </c>
      <c r="C728" t="s">
        <v>2252</v>
      </c>
      <c r="D728" t="s">
        <v>100</v>
      </c>
      <c r="E728" t="s">
        <v>105</v>
      </c>
      <c r="F728" t="s">
        <v>750</v>
      </c>
      <c r="H728" t="str">
        <f t="shared" si="77"/>
        <v>WE 美西大区NC 北加片区SFO.H</v>
      </c>
      <c r="I728" t="s">
        <v>156</v>
      </c>
      <c r="J728" t="s">
        <v>217</v>
      </c>
      <c r="K728" s="15">
        <v>0.395833333333333</v>
      </c>
      <c r="L728" s="15" t="s">
        <v>218</v>
      </c>
      <c r="M728" s="15"/>
      <c r="N728" t="s">
        <v>148</v>
      </c>
      <c r="O728" s="20" t="s">
        <v>116</v>
      </c>
      <c r="P728" s="21">
        <v>0</v>
      </c>
      <c r="Q728" s="21">
        <v>0</v>
      </c>
      <c r="R728" s="21">
        <v>0</v>
      </c>
      <c r="S728" s="21">
        <f t="shared" si="79"/>
        <v>0</v>
      </c>
      <c r="T728" s="21">
        <f t="shared" si="80"/>
        <v>0</v>
      </c>
      <c r="U728" s="21" t="str">
        <f t="shared" si="81"/>
        <v>否</v>
      </c>
      <c r="V728" s="21">
        <f>VLOOKUP($C728,[4]Sheet1!$B:$AN,39,FALSE)</f>
        <v>0</v>
      </c>
      <c r="W728" s="21">
        <v>0</v>
      </c>
      <c r="X728" s="23">
        <v>0</v>
      </c>
      <c r="Y728" s="23">
        <v>0</v>
      </c>
      <c r="Z728" s="25">
        <f t="shared" si="82"/>
        <v>0</v>
      </c>
      <c r="AA728" s="25" t="str">
        <f t="shared" si="83"/>
        <v>是</v>
      </c>
      <c r="AB728" t="s">
        <v>148</v>
      </c>
      <c r="AC728" t="e">
        <f>VLOOKUP(C728,[1]Sheet1!$C:$O,13,FALSE)</f>
        <v>#N/A</v>
      </c>
      <c r="AD728" t="str">
        <f>VLOOKUP($H728,'[3]0509人员排班情况 副本'!$G:$U,12,FALSE)</f>
        <v>王骞Ariel（Qian Wang）,叶秀芳Freya (Xiufang Ye)</v>
      </c>
      <c r="AE728" t="str">
        <f>VLOOKUP($H728,'[3]0509人员排班情况 副本'!$G:$U,13,FALSE)</f>
        <v>常哲</v>
      </c>
      <c r="AF728" t="str">
        <f>VLOOKUP($H728,'[3]0509人员排班情况 副本'!$G:$U,14,FALSE)</f>
        <v>林美浚（Meijun Lin）</v>
      </c>
      <c r="AG728">
        <f>VLOOKUP($H728,'[3]0509人员排班情况 副本'!$G:$U,15,FALSE)</f>
        <v>0</v>
      </c>
    </row>
    <row r="729" customHeight="1" spans="1:33">
      <c r="A729" t="s">
        <v>202</v>
      </c>
      <c r="B729" t="s">
        <v>2253</v>
      </c>
      <c r="C729" t="s">
        <v>2254</v>
      </c>
      <c r="D729" t="s">
        <v>58</v>
      </c>
      <c r="E729" t="s">
        <v>62</v>
      </c>
      <c r="F729" t="s">
        <v>2255</v>
      </c>
      <c r="H729" t="str">
        <f t="shared" si="77"/>
        <v>MS 中南大区BN 田纳西和北阿拉巴马片区BNA01</v>
      </c>
      <c r="I729" t="s">
        <v>406</v>
      </c>
      <c r="J729" t="s">
        <v>217</v>
      </c>
      <c r="K729" s="15">
        <v>0.395833333333333</v>
      </c>
      <c r="L729" s="15" t="s">
        <v>218</v>
      </c>
      <c r="M729" s="15"/>
      <c r="N729" t="s">
        <v>148</v>
      </c>
      <c r="O729" s="20" t="s">
        <v>116</v>
      </c>
      <c r="P729" s="21">
        <v>0</v>
      </c>
      <c r="Q729" s="21">
        <v>0</v>
      </c>
      <c r="R729" s="21">
        <v>0</v>
      </c>
      <c r="S729" s="21">
        <f t="shared" si="79"/>
        <v>0</v>
      </c>
      <c r="T729" s="21">
        <f t="shared" si="80"/>
        <v>0</v>
      </c>
      <c r="U729" s="21" t="str">
        <f t="shared" si="81"/>
        <v>否</v>
      </c>
      <c r="V729" s="21">
        <f>VLOOKUP($C729,[4]Sheet1!$B:$AN,39,FALSE)</f>
        <v>0</v>
      </c>
      <c r="W729" s="21">
        <v>0</v>
      </c>
      <c r="X729" s="23">
        <v>0</v>
      </c>
      <c r="Y729" s="23">
        <v>0</v>
      </c>
      <c r="Z729" s="25">
        <f t="shared" si="82"/>
        <v>0</v>
      </c>
      <c r="AA729" s="25" t="str">
        <f t="shared" si="83"/>
        <v>是</v>
      </c>
      <c r="AB729" t="s">
        <v>148</v>
      </c>
      <c r="AC729" t="e">
        <f>VLOOKUP(C729,[1]Sheet1!$C:$O,13,FALSE)</f>
        <v>#N/A</v>
      </c>
      <c r="AD729" t="str">
        <f>VLOOKUP($H729,'[3]0509人员排班情况 副本'!$G:$U,12,FALSE)</f>
        <v>欧阳迎春Flower（Yingchun Ouyang）</v>
      </c>
      <c r="AE729" t="str">
        <f>VLOOKUP($H729,'[3]0509人员排班情况 副本'!$G:$U,13,FALSE)</f>
        <v>杨云飞</v>
      </c>
      <c r="AF729" t="str">
        <f>VLOOKUP($H729,'[3]0509人员排班情况 副本'!$G:$U,14,FALSE)</f>
        <v>苏盈如Sophie(Yingru Su)</v>
      </c>
      <c r="AG729">
        <f>VLOOKUP($H729,'[3]0509人员排班情况 副本'!$G:$U,15,FALSE)</f>
        <v>0</v>
      </c>
    </row>
    <row r="730" customHeight="1" spans="1:33">
      <c r="A730" t="s">
        <v>202</v>
      </c>
      <c r="B730" t="s">
        <v>2256</v>
      </c>
      <c r="C730" t="s">
        <v>2257</v>
      </c>
      <c r="D730" t="s">
        <v>99</v>
      </c>
      <c r="E730" t="s">
        <v>677</v>
      </c>
      <c r="F730" t="s">
        <v>678</v>
      </c>
      <c r="H730" t="str">
        <f t="shared" si="77"/>
        <v>US人力资源部美洲HRBP组德州区HR组</v>
      </c>
      <c r="I730" t="s">
        <v>988</v>
      </c>
      <c r="J730" t="s">
        <v>236</v>
      </c>
      <c r="K730" s="15">
        <v>0.395833333333333</v>
      </c>
      <c r="L730" s="15" t="s">
        <v>218</v>
      </c>
      <c r="M730" s="15"/>
      <c r="N730" t="s">
        <v>148</v>
      </c>
      <c r="O730" s="20" t="str">
        <f t="shared" si="78"/>
        <v>不正确</v>
      </c>
      <c r="P730" s="21">
        <v>0</v>
      </c>
      <c r="Q730" s="21">
        <v>0</v>
      </c>
      <c r="R730" s="21">
        <v>0</v>
      </c>
      <c r="S730" s="21">
        <f t="shared" si="79"/>
        <v>0</v>
      </c>
      <c r="T730" s="21">
        <f t="shared" si="80"/>
        <v>0</v>
      </c>
      <c r="U730" s="21" t="str">
        <f t="shared" si="81"/>
        <v>否</v>
      </c>
      <c r="V730" s="21">
        <f>VLOOKUP($C730,[4]Sheet1!$B:$AN,39,FALSE)</f>
        <v>0</v>
      </c>
      <c r="W730" s="21">
        <v>0</v>
      </c>
      <c r="X730" s="23">
        <v>0</v>
      </c>
      <c r="Y730" s="23">
        <v>4</v>
      </c>
      <c r="Z730" s="25">
        <f t="shared" si="82"/>
        <v>4</v>
      </c>
      <c r="AA730" s="25" t="str">
        <f t="shared" si="83"/>
        <v>是</v>
      </c>
      <c r="AB730" t="s">
        <v>148</v>
      </c>
      <c r="AC730" t="e">
        <f>VLOOKUP(C730,[1]Sheet1!$C:$O,13,FALSE)</f>
        <v>#N/A</v>
      </c>
      <c r="AD730" t="str">
        <f>VLOOKUP($H730,'[3]0509人员排班情况 副本'!$G:$U,12,FALSE)</f>
        <v>袁博闻(Bowen Yuan)</v>
      </c>
      <c r="AE730">
        <f>VLOOKUP($H730,'[3]0509人员排班情况 副本'!$G:$U,13,FALSE)</f>
        <v>0</v>
      </c>
      <c r="AF730">
        <f>VLOOKUP($H730,'[3]0509人员排班情况 副本'!$G:$U,14,FALSE)</f>
        <v>0</v>
      </c>
      <c r="AG730">
        <f>VLOOKUP($H730,'[3]0509人员排班情况 副本'!$G:$U,15,FALSE)</f>
        <v>0</v>
      </c>
    </row>
    <row r="731" customHeight="1" spans="1:33">
      <c r="A731" t="s">
        <v>202</v>
      </c>
      <c r="B731" t="s">
        <v>2258</v>
      </c>
      <c r="C731" t="s">
        <v>2259</v>
      </c>
      <c r="D731" t="s">
        <v>100</v>
      </c>
      <c r="E731" t="s">
        <v>106</v>
      </c>
      <c r="F731" t="s">
        <v>879</v>
      </c>
      <c r="H731" t="str">
        <f t="shared" si="77"/>
        <v>WE 美西大区SC 南加片区LAX01</v>
      </c>
      <c r="I731" t="s">
        <v>156</v>
      </c>
      <c r="J731" t="s">
        <v>221</v>
      </c>
      <c r="K731" s="15">
        <v>0.208333333333333</v>
      </c>
      <c r="L731" s="15" t="s">
        <v>222</v>
      </c>
      <c r="M731" s="15">
        <v>0.245833333333333</v>
      </c>
      <c r="N731" t="s">
        <v>148</v>
      </c>
      <c r="O731" s="20" t="str">
        <f t="shared" si="78"/>
        <v>正确</v>
      </c>
      <c r="P731" s="21">
        <v>0</v>
      </c>
      <c r="Q731" s="21">
        <v>0</v>
      </c>
      <c r="R731" s="21">
        <v>0</v>
      </c>
      <c r="S731" s="21">
        <f t="shared" si="79"/>
        <v>0</v>
      </c>
      <c r="T731" s="21">
        <f t="shared" si="80"/>
        <v>0</v>
      </c>
      <c r="U731" s="21" t="str">
        <f t="shared" si="81"/>
        <v>否</v>
      </c>
      <c r="V731" s="21">
        <f>VLOOKUP($C731,[4]Sheet1!$B:$AN,39,FALSE)</f>
        <v>0</v>
      </c>
      <c r="W731" s="21">
        <v>0</v>
      </c>
      <c r="X731" s="23">
        <v>2</v>
      </c>
      <c r="Y731" s="23">
        <v>4</v>
      </c>
      <c r="Z731" s="25">
        <f t="shared" si="82"/>
        <v>2</v>
      </c>
      <c r="AA731" s="25" t="str">
        <f t="shared" si="83"/>
        <v>是</v>
      </c>
      <c r="AB731" t="s">
        <v>148</v>
      </c>
      <c r="AC731" t="e">
        <f>VLOOKUP(C731,[1]Sheet1!$C:$O,13,FALSE)</f>
        <v>#N/A</v>
      </c>
      <c r="AD731" t="str">
        <f>VLOOKUP($H731,'[3]0509人员排班情况 副本'!$G:$U,12,FALSE)</f>
        <v>王骞Ariel（Qian Wang）,叶秀芳Freya (Xiufang Ye)</v>
      </c>
      <c r="AE731" t="str">
        <f>VLOOKUP($H731,'[3]0509人员排班情况 副本'!$G:$U,13,FALSE)</f>
        <v>常哲</v>
      </c>
      <c r="AF731" t="str">
        <f>VLOOKUP($H731,'[3]0509人员排班情况 副本'!$G:$U,14,FALSE)</f>
        <v>尤梦楠Yuko（Mengnan You）</v>
      </c>
      <c r="AG731">
        <f>VLOOKUP($H731,'[3]0509人员排班情况 副本'!$G:$U,15,FALSE)</f>
        <v>0</v>
      </c>
    </row>
    <row r="732" customHeight="1" spans="1:33">
      <c r="A732" t="s">
        <v>202</v>
      </c>
      <c r="B732" t="s">
        <v>2260</v>
      </c>
      <c r="C732" t="s">
        <v>2261</v>
      </c>
      <c r="D732" t="s">
        <v>92</v>
      </c>
      <c r="E732" t="s">
        <v>94</v>
      </c>
      <c r="F732" t="s">
        <v>166</v>
      </c>
      <c r="G732" t="s">
        <v>112</v>
      </c>
      <c r="H732" t="str">
        <f t="shared" si="77"/>
        <v>TX 德州大区DFW.H综办组</v>
      </c>
      <c r="I732" t="s">
        <v>167</v>
      </c>
      <c r="J732" t="s">
        <v>295</v>
      </c>
      <c r="K732" s="15">
        <v>0.375</v>
      </c>
      <c r="L732" s="15" t="s">
        <v>296</v>
      </c>
      <c r="M732" s="15">
        <v>0.388888888888889</v>
      </c>
      <c r="N732" t="s">
        <v>408</v>
      </c>
      <c r="O732" s="20" t="str">
        <f t="shared" si="78"/>
        <v>正确</v>
      </c>
      <c r="P732" s="21">
        <v>0</v>
      </c>
      <c r="Q732" s="21">
        <v>8.4</v>
      </c>
      <c r="R732" s="21">
        <v>0</v>
      </c>
      <c r="S732" s="21">
        <f t="shared" si="79"/>
        <v>8.4</v>
      </c>
      <c r="T732" s="21">
        <f t="shared" si="80"/>
        <v>0.4</v>
      </c>
      <c r="U732" s="21" t="str">
        <f t="shared" si="81"/>
        <v>是</v>
      </c>
      <c r="V732" s="21">
        <f>VLOOKUP($C732,[4]Sheet1!$B:$AN,39,FALSE)</f>
        <v>17.18</v>
      </c>
      <c r="W732" s="21">
        <v>0</v>
      </c>
      <c r="X732" s="23">
        <v>4</v>
      </c>
      <c r="Y732" s="23">
        <v>4</v>
      </c>
      <c r="Z732" s="25">
        <f t="shared" si="82"/>
        <v>0</v>
      </c>
      <c r="AA732" s="25" t="str">
        <f t="shared" si="83"/>
        <v>是</v>
      </c>
      <c r="AB732" t="s">
        <v>148</v>
      </c>
      <c r="AC732" t="e">
        <f>VLOOKUP(C732,[1]Sheet1!$C:$O,13,FALSE)</f>
        <v>#N/A</v>
      </c>
      <c r="AD732" t="str">
        <f>VLOOKUP($H732,'[3]0509人员排班情况 副本'!$G:$U,12,FALSE)</f>
        <v>肖芦莉Lily (Luli Xiao)</v>
      </c>
      <c r="AE732" t="str">
        <f>VLOOKUP($H732,'[3]0509人员排班情况 副本'!$G:$U,13,FALSE)</f>
        <v>张骥Ji Zhang (Ji Zhang)</v>
      </c>
      <c r="AF732" t="str">
        <f>VLOOKUP($H732,'[3]0509人员排班情况 副本'!$G:$U,14,FALSE)</f>
        <v>Minqing (Minqing Xu),罗煜雄 Mike (Yuxiong Luo)</v>
      </c>
      <c r="AG732">
        <f>VLOOKUP($H732,'[3]0509人员排班情况 副本'!$G:$U,15,FALSE)</f>
        <v>0</v>
      </c>
    </row>
    <row r="733" customHeight="1" spans="1:33">
      <c r="A733" t="s">
        <v>202</v>
      </c>
      <c r="B733" t="s">
        <v>2262</v>
      </c>
      <c r="C733" t="s">
        <v>2263</v>
      </c>
      <c r="D733" t="s">
        <v>100</v>
      </c>
      <c r="E733" t="s">
        <v>29</v>
      </c>
      <c r="F733" t="s">
        <v>200</v>
      </c>
      <c r="H733" t="str">
        <f t="shared" si="77"/>
        <v>WE 美西大区运营支持部区域支持组</v>
      </c>
      <c r="I733" t="s">
        <v>201</v>
      </c>
      <c r="J733" t="s">
        <v>236</v>
      </c>
      <c r="K733" s="15">
        <v>0.395833333333333</v>
      </c>
      <c r="L733" s="15" t="s">
        <v>218</v>
      </c>
      <c r="M733" s="15"/>
      <c r="N733" t="s">
        <v>2264</v>
      </c>
      <c r="O733" s="20" t="str">
        <f t="shared" si="78"/>
        <v>不正确</v>
      </c>
      <c r="P733" s="21">
        <v>0</v>
      </c>
      <c r="Q733" s="21">
        <v>0</v>
      </c>
      <c r="R733" s="21">
        <v>0</v>
      </c>
      <c r="S733" s="21">
        <f t="shared" si="79"/>
        <v>0</v>
      </c>
      <c r="T733" s="21">
        <f t="shared" si="80"/>
        <v>0</v>
      </c>
      <c r="U733" s="21" t="str">
        <f t="shared" si="81"/>
        <v>否</v>
      </c>
      <c r="V733" s="21">
        <f>VLOOKUP($C733,[4]Sheet1!$B:$AN,39,FALSE)</f>
        <v>0</v>
      </c>
      <c r="W733" s="21">
        <v>0</v>
      </c>
      <c r="X733" s="23">
        <v>2</v>
      </c>
      <c r="Y733" s="23">
        <v>0</v>
      </c>
      <c r="Z733" s="25">
        <f t="shared" si="82"/>
        <v>0</v>
      </c>
      <c r="AA733" s="25" t="str">
        <f t="shared" si="83"/>
        <v>是</v>
      </c>
      <c r="AB733" t="s">
        <v>339</v>
      </c>
      <c r="AC733" t="e">
        <f>VLOOKUP(C733,[1]Sheet1!$C:$O,13,FALSE)</f>
        <v>#N/A</v>
      </c>
      <c r="AD733" t="str">
        <f>VLOOKUP($H733,'[3]0509人员排班情况 副本'!$G:$U,12,FALSE)</f>
        <v>王骞Ariel（Qian Wang）,叶秀芳Freya (Xiufang Ye)</v>
      </c>
      <c r="AE733" t="str">
        <f>VLOOKUP($H733,'[3]0509人员排班情况 副本'!$G:$U,13,FALSE)</f>
        <v>常哲</v>
      </c>
      <c r="AF733">
        <f>VLOOKUP($H733,'[3]0509人员排班情况 副本'!$G:$U,14,FALSE)</f>
        <v>0</v>
      </c>
      <c r="AG733">
        <f>VLOOKUP($H733,'[3]0509人员排班情况 副本'!$G:$U,15,FALSE)</f>
        <v>0</v>
      </c>
    </row>
    <row r="734" customHeight="1" spans="1:33">
      <c r="A734" t="s">
        <v>202</v>
      </c>
      <c r="B734" t="s">
        <v>2265</v>
      </c>
      <c r="C734" t="s">
        <v>2266</v>
      </c>
      <c r="D734" t="s">
        <v>68</v>
      </c>
      <c r="E734" t="s">
        <v>83</v>
      </c>
      <c r="F734" t="s">
        <v>148</v>
      </c>
      <c r="H734" t="str">
        <f t="shared" si="77"/>
        <v>NE 东北大区PHL01</v>
      </c>
      <c r="I734" t="s">
        <v>177</v>
      </c>
      <c r="J734" t="s">
        <v>217</v>
      </c>
      <c r="K734" s="15">
        <v>0.395833333333333</v>
      </c>
      <c r="L734" s="15" t="s">
        <v>218</v>
      </c>
      <c r="M734" s="15"/>
      <c r="N734" t="s">
        <v>148</v>
      </c>
      <c r="O734" s="20" t="s">
        <v>116</v>
      </c>
      <c r="P734" s="21">
        <v>0</v>
      </c>
      <c r="Q734" s="21">
        <v>0</v>
      </c>
      <c r="R734" s="21">
        <v>0</v>
      </c>
      <c r="S734" s="21">
        <f t="shared" si="79"/>
        <v>0</v>
      </c>
      <c r="T734" s="21">
        <f t="shared" si="80"/>
        <v>0</v>
      </c>
      <c r="U734" s="21" t="str">
        <f t="shared" si="81"/>
        <v>否</v>
      </c>
      <c r="V734" s="21">
        <f>VLOOKUP($C734,[4]Sheet1!$B:$AN,39,FALSE)</f>
        <v>0</v>
      </c>
      <c r="W734" s="21">
        <v>0</v>
      </c>
      <c r="X734" s="23">
        <v>0</v>
      </c>
      <c r="Y734" s="23">
        <v>0</v>
      </c>
      <c r="Z734" s="25">
        <f t="shared" si="82"/>
        <v>0</v>
      </c>
      <c r="AA734" s="25" t="str">
        <f t="shared" si="83"/>
        <v>是</v>
      </c>
      <c r="AB734" t="s">
        <v>148</v>
      </c>
      <c r="AC734" t="e">
        <f>VLOOKUP(C734,[1]Sheet1!$C:$O,13,FALSE)</f>
        <v>#N/A</v>
      </c>
      <c r="AD734" t="str">
        <f>VLOOKUP($H734,'[3]0509人员排班情况 副本'!$G:$U,12,FALSE)</f>
        <v>孙可君Monica（Kejun Sun）</v>
      </c>
      <c r="AE734" t="str">
        <f>VLOOKUP($H734,'[3]0509人员排班情况 副本'!$G:$U,13,FALSE)</f>
        <v>马聪Cong (Cong Ma)</v>
      </c>
      <c r="AF734">
        <f>VLOOKUP($H734,'[3]0509人员排班情况 副本'!$G:$U,14,FALSE)</f>
        <v>0</v>
      </c>
      <c r="AG734">
        <f>VLOOKUP($H734,'[3]0509人员排班情况 副本'!$G:$U,15,FALSE)</f>
        <v>0</v>
      </c>
    </row>
    <row r="735" customHeight="1" spans="1:33">
      <c r="A735" t="s">
        <v>202</v>
      </c>
      <c r="B735" t="s">
        <v>2267</v>
      </c>
      <c r="C735" t="s">
        <v>2268</v>
      </c>
      <c r="D735" t="s">
        <v>14</v>
      </c>
      <c r="E735" t="s">
        <v>645</v>
      </c>
      <c r="F735" t="s">
        <v>148</v>
      </c>
      <c r="H735" t="str">
        <f t="shared" si="77"/>
        <v>DO 数字运营部美国技术支持组</v>
      </c>
      <c r="I735" t="s">
        <v>646</v>
      </c>
      <c r="J735" t="s">
        <v>343</v>
      </c>
      <c r="K735" s="15">
        <v>0.25</v>
      </c>
      <c r="L735" s="15" t="s">
        <v>344</v>
      </c>
      <c r="M735" s="15"/>
      <c r="N735" t="s">
        <v>1692</v>
      </c>
      <c r="O735" s="20" t="str">
        <f t="shared" si="78"/>
        <v>不正确</v>
      </c>
      <c r="P735" s="21">
        <v>0</v>
      </c>
      <c r="Q735" s="21">
        <v>0</v>
      </c>
      <c r="R735" s="21">
        <v>0</v>
      </c>
      <c r="S735" s="21">
        <f t="shared" si="79"/>
        <v>0</v>
      </c>
      <c r="T735" s="21">
        <f t="shared" si="80"/>
        <v>0</v>
      </c>
      <c r="U735" s="21" t="str">
        <f t="shared" si="81"/>
        <v>否</v>
      </c>
      <c r="V735" s="21">
        <f>VLOOKUP($C735,[4]Sheet1!$B:$AN,39,FALSE)</f>
        <v>13.27</v>
      </c>
      <c r="W735" s="21">
        <v>0</v>
      </c>
      <c r="X735" s="23">
        <v>3</v>
      </c>
      <c r="Y735" s="23">
        <v>4</v>
      </c>
      <c r="Z735" s="25">
        <f t="shared" si="82"/>
        <v>1</v>
      </c>
      <c r="AA735" s="25" t="str">
        <f t="shared" si="83"/>
        <v>是</v>
      </c>
      <c r="AB735" t="s">
        <v>148</v>
      </c>
      <c r="AC735" t="e">
        <f>VLOOKUP(C735,[1]Sheet1!$C:$O,13,FALSE)</f>
        <v>#N/A</v>
      </c>
      <c r="AD735" t="str">
        <f>VLOOKUP($H735,'[3]0509人员排班情况 副本'!$G:$U,12,FALSE)</f>
        <v>袁博闻(Bowen Yuan)</v>
      </c>
      <c r="AE735">
        <f>VLOOKUP($H735,'[3]0509人员排班情况 副本'!$G:$U,13,FALSE)</f>
        <v>0</v>
      </c>
      <c r="AF735">
        <f>VLOOKUP($H735,'[3]0509人员排班情况 副本'!$G:$U,14,FALSE)</f>
        <v>0</v>
      </c>
      <c r="AG735">
        <f>VLOOKUP($H735,'[3]0509人员排班情况 副本'!$G:$U,15,FALSE)</f>
        <v>0</v>
      </c>
    </row>
    <row r="736" customHeight="1" spans="1:33">
      <c r="A736" t="s">
        <v>202</v>
      </c>
      <c r="B736" t="s">
        <v>2269</v>
      </c>
      <c r="C736" t="s">
        <v>2270</v>
      </c>
      <c r="D736" t="s">
        <v>88</v>
      </c>
      <c r="E736" t="s">
        <v>631</v>
      </c>
      <c r="F736" t="s">
        <v>148</v>
      </c>
      <c r="H736" t="str">
        <f t="shared" si="77"/>
        <v>OM 操作管理部实施运营组</v>
      </c>
      <c r="I736" t="s">
        <v>2271</v>
      </c>
      <c r="J736" t="s">
        <v>236</v>
      </c>
      <c r="K736" s="15">
        <v>0.395833333333333</v>
      </c>
      <c r="L736" s="15" t="s">
        <v>218</v>
      </c>
      <c r="M736" s="15">
        <v>0.344444444444444</v>
      </c>
      <c r="N736" t="s">
        <v>2272</v>
      </c>
      <c r="O736" s="20" t="str">
        <f t="shared" si="78"/>
        <v>不正确</v>
      </c>
      <c r="P736" s="21">
        <v>0</v>
      </c>
      <c r="Q736" s="21">
        <v>8.92</v>
      </c>
      <c r="R736" s="21">
        <v>0</v>
      </c>
      <c r="S736" s="21">
        <f t="shared" si="79"/>
        <v>8.92</v>
      </c>
      <c r="T736" s="21">
        <f t="shared" si="80"/>
        <v>0.92</v>
      </c>
      <c r="U736" s="21" t="str">
        <f t="shared" si="81"/>
        <v>是</v>
      </c>
      <c r="V736" s="21">
        <f>VLOOKUP($C736,[4]Sheet1!$B:$AN,39,FALSE)</f>
        <v>17.77</v>
      </c>
      <c r="W736" s="21">
        <v>0</v>
      </c>
      <c r="X736" s="23">
        <v>4</v>
      </c>
      <c r="Y736" s="23">
        <v>4</v>
      </c>
      <c r="Z736" s="25">
        <f t="shared" si="82"/>
        <v>0</v>
      </c>
      <c r="AA736" s="25" t="str">
        <f t="shared" si="83"/>
        <v>是</v>
      </c>
      <c r="AB736" t="s">
        <v>148</v>
      </c>
      <c r="AC736" t="e">
        <f>VLOOKUP(C736,[1]Sheet1!$C:$O,13,FALSE)</f>
        <v>#N/A</v>
      </c>
      <c r="AD736" t="str">
        <f>VLOOKUP($H736,'[3]0509人员排班情况 副本'!$G:$U,12,FALSE)</f>
        <v>袁博闻(Bowen Yuan)</v>
      </c>
      <c r="AE736">
        <f>VLOOKUP($H736,'[3]0509人员排班情况 副本'!$G:$U,13,FALSE)</f>
        <v>0</v>
      </c>
      <c r="AF736">
        <f>VLOOKUP($H736,'[3]0509人员排班情况 副本'!$G:$U,14,FALSE)</f>
        <v>0</v>
      </c>
      <c r="AG736">
        <f>VLOOKUP($H736,'[3]0509人员排班情况 副本'!$G:$U,15,FALSE)</f>
        <v>0</v>
      </c>
    </row>
    <row r="737" customHeight="1" spans="1:33">
      <c r="A737" t="s">
        <v>202</v>
      </c>
      <c r="B737" t="s">
        <v>2273</v>
      </c>
      <c r="C737" t="s">
        <v>2274</v>
      </c>
      <c r="D737" t="s">
        <v>31</v>
      </c>
      <c r="E737" t="s">
        <v>43</v>
      </c>
      <c r="F737" t="s">
        <v>42</v>
      </c>
      <c r="H737" t="str">
        <f t="shared" si="77"/>
        <v>GL 大湖大区WG 西大湖片区ORD01</v>
      </c>
      <c r="I737" t="s">
        <v>177</v>
      </c>
      <c r="J737" t="s">
        <v>217</v>
      </c>
      <c r="K737" s="15">
        <v>0.395833333333333</v>
      </c>
      <c r="L737" s="15" t="s">
        <v>218</v>
      </c>
      <c r="M737" s="15"/>
      <c r="N737" t="s">
        <v>148</v>
      </c>
      <c r="O737" s="20" t="s">
        <v>116</v>
      </c>
      <c r="P737" s="21">
        <v>0</v>
      </c>
      <c r="Q737" s="21">
        <v>0</v>
      </c>
      <c r="R737" s="21">
        <v>0</v>
      </c>
      <c r="S737" s="21">
        <f t="shared" si="79"/>
        <v>0</v>
      </c>
      <c r="T737" s="21">
        <f t="shared" si="80"/>
        <v>0</v>
      </c>
      <c r="U737" s="21" t="str">
        <f t="shared" si="81"/>
        <v>否</v>
      </c>
      <c r="V737" s="21">
        <f>VLOOKUP($C737,[4]Sheet1!$B:$AN,39,FALSE)</f>
        <v>0</v>
      </c>
      <c r="W737" s="21">
        <v>0</v>
      </c>
      <c r="X737" s="23">
        <v>0</v>
      </c>
      <c r="Y737" s="23">
        <v>0</v>
      </c>
      <c r="Z737" s="25">
        <f t="shared" si="82"/>
        <v>0</v>
      </c>
      <c r="AA737" s="25" t="str">
        <f t="shared" si="83"/>
        <v>是</v>
      </c>
      <c r="AB737" t="s">
        <v>148</v>
      </c>
      <c r="AC737" t="e">
        <f>VLOOKUP(C737,[1]Sheet1!$C:$O,13,FALSE)</f>
        <v>#N/A</v>
      </c>
      <c r="AD737" t="str">
        <f>VLOOKUP($H737,'[3]0509人员排班情况 副本'!$G:$U,12,FALSE)</f>
        <v>王晓丹 Jasmine（Xiaodan Wang）,周延舒Isabel（Yanshu Zhou）</v>
      </c>
      <c r="AE737" t="str">
        <f>VLOOKUP($H737,'[3]0509人员排班情况 副本'!$G:$U,13,FALSE)</f>
        <v>张骥Ji Zhang (Ji Zhang)</v>
      </c>
      <c r="AF737" t="str">
        <f>VLOOKUP($H737,'[3]0509人员排班情况 副本'!$G:$U,14,FALSE)</f>
        <v>易至聪Zac (Zhicong Yi),尚青蓓 Suki （Qingbei Shang）</v>
      </c>
      <c r="AG737">
        <f>VLOOKUP($H737,'[3]0509人员排班情况 副本'!$G:$U,15,FALSE)</f>
        <v>0</v>
      </c>
    </row>
    <row r="738" customHeight="1" spans="1:33">
      <c r="A738" t="s">
        <v>202</v>
      </c>
      <c r="B738" t="s">
        <v>2275</v>
      </c>
      <c r="C738" t="s">
        <v>2276</v>
      </c>
      <c r="D738" t="s">
        <v>48</v>
      </c>
      <c r="E738" t="s">
        <v>53</v>
      </c>
      <c r="F738" t="s">
        <v>1099</v>
      </c>
      <c r="H738" t="str">
        <f t="shared" si="77"/>
        <v>Ground项目部派送管理部运力开发组</v>
      </c>
      <c r="I738" t="s">
        <v>1215</v>
      </c>
      <c r="J738" t="s">
        <v>295</v>
      </c>
      <c r="K738" s="15">
        <v>0.375</v>
      </c>
      <c r="L738" s="15" t="s">
        <v>296</v>
      </c>
      <c r="M738" s="15"/>
      <c r="N738" t="s">
        <v>148</v>
      </c>
      <c r="O738" s="20" t="str">
        <f t="shared" si="78"/>
        <v>不正确</v>
      </c>
      <c r="P738" s="21">
        <v>0</v>
      </c>
      <c r="Q738" s="21">
        <v>0</v>
      </c>
      <c r="R738" s="21">
        <v>0</v>
      </c>
      <c r="S738" s="21">
        <f t="shared" si="79"/>
        <v>0</v>
      </c>
      <c r="T738" s="21">
        <f t="shared" si="80"/>
        <v>0</v>
      </c>
      <c r="U738" s="21" t="str">
        <f t="shared" si="81"/>
        <v>否</v>
      </c>
      <c r="V738" s="21">
        <f>VLOOKUP($C738,[4]Sheet1!$B:$AN,39,FALSE)</f>
        <v>0</v>
      </c>
      <c r="W738" s="21">
        <v>0</v>
      </c>
      <c r="X738" s="23">
        <v>0</v>
      </c>
      <c r="Y738" s="23">
        <v>0</v>
      </c>
      <c r="Z738" s="25">
        <f t="shared" si="82"/>
        <v>0</v>
      </c>
      <c r="AA738" s="25" t="str">
        <f t="shared" si="83"/>
        <v>是</v>
      </c>
      <c r="AB738" t="s">
        <v>690</v>
      </c>
      <c r="AC738" t="e">
        <f>VLOOKUP(C738,[1]Sheet1!$C:$O,13,FALSE)</f>
        <v>#N/A</v>
      </c>
      <c r="AD738" t="str">
        <f>VLOOKUP($H738,'[3]0509人员排班情况 副本'!$G:$U,12,FALSE)</f>
        <v>王安琪 (Anqi Wang),张朱同 Thomson（Zhutong Zhang）</v>
      </c>
      <c r="AE738" t="str">
        <f>VLOOKUP($H738,'[3]0509人员排班情况 副本'!$G:$U,13,FALSE)</f>
        <v>陈锦昭</v>
      </c>
      <c r="AF738">
        <f>VLOOKUP($H738,'[3]0509人员排班情况 副本'!$G:$U,14,FALSE)</f>
        <v>0</v>
      </c>
      <c r="AG738">
        <f>VLOOKUP($H738,'[3]0509人员排班情况 副本'!$G:$U,15,FALSE)</f>
        <v>0</v>
      </c>
    </row>
    <row r="739" customHeight="1" spans="1:33">
      <c r="A739" t="s">
        <v>202</v>
      </c>
      <c r="B739" t="s">
        <v>2277</v>
      </c>
      <c r="C739" t="s">
        <v>2278</v>
      </c>
      <c r="D739" t="s">
        <v>48</v>
      </c>
      <c r="E739" t="s">
        <v>51</v>
      </c>
      <c r="F739" t="s">
        <v>563</v>
      </c>
      <c r="G739" t="s">
        <v>112</v>
      </c>
      <c r="H739" t="str">
        <f t="shared" si="77"/>
        <v>Ground项目部OG 美西区CNO.G</v>
      </c>
      <c r="I739" t="s">
        <v>1377</v>
      </c>
      <c r="J739" t="s">
        <v>211</v>
      </c>
      <c r="K739" s="15">
        <v>0.333333333333333</v>
      </c>
      <c r="L739" s="15" t="s">
        <v>212</v>
      </c>
      <c r="M739" s="15"/>
      <c r="N739" t="s">
        <v>2279</v>
      </c>
      <c r="O739" s="20" t="str">
        <f t="shared" si="78"/>
        <v>不正确</v>
      </c>
      <c r="P739" s="21">
        <v>0</v>
      </c>
      <c r="Q739" s="21">
        <v>0</v>
      </c>
      <c r="R739" s="21">
        <v>0</v>
      </c>
      <c r="S739" s="21">
        <f t="shared" si="79"/>
        <v>0</v>
      </c>
      <c r="T739" s="21">
        <f t="shared" si="80"/>
        <v>0</v>
      </c>
      <c r="U739" s="21" t="str">
        <f t="shared" si="81"/>
        <v>否</v>
      </c>
      <c r="V739" s="21">
        <f>VLOOKUP($C739,[4]Sheet1!$B:$AN,39,FALSE)</f>
        <v>0</v>
      </c>
      <c r="W739" s="21">
        <v>0</v>
      </c>
      <c r="X739" s="23">
        <v>1</v>
      </c>
      <c r="Y739" s="23">
        <v>4</v>
      </c>
      <c r="Z739" s="25">
        <f t="shared" si="82"/>
        <v>3</v>
      </c>
      <c r="AA739" s="25" t="str">
        <f t="shared" si="83"/>
        <v>是</v>
      </c>
      <c r="AB739" t="s">
        <v>148</v>
      </c>
      <c r="AC739" t="e">
        <f>VLOOKUP(C739,[1]Sheet1!$C:$O,13,FALSE)</f>
        <v>#N/A</v>
      </c>
      <c r="AD739" t="str">
        <f>VLOOKUP($H739,'[3]0509人员排班情况 副本'!$G:$U,12,FALSE)</f>
        <v>王安琪 (Anqi Wang),张朱同 Thomson（Zhutong Zhang）</v>
      </c>
      <c r="AE739" t="str">
        <f>VLOOKUP($H739,'[3]0509人员排班情况 副本'!$G:$U,13,FALSE)</f>
        <v>陈锦昭</v>
      </c>
      <c r="AF739" t="str">
        <f>VLOOKUP($H739,'[3]0509人员排班情况 副本'!$G:$U,14,FALSE)</f>
        <v>张弘毅 Hongyi （Hongyi Zhang）</v>
      </c>
      <c r="AG739">
        <f>VLOOKUP($H739,'[3]0509人员排班情况 副本'!$G:$U,15,FALSE)</f>
        <v>0</v>
      </c>
    </row>
    <row r="740" customHeight="1" spans="1:33">
      <c r="A740" t="s">
        <v>202</v>
      </c>
      <c r="B740" t="s">
        <v>2280</v>
      </c>
      <c r="C740" t="s">
        <v>2281</v>
      </c>
      <c r="D740" t="s">
        <v>92</v>
      </c>
      <c r="E740" t="s">
        <v>93</v>
      </c>
      <c r="F740" t="s">
        <v>2282</v>
      </c>
      <c r="H740" t="str">
        <f t="shared" si="77"/>
        <v>TX 德州大区CT 中德州片区LIT01</v>
      </c>
      <c r="I740" t="s">
        <v>687</v>
      </c>
      <c r="J740" t="s">
        <v>343</v>
      </c>
      <c r="K740" s="15">
        <v>0.25</v>
      </c>
      <c r="L740" s="15" t="s">
        <v>344</v>
      </c>
      <c r="M740" s="15">
        <v>0.253472222222222</v>
      </c>
      <c r="N740" t="s">
        <v>2283</v>
      </c>
      <c r="O740" s="20" t="str">
        <f t="shared" si="78"/>
        <v>正确</v>
      </c>
      <c r="P740" s="21">
        <v>0</v>
      </c>
      <c r="Q740" s="21">
        <v>8.33</v>
      </c>
      <c r="R740" s="21">
        <v>0</v>
      </c>
      <c r="S740" s="21">
        <f t="shared" si="79"/>
        <v>8.33</v>
      </c>
      <c r="T740" s="21">
        <f t="shared" si="80"/>
        <v>0.33</v>
      </c>
      <c r="U740" s="21" t="str">
        <f t="shared" si="81"/>
        <v>是</v>
      </c>
      <c r="V740" s="21">
        <f>VLOOKUP($C740,[4]Sheet1!$B:$AN,39,FALSE)</f>
        <v>16.38</v>
      </c>
      <c r="W740" s="21">
        <v>0</v>
      </c>
      <c r="X740" s="23">
        <v>4</v>
      </c>
      <c r="Y740" s="23">
        <v>4</v>
      </c>
      <c r="Z740" s="25">
        <f t="shared" si="82"/>
        <v>0</v>
      </c>
      <c r="AA740" s="25" t="str">
        <f t="shared" si="83"/>
        <v>是</v>
      </c>
      <c r="AB740" t="s">
        <v>148</v>
      </c>
      <c r="AC740" t="e">
        <f>VLOOKUP(C740,[1]Sheet1!$C:$O,13,FALSE)</f>
        <v>#N/A</v>
      </c>
      <c r="AD740" t="str">
        <f>VLOOKUP($H740,'[3]0509人员排班情况 副本'!$G:$U,12,FALSE)</f>
        <v>肖芦莉Lily (Luli Xiao)</v>
      </c>
      <c r="AE740" t="str">
        <f>VLOOKUP($H740,'[3]0509人员排班情况 副本'!$G:$U,13,FALSE)</f>
        <v>张骥Ji Zhang (Ji Zhang)</v>
      </c>
      <c r="AF740" t="str">
        <f>VLOOKUP($H740,'[3]0509人员排班情况 副本'!$G:$U,14,FALSE)</f>
        <v>马铭 Ming (Ming Ma)</v>
      </c>
      <c r="AG740">
        <f>VLOOKUP($H740,'[3]0509人员排班情况 副本'!$G:$U,15,FALSE)</f>
        <v>0</v>
      </c>
    </row>
    <row r="741" customHeight="1" spans="1:33">
      <c r="A741" t="s">
        <v>202</v>
      </c>
      <c r="B741" t="s">
        <v>2284</v>
      </c>
      <c r="C741" t="s">
        <v>2285</v>
      </c>
      <c r="D741" t="s">
        <v>31</v>
      </c>
      <c r="E741" t="s">
        <v>45</v>
      </c>
      <c r="F741" t="s">
        <v>927</v>
      </c>
      <c r="H741" t="str">
        <f t="shared" si="77"/>
        <v>GL 大湖大区揽收部揽收支持组</v>
      </c>
      <c r="I741" t="s">
        <v>928</v>
      </c>
      <c r="J741" t="s">
        <v>249</v>
      </c>
      <c r="K741" s="15">
        <v>0.458333333333333</v>
      </c>
      <c r="L741" s="15" t="s">
        <v>250</v>
      </c>
      <c r="M741" s="15">
        <v>0.459027777777778</v>
      </c>
      <c r="N741" t="s">
        <v>2286</v>
      </c>
      <c r="O741" s="20" t="str">
        <f t="shared" si="78"/>
        <v>正确</v>
      </c>
      <c r="P741" s="21">
        <v>0</v>
      </c>
      <c r="Q741" s="21">
        <v>9.52</v>
      </c>
      <c r="R741" s="21">
        <v>0</v>
      </c>
      <c r="S741" s="21">
        <f t="shared" si="79"/>
        <v>9.52</v>
      </c>
      <c r="T741" s="21">
        <f t="shared" si="80"/>
        <v>1.52</v>
      </c>
      <c r="U741" s="21" t="str">
        <f t="shared" si="81"/>
        <v>是</v>
      </c>
      <c r="V741" s="21">
        <f>VLOOKUP($C741,[4]Sheet1!$B:$AN,39,FALSE)</f>
        <v>19.5</v>
      </c>
      <c r="W741" s="21">
        <v>0</v>
      </c>
      <c r="X741" s="23">
        <v>4</v>
      </c>
      <c r="Y741" s="23">
        <v>4</v>
      </c>
      <c r="Z741" s="25">
        <f t="shared" si="82"/>
        <v>0</v>
      </c>
      <c r="AA741" s="25" t="str">
        <f t="shared" si="83"/>
        <v>是</v>
      </c>
      <c r="AB741" t="s">
        <v>148</v>
      </c>
      <c r="AC741" t="e">
        <f>VLOOKUP(C741,[1]Sheet1!$C:$O,13,FALSE)</f>
        <v>#N/A</v>
      </c>
      <c r="AD741" t="str">
        <f>VLOOKUP($H741,'[3]0509人员排班情况 副本'!$G:$U,12,FALSE)</f>
        <v>王晓丹 Jasmine（Xiaodan Wang）,周延舒Isabel（Yanshu Zhou）</v>
      </c>
      <c r="AE741" t="str">
        <f>VLOOKUP($H741,'[3]0509人员排班情况 副本'!$G:$U,13,FALSE)</f>
        <v>张骥Ji Zhang (Ji Zhang)</v>
      </c>
      <c r="AF741" t="str">
        <f>VLOOKUP($H741,'[3]0509人员排班情况 副本'!$G:$U,14,FALSE)</f>
        <v>王姝涵Function（Shuhan Wang)</v>
      </c>
      <c r="AG741">
        <f>VLOOKUP($H741,'[3]0509人员排班情况 副本'!$G:$U,15,FALSE)</f>
        <v>0</v>
      </c>
    </row>
    <row r="742" customHeight="1" spans="1:33">
      <c r="A742" t="s">
        <v>202</v>
      </c>
      <c r="B742" t="s">
        <v>2287</v>
      </c>
      <c r="C742" t="s">
        <v>2288</v>
      </c>
      <c r="D742" t="s">
        <v>48</v>
      </c>
      <c r="E742" t="s">
        <v>51</v>
      </c>
      <c r="F742" t="s">
        <v>1695</v>
      </c>
      <c r="H742" t="str">
        <f t="shared" si="77"/>
        <v>Ground项目部OG 美西区SFO.G</v>
      </c>
      <c r="I742" t="s">
        <v>654</v>
      </c>
      <c r="J742" t="s">
        <v>211</v>
      </c>
      <c r="K742" s="15">
        <v>0.333333333333333</v>
      </c>
      <c r="L742" s="15" t="s">
        <v>212</v>
      </c>
      <c r="M742" s="15">
        <v>0.327777777777778</v>
      </c>
      <c r="N742" t="s">
        <v>2289</v>
      </c>
      <c r="O742" s="20" t="str">
        <f t="shared" si="78"/>
        <v>正确</v>
      </c>
      <c r="P742" s="21">
        <v>0</v>
      </c>
      <c r="Q742" s="21">
        <v>11.2</v>
      </c>
      <c r="R742" s="21">
        <v>0</v>
      </c>
      <c r="S742" s="21">
        <f t="shared" si="79"/>
        <v>11.2</v>
      </c>
      <c r="T742" s="21">
        <f t="shared" si="80"/>
        <v>3.2</v>
      </c>
      <c r="U742" s="21" t="str">
        <f t="shared" si="81"/>
        <v>是</v>
      </c>
      <c r="V742" s="21">
        <f>VLOOKUP($C742,[4]Sheet1!$B:$AN,39,FALSE)</f>
        <v>22.15</v>
      </c>
      <c r="W742" s="21">
        <v>0</v>
      </c>
      <c r="X742" s="23">
        <v>4</v>
      </c>
      <c r="Y742" s="23">
        <v>4</v>
      </c>
      <c r="Z742" s="25">
        <f t="shared" si="82"/>
        <v>0</v>
      </c>
      <c r="AA742" s="25" t="str">
        <f t="shared" si="83"/>
        <v>是</v>
      </c>
      <c r="AB742" t="s">
        <v>148</v>
      </c>
      <c r="AC742" t="e">
        <f>VLOOKUP(C742,[1]Sheet1!$C:$O,13,FALSE)</f>
        <v>#N/A</v>
      </c>
      <c r="AD742" t="str">
        <f>VLOOKUP($H742,'[3]0509人员排班情况 副本'!$G:$U,12,FALSE)</f>
        <v>王安琪 (Anqi Wang),张朱同 Thomson（Zhutong Zhang）</v>
      </c>
      <c r="AE742" t="str">
        <f>VLOOKUP($H742,'[3]0509人员排班情况 副本'!$G:$U,13,FALSE)</f>
        <v>陈锦昭</v>
      </c>
      <c r="AF742" t="str">
        <f>VLOOKUP($H742,'[3]0509人员排班情况 副本'!$G:$U,14,FALSE)</f>
        <v>蒲奕霖Steven（Yilin Pu）</v>
      </c>
      <c r="AG742">
        <f>VLOOKUP($H742,'[3]0509人员排班情况 副本'!$G:$U,15,FALSE)</f>
        <v>0</v>
      </c>
    </row>
    <row r="743" customHeight="1" spans="1:33">
      <c r="A743" t="s">
        <v>202</v>
      </c>
      <c r="B743" t="s">
        <v>2290</v>
      </c>
      <c r="C743" t="s">
        <v>2291</v>
      </c>
      <c r="D743" t="s">
        <v>100</v>
      </c>
      <c r="E743" t="s">
        <v>106</v>
      </c>
      <c r="F743" t="s">
        <v>1940</v>
      </c>
      <c r="H743" t="str">
        <f t="shared" si="77"/>
        <v>WE 美西大区SC 南加片区PHX01</v>
      </c>
      <c r="I743" t="s">
        <v>177</v>
      </c>
      <c r="J743" t="s">
        <v>347</v>
      </c>
      <c r="K743" s="15">
        <v>0.541666666666667</v>
      </c>
      <c r="L743" s="15" t="s">
        <v>348</v>
      </c>
      <c r="M743" s="15">
        <v>0.500694444444444</v>
      </c>
      <c r="N743" t="s">
        <v>2292</v>
      </c>
      <c r="O743" s="20" t="str">
        <f t="shared" si="78"/>
        <v>正确</v>
      </c>
      <c r="P743" s="21">
        <v>0</v>
      </c>
      <c r="Q743" s="21">
        <v>6.52</v>
      </c>
      <c r="R743" s="21">
        <v>0</v>
      </c>
      <c r="S743" s="21">
        <f t="shared" si="79"/>
        <v>6.52</v>
      </c>
      <c r="T743" s="21">
        <f t="shared" si="80"/>
        <v>0</v>
      </c>
      <c r="U743" s="21" t="str">
        <f t="shared" si="81"/>
        <v>否</v>
      </c>
      <c r="V743" s="21">
        <f>VLOOKUP($C743,[4]Sheet1!$B:$AN,39,FALSE)</f>
        <v>18.59</v>
      </c>
      <c r="W743" s="21">
        <v>0</v>
      </c>
      <c r="X743" s="23">
        <v>3</v>
      </c>
      <c r="Y743" s="23">
        <v>4</v>
      </c>
      <c r="Z743" s="25">
        <f t="shared" si="82"/>
        <v>1</v>
      </c>
      <c r="AA743" s="25" t="str">
        <f t="shared" si="83"/>
        <v>是</v>
      </c>
      <c r="AB743" t="s">
        <v>148</v>
      </c>
      <c r="AC743" t="e">
        <f>VLOOKUP(C743,[1]Sheet1!$C:$O,13,FALSE)</f>
        <v>#N/A</v>
      </c>
      <c r="AD743" t="str">
        <f>VLOOKUP($H743,'[3]0509人员排班情况 副本'!$G:$U,12,FALSE)</f>
        <v>王骞Ariel（Qian Wang）,叶秀芳Freya (Xiufang Ye)</v>
      </c>
      <c r="AE743" t="str">
        <f>VLOOKUP($H743,'[3]0509人员排班情况 副本'!$G:$U,13,FALSE)</f>
        <v>常哲</v>
      </c>
      <c r="AF743" t="str">
        <f>VLOOKUP($H743,'[3]0509人员排班情况 副本'!$G:$U,14,FALSE)</f>
        <v>尤梦楠Yuko（Mengnan You）</v>
      </c>
      <c r="AG743">
        <f>VLOOKUP($H743,'[3]0509人员排班情况 副本'!$G:$U,15,FALSE)</f>
        <v>0</v>
      </c>
    </row>
    <row r="744" customHeight="1" spans="1:33">
      <c r="A744" t="s">
        <v>202</v>
      </c>
      <c r="B744" t="s">
        <v>2293</v>
      </c>
      <c r="C744" t="s">
        <v>2294</v>
      </c>
      <c r="D744" t="s">
        <v>31</v>
      </c>
      <c r="E744" t="s">
        <v>43</v>
      </c>
      <c r="F744" t="s">
        <v>42</v>
      </c>
      <c r="H744" t="str">
        <f t="shared" si="77"/>
        <v>GL 大湖大区WG 西大湖片区ORD01</v>
      </c>
      <c r="I744" t="s">
        <v>406</v>
      </c>
      <c r="J744" t="s">
        <v>2295</v>
      </c>
      <c r="K744" s="15">
        <v>0.0416666666666667</v>
      </c>
      <c r="L744" s="15" t="s">
        <v>2296</v>
      </c>
      <c r="M744" s="15">
        <v>0.0493055555555556</v>
      </c>
      <c r="N744" t="s">
        <v>2297</v>
      </c>
      <c r="O744" s="20" t="str">
        <f t="shared" si="78"/>
        <v>正确</v>
      </c>
      <c r="P744" s="21">
        <v>0</v>
      </c>
      <c r="Q744" s="21">
        <v>8.38</v>
      </c>
      <c r="R744" s="21">
        <v>0</v>
      </c>
      <c r="S744" s="21">
        <f t="shared" si="79"/>
        <v>8.38</v>
      </c>
      <c r="T744" s="21">
        <f t="shared" si="80"/>
        <v>0.380000000000001</v>
      </c>
      <c r="U744" s="21" t="str">
        <f t="shared" si="81"/>
        <v>是</v>
      </c>
      <c r="V744" s="21">
        <f>VLOOKUP($C744,[4]Sheet1!$B:$AN,39,FALSE)</f>
        <v>18.8</v>
      </c>
      <c r="W744" s="21">
        <v>0</v>
      </c>
      <c r="X744" s="23">
        <v>2</v>
      </c>
      <c r="Y744" s="23">
        <v>4</v>
      </c>
      <c r="Z744" s="25">
        <f t="shared" si="82"/>
        <v>2</v>
      </c>
      <c r="AA744" s="25" t="str">
        <f t="shared" si="83"/>
        <v>是</v>
      </c>
      <c r="AB744" t="s">
        <v>148</v>
      </c>
      <c r="AC744" t="e">
        <f>VLOOKUP(C744,[1]Sheet1!$C:$O,13,FALSE)</f>
        <v>#N/A</v>
      </c>
      <c r="AD744" t="str">
        <f>VLOOKUP($H744,'[3]0509人员排班情况 副本'!$G:$U,12,FALSE)</f>
        <v>王晓丹 Jasmine（Xiaodan Wang）,周延舒Isabel（Yanshu Zhou）</v>
      </c>
      <c r="AE744" t="str">
        <f>VLOOKUP($H744,'[3]0509人员排班情况 副本'!$G:$U,13,FALSE)</f>
        <v>张骥Ji Zhang (Ji Zhang)</v>
      </c>
      <c r="AF744" t="str">
        <f>VLOOKUP($H744,'[3]0509人员排班情况 副本'!$G:$U,14,FALSE)</f>
        <v>易至聪Zac (Zhicong Yi),尚青蓓 Suki （Qingbei Shang）</v>
      </c>
      <c r="AG744">
        <f>VLOOKUP($H744,'[3]0509人员排班情况 副本'!$G:$U,15,FALSE)</f>
        <v>0</v>
      </c>
    </row>
    <row r="745" customHeight="1" spans="1:33">
      <c r="A745" t="s">
        <v>202</v>
      </c>
      <c r="B745" t="s">
        <v>2298</v>
      </c>
      <c r="C745" t="s">
        <v>2299</v>
      </c>
      <c r="D745" t="s">
        <v>15</v>
      </c>
      <c r="E745" t="s">
        <v>22</v>
      </c>
      <c r="F745" t="s">
        <v>369</v>
      </c>
      <c r="H745" t="str">
        <f t="shared" si="77"/>
        <v>FL 佛州大区NF 北佛片区TAL01</v>
      </c>
      <c r="I745" t="s">
        <v>177</v>
      </c>
      <c r="J745" t="s">
        <v>221</v>
      </c>
      <c r="K745" s="15">
        <v>0.208333333333333</v>
      </c>
      <c r="L745" s="15" t="s">
        <v>222</v>
      </c>
      <c r="M745" s="15">
        <v>0.216666666666667</v>
      </c>
      <c r="N745" t="s">
        <v>370</v>
      </c>
      <c r="O745" s="20" t="str">
        <f t="shared" si="78"/>
        <v>正确</v>
      </c>
      <c r="P745" s="21">
        <v>0</v>
      </c>
      <c r="Q745" s="21">
        <v>7.87</v>
      </c>
      <c r="R745" s="21">
        <v>0</v>
      </c>
      <c r="S745" s="21">
        <f t="shared" si="79"/>
        <v>7.87</v>
      </c>
      <c r="T745" s="21">
        <f t="shared" si="80"/>
        <v>0</v>
      </c>
      <c r="U745" s="21" t="str">
        <f t="shared" si="81"/>
        <v>否</v>
      </c>
      <c r="V745" s="21">
        <f>VLOOKUP($C745,[4]Sheet1!$B:$AN,39,FALSE)</f>
        <v>7.87</v>
      </c>
      <c r="W745" s="21">
        <v>0</v>
      </c>
      <c r="X745" s="23">
        <v>2</v>
      </c>
      <c r="Y745" s="23">
        <v>4</v>
      </c>
      <c r="Z745" s="25">
        <f t="shared" si="82"/>
        <v>2</v>
      </c>
      <c r="AA745" s="25" t="str">
        <f t="shared" si="83"/>
        <v>是</v>
      </c>
      <c r="AB745" t="s">
        <v>148</v>
      </c>
      <c r="AC745" t="e">
        <f>VLOOKUP(C745,[1]Sheet1!$C:$O,13,FALSE)</f>
        <v>#N/A</v>
      </c>
      <c r="AD745" t="str">
        <f>VLOOKUP($H745,'[3]0509人员排班情况 副本'!$G:$U,12,FALSE)</f>
        <v>Natalia (Natalia Padilla),孙婕 Jasmine（Sunjie）</v>
      </c>
      <c r="AE745" t="str">
        <f>VLOOKUP($H745,'[3]0509人员排班情况 副本'!$G:$U,13,FALSE)</f>
        <v>贺子强Jeff (Ziqiang He)</v>
      </c>
      <c r="AF745" t="str">
        <f>VLOOKUP($H745,'[3]0509人员排班情况 副本'!$G:$U,14,FALSE)</f>
        <v>黄燕娜 Nana (Yanna Huang)</v>
      </c>
      <c r="AG745">
        <f>VLOOKUP($H745,'[3]0509人员排班情况 副本'!$G:$U,15,FALSE)</f>
        <v>0</v>
      </c>
    </row>
    <row r="746" customHeight="1" spans="1:33">
      <c r="A746" t="s">
        <v>202</v>
      </c>
      <c r="B746" t="s">
        <v>2300</v>
      </c>
      <c r="C746" t="s">
        <v>2301</v>
      </c>
      <c r="D746" t="s">
        <v>99</v>
      </c>
      <c r="E746" t="s">
        <v>677</v>
      </c>
      <c r="F746" t="s">
        <v>1669</v>
      </c>
      <c r="H746" t="str">
        <f t="shared" si="77"/>
        <v>US人力资源部美洲HRBP组综合HRBP组</v>
      </c>
      <c r="I746" t="s">
        <v>1064</v>
      </c>
      <c r="J746" t="s">
        <v>236</v>
      </c>
      <c r="K746" s="15">
        <v>0.395833333333333</v>
      </c>
      <c r="L746" s="15" t="s">
        <v>218</v>
      </c>
      <c r="M746" s="15">
        <v>0.401388888888889</v>
      </c>
      <c r="N746" t="s">
        <v>218</v>
      </c>
      <c r="O746" s="20" t="str">
        <f t="shared" si="78"/>
        <v>正确</v>
      </c>
      <c r="P746" s="21">
        <v>0</v>
      </c>
      <c r="Q746" s="21">
        <v>7.87</v>
      </c>
      <c r="R746" s="21">
        <v>0</v>
      </c>
      <c r="S746" s="21">
        <f t="shared" si="79"/>
        <v>7.87</v>
      </c>
      <c r="T746" s="21">
        <f t="shared" si="80"/>
        <v>0</v>
      </c>
      <c r="U746" s="21" t="str">
        <f t="shared" si="81"/>
        <v>否</v>
      </c>
      <c r="V746" s="21">
        <f>VLOOKUP($C746,[4]Sheet1!$B:$AN,39,FALSE)</f>
        <v>15.64</v>
      </c>
      <c r="W746" s="21">
        <v>0</v>
      </c>
      <c r="X746" s="23">
        <v>2</v>
      </c>
      <c r="Y746" s="23">
        <v>4</v>
      </c>
      <c r="Z746" s="25">
        <f t="shared" si="82"/>
        <v>2</v>
      </c>
      <c r="AA746" s="25" t="str">
        <f t="shared" si="83"/>
        <v>是</v>
      </c>
      <c r="AB746" t="s">
        <v>148</v>
      </c>
      <c r="AC746" t="e">
        <f>VLOOKUP(C746,[1]Sheet1!$C:$O,13,FALSE)</f>
        <v>#N/A</v>
      </c>
      <c r="AD746" t="str">
        <f>VLOOKUP($H746,'[3]0509人员排班情况 副本'!$G:$U,12,FALSE)</f>
        <v>袁博闻(Bowen Yuan)</v>
      </c>
      <c r="AE746">
        <f>VLOOKUP($H746,'[3]0509人员排班情况 副本'!$G:$U,13,FALSE)</f>
        <v>0</v>
      </c>
      <c r="AF746">
        <f>VLOOKUP($H746,'[3]0509人员排班情况 副本'!$G:$U,14,FALSE)</f>
        <v>0</v>
      </c>
      <c r="AG746">
        <f>VLOOKUP($H746,'[3]0509人员排班情况 副本'!$G:$U,15,FALSE)</f>
        <v>0</v>
      </c>
    </row>
    <row r="747" customHeight="1" spans="1:33">
      <c r="A747" t="s">
        <v>202</v>
      </c>
      <c r="B747" t="s">
        <v>2302</v>
      </c>
      <c r="C747" t="s">
        <v>2303</v>
      </c>
      <c r="D747" t="s">
        <v>13</v>
      </c>
      <c r="E747" t="s">
        <v>148</v>
      </c>
      <c r="F747" t="s">
        <v>148</v>
      </c>
      <c r="H747" t="str">
        <f t="shared" si="77"/>
        <v>CS 客户服务部</v>
      </c>
      <c r="I747" t="s">
        <v>954</v>
      </c>
      <c r="J747" t="s">
        <v>236</v>
      </c>
      <c r="K747" s="15">
        <v>0.395833333333333</v>
      </c>
      <c r="L747" s="15" t="s">
        <v>218</v>
      </c>
      <c r="M747" s="15">
        <v>0.392361111111111</v>
      </c>
      <c r="N747" t="s">
        <v>148</v>
      </c>
      <c r="O747" s="20" t="str">
        <f t="shared" si="78"/>
        <v>正确</v>
      </c>
      <c r="P747" s="21">
        <v>0</v>
      </c>
      <c r="Q747" s="21">
        <v>0</v>
      </c>
      <c r="R747" s="21">
        <v>0</v>
      </c>
      <c r="S747" s="21">
        <f t="shared" si="79"/>
        <v>0</v>
      </c>
      <c r="T747" s="21">
        <f t="shared" si="80"/>
        <v>0</v>
      </c>
      <c r="U747" s="21" t="str">
        <f t="shared" si="81"/>
        <v>否</v>
      </c>
      <c r="V747" s="21">
        <f>VLOOKUP($C747,[4]Sheet1!$B:$AN,39,FALSE)</f>
        <v>8.33</v>
      </c>
      <c r="W747" s="21">
        <v>0</v>
      </c>
      <c r="X747" s="23">
        <v>3</v>
      </c>
      <c r="Y747" s="23">
        <v>4</v>
      </c>
      <c r="Z747" s="25">
        <f t="shared" si="82"/>
        <v>1</v>
      </c>
      <c r="AA747" s="25" t="str">
        <f t="shared" si="83"/>
        <v>是</v>
      </c>
      <c r="AB747" t="s">
        <v>148</v>
      </c>
      <c r="AC747" t="e">
        <f>VLOOKUP(C747,[1]Sheet1!$C:$O,13,FALSE)</f>
        <v>#N/A</v>
      </c>
      <c r="AD747" t="str">
        <f>VLOOKUP($H747,'[3]0509人员排班情况 副本'!$G:$U,12,FALSE)</f>
        <v>袁博闻(Bowen Yuan)</v>
      </c>
      <c r="AE747">
        <f>VLOOKUP($H747,'[3]0509人员排班情况 副本'!$G:$U,13,FALSE)</f>
        <v>0</v>
      </c>
      <c r="AF747">
        <f>VLOOKUP($H747,'[3]0509人员排班情况 副本'!$G:$U,14,FALSE)</f>
        <v>0</v>
      </c>
      <c r="AG747">
        <f>VLOOKUP($H747,'[3]0509人员排班情况 副本'!$G:$U,15,FALSE)</f>
        <v>0</v>
      </c>
    </row>
    <row r="748" customHeight="1" spans="1:33">
      <c r="A748" t="s">
        <v>202</v>
      </c>
      <c r="B748" t="s">
        <v>2304</v>
      </c>
      <c r="C748" t="s">
        <v>2305</v>
      </c>
      <c r="D748" t="s">
        <v>68</v>
      </c>
      <c r="E748" t="s">
        <v>45</v>
      </c>
      <c r="F748" t="s">
        <v>744</v>
      </c>
      <c r="H748" t="str">
        <f t="shared" si="77"/>
        <v>NE 东北大区揽收部揽收调度组</v>
      </c>
      <c r="I748" t="s">
        <v>608</v>
      </c>
      <c r="J748" t="s">
        <v>217</v>
      </c>
      <c r="K748" s="15">
        <v>0.395833333333333</v>
      </c>
      <c r="L748" s="15" t="s">
        <v>218</v>
      </c>
      <c r="M748" s="15"/>
      <c r="N748" t="s">
        <v>148</v>
      </c>
      <c r="O748" s="20" t="s">
        <v>116</v>
      </c>
      <c r="P748" s="21">
        <v>0</v>
      </c>
      <c r="Q748" s="21">
        <v>0</v>
      </c>
      <c r="R748" s="21">
        <v>0</v>
      </c>
      <c r="S748" s="21">
        <f t="shared" si="79"/>
        <v>0</v>
      </c>
      <c r="T748" s="21">
        <f t="shared" si="80"/>
        <v>0</v>
      </c>
      <c r="U748" s="21" t="str">
        <f t="shared" si="81"/>
        <v>否</v>
      </c>
      <c r="V748" s="21">
        <f>VLOOKUP($C748,[4]Sheet1!$B:$AN,39,FALSE)</f>
        <v>11.32</v>
      </c>
      <c r="W748" s="21">
        <v>0.13</v>
      </c>
      <c r="X748" s="23">
        <v>0</v>
      </c>
      <c r="Y748" s="23">
        <v>0</v>
      </c>
      <c r="Z748" s="25">
        <f t="shared" si="82"/>
        <v>0</v>
      </c>
      <c r="AA748" s="25" t="str">
        <f t="shared" si="83"/>
        <v>是</v>
      </c>
      <c r="AB748" t="s">
        <v>148</v>
      </c>
      <c r="AC748" t="e">
        <f>VLOOKUP(C748,[1]Sheet1!$C:$O,13,FALSE)</f>
        <v>#N/A</v>
      </c>
      <c r="AD748" t="str">
        <f>VLOOKUP($H748,'[3]0509人员排班情况 副本'!$G:$U,12,FALSE)</f>
        <v>孙可君Monica（Kejun Sun）</v>
      </c>
      <c r="AE748" t="str">
        <f>VLOOKUP($H748,'[3]0509人员排班情况 副本'!$G:$U,13,FALSE)</f>
        <v>马聪Cong (Cong Ma)</v>
      </c>
      <c r="AF748">
        <f>VLOOKUP($H748,'[3]0509人员排班情况 副本'!$G:$U,14,FALSE)</f>
        <v>0</v>
      </c>
      <c r="AG748">
        <f>VLOOKUP($H748,'[3]0509人员排班情况 副本'!$G:$U,15,FALSE)</f>
        <v>0</v>
      </c>
    </row>
    <row r="749" customHeight="1" spans="1:33">
      <c r="A749" t="s">
        <v>202</v>
      </c>
      <c r="B749" t="s">
        <v>2306</v>
      </c>
      <c r="C749" t="s">
        <v>2307</v>
      </c>
      <c r="D749" t="s">
        <v>92</v>
      </c>
      <c r="E749" t="s">
        <v>96</v>
      </c>
      <c r="F749" t="s">
        <v>275</v>
      </c>
      <c r="G749" t="s">
        <v>112</v>
      </c>
      <c r="H749" t="str">
        <f t="shared" si="77"/>
        <v>TX 德州大区IAH.H分拣组</v>
      </c>
      <c r="I749" t="s">
        <v>276</v>
      </c>
      <c r="J749" t="s">
        <v>217</v>
      </c>
      <c r="K749" s="15">
        <v>0.395833333333333</v>
      </c>
      <c r="L749" s="15" t="s">
        <v>218</v>
      </c>
      <c r="M749" s="15"/>
      <c r="N749" t="s">
        <v>148</v>
      </c>
      <c r="O749" s="20" t="s">
        <v>116</v>
      </c>
      <c r="P749" s="21">
        <v>0</v>
      </c>
      <c r="Q749" s="21">
        <v>0</v>
      </c>
      <c r="R749" s="21">
        <v>0</v>
      </c>
      <c r="S749" s="21">
        <f t="shared" si="79"/>
        <v>0</v>
      </c>
      <c r="T749" s="21">
        <f t="shared" si="80"/>
        <v>0</v>
      </c>
      <c r="U749" s="21" t="str">
        <f t="shared" si="81"/>
        <v>否</v>
      </c>
      <c r="V749" s="21">
        <f>VLOOKUP($C749,[4]Sheet1!$B:$AN,39,FALSE)</f>
        <v>13.7</v>
      </c>
      <c r="W749" s="21">
        <v>0</v>
      </c>
      <c r="X749" s="23">
        <v>0</v>
      </c>
      <c r="Y749" s="23">
        <v>0</v>
      </c>
      <c r="Z749" s="25">
        <f t="shared" si="82"/>
        <v>0</v>
      </c>
      <c r="AA749" s="25" t="str">
        <f t="shared" si="83"/>
        <v>是</v>
      </c>
      <c r="AB749" t="s">
        <v>148</v>
      </c>
      <c r="AC749" t="e">
        <f>VLOOKUP(C749,[1]Sheet1!$C:$O,13,FALSE)</f>
        <v>#N/A</v>
      </c>
      <c r="AD749" t="str">
        <f>VLOOKUP($H749,'[3]0509人员排班情况 副本'!$G:$U,12,FALSE)</f>
        <v>肖芦莉Lily (Luli Xiao)</v>
      </c>
      <c r="AE749" t="str">
        <f>VLOOKUP($H749,'[3]0509人员排班情况 副本'!$G:$U,13,FALSE)</f>
        <v>张骥Ji Zhang (Ji Zhang)</v>
      </c>
      <c r="AF749" t="str">
        <f>VLOOKUP($H749,'[3]0509人员排班情况 副本'!$G:$U,14,FALSE)</f>
        <v>张双甫(Shuangfu Zhang)</v>
      </c>
      <c r="AG749">
        <f>VLOOKUP($H749,'[3]0509人员排班情况 副本'!$G:$U,15,FALSE)</f>
        <v>0</v>
      </c>
    </row>
    <row r="750" customHeight="1" spans="1:33">
      <c r="A750" t="s">
        <v>202</v>
      </c>
      <c r="B750" t="s">
        <v>2308</v>
      </c>
      <c r="C750" t="s">
        <v>2309</v>
      </c>
      <c r="D750" t="s">
        <v>31</v>
      </c>
      <c r="E750" t="s">
        <v>45</v>
      </c>
      <c r="F750" t="s">
        <v>927</v>
      </c>
      <c r="H750" t="str">
        <f t="shared" si="77"/>
        <v>GL 大湖大区揽收部揽收支持组</v>
      </c>
      <c r="I750" t="s">
        <v>928</v>
      </c>
      <c r="J750" t="s">
        <v>282</v>
      </c>
      <c r="K750" s="15">
        <v>0.416666666666667</v>
      </c>
      <c r="L750" s="15" t="s">
        <v>283</v>
      </c>
      <c r="M750" s="15">
        <v>0.416666666666667</v>
      </c>
      <c r="N750" t="s">
        <v>1244</v>
      </c>
      <c r="O750" s="20" t="str">
        <f t="shared" si="78"/>
        <v>正确</v>
      </c>
      <c r="P750" s="21">
        <v>0</v>
      </c>
      <c r="Q750" s="21">
        <v>8.03</v>
      </c>
      <c r="R750" s="21">
        <v>0</v>
      </c>
      <c r="S750" s="21">
        <f t="shared" si="79"/>
        <v>8.03</v>
      </c>
      <c r="T750" s="21">
        <f t="shared" si="80"/>
        <v>0.0299999999999994</v>
      </c>
      <c r="U750" s="21" t="str">
        <f t="shared" si="81"/>
        <v>是</v>
      </c>
      <c r="V750" s="21">
        <f>VLOOKUP($C750,[4]Sheet1!$B:$AN,39,FALSE)</f>
        <v>17.53</v>
      </c>
      <c r="W750" s="21">
        <v>13.63</v>
      </c>
      <c r="X750" s="23">
        <v>4</v>
      </c>
      <c r="Y750" s="23">
        <v>4</v>
      </c>
      <c r="Z750" s="25">
        <f t="shared" si="82"/>
        <v>0</v>
      </c>
      <c r="AA750" s="25" t="str">
        <f t="shared" si="83"/>
        <v>是</v>
      </c>
      <c r="AB750" t="s">
        <v>148</v>
      </c>
      <c r="AC750" t="e">
        <f>VLOOKUP(C750,[1]Sheet1!$C:$O,13,FALSE)</f>
        <v>#N/A</v>
      </c>
      <c r="AD750" t="str">
        <f>VLOOKUP($H750,'[3]0509人员排班情况 副本'!$G:$U,12,FALSE)</f>
        <v>王晓丹 Jasmine（Xiaodan Wang）,周延舒Isabel（Yanshu Zhou）</v>
      </c>
      <c r="AE750" t="str">
        <f>VLOOKUP($H750,'[3]0509人员排班情况 副本'!$G:$U,13,FALSE)</f>
        <v>张骥Ji Zhang (Ji Zhang)</v>
      </c>
      <c r="AF750" t="str">
        <f>VLOOKUP($H750,'[3]0509人员排班情况 副本'!$G:$U,14,FALSE)</f>
        <v>王姝涵Function（Shuhan Wang)</v>
      </c>
      <c r="AG750">
        <f>VLOOKUP($H750,'[3]0509人员排班情况 副本'!$G:$U,15,FALSE)</f>
        <v>0</v>
      </c>
    </row>
    <row r="751" customHeight="1" spans="1:33">
      <c r="A751" t="s">
        <v>202</v>
      </c>
      <c r="B751" t="s">
        <v>2310</v>
      </c>
      <c r="C751" t="s">
        <v>2311</v>
      </c>
      <c r="D751" t="s">
        <v>100</v>
      </c>
      <c r="E751" t="s">
        <v>105</v>
      </c>
      <c r="F751" t="s">
        <v>750</v>
      </c>
      <c r="H751" t="str">
        <f t="shared" si="77"/>
        <v>WE 美西大区NC 北加片区SFO.H</v>
      </c>
      <c r="I751" t="s">
        <v>303</v>
      </c>
      <c r="J751" t="s">
        <v>330</v>
      </c>
      <c r="K751" s="15">
        <v>0.625</v>
      </c>
      <c r="L751" s="15" t="s">
        <v>331</v>
      </c>
      <c r="M751" s="15">
        <v>0.625694444444444</v>
      </c>
      <c r="N751" t="s">
        <v>148</v>
      </c>
      <c r="O751" s="20" t="str">
        <f t="shared" si="78"/>
        <v>正确</v>
      </c>
      <c r="P751" s="21">
        <v>0</v>
      </c>
      <c r="Q751" s="21">
        <v>0</v>
      </c>
      <c r="R751" s="21">
        <v>0</v>
      </c>
      <c r="S751" s="21">
        <f t="shared" si="79"/>
        <v>0</v>
      </c>
      <c r="T751" s="21">
        <f t="shared" si="80"/>
        <v>0</v>
      </c>
      <c r="U751" s="21" t="str">
        <f t="shared" si="81"/>
        <v>否</v>
      </c>
      <c r="V751" s="21">
        <f>VLOOKUP($C751,[4]Sheet1!$B:$AN,39,FALSE)</f>
        <v>11.42</v>
      </c>
      <c r="W751" s="21">
        <v>0</v>
      </c>
      <c r="X751" s="23">
        <v>3</v>
      </c>
      <c r="Y751" s="23">
        <v>4</v>
      </c>
      <c r="Z751" s="25">
        <f t="shared" si="82"/>
        <v>1</v>
      </c>
      <c r="AA751" s="25" t="str">
        <f t="shared" si="83"/>
        <v>是</v>
      </c>
      <c r="AB751" t="s">
        <v>148</v>
      </c>
      <c r="AC751" t="e">
        <f>VLOOKUP(C751,[1]Sheet1!$C:$O,13,FALSE)</f>
        <v>#N/A</v>
      </c>
      <c r="AD751" t="str">
        <f>VLOOKUP($H751,'[3]0509人员排班情况 副本'!$G:$U,12,FALSE)</f>
        <v>王骞Ariel（Qian Wang）,叶秀芳Freya (Xiufang Ye)</v>
      </c>
      <c r="AE751" t="str">
        <f>VLOOKUP($H751,'[3]0509人员排班情况 副本'!$G:$U,13,FALSE)</f>
        <v>常哲</v>
      </c>
      <c r="AF751" t="str">
        <f>VLOOKUP($H751,'[3]0509人员排班情况 副本'!$G:$U,14,FALSE)</f>
        <v>林美浚（Meijun Lin）</v>
      </c>
      <c r="AG751">
        <f>VLOOKUP($H751,'[3]0509人员排班情况 副本'!$G:$U,15,FALSE)</f>
        <v>0</v>
      </c>
    </row>
    <row r="752" customHeight="1" spans="1:33">
      <c r="A752" t="s">
        <v>202</v>
      </c>
      <c r="B752" t="s">
        <v>2312</v>
      </c>
      <c r="C752" t="s">
        <v>2313</v>
      </c>
      <c r="D752" t="s">
        <v>99</v>
      </c>
      <c r="E752" t="s">
        <v>677</v>
      </c>
      <c r="F752" t="s">
        <v>864</v>
      </c>
      <c r="H752" t="str">
        <f t="shared" si="77"/>
        <v>US人力资源部美洲HRBP组招聘组</v>
      </c>
      <c r="I752" t="s">
        <v>1987</v>
      </c>
      <c r="J752" t="s">
        <v>236</v>
      </c>
      <c r="K752" s="15">
        <v>0.395833333333333</v>
      </c>
      <c r="L752" s="15" t="s">
        <v>218</v>
      </c>
      <c r="M752" s="15">
        <v>0.440972222222222</v>
      </c>
      <c r="N752" t="s">
        <v>1044</v>
      </c>
      <c r="O752" s="20" t="str">
        <f t="shared" si="78"/>
        <v>不正确</v>
      </c>
      <c r="P752" s="21">
        <v>0</v>
      </c>
      <c r="Q752" s="21">
        <v>7.43</v>
      </c>
      <c r="R752" s="21">
        <v>0</v>
      </c>
      <c r="S752" s="21">
        <f t="shared" si="79"/>
        <v>7.43</v>
      </c>
      <c r="T752" s="21">
        <f t="shared" si="80"/>
        <v>0</v>
      </c>
      <c r="U752" s="21" t="str">
        <f t="shared" si="81"/>
        <v>否</v>
      </c>
      <c r="V752" s="21">
        <f>VLOOKUP($C752,[4]Sheet1!$B:$AN,39,FALSE)</f>
        <v>15.85</v>
      </c>
      <c r="W752" s="21">
        <v>0</v>
      </c>
      <c r="X752" s="23">
        <v>2</v>
      </c>
      <c r="Y752" s="23">
        <v>4</v>
      </c>
      <c r="Z752" s="25">
        <f t="shared" si="82"/>
        <v>2</v>
      </c>
      <c r="AA752" s="25" t="str">
        <f t="shared" si="83"/>
        <v>是</v>
      </c>
      <c r="AB752" t="s">
        <v>148</v>
      </c>
      <c r="AC752" t="e">
        <f>VLOOKUP(C752,[1]Sheet1!$C:$O,13,FALSE)</f>
        <v>#N/A</v>
      </c>
      <c r="AD752" t="str">
        <f>VLOOKUP($H752,'[3]0509人员排班情况 副本'!$G:$U,12,FALSE)</f>
        <v>袁博闻(Bowen Yuan)</v>
      </c>
      <c r="AE752">
        <f>VLOOKUP($H752,'[3]0509人员排班情况 副本'!$G:$U,13,FALSE)</f>
        <v>0</v>
      </c>
      <c r="AF752">
        <f>VLOOKUP($H752,'[3]0509人员排班情况 副本'!$G:$U,14,FALSE)</f>
        <v>0</v>
      </c>
      <c r="AG752">
        <f>VLOOKUP($H752,'[3]0509人员排班情况 副本'!$G:$U,15,FALSE)</f>
        <v>0</v>
      </c>
    </row>
    <row r="753" customHeight="1" spans="1:33">
      <c r="A753" t="s">
        <v>202</v>
      </c>
      <c r="B753" t="s">
        <v>2314</v>
      </c>
      <c r="C753" t="s">
        <v>2315</v>
      </c>
      <c r="D753" t="s">
        <v>92</v>
      </c>
      <c r="E753" t="s">
        <v>94</v>
      </c>
      <c r="F753" t="s">
        <v>148</v>
      </c>
      <c r="G753" t="s">
        <v>112</v>
      </c>
      <c r="H753" t="str">
        <f t="shared" si="77"/>
        <v>TX 德州大区DFW.H</v>
      </c>
      <c r="I753" t="s">
        <v>654</v>
      </c>
      <c r="J753" t="s">
        <v>217</v>
      </c>
      <c r="K753" s="15">
        <v>0.395833333333333</v>
      </c>
      <c r="L753" s="15" t="s">
        <v>218</v>
      </c>
      <c r="M753" s="15"/>
      <c r="N753" t="s">
        <v>148</v>
      </c>
      <c r="O753" s="20" t="s">
        <v>116</v>
      </c>
      <c r="P753" s="21">
        <v>0</v>
      </c>
      <c r="Q753" s="21">
        <v>0</v>
      </c>
      <c r="R753" s="21">
        <v>0</v>
      </c>
      <c r="S753" s="21">
        <f t="shared" si="79"/>
        <v>0</v>
      </c>
      <c r="T753" s="21">
        <f t="shared" si="80"/>
        <v>0</v>
      </c>
      <c r="U753" s="21" t="str">
        <f t="shared" si="81"/>
        <v>否</v>
      </c>
      <c r="V753" s="21">
        <f>VLOOKUP($C753,[4]Sheet1!$B:$AN,39,FALSE)</f>
        <v>4.55</v>
      </c>
      <c r="W753" s="21">
        <v>0</v>
      </c>
      <c r="X753" s="23">
        <v>0</v>
      </c>
      <c r="Y753" s="23">
        <v>0</v>
      </c>
      <c r="Z753" s="25">
        <f t="shared" si="82"/>
        <v>0</v>
      </c>
      <c r="AA753" s="25" t="str">
        <f t="shared" si="83"/>
        <v>是</v>
      </c>
      <c r="AB753" t="s">
        <v>148</v>
      </c>
      <c r="AC753" t="e">
        <f>VLOOKUP(C753,[1]Sheet1!$C:$O,13,FALSE)</f>
        <v>#N/A</v>
      </c>
      <c r="AD753" t="str">
        <f>VLOOKUP($H753,'[3]0509人员排班情况 副本'!$G:$U,12,FALSE)</f>
        <v>肖芦莉Lily (Luli Xiao)</v>
      </c>
      <c r="AE753" t="str">
        <f>VLOOKUP($H753,'[3]0509人员排班情况 副本'!$G:$U,13,FALSE)</f>
        <v>张骥Ji Zhang (Ji Zhang)</v>
      </c>
      <c r="AF753">
        <f>VLOOKUP($H753,'[3]0509人员排班情况 副本'!$G:$U,14,FALSE)</f>
        <v>0</v>
      </c>
      <c r="AG753">
        <f>VLOOKUP($H753,'[3]0509人员排班情况 副本'!$G:$U,15,FALSE)</f>
        <v>0</v>
      </c>
    </row>
    <row r="754" customHeight="1" spans="1:33">
      <c r="A754" t="s">
        <v>202</v>
      </c>
      <c r="B754" t="s">
        <v>2316</v>
      </c>
      <c r="C754" t="s">
        <v>2317</v>
      </c>
      <c r="D754" t="s">
        <v>68</v>
      </c>
      <c r="E754" t="s">
        <v>44</v>
      </c>
      <c r="F754" t="s">
        <v>148</v>
      </c>
      <c r="H754" t="str">
        <f t="shared" si="77"/>
        <v>NE 东北大区车辆管理部</v>
      </c>
      <c r="I754" t="s">
        <v>968</v>
      </c>
      <c r="J754" t="s">
        <v>236</v>
      </c>
      <c r="K754" s="15">
        <v>0.395833333333333</v>
      </c>
      <c r="L754" s="15" t="s">
        <v>218</v>
      </c>
      <c r="M754" s="15"/>
      <c r="N754" t="s">
        <v>148</v>
      </c>
      <c r="O754" s="20" t="str">
        <f t="shared" si="78"/>
        <v>不正确</v>
      </c>
      <c r="P754" s="21">
        <v>0</v>
      </c>
      <c r="Q754" s="21">
        <v>0</v>
      </c>
      <c r="R754" s="21">
        <v>0</v>
      </c>
      <c r="S754" s="21">
        <f t="shared" si="79"/>
        <v>0</v>
      </c>
      <c r="T754" s="21">
        <f t="shared" si="80"/>
        <v>0</v>
      </c>
      <c r="U754" s="21" t="str">
        <f t="shared" si="81"/>
        <v>否</v>
      </c>
      <c r="V754" s="21">
        <f>VLOOKUP($C754,[4]Sheet1!$B:$AN,39,FALSE)</f>
        <v>0</v>
      </c>
      <c r="W754" s="21">
        <v>0</v>
      </c>
      <c r="X754" s="23">
        <v>0</v>
      </c>
      <c r="Y754" s="23">
        <v>4</v>
      </c>
      <c r="Z754" s="25">
        <f t="shared" si="82"/>
        <v>4</v>
      </c>
      <c r="AA754" s="25" t="str">
        <f t="shared" si="83"/>
        <v>是</v>
      </c>
      <c r="AB754" t="s">
        <v>148</v>
      </c>
      <c r="AC754" t="e">
        <f>VLOOKUP(C754,[1]Sheet1!$C:$O,13,FALSE)</f>
        <v>#N/A</v>
      </c>
      <c r="AD754" t="str">
        <f>VLOOKUP($H754,'[3]0509人员排班情况 副本'!$G:$U,12,FALSE)</f>
        <v>孙可君Monica（Kejun Sun）</v>
      </c>
      <c r="AE754" t="str">
        <f>VLOOKUP($H754,'[3]0509人员排班情况 副本'!$G:$U,13,FALSE)</f>
        <v>马聪Cong (Cong Ma)</v>
      </c>
      <c r="AF754">
        <f>VLOOKUP($H754,'[3]0509人员排班情况 副本'!$G:$U,14,FALSE)</f>
        <v>0</v>
      </c>
      <c r="AG754">
        <f>VLOOKUP($H754,'[3]0509人员排班情况 副本'!$G:$U,15,FALSE)</f>
        <v>0</v>
      </c>
    </row>
    <row r="755" customHeight="1" spans="1:33">
      <c r="A755" t="s">
        <v>202</v>
      </c>
      <c r="B755" t="s">
        <v>2318</v>
      </c>
      <c r="C755" t="s">
        <v>2319</v>
      </c>
      <c r="D755" t="s">
        <v>68</v>
      </c>
      <c r="E755" t="s">
        <v>75</v>
      </c>
      <c r="F755" t="s">
        <v>722</v>
      </c>
      <c r="H755" t="str">
        <f t="shared" si="77"/>
        <v>NE 东北大区DC 华盛顿片区DCA01</v>
      </c>
      <c r="I755" t="s">
        <v>177</v>
      </c>
      <c r="J755" t="s">
        <v>347</v>
      </c>
      <c r="K755" s="15">
        <v>0.541666666666667</v>
      </c>
      <c r="L755" s="15" t="s">
        <v>348</v>
      </c>
      <c r="M755" s="15">
        <v>0.514583333333333</v>
      </c>
      <c r="N755" t="s">
        <v>2320</v>
      </c>
      <c r="O755" s="20" t="str">
        <f t="shared" si="78"/>
        <v>正确</v>
      </c>
      <c r="P755" s="21">
        <v>0</v>
      </c>
      <c r="Q755" s="21">
        <v>8.17</v>
      </c>
      <c r="R755" s="21">
        <v>0</v>
      </c>
      <c r="S755" s="21">
        <f t="shared" si="79"/>
        <v>8.17</v>
      </c>
      <c r="T755" s="21">
        <f t="shared" si="80"/>
        <v>0.17</v>
      </c>
      <c r="U755" s="21" t="str">
        <f t="shared" si="81"/>
        <v>是</v>
      </c>
      <c r="V755" s="21">
        <f>VLOOKUP($C755,[4]Sheet1!$B:$AN,39,FALSE)</f>
        <v>16.25</v>
      </c>
      <c r="W755" s="21">
        <v>0</v>
      </c>
      <c r="X755" s="23">
        <v>4</v>
      </c>
      <c r="Y755" s="23">
        <v>4</v>
      </c>
      <c r="Z755" s="25">
        <f t="shared" si="82"/>
        <v>0</v>
      </c>
      <c r="AA755" s="25" t="str">
        <f t="shared" si="83"/>
        <v>是</v>
      </c>
      <c r="AB755" t="s">
        <v>148</v>
      </c>
      <c r="AC755" t="e">
        <f>VLOOKUP(C755,[1]Sheet1!$C:$O,13,FALSE)</f>
        <v>#N/A</v>
      </c>
      <c r="AD755" t="str">
        <f>VLOOKUP($H755,'[3]0509人员排班情况 副本'!$G:$U,12,FALSE)</f>
        <v>孙可君Monica（Kejun Sun）</v>
      </c>
      <c r="AE755" t="str">
        <f>VLOOKUP($H755,'[3]0509人员排班情况 副本'!$G:$U,13,FALSE)</f>
        <v>马聪Cong (Cong Ma)</v>
      </c>
      <c r="AF755" t="str">
        <f>VLOOKUP($H755,'[3]0509人员排班情况 副本'!$G:$U,14,FALSE)</f>
        <v>朱晗宇 Peter (Hanyu Zhu)</v>
      </c>
      <c r="AG755">
        <f>VLOOKUP($H755,'[3]0509人员排班情况 副本'!$G:$U,15,FALSE)</f>
        <v>0</v>
      </c>
    </row>
    <row r="756" customHeight="1" spans="1:33">
      <c r="A756" t="s">
        <v>202</v>
      </c>
      <c r="B756" t="s">
        <v>2321</v>
      </c>
      <c r="C756" t="s">
        <v>2322</v>
      </c>
      <c r="D756" t="s">
        <v>92</v>
      </c>
      <c r="E756" t="s">
        <v>96</v>
      </c>
      <c r="F756" t="s">
        <v>243</v>
      </c>
      <c r="G756" t="s">
        <v>112</v>
      </c>
      <c r="H756" t="str">
        <f t="shared" si="77"/>
        <v>TX 德州大区IAH.H调度组</v>
      </c>
      <c r="I756" t="s">
        <v>160</v>
      </c>
      <c r="J756" t="s">
        <v>217</v>
      </c>
      <c r="K756" s="15">
        <v>0.395833333333333</v>
      </c>
      <c r="L756" s="15" t="s">
        <v>218</v>
      </c>
      <c r="M756" s="15"/>
      <c r="N756" t="s">
        <v>148</v>
      </c>
      <c r="O756" s="20" t="s">
        <v>116</v>
      </c>
      <c r="P756" s="21">
        <v>0</v>
      </c>
      <c r="Q756" s="21">
        <v>0</v>
      </c>
      <c r="R756" s="21">
        <v>0</v>
      </c>
      <c r="S756" s="21">
        <f t="shared" si="79"/>
        <v>0</v>
      </c>
      <c r="T756" s="21">
        <f t="shared" si="80"/>
        <v>0</v>
      </c>
      <c r="U756" s="21" t="str">
        <f t="shared" si="81"/>
        <v>否</v>
      </c>
      <c r="V756" s="21">
        <f>VLOOKUP($C756,[4]Sheet1!$B:$AN,39,FALSE)</f>
        <v>9.22</v>
      </c>
      <c r="W756" s="21">
        <v>13.89</v>
      </c>
      <c r="X756" s="23">
        <v>0</v>
      </c>
      <c r="Y756" s="23">
        <v>0</v>
      </c>
      <c r="Z756" s="25">
        <f t="shared" si="82"/>
        <v>0</v>
      </c>
      <c r="AA756" s="25" t="str">
        <f t="shared" si="83"/>
        <v>是</v>
      </c>
      <c r="AB756" t="s">
        <v>148</v>
      </c>
      <c r="AC756" t="e">
        <f>VLOOKUP(C756,[1]Sheet1!$C:$O,13,FALSE)</f>
        <v>#N/A</v>
      </c>
      <c r="AD756" t="str">
        <f>VLOOKUP($H756,'[3]0509人员排班情况 副本'!$G:$U,12,FALSE)</f>
        <v>肖芦莉Lily (Luli Xiao)</v>
      </c>
      <c r="AE756" t="str">
        <f>VLOOKUP($H756,'[3]0509人员排班情况 副本'!$G:$U,13,FALSE)</f>
        <v>张骥Ji Zhang (Ji Zhang)</v>
      </c>
      <c r="AF756" t="str">
        <f>VLOOKUP($H756,'[3]0509人员排班情况 副本'!$G:$U,14,FALSE)</f>
        <v>Minqing (Minqing Xu),罗煜雄 Mike (Yuxiong Luo)</v>
      </c>
      <c r="AG756">
        <f>VLOOKUP($H756,'[3]0509人员排班情况 副本'!$G:$U,15,FALSE)</f>
        <v>0</v>
      </c>
    </row>
    <row r="757" customHeight="1" spans="1:33">
      <c r="A757" t="s">
        <v>202</v>
      </c>
      <c r="B757" t="s">
        <v>2323</v>
      </c>
      <c r="C757" t="s">
        <v>2324</v>
      </c>
      <c r="D757" t="s">
        <v>68</v>
      </c>
      <c r="E757" t="s">
        <v>80</v>
      </c>
      <c r="F757" t="s">
        <v>71</v>
      </c>
      <c r="H757" t="str">
        <f t="shared" si="77"/>
        <v>NE 东北大区MA 新英格兰片区BOS01</v>
      </c>
      <c r="I757" t="s">
        <v>177</v>
      </c>
      <c r="J757" t="s">
        <v>373</v>
      </c>
      <c r="K757" s="15">
        <v>0.291666666666667</v>
      </c>
      <c r="L757" s="15" t="s">
        <v>374</v>
      </c>
      <c r="M757" s="15"/>
      <c r="N757" t="s">
        <v>148</v>
      </c>
      <c r="O757" s="20" t="str">
        <f t="shared" si="78"/>
        <v>不正确</v>
      </c>
      <c r="P757" s="21">
        <v>0</v>
      </c>
      <c r="Q757" s="21">
        <v>0</v>
      </c>
      <c r="R757" s="21">
        <v>0</v>
      </c>
      <c r="S757" s="21">
        <f t="shared" si="79"/>
        <v>0</v>
      </c>
      <c r="T757" s="21">
        <f t="shared" si="80"/>
        <v>0</v>
      </c>
      <c r="U757" s="21" t="str">
        <f t="shared" si="81"/>
        <v>否</v>
      </c>
      <c r="V757" s="21">
        <f>VLOOKUP($C757,[4]Sheet1!$B:$AN,39,FALSE)</f>
        <v>0</v>
      </c>
      <c r="W757" s="21">
        <v>0</v>
      </c>
      <c r="X757" s="23">
        <v>0</v>
      </c>
      <c r="Y757" s="23">
        <v>0</v>
      </c>
      <c r="Z757" s="25">
        <f t="shared" si="82"/>
        <v>0</v>
      </c>
      <c r="AA757" s="25" t="str">
        <f t="shared" si="83"/>
        <v>是</v>
      </c>
      <c r="AB757" t="s">
        <v>2325</v>
      </c>
      <c r="AC757" t="e">
        <f>VLOOKUP(C757,[1]Sheet1!$C:$O,13,FALSE)</f>
        <v>#N/A</v>
      </c>
      <c r="AD757" t="str">
        <f>VLOOKUP($H757,'[3]0509人员排班情况 副本'!$G:$U,12,FALSE)</f>
        <v>孙可君Monica（Kejun Sun）</v>
      </c>
      <c r="AE757" t="str">
        <f>VLOOKUP($H757,'[3]0509人员排班情况 副本'!$G:$U,13,FALSE)</f>
        <v>马聪Cong (Cong Ma)</v>
      </c>
      <c r="AF757" t="str">
        <f>VLOOKUP($H757,'[3]0509人员排班情况 副本'!$G:$U,14,FALSE)</f>
        <v>朱晗宇 Peter (Hanyu Zhu)</v>
      </c>
      <c r="AG757">
        <f>VLOOKUP($H757,'[3]0509人员排班情况 副本'!$G:$U,15,FALSE)</f>
        <v>0</v>
      </c>
    </row>
    <row r="758" customHeight="1" spans="1:33">
      <c r="A758" t="s">
        <v>202</v>
      </c>
      <c r="B758" t="s">
        <v>2326</v>
      </c>
      <c r="C758" t="s">
        <v>2327</v>
      </c>
      <c r="D758" t="s">
        <v>100</v>
      </c>
      <c r="E758" t="s">
        <v>103</v>
      </c>
      <c r="F758" t="s">
        <v>166</v>
      </c>
      <c r="G758" t="s">
        <v>112</v>
      </c>
      <c r="H758" t="str">
        <f t="shared" si="77"/>
        <v>WE 美西大区LAV.H综办组</v>
      </c>
      <c r="I758" t="s">
        <v>167</v>
      </c>
      <c r="J758" t="s">
        <v>295</v>
      </c>
      <c r="K758" s="15">
        <v>0.375</v>
      </c>
      <c r="L758" s="15" t="s">
        <v>296</v>
      </c>
      <c r="M758" s="15">
        <v>0.3625</v>
      </c>
      <c r="N758" t="s">
        <v>2328</v>
      </c>
      <c r="O758" s="20" t="str">
        <f t="shared" si="78"/>
        <v>正确</v>
      </c>
      <c r="P758" s="21">
        <v>0</v>
      </c>
      <c r="Q758" s="21">
        <v>10.1</v>
      </c>
      <c r="R758" s="21">
        <v>0</v>
      </c>
      <c r="S758" s="21">
        <f t="shared" si="79"/>
        <v>10.1</v>
      </c>
      <c r="T758" s="21">
        <f t="shared" si="80"/>
        <v>2.1</v>
      </c>
      <c r="U758" s="21" t="str">
        <f t="shared" si="81"/>
        <v>是</v>
      </c>
      <c r="V758" s="21">
        <f>VLOOKUP($C758,[4]Sheet1!$B:$AN,39,FALSE)</f>
        <v>18.93</v>
      </c>
      <c r="W758" s="21">
        <v>0</v>
      </c>
      <c r="X758" s="23">
        <v>4</v>
      </c>
      <c r="Y758" s="23">
        <v>4</v>
      </c>
      <c r="Z758" s="25">
        <f t="shared" si="82"/>
        <v>0</v>
      </c>
      <c r="AA758" s="25" t="str">
        <f t="shared" si="83"/>
        <v>是</v>
      </c>
      <c r="AB758" t="s">
        <v>148</v>
      </c>
      <c r="AC758" t="e">
        <f>VLOOKUP(C758,[1]Sheet1!$C:$O,13,FALSE)</f>
        <v>#N/A</v>
      </c>
      <c r="AD758" t="str">
        <f>VLOOKUP($H758,'[3]0509人员排班情况 副本'!$G:$U,12,FALSE)</f>
        <v>王骞Ariel（Qian Wang）,叶秀芳Freya (Xiufang Ye)</v>
      </c>
      <c r="AE758" t="str">
        <f>VLOOKUP($H758,'[3]0509人员排班情况 副本'!$G:$U,13,FALSE)</f>
        <v>常哲</v>
      </c>
      <c r="AF758" t="str">
        <f>VLOOKUP($H758,'[3]0509人员排班情况 副本'!$G:$U,14,FALSE)</f>
        <v>Minqing (Minqing Xu),罗煜雄 Mike (Yuxiong Luo)</v>
      </c>
      <c r="AG758">
        <f>VLOOKUP($H758,'[3]0509人员排班情况 副本'!$G:$U,15,FALSE)</f>
        <v>0</v>
      </c>
    </row>
    <row r="759" customHeight="1" spans="1:33">
      <c r="A759" t="s">
        <v>202</v>
      </c>
      <c r="B759" t="s">
        <v>2329</v>
      </c>
      <c r="C759" t="s">
        <v>2330</v>
      </c>
      <c r="D759" t="s">
        <v>88</v>
      </c>
      <c r="E759" t="s">
        <v>846</v>
      </c>
      <c r="F759" t="s">
        <v>148</v>
      </c>
      <c r="H759" t="str">
        <f t="shared" si="77"/>
        <v>OM 操作管理部仓库租赁组</v>
      </c>
      <c r="I759" t="s">
        <v>2331</v>
      </c>
      <c r="J759" t="s">
        <v>236</v>
      </c>
      <c r="K759" s="15">
        <v>0.395833333333333</v>
      </c>
      <c r="L759" s="15" t="s">
        <v>218</v>
      </c>
      <c r="M759" s="15">
        <v>0.427777777777778</v>
      </c>
      <c r="N759" t="s">
        <v>148</v>
      </c>
      <c r="O759" s="20" t="str">
        <f t="shared" si="78"/>
        <v>正确</v>
      </c>
      <c r="P759" s="21">
        <v>0</v>
      </c>
      <c r="Q759" s="21">
        <v>0</v>
      </c>
      <c r="R759" s="21">
        <v>0</v>
      </c>
      <c r="S759" s="21">
        <f t="shared" si="79"/>
        <v>0</v>
      </c>
      <c r="T759" s="21">
        <f t="shared" si="80"/>
        <v>0</v>
      </c>
      <c r="U759" s="21" t="str">
        <f t="shared" si="81"/>
        <v>否</v>
      </c>
      <c r="V759" s="21">
        <f>VLOOKUP($C759,[4]Sheet1!$B:$AN,39,FALSE)</f>
        <v>0</v>
      </c>
      <c r="W759" s="21">
        <v>0</v>
      </c>
      <c r="X759" s="23">
        <v>1</v>
      </c>
      <c r="Y759" s="23">
        <v>4</v>
      </c>
      <c r="Z759" s="25">
        <f t="shared" si="82"/>
        <v>3</v>
      </c>
      <c r="AA759" s="25" t="str">
        <f t="shared" si="83"/>
        <v>是</v>
      </c>
      <c r="AB759" t="s">
        <v>148</v>
      </c>
      <c r="AC759" t="e">
        <f>VLOOKUP(C759,[1]Sheet1!$C:$O,13,FALSE)</f>
        <v>#N/A</v>
      </c>
      <c r="AD759" t="str">
        <f>VLOOKUP($H759,'[3]0509人员排班情况 副本'!$G:$U,12,FALSE)</f>
        <v>袁博闻(Bowen Yuan)</v>
      </c>
      <c r="AE759">
        <f>VLOOKUP($H759,'[3]0509人员排班情况 副本'!$G:$U,13,FALSE)</f>
        <v>0</v>
      </c>
      <c r="AF759">
        <f>VLOOKUP($H759,'[3]0509人员排班情况 副本'!$G:$U,14,FALSE)</f>
        <v>0</v>
      </c>
      <c r="AG759">
        <f>VLOOKUP($H759,'[3]0509人员排班情况 副本'!$G:$U,15,FALSE)</f>
        <v>0</v>
      </c>
    </row>
    <row r="760" customHeight="1" spans="1:33">
      <c r="A760" t="s">
        <v>202</v>
      </c>
      <c r="B760" t="s">
        <v>2332</v>
      </c>
      <c r="C760" t="s">
        <v>2333</v>
      </c>
      <c r="D760" t="s">
        <v>68</v>
      </c>
      <c r="E760" t="s">
        <v>73</v>
      </c>
      <c r="F760" t="s">
        <v>312</v>
      </c>
      <c r="G760" t="s">
        <v>112</v>
      </c>
      <c r="H760" t="str">
        <f t="shared" si="77"/>
        <v>NE 东北大区BWI.H异常处理组</v>
      </c>
      <c r="I760" t="s">
        <v>313</v>
      </c>
      <c r="J760" t="s">
        <v>295</v>
      </c>
      <c r="K760" s="15">
        <v>0.375</v>
      </c>
      <c r="L760" s="15" t="s">
        <v>296</v>
      </c>
      <c r="M760" s="15">
        <v>0.493055555555556</v>
      </c>
      <c r="N760" t="s">
        <v>1333</v>
      </c>
      <c r="O760" s="20" t="str">
        <f t="shared" si="78"/>
        <v>不正确</v>
      </c>
      <c r="P760" s="21">
        <v>0</v>
      </c>
      <c r="Q760" s="21">
        <v>5.7</v>
      </c>
      <c r="R760" s="21">
        <v>0</v>
      </c>
      <c r="S760" s="21">
        <f t="shared" si="79"/>
        <v>5.7</v>
      </c>
      <c r="T760" s="21">
        <f t="shared" si="80"/>
        <v>0</v>
      </c>
      <c r="U760" s="21" t="str">
        <f t="shared" si="81"/>
        <v>否</v>
      </c>
      <c r="V760" s="21">
        <f>VLOOKUP($C760,[4]Sheet1!$B:$AN,39,FALSE)</f>
        <v>5.7</v>
      </c>
      <c r="W760" s="21">
        <v>0</v>
      </c>
      <c r="X760" s="23">
        <v>3</v>
      </c>
      <c r="Y760" s="23">
        <v>4</v>
      </c>
      <c r="Z760" s="25">
        <f t="shared" si="82"/>
        <v>1</v>
      </c>
      <c r="AA760" s="25" t="str">
        <f t="shared" si="83"/>
        <v>是</v>
      </c>
      <c r="AB760" t="s">
        <v>148</v>
      </c>
      <c r="AC760" t="e">
        <f>VLOOKUP(C760,[1]Sheet1!$C:$O,13,FALSE)</f>
        <v>#N/A</v>
      </c>
      <c r="AD760" t="str">
        <f>VLOOKUP($H760,'[3]0509人员排班情况 副本'!$G:$U,12,FALSE)</f>
        <v>孙可君Monica（Kejun Sun）</v>
      </c>
      <c r="AE760" t="str">
        <f>VLOOKUP($H760,'[3]0509人员排班情况 副本'!$G:$U,13,FALSE)</f>
        <v>马聪Cong (Cong Ma)</v>
      </c>
      <c r="AF760" t="str">
        <f>VLOOKUP($H760,'[3]0509人员排班情况 副本'!$G:$U,14,FALSE)</f>
        <v>Minqing (Minqing Xu),罗煜雄 Mike (Yuxiong Luo)</v>
      </c>
      <c r="AG760">
        <f>VLOOKUP($H760,'[3]0509人员排班情况 副本'!$G:$U,15,FALSE)</f>
        <v>0</v>
      </c>
    </row>
    <row r="761" customHeight="1" spans="1:33">
      <c r="A761" t="s">
        <v>202</v>
      </c>
      <c r="B761" t="s">
        <v>2334</v>
      </c>
      <c r="C761" t="s">
        <v>2335</v>
      </c>
      <c r="D761" t="s">
        <v>92</v>
      </c>
      <c r="E761" t="s">
        <v>94</v>
      </c>
      <c r="F761" t="s">
        <v>243</v>
      </c>
      <c r="G761" t="s">
        <v>112</v>
      </c>
      <c r="H761" t="str">
        <f t="shared" si="77"/>
        <v>TX 德州大区DFW.H调度组</v>
      </c>
      <c r="I761" t="s">
        <v>160</v>
      </c>
      <c r="J761" t="s">
        <v>330</v>
      </c>
      <c r="K761" s="15">
        <v>0.625</v>
      </c>
      <c r="L761" s="15" t="s">
        <v>331</v>
      </c>
      <c r="M761" s="15">
        <v>0.613888888888889</v>
      </c>
      <c r="N761" t="s">
        <v>306</v>
      </c>
      <c r="O761" s="20" t="str">
        <f t="shared" si="78"/>
        <v>正确</v>
      </c>
      <c r="P761" s="21">
        <v>0</v>
      </c>
      <c r="Q761" s="21">
        <v>9.88</v>
      </c>
      <c r="R761" s="21">
        <v>0</v>
      </c>
      <c r="S761" s="21">
        <f t="shared" si="79"/>
        <v>9.88</v>
      </c>
      <c r="T761" s="21">
        <f t="shared" si="80"/>
        <v>1.88</v>
      </c>
      <c r="U761" s="21" t="str">
        <f t="shared" si="81"/>
        <v>是</v>
      </c>
      <c r="V761" s="21">
        <f>VLOOKUP($C761,[4]Sheet1!$B:$AN,39,FALSE)</f>
        <v>19.51</v>
      </c>
      <c r="W761" s="21">
        <v>0</v>
      </c>
      <c r="X761" s="23">
        <v>4</v>
      </c>
      <c r="Y761" s="23">
        <v>4</v>
      </c>
      <c r="Z761" s="25">
        <f t="shared" si="82"/>
        <v>0</v>
      </c>
      <c r="AA761" s="25" t="str">
        <f t="shared" si="83"/>
        <v>是</v>
      </c>
      <c r="AB761" t="s">
        <v>148</v>
      </c>
      <c r="AC761" t="e">
        <f>VLOOKUP(C761,[1]Sheet1!$C:$O,13,FALSE)</f>
        <v>#N/A</v>
      </c>
      <c r="AD761" t="str">
        <f>VLOOKUP($H761,'[3]0509人员排班情况 副本'!$G:$U,12,FALSE)</f>
        <v>肖芦莉Lily (Luli Xiao)</v>
      </c>
      <c r="AE761" t="str">
        <f>VLOOKUP($H761,'[3]0509人员排班情况 副本'!$G:$U,13,FALSE)</f>
        <v>张骥Ji Zhang (Ji Zhang)</v>
      </c>
      <c r="AF761" t="str">
        <f>VLOOKUP($H761,'[3]0509人员排班情况 副本'!$G:$U,14,FALSE)</f>
        <v>Minqing (Minqing Xu),罗煜雄 Mike (Yuxiong Luo)</v>
      </c>
      <c r="AG761">
        <f>VLOOKUP($H761,'[3]0509人员排班情况 副本'!$G:$U,15,FALSE)</f>
        <v>0</v>
      </c>
    </row>
    <row r="762" customHeight="1" spans="1:33">
      <c r="A762" t="s">
        <v>202</v>
      </c>
      <c r="B762" t="s">
        <v>2336</v>
      </c>
      <c r="C762" t="s">
        <v>2337</v>
      </c>
      <c r="D762" t="s">
        <v>100</v>
      </c>
      <c r="E762" t="s">
        <v>103</v>
      </c>
      <c r="F762" t="s">
        <v>574</v>
      </c>
      <c r="G762" t="s">
        <v>112</v>
      </c>
      <c r="H762" t="str">
        <f t="shared" si="77"/>
        <v>WE 美西大区LAV.H合流合包组</v>
      </c>
      <c r="I762" t="s">
        <v>156</v>
      </c>
      <c r="J762" t="s">
        <v>1152</v>
      </c>
      <c r="K762" s="15">
        <v>0.375</v>
      </c>
      <c r="L762" s="15" t="s">
        <v>218</v>
      </c>
      <c r="M762" s="15"/>
      <c r="N762" t="s">
        <v>148</v>
      </c>
      <c r="O762" s="20" t="s">
        <v>116</v>
      </c>
      <c r="P762" s="21">
        <v>0</v>
      </c>
      <c r="Q762" s="21">
        <v>0</v>
      </c>
      <c r="R762" s="21">
        <v>0</v>
      </c>
      <c r="S762" s="21">
        <f t="shared" si="79"/>
        <v>0</v>
      </c>
      <c r="T762" s="21">
        <f t="shared" si="80"/>
        <v>0</v>
      </c>
      <c r="U762" s="21" t="str">
        <f t="shared" si="81"/>
        <v>否</v>
      </c>
      <c r="V762" s="21">
        <f>VLOOKUP($C762,[4]Sheet1!$B:$AN,39,FALSE)</f>
        <v>9.08</v>
      </c>
      <c r="W762" s="21">
        <v>0</v>
      </c>
      <c r="X762" s="23">
        <v>0</v>
      </c>
      <c r="Y762" s="23">
        <v>0</v>
      </c>
      <c r="Z762" s="25">
        <f t="shared" si="82"/>
        <v>0</v>
      </c>
      <c r="AA762" s="25" t="str">
        <f t="shared" si="83"/>
        <v>是</v>
      </c>
      <c r="AB762" t="s">
        <v>148</v>
      </c>
      <c r="AC762" t="e">
        <f>VLOOKUP(C762,[1]Sheet1!$C:$O,13,FALSE)</f>
        <v>#N/A</v>
      </c>
      <c r="AD762" t="str">
        <f>VLOOKUP($H762,'[3]0509人员排班情况 副本'!$G:$U,12,FALSE)</f>
        <v>王骞Ariel（Qian Wang）,叶秀芳Freya (Xiufang Ye)</v>
      </c>
      <c r="AE762" t="str">
        <f>VLOOKUP($H762,'[3]0509人员排班情况 副本'!$G:$U,13,FALSE)</f>
        <v>常哲</v>
      </c>
      <c r="AF762" t="str">
        <f>VLOOKUP($H762,'[3]0509人员排班情况 副本'!$G:$U,14,FALSE)</f>
        <v>覃超群Jessica（Chaoqun Qin）</v>
      </c>
      <c r="AG762">
        <f>VLOOKUP($H762,'[3]0509人员排班情况 副本'!$G:$U,15,FALSE)</f>
        <v>0</v>
      </c>
    </row>
    <row r="763" customHeight="1" spans="1:33">
      <c r="A763" t="s">
        <v>202</v>
      </c>
      <c r="B763" t="s">
        <v>2338</v>
      </c>
      <c r="C763" t="s">
        <v>2339</v>
      </c>
      <c r="D763" t="s">
        <v>15</v>
      </c>
      <c r="E763" t="s">
        <v>16</v>
      </c>
      <c r="F763" t="s">
        <v>148</v>
      </c>
      <c r="H763" t="str">
        <f t="shared" si="77"/>
        <v>FL 佛州大区FTM01</v>
      </c>
      <c r="I763" t="s">
        <v>177</v>
      </c>
      <c r="J763" t="s">
        <v>205</v>
      </c>
      <c r="K763" s="15">
        <v>0.166666666666667</v>
      </c>
      <c r="L763" s="15" t="s">
        <v>206</v>
      </c>
      <c r="M763" s="15">
        <v>0.166666666666667</v>
      </c>
      <c r="N763" t="s">
        <v>639</v>
      </c>
      <c r="O763" s="20" t="str">
        <f t="shared" si="78"/>
        <v>正确</v>
      </c>
      <c r="P763" s="21">
        <v>0</v>
      </c>
      <c r="Q763" s="21">
        <v>7.02</v>
      </c>
      <c r="R763" s="21">
        <v>0</v>
      </c>
      <c r="S763" s="21">
        <f t="shared" si="79"/>
        <v>7.02</v>
      </c>
      <c r="T763" s="21">
        <f t="shared" si="80"/>
        <v>0</v>
      </c>
      <c r="U763" s="21" t="str">
        <f t="shared" si="81"/>
        <v>否</v>
      </c>
      <c r="V763" s="21">
        <f>VLOOKUP($C763,[4]Sheet1!$B:$AN,39,FALSE)</f>
        <v>13.4</v>
      </c>
      <c r="W763" s="21">
        <v>0</v>
      </c>
      <c r="X763" s="23">
        <v>4</v>
      </c>
      <c r="Y763" s="23">
        <v>4</v>
      </c>
      <c r="Z763" s="25">
        <f t="shared" si="82"/>
        <v>0</v>
      </c>
      <c r="AA763" s="25" t="str">
        <f t="shared" si="83"/>
        <v>是</v>
      </c>
      <c r="AB763" t="s">
        <v>148</v>
      </c>
      <c r="AC763" t="e">
        <f>VLOOKUP(C763,[1]Sheet1!$C:$O,13,FALSE)</f>
        <v>#N/A</v>
      </c>
      <c r="AD763" t="str">
        <f>VLOOKUP($H763,'[3]0509人员排班情况 副本'!$G:$U,12,FALSE)</f>
        <v>Natalia (Natalia Padilla),孙婕 Jasmine（Sunjie）</v>
      </c>
      <c r="AE763" t="str">
        <f>VLOOKUP($H763,'[3]0509人员排班情况 副本'!$G:$U,13,FALSE)</f>
        <v>贺子强Jeff (Ziqiang He)</v>
      </c>
      <c r="AF763">
        <f>VLOOKUP($H763,'[3]0509人员排班情况 副本'!$G:$U,14,FALSE)</f>
        <v>0</v>
      </c>
      <c r="AG763">
        <f>VLOOKUP($H763,'[3]0509人员排班情况 副本'!$G:$U,15,FALSE)</f>
        <v>0</v>
      </c>
    </row>
    <row r="764" customHeight="1" spans="1:33">
      <c r="A764" t="s">
        <v>202</v>
      </c>
      <c r="B764" t="s">
        <v>2340</v>
      </c>
      <c r="C764" t="s">
        <v>2341</v>
      </c>
      <c r="D764" t="s">
        <v>92</v>
      </c>
      <c r="E764" t="s">
        <v>93</v>
      </c>
      <c r="F764" t="s">
        <v>1489</v>
      </c>
      <c r="H764" t="str">
        <f t="shared" si="77"/>
        <v>TX 德州大区CT 中德州片区AUS01</v>
      </c>
      <c r="I764" t="s">
        <v>406</v>
      </c>
      <c r="J764" t="s">
        <v>229</v>
      </c>
      <c r="K764" s="15">
        <v>0.270833333333333</v>
      </c>
      <c r="L764" s="15" t="s">
        <v>230</v>
      </c>
      <c r="M764" s="15">
        <v>0.243055555555556</v>
      </c>
      <c r="N764" t="s">
        <v>148</v>
      </c>
      <c r="O764" s="20" t="str">
        <f t="shared" si="78"/>
        <v>正确</v>
      </c>
      <c r="P764" s="21">
        <v>0</v>
      </c>
      <c r="Q764" s="21">
        <v>0</v>
      </c>
      <c r="R764" s="21">
        <v>0</v>
      </c>
      <c r="S764" s="21">
        <f t="shared" si="79"/>
        <v>0</v>
      </c>
      <c r="T764" s="21">
        <f t="shared" si="80"/>
        <v>0</v>
      </c>
      <c r="U764" s="21" t="str">
        <f t="shared" si="81"/>
        <v>否</v>
      </c>
      <c r="V764" s="21">
        <f>VLOOKUP($C764,[4]Sheet1!$B:$AN,39,FALSE)</f>
        <v>0</v>
      </c>
      <c r="W764" s="21">
        <v>0</v>
      </c>
      <c r="X764" s="23">
        <v>3</v>
      </c>
      <c r="Y764" s="23">
        <v>4</v>
      </c>
      <c r="Z764" s="25">
        <f t="shared" si="82"/>
        <v>1</v>
      </c>
      <c r="AA764" s="25" t="str">
        <f t="shared" si="83"/>
        <v>是</v>
      </c>
      <c r="AB764" t="s">
        <v>148</v>
      </c>
      <c r="AC764" t="e">
        <f>VLOOKUP(C764,[1]Sheet1!$C:$O,13,FALSE)</f>
        <v>#N/A</v>
      </c>
      <c r="AD764" t="str">
        <f>VLOOKUP($H764,'[3]0509人员排班情况 副本'!$G:$U,12,FALSE)</f>
        <v>肖芦莉Lily (Luli Xiao)</v>
      </c>
      <c r="AE764" t="str">
        <f>VLOOKUP($H764,'[3]0509人员排班情况 副本'!$G:$U,13,FALSE)</f>
        <v>张骥Ji Zhang (Ji Zhang)</v>
      </c>
      <c r="AF764" t="str">
        <f>VLOOKUP($H764,'[3]0509人员排班情况 副本'!$G:$U,14,FALSE)</f>
        <v>马铭 Ming (Ming Ma)</v>
      </c>
      <c r="AG764">
        <f>VLOOKUP($H764,'[3]0509人员排班情况 副本'!$G:$U,15,FALSE)</f>
        <v>0</v>
      </c>
    </row>
    <row r="765" customHeight="1" spans="1:33">
      <c r="A765" t="s">
        <v>202</v>
      </c>
      <c r="B765" t="s">
        <v>2342</v>
      </c>
      <c r="C765" t="s">
        <v>2343</v>
      </c>
      <c r="D765" t="s">
        <v>99</v>
      </c>
      <c r="E765" t="s">
        <v>677</v>
      </c>
      <c r="F765" t="s">
        <v>864</v>
      </c>
      <c r="H765" t="str">
        <f t="shared" si="77"/>
        <v>US人力资源部美洲HRBP组招聘组</v>
      </c>
      <c r="I765" t="s">
        <v>865</v>
      </c>
      <c r="J765" t="s">
        <v>236</v>
      </c>
      <c r="K765" s="15">
        <v>0.395833333333333</v>
      </c>
      <c r="L765" s="15" t="s">
        <v>218</v>
      </c>
      <c r="M765" s="15"/>
      <c r="N765" t="s">
        <v>148</v>
      </c>
      <c r="O765" s="20" t="str">
        <f t="shared" si="78"/>
        <v>不正确</v>
      </c>
      <c r="P765" s="21">
        <v>9.3</v>
      </c>
      <c r="Q765" s="21">
        <v>0</v>
      </c>
      <c r="R765" s="21">
        <v>9.3</v>
      </c>
      <c r="S765" s="21">
        <v>8</v>
      </c>
      <c r="T765" s="21">
        <f t="shared" si="80"/>
        <v>0</v>
      </c>
      <c r="U765" s="21" t="str">
        <f t="shared" si="81"/>
        <v>否</v>
      </c>
      <c r="V765" s="21">
        <f>VLOOKUP($C765,[4]Sheet1!$B:$AN,39,FALSE)</f>
        <v>8.03</v>
      </c>
      <c r="W765" s="21">
        <v>0</v>
      </c>
      <c r="X765" s="23">
        <v>0</v>
      </c>
      <c r="Y765" s="23">
        <v>0</v>
      </c>
      <c r="Z765" s="25">
        <f t="shared" si="82"/>
        <v>0</v>
      </c>
      <c r="AA765" s="25" t="str">
        <f t="shared" si="83"/>
        <v>是</v>
      </c>
      <c r="AB765" t="s">
        <v>2344</v>
      </c>
      <c r="AC765" t="e">
        <f>VLOOKUP(C765,[1]Sheet1!$C:$O,13,FALSE)</f>
        <v>#N/A</v>
      </c>
      <c r="AD765" t="str">
        <f>VLOOKUP($H765,'[3]0509人员排班情况 副本'!$G:$U,12,FALSE)</f>
        <v>袁博闻(Bowen Yuan)</v>
      </c>
      <c r="AE765">
        <f>VLOOKUP($H765,'[3]0509人员排班情况 副本'!$G:$U,13,FALSE)</f>
        <v>0</v>
      </c>
      <c r="AF765">
        <f>VLOOKUP($H765,'[3]0509人员排班情况 副本'!$G:$U,14,FALSE)</f>
        <v>0</v>
      </c>
      <c r="AG765">
        <f>VLOOKUP($H765,'[3]0509人员排班情况 副本'!$G:$U,15,FALSE)</f>
        <v>0</v>
      </c>
    </row>
    <row r="766" customHeight="1" spans="1:33">
      <c r="A766" t="s">
        <v>202</v>
      </c>
      <c r="B766" t="s">
        <v>2345</v>
      </c>
      <c r="C766" t="s">
        <v>2346</v>
      </c>
      <c r="D766" t="s">
        <v>14</v>
      </c>
      <c r="E766" t="s">
        <v>645</v>
      </c>
      <c r="F766" t="s">
        <v>148</v>
      </c>
      <c r="H766" t="str">
        <f t="shared" si="77"/>
        <v>DO 数字运营部美国技术支持组</v>
      </c>
      <c r="I766" t="s">
        <v>646</v>
      </c>
      <c r="J766" t="s">
        <v>655</v>
      </c>
      <c r="K766" s="15">
        <v>0.583333333333333</v>
      </c>
      <c r="L766" s="15" t="s">
        <v>656</v>
      </c>
      <c r="M766" s="15"/>
      <c r="N766" t="s">
        <v>148</v>
      </c>
      <c r="O766" s="20" t="str">
        <f t="shared" si="78"/>
        <v>不正确</v>
      </c>
      <c r="P766" s="21">
        <v>0</v>
      </c>
      <c r="Q766" s="21">
        <v>0</v>
      </c>
      <c r="R766" s="21">
        <v>0</v>
      </c>
      <c r="S766" s="21">
        <f t="shared" si="79"/>
        <v>0</v>
      </c>
      <c r="T766" s="21">
        <f t="shared" si="80"/>
        <v>0</v>
      </c>
      <c r="U766" s="21" t="str">
        <f t="shared" si="81"/>
        <v>否</v>
      </c>
      <c r="V766" s="21">
        <f>VLOOKUP($C766,[4]Sheet1!$B:$AN,39,FALSE)</f>
        <v>0</v>
      </c>
      <c r="W766" s="21">
        <v>0</v>
      </c>
      <c r="X766" s="23">
        <v>0</v>
      </c>
      <c r="Y766" s="23">
        <v>4</v>
      </c>
      <c r="Z766" s="25">
        <f t="shared" si="82"/>
        <v>4</v>
      </c>
      <c r="AA766" s="25" t="str">
        <f t="shared" si="83"/>
        <v>是</v>
      </c>
      <c r="AB766" t="s">
        <v>148</v>
      </c>
      <c r="AC766" t="e">
        <f>VLOOKUP(C766,[1]Sheet1!$C:$O,13,FALSE)</f>
        <v>#N/A</v>
      </c>
      <c r="AD766" t="str">
        <f>VLOOKUP($H766,'[3]0509人员排班情况 副本'!$G:$U,12,FALSE)</f>
        <v>袁博闻(Bowen Yuan)</v>
      </c>
      <c r="AE766">
        <f>VLOOKUP($H766,'[3]0509人员排班情况 副本'!$G:$U,13,FALSE)</f>
        <v>0</v>
      </c>
      <c r="AF766">
        <f>VLOOKUP($H766,'[3]0509人员排班情况 副本'!$G:$U,14,FALSE)</f>
        <v>0</v>
      </c>
      <c r="AG766">
        <f>VLOOKUP($H766,'[3]0509人员排班情况 副本'!$G:$U,15,FALSE)</f>
        <v>0</v>
      </c>
    </row>
    <row r="767" customHeight="1" spans="1:33">
      <c r="A767" t="s">
        <v>202</v>
      </c>
      <c r="B767" t="s">
        <v>2347</v>
      </c>
      <c r="C767" t="s">
        <v>2348</v>
      </c>
      <c r="D767" t="s">
        <v>68</v>
      </c>
      <c r="E767" t="s">
        <v>44</v>
      </c>
      <c r="F767" t="s">
        <v>148</v>
      </c>
      <c r="H767" t="str">
        <f t="shared" si="77"/>
        <v>NE 东北大区车辆管理部</v>
      </c>
      <c r="I767" t="s">
        <v>968</v>
      </c>
      <c r="J767" t="s">
        <v>236</v>
      </c>
      <c r="K767" s="15">
        <v>0.395833333333333</v>
      </c>
      <c r="L767" s="15" t="s">
        <v>218</v>
      </c>
      <c r="M767" s="15">
        <v>0.404166666666667</v>
      </c>
      <c r="N767" t="s">
        <v>830</v>
      </c>
      <c r="O767" s="20" t="str">
        <f t="shared" si="78"/>
        <v>正确</v>
      </c>
      <c r="P767" s="21">
        <v>0</v>
      </c>
      <c r="Q767" s="21">
        <v>10.92</v>
      </c>
      <c r="R767" s="21">
        <v>0</v>
      </c>
      <c r="S767" s="21">
        <f t="shared" si="79"/>
        <v>10.92</v>
      </c>
      <c r="T767" s="21">
        <f t="shared" si="80"/>
        <v>2.92</v>
      </c>
      <c r="U767" s="21" t="str">
        <f t="shared" si="81"/>
        <v>是</v>
      </c>
      <c r="V767" s="21">
        <f>VLOOKUP($C767,[4]Sheet1!$B:$AN,39,FALSE)</f>
        <v>21.72</v>
      </c>
      <c r="W767" s="21">
        <v>0</v>
      </c>
      <c r="X767" s="23">
        <v>2</v>
      </c>
      <c r="Y767" s="23">
        <v>0</v>
      </c>
      <c r="Z767" s="25">
        <f t="shared" si="82"/>
        <v>0</v>
      </c>
      <c r="AA767" s="25" t="str">
        <f t="shared" si="83"/>
        <v>是</v>
      </c>
      <c r="AB767" t="s">
        <v>495</v>
      </c>
      <c r="AC767" t="e">
        <f>VLOOKUP(C767,[1]Sheet1!$C:$O,13,FALSE)</f>
        <v>#N/A</v>
      </c>
      <c r="AD767" t="str">
        <f>VLOOKUP($H767,'[3]0509人员排班情况 副本'!$G:$U,12,FALSE)</f>
        <v>孙可君Monica（Kejun Sun）</v>
      </c>
      <c r="AE767" t="str">
        <f>VLOOKUP($H767,'[3]0509人员排班情况 副本'!$G:$U,13,FALSE)</f>
        <v>马聪Cong (Cong Ma)</v>
      </c>
      <c r="AF767">
        <f>VLOOKUP($H767,'[3]0509人员排班情况 副本'!$G:$U,14,FALSE)</f>
        <v>0</v>
      </c>
      <c r="AG767">
        <f>VLOOKUP($H767,'[3]0509人员排班情况 副本'!$G:$U,15,FALSE)</f>
        <v>0</v>
      </c>
    </row>
    <row r="768" customHeight="1" spans="1:33">
      <c r="A768" t="s">
        <v>202</v>
      </c>
      <c r="B768" t="s">
        <v>2349</v>
      </c>
      <c r="C768" t="s">
        <v>2350</v>
      </c>
      <c r="D768" t="s">
        <v>68</v>
      </c>
      <c r="E768" t="s">
        <v>81</v>
      </c>
      <c r="F768" t="s">
        <v>79</v>
      </c>
      <c r="H768" t="str">
        <f t="shared" si="77"/>
        <v>NE 东北大区NY 纽约片区JFK01</v>
      </c>
      <c r="I768" t="s">
        <v>177</v>
      </c>
      <c r="J768" t="s">
        <v>217</v>
      </c>
      <c r="K768" s="15">
        <v>0.395833333333333</v>
      </c>
      <c r="L768" s="15" t="s">
        <v>218</v>
      </c>
      <c r="M768" s="15"/>
      <c r="N768" t="s">
        <v>148</v>
      </c>
      <c r="O768" s="20" t="s">
        <v>116</v>
      </c>
      <c r="P768" s="21">
        <v>0</v>
      </c>
      <c r="Q768" s="21">
        <v>0</v>
      </c>
      <c r="R768" s="21">
        <v>0</v>
      </c>
      <c r="S768" s="21">
        <f t="shared" si="79"/>
        <v>0</v>
      </c>
      <c r="T768" s="21">
        <f t="shared" si="80"/>
        <v>0</v>
      </c>
      <c r="U768" s="21" t="str">
        <f t="shared" si="81"/>
        <v>否</v>
      </c>
      <c r="V768" s="21">
        <f>VLOOKUP($C768,[4]Sheet1!$B:$AN,39,FALSE)</f>
        <v>4.5</v>
      </c>
      <c r="W768" s="21">
        <v>0</v>
      </c>
      <c r="X768" s="23">
        <v>0</v>
      </c>
      <c r="Y768" s="23">
        <v>0</v>
      </c>
      <c r="Z768" s="25">
        <f t="shared" si="82"/>
        <v>0</v>
      </c>
      <c r="AA768" s="25" t="str">
        <f t="shared" si="83"/>
        <v>是</v>
      </c>
      <c r="AB768" t="s">
        <v>148</v>
      </c>
      <c r="AC768" t="e">
        <f>VLOOKUP(C768,[1]Sheet1!$C:$O,13,FALSE)</f>
        <v>#N/A</v>
      </c>
      <c r="AD768" t="str">
        <f>VLOOKUP($H768,'[3]0509人员排班情况 副本'!$G:$U,12,FALSE)</f>
        <v>孙可君Monica（Kejun Sun）</v>
      </c>
      <c r="AE768" t="str">
        <f>VLOOKUP($H768,'[3]0509人员排班情况 副本'!$G:$U,13,FALSE)</f>
        <v>马聪Cong (Cong Ma)</v>
      </c>
      <c r="AF768" t="str">
        <f>VLOOKUP($H768,'[3]0509人员排班情况 副本'!$G:$U,14,FALSE)</f>
        <v>朱晗宇 Peter (Hanyu Zhu)</v>
      </c>
      <c r="AG768">
        <f>VLOOKUP($H768,'[3]0509人员排班情况 副本'!$G:$U,15,FALSE)</f>
        <v>0</v>
      </c>
    </row>
    <row r="769" customHeight="1" spans="1:33">
      <c r="A769" t="s">
        <v>202</v>
      </c>
      <c r="B769" t="s">
        <v>2351</v>
      </c>
      <c r="C769" t="s">
        <v>2352</v>
      </c>
      <c r="D769" t="s">
        <v>100</v>
      </c>
      <c r="E769" t="s">
        <v>107</v>
      </c>
      <c r="F769" t="s">
        <v>1745</v>
      </c>
      <c r="H769" t="str">
        <f t="shared" si="77"/>
        <v>WE 美西大区SP 西雅图·波特兰片区SEA01</v>
      </c>
      <c r="I769" t="s">
        <v>156</v>
      </c>
      <c r="J769" t="s">
        <v>304</v>
      </c>
      <c r="K769" s="15">
        <v>0.666666666666667</v>
      </c>
      <c r="L769" s="15" t="s">
        <v>305</v>
      </c>
      <c r="M769" s="15"/>
      <c r="N769" t="s">
        <v>148</v>
      </c>
      <c r="O769" s="20" t="str">
        <f t="shared" si="78"/>
        <v>不正确</v>
      </c>
      <c r="P769" s="21">
        <v>0</v>
      </c>
      <c r="Q769" s="21">
        <v>0</v>
      </c>
      <c r="R769" s="21">
        <v>0</v>
      </c>
      <c r="S769" s="21">
        <f t="shared" si="79"/>
        <v>0</v>
      </c>
      <c r="T769" s="21">
        <f t="shared" si="80"/>
        <v>0</v>
      </c>
      <c r="U769" s="21" t="str">
        <f t="shared" si="81"/>
        <v>否</v>
      </c>
      <c r="V769" s="21">
        <f>VLOOKUP($C769,[4]Sheet1!$B:$AN,39,FALSE)</f>
        <v>0</v>
      </c>
      <c r="W769" s="21">
        <v>0</v>
      </c>
      <c r="X769" s="23">
        <v>0</v>
      </c>
      <c r="Y769" s="23">
        <v>4</v>
      </c>
      <c r="Z769" s="25">
        <f t="shared" si="82"/>
        <v>4</v>
      </c>
      <c r="AA769" s="25" t="str">
        <f t="shared" si="83"/>
        <v>是</v>
      </c>
      <c r="AB769" t="s">
        <v>148</v>
      </c>
      <c r="AC769" t="e">
        <f>VLOOKUP(C769,[1]Sheet1!$C:$O,13,FALSE)</f>
        <v>#N/A</v>
      </c>
      <c r="AD769" t="str">
        <f>VLOOKUP($H769,'[3]0509人员排班情况 副本'!$G:$U,12,FALSE)</f>
        <v>王骞Ariel（Qian Wang）,叶秀芳Freya (Xiufang Ye)</v>
      </c>
      <c r="AE769" t="str">
        <f>VLOOKUP($H769,'[3]0509人员排班情况 副本'!$G:$U,13,FALSE)</f>
        <v>常哲</v>
      </c>
      <c r="AF769" t="str">
        <f>VLOOKUP($H769,'[3]0509人员排班情况 副本'!$G:$U,14,FALSE)</f>
        <v>尤梦楠Yuko（Mengnan You）</v>
      </c>
      <c r="AG769">
        <f>VLOOKUP($H769,'[3]0509人员排班情况 副本'!$G:$U,15,FALSE)</f>
        <v>0</v>
      </c>
    </row>
    <row r="770" customHeight="1" spans="1:33">
      <c r="A770" t="s">
        <v>202</v>
      </c>
      <c r="B770" t="s">
        <v>2353</v>
      </c>
      <c r="C770" t="s">
        <v>2354</v>
      </c>
      <c r="D770" t="s">
        <v>100</v>
      </c>
      <c r="E770" t="s">
        <v>106</v>
      </c>
      <c r="F770" t="s">
        <v>257</v>
      </c>
      <c r="H770" t="str">
        <f t="shared" si="77"/>
        <v>WE 美西大区SC 南加片区FAT01</v>
      </c>
      <c r="I770" t="s">
        <v>177</v>
      </c>
      <c r="J770" t="s">
        <v>221</v>
      </c>
      <c r="K770" s="15">
        <v>0.208333333333333</v>
      </c>
      <c r="L770" s="15" t="s">
        <v>222</v>
      </c>
      <c r="M770" s="15">
        <v>0.204166666666667</v>
      </c>
      <c r="N770" t="s">
        <v>222</v>
      </c>
      <c r="O770" s="20" t="str">
        <f t="shared" si="78"/>
        <v>正确</v>
      </c>
      <c r="P770" s="21">
        <v>0</v>
      </c>
      <c r="Q770" s="21">
        <v>8.1</v>
      </c>
      <c r="R770" s="21">
        <v>0</v>
      </c>
      <c r="S770" s="21">
        <f t="shared" si="79"/>
        <v>8.1</v>
      </c>
      <c r="T770" s="21">
        <f t="shared" si="80"/>
        <v>0.0999999999999996</v>
      </c>
      <c r="U770" s="21" t="str">
        <f t="shared" si="81"/>
        <v>是</v>
      </c>
      <c r="V770" s="21">
        <f>VLOOKUP($C770,[4]Sheet1!$B:$AN,39,FALSE)</f>
        <v>16.23</v>
      </c>
      <c r="W770" s="21">
        <v>0</v>
      </c>
      <c r="X770" s="23">
        <v>4</v>
      </c>
      <c r="Y770" s="23">
        <v>4</v>
      </c>
      <c r="Z770" s="25">
        <f t="shared" si="82"/>
        <v>0</v>
      </c>
      <c r="AA770" s="25" t="str">
        <f t="shared" si="83"/>
        <v>是</v>
      </c>
      <c r="AB770" t="s">
        <v>148</v>
      </c>
      <c r="AC770" t="e">
        <f>VLOOKUP(C770,[1]Sheet1!$C:$O,13,FALSE)</f>
        <v>#N/A</v>
      </c>
      <c r="AD770" t="str">
        <f>VLOOKUP($H770,'[3]0509人员排班情况 副本'!$G:$U,12,FALSE)</f>
        <v>王骞Ariel（Qian Wang）,叶秀芳Freya (Xiufang Ye)</v>
      </c>
      <c r="AE770" t="str">
        <f>VLOOKUP($H770,'[3]0509人员排班情况 副本'!$G:$U,13,FALSE)</f>
        <v>常哲</v>
      </c>
      <c r="AF770" t="str">
        <f>VLOOKUP($H770,'[3]0509人员排班情况 副本'!$G:$U,14,FALSE)</f>
        <v>尤梦楠Yuko（Mengnan You）</v>
      </c>
      <c r="AG770">
        <f>VLOOKUP($H770,'[3]0509人员排班情况 副本'!$G:$U,15,FALSE)</f>
        <v>0</v>
      </c>
    </row>
    <row r="771" customHeight="1" spans="1:33">
      <c r="A771" t="s">
        <v>202</v>
      </c>
      <c r="B771" t="s">
        <v>2355</v>
      </c>
      <c r="C771" t="s">
        <v>2356</v>
      </c>
      <c r="D771" t="s">
        <v>92</v>
      </c>
      <c r="E771" t="s">
        <v>95</v>
      </c>
      <c r="F771" t="s">
        <v>2357</v>
      </c>
      <c r="H771" t="str">
        <f t="shared" si="77"/>
        <v>TX 德州大区GC 墨湾片区CRP01</v>
      </c>
      <c r="I771" t="s">
        <v>177</v>
      </c>
      <c r="J771" t="s">
        <v>437</v>
      </c>
      <c r="K771" s="15">
        <v>0.229166666666667</v>
      </c>
      <c r="L771" s="15" t="s">
        <v>438</v>
      </c>
      <c r="M771" s="15">
        <v>0.234722222222222</v>
      </c>
      <c r="N771" t="s">
        <v>2358</v>
      </c>
      <c r="O771" s="20" t="str">
        <f t="shared" si="78"/>
        <v>正确</v>
      </c>
      <c r="P771" s="21">
        <v>0</v>
      </c>
      <c r="Q771" s="21">
        <v>8.42</v>
      </c>
      <c r="R771" s="21">
        <v>0</v>
      </c>
      <c r="S771" s="21">
        <f t="shared" si="79"/>
        <v>8.42</v>
      </c>
      <c r="T771" s="21">
        <f t="shared" si="80"/>
        <v>0.42</v>
      </c>
      <c r="U771" s="21" t="str">
        <f t="shared" si="81"/>
        <v>是</v>
      </c>
      <c r="V771" s="21">
        <f>VLOOKUP($C771,[4]Sheet1!$B:$AN,39,FALSE)</f>
        <v>16.34</v>
      </c>
      <c r="W771" s="21">
        <v>0</v>
      </c>
      <c r="X771" s="23">
        <v>5</v>
      </c>
      <c r="Y771" s="23">
        <v>4</v>
      </c>
      <c r="Z771" s="25">
        <f t="shared" si="82"/>
        <v>0</v>
      </c>
      <c r="AA771" s="25" t="str">
        <f t="shared" si="83"/>
        <v>是</v>
      </c>
      <c r="AB771" t="s">
        <v>148</v>
      </c>
      <c r="AC771" t="e">
        <f>VLOOKUP(C771,[1]Sheet1!$C:$O,13,FALSE)</f>
        <v>#N/A</v>
      </c>
      <c r="AD771" t="str">
        <f>VLOOKUP($H771,'[3]0509人员排班情况 副本'!$G:$U,12,FALSE)</f>
        <v>肖芦莉Lily (Luli Xiao)</v>
      </c>
      <c r="AE771" t="str">
        <f>VLOOKUP($H771,'[3]0509人员排班情况 副本'!$G:$U,13,FALSE)</f>
        <v>张骥Ji Zhang (Ji Zhang)</v>
      </c>
      <c r="AF771" t="str">
        <f>VLOOKUP($H771,'[3]0509人员排班情况 副本'!$G:$U,14,FALSE)</f>
        <v>金磊Brian（LEI JIN）</v>
      </c>
      <c r="AG771">
        <f>VLOOKUP($H771,'[3]0509人员排班情况 副本'!$G:$U,15,FALSE)</f>
        <v>0</v>
      </c>
    </row>
    <row r="772" customHeight="1" spans="1:33">
      <c r="A772" t="s">
        <v>202</v>
      </c>
      <c r="B772" t="s">
        <v>2359</v>
      </c>
      <c r="C772" t="s">
        <v>2360</v>
      </c>
      <c r="D772" t="s">
        <v>31</v>
      </c>
      <c r="E772" t="s">
        <v>29</v>
      </c>
      <c r="F772" t="s">
        <v>200</v>
      </c>
      <c r="H772" t="str">
        <f t="shared" ref="H772:H835" si="84">D772&amp;E772&amp;F772</f>
        <v>GL 大湖大区运营支持部区域支持组</v>
      </c>
      <c r="I772" t="s">
        <v>201</v>
      </c>
      <c r="J772" t="s">
        <v>347</v>
      </c>
      <c r="K772" s="15">
        <v>0.541666666666667</v>
      </c>
      <c r="L772" s="15" t="s">
        <v>348</v>
      </c>
      <c r="M772" s="15">
        <v>0.5</v>
      </c>
      <c r="N772" t="s">
        <v>444</v>
      </c>
      <c r="O772" s="20" t="str">
        <f t="shared" ref="O772:O835" si="85">IFERROR(IF(ABS(M772-K772)&lt;=1/24,"正确","不正确"),"/")</f>
        <v>正确</v>
      </c>
      <c r="P772" s="21">
        <v>0</v>
      </c>
      <c r="Q772" s="21">
        <v>9.63</v>
      </c>
      <c r="R772" s="21">
        <v>0</v>
      </c>
      <c r="S772" s="21">
        <f t="shared" ref="S772:S835" si="86">Q772+R772</f>
        <v>9.63</v>
      </c>
      <c r="T772" s="21">
        <f t="shared" ref="T772:T835" si="87">IF(S772-8&gt;0,S772-8,0)</f>
        <v>1.63</v>
      </c>
      <c r="U772" s="21" t="str">
        <f t="shared" ref="U772:U835" si="88">IF(T772=0,"否","是")</f>
        <v>是</v>
      </c>
      <c r="V772" s="21">
        <f>VLOOKUP($C772,[4]Sheet1!$B:$AN,39,FALSE)</f>
        <v>18</v>
      </c>
      <c r="W772" s="21">
        <v>0</v>
      </c>
      <c r="X772" s="23">
        <v>2</v>
      </c>
      <c r="Y772" s="23">
        <v>4</v>
      </c>
      <c r="Z772" s="25">
        <f t="shared" ref="Z772:Z835" si="89">IF(Y772-X772&gt;=0,Y772-X772,0)</f>
        <v>2</v>
      </c>
      <c r="AA772" s="25" t="str">
        <f t="shared" ref="AA772:AA835" si="90">IF(J772="","否","是")</f>
        <v>是</v>
      </c>
      <c r="AB772" t="s">
        <v>148</v>
      </c>
      <c r="AC772" t="e">
        <f>VLOOKUP(C772,[1]Sheet1!$C:$O,13,FALSE)</f>
        <v>#N/A</v>
      </c>
      <c r="AD772" t="str">
        <f>VLOOKUP($H772,'[3]0509人员排班情况 副本'!$G:$U,12,FALSE)</f>
        <v>王晓丹 Jasmine（Xiaodan Wang）,周延舒Isabel（Yanshu Zhou）</v>
      </c>
      <c r="AE772" t="str">
        <f>VLOOKUP($H772,'[3]0509人员排班情况 副本'!$G:$U,13,FALSE)</f>
        <v>张骥Ji Zhang (Ji Zhang)</v>
      </c>
      <c r="AF772">
        <f>VLOOKUP($H772,'[3]0509人员排班情况 副本'!$G:$U,14,FALSE)</f>
        <v>0</v>
      </c>
      <c r="AG772">
        <f>VLOOKUP($H772,'[3]0509人员排班情况 副本'!$G:$U,15,FALSE)</f>
        <v>0</v>
      </c>
    </row>
    <row r="773" customHeight="1" spans="1:33">
      <c r="A773" t="s">
        <v>202</v>
      </c>
      <c r="B773" t="s">
        <v>2361</v>
      </c>
      <c r="C773" t="s">
        <v>2362</v>
      </c>
      <c r="D773" t="s">
        <v>15</v>
      </c>
      <c r="E773" t="s">
        <v>148</v>
      </c>
      <c r="F773" t="s">
        <v>148</v>
      </c>
      <c r="H773" t="str">
        <f t="shared" si="84"/>
        <v>FL 佛州大区</v>
      </c>
      <c r="I773" t="s">
        <v>1424</v>
      </c>
      <c r="J773" t="s">
        <v>282</v>
      </c>
      <c r="K773" s="15">
        <v>0.416666666666667</v>
      </c>
      <c r="L773" s="15" t="s">
        <v>283</v>
      </c>
      <c r="M773" s="15">
        <v>0.416666666666667</v>
      </c>
      <c r="N773" t="s">
        <v>283</v>
      </c>
      <c r="O773" s="20" t="str">
        <f t="shared" si="85"/>
        <v>正确</v>
      </c>
      <c r="P773" s="21">
        <v>0</v>
      </c>
      <c r="Q773" s="21">
        <v>8</v>
      </c>
      <c r="R773" s="21">
        <v>0</v>
      </c>
      <c r="S773" s="21">
        <f t="shared" si="86"/>
        <v>8</v>
      </c>
      <c r="T773" s="21">
        <f t="shared" si="87"/>
        <v>0</v>
      </c>
      <c r="U773" s="21" t="str">
        <f t="shared" si="88"/>
        <v>否</v>
      </c>
      <c r="V773" s="21">
        <f>VLOOKUP($C773,[4]Sheet1!$B:$AN,39,FALSE)</f>
        <v>16</v>
      </c>
      <c r="W773" s="21">
        <v>0</v>
      </c>
      <c r="X773" s="23">
        <v>2</v>
      </c>
      <c r="Y773" s="23">
        <v>4</v>
      </c>
      <c r="Z773" s="25">
        <f t="shared" si="89"/>
        <v>2</v>
      </c>
      <c r="AA773" s="25" t="str">
        <f t="shared" si="90"/>
        <v>是</v>
      </c>
      <c r="AB773" t="s">
        <v>148</v>
      </c>
      <c r="AC773" t="e">
        <f>VLOOKUP(C773,[1]Sheet1!$C:$O,13,FALSE)</f>
        <v>#N/A</v>
      </c>
      <c r="AD773" t="str">
        <f>VLOOKUP($H773,'[3]0509人员排班情况 副本'!$G:$U,12,FALSE)</f>
        <v>Natalia (Natalia Padilla),孙婕 Jasmine（Sunjie）</v>
      </c>
      <c r="AE773" t="str">
        <f>VLOOKUP($H773,'[3]0509人员排班情况 副本'!$G:$U,13,FALSE)</f>
        <v>贺子强Jeff (Ziqiang He)</v>
      </c>
      <c r="AF773">
        <f>VLOOKUP($H773,'[3]0509人员排班情况 副本'!$G:$U,14,FALSE)</f>
        <v>0</v>
      </c>
      <c r="AG773">
        <f>VLOOKUP($H773,'[3]0509人员排班情况 副本'!$G:$U,15,FALSE)</f>
        <v>0</v>
      </c>
    </row>
    <row r="774" customHeight="1" spans="1:33">
      <c r="A774" t="s">
        <v>202</v>
      </c>
      <c r="B774" t="s">
        <v>2363</v>
      </c>
      <c r="C774" t="s">
        <v>2364</v>
      </c>
      <c r="D774" t="s">
        <v>58</v>
      </c>
      <c r="E774" t="s">
        <v>60</v>
      </c>
      <c r="F774" t="s">
        <v>228</v>
      </c>
      <c r="H774" t="str">
        <f t="shared" si="84"/>
        <v>MS 中南大区AS 亚特兰大和南阿拉巴马片区ATL01</v>
      </c>
      <c r="I774" t="s">
        <v>177</v>
      </c>
      <c r="J774" t="s">
        <v>217</v>
      </c>
      <c r="K774" s="15">
        <v>0.395833333333333</v>
      </c>
      <c r="L774" s="15" t="s">
        <v>218</v>
      </c>
      <c r="M774" s="15"/>
      <c r="N774" t="s">
        <v>148</v>
      </c>
      <c r="O774" s="20" t="s">
        <v>116</v>
      </c>
      <c r="P774" s="21">
        <v>0</v>
      </c>
      <c r="Q774" s="21">
        <v>0</v>
      </c>
      <c r="R774" s="21">
        <v>0</v>
      </c>
      <c r="S774" s="21">
        <f t="shared" si="86"/>
        <v>0</v>
      </c>
      <c r="T774" s="21">
        <f t="shared" si="87"/>
        <v>0</v>
      </c>
      <c r="U774" s="21" t="str">
        <f t="shared" si="88"/>
        <v>否</v>
      </c>
      <c r="V774" s="21">
        <f>VLOOKUP($C774,[4]Sheet1!$B:$AN,39,FALSE)</f>
        <v>7.07</v>
      </c>
      <c r="W774" s="21">
        <v>0</v>
      </c>
      <c r="X774" s="23">
        <v>0</v>
      </c>
      <c r="Y774" s="23">
        <v>0</v>
      </c>
      <c r="Z774" s="25">
        <f t="shared" si="89"/>
        <v>0</v>
      </c>
      <c r="AA774" s="25" t="str">
        <f t="shared" si="90"/>
        <v>是</v>
      </c>
      <c r="AB774" t="s">
        <v>148</v>
      </c>
      <c r="AC774" t="e">
        <f>VLOOKUP(C774,[1]Sheet1!$C:$O,13,FALSE)</f>
        <v>#N/A</v>
      </c>
      <c r="AD774" t="str">
        <f>VLOOKUP($H774,'[3]0509人员排班情况 副本'!$G:$U,12,FALSE)</f>
        <v>欧阳迎春Flower（Yingchun Ouyang）</v>
      </c>
      <c r="AE774" t="str">
        <f>VLOOKUP($H774,'[3]0509人员排班情况 副本'!$G:$U,13,FALSE)</f>
        <v>杨云飞</v>
      </c>
      <c r="AF774" t="str">
        <f>VLOOKUP($H774,'[3]0509人员排班情况 副本'!$G:$U,14,FALSE)</f>
        <v>李明峰Lucas(Mingfeng Li)</v>
      </c>
      <c r="AG774">
        <f>VLOOKUP($H774,'[3]0509人员排班情况 副本'!$G:$U,15,FALSE)</f>
        <v>0</v>
      </c>
    </row>
    <row r="775" customHeight="1" spans="1:33">
      <c r="A775" t="s">
        <v>202</v>
      </c>
      <c r="B775" t="s">
        <v>2365</v>
      </c>
      <c r="C775" t="s">
        <v>2366</v>
      </c>
      <c r="D775" t="s">
        <v>48</v>
      </c>
      <c r="E775" t="s">
        <v>54</v>
      </c>
      <c r="F775" t="s">
        <v>148</v>
      </c>
      <c r="H775" t="str">
        <f t="shared" si="84"/>
        <v>Ground项目部运营管理部</v>
      </c>
      <c r="I775" t="s">
        <v>2367</v>
      </c>
      <c r="J775" t="s">
        <v>236</v>
      </c>
      <c r="K775" s="15">
        <v>0.395833333333333</v>
      </c>
      <c r="L775" s="15" t="s">
        <v>218</v>
      </c>
      <c r="M775" s="15">
        <v>0.354861111111111</v>
      </c>
      <c r="N775" t="s">
        <v>2368</v>
      </c>
      <c r="O775" s="20" t="str">
        <f t="shared" si="85"/>
        <v>正确</v>
      </c>
      <c r="P775" s="21">
        <v>0</v>
      </c>
      <c r="Q775" s="21">
        <v>8.4</v>
      </c>
      <c r="R775" s="21">
        <v>0</v>
      </c>
      <c r="S775" s="21">
        <f t="shared" si="86"/>
        <v>8.4</v>
      </c>
      <c r="T775" s="21">
        <f t="shared" si="87"/>
        <v>0.4</v>
      </c>
      <c r="U775" s="21" t="str">
        <f t="shared" si="88"/>
        <v>是</v>
      </c>
      <c r="V775" s="21">
        <f>VLOOKUP($C775,[4]Sheet1!$B:$AN,39,FALSE)</f>
        <v>17.73</v>
      </c>
      <c r="W775" s="21">
        <v>0</v>
      </c>
      <c r="X775" s="23">
        <v>2</v>
      </c>
      <c r="Y775" s="23">
        <v>4</v>
      </c>
      <c r="Z775" s="25">
        <f t="shared" si="89"/>
        <v>2</v>
      </c>
      <c r="AA775" s="25" t="str">
        <f t="shared" si="90"/>
        <v>是</v>
      </c>
      <c r="AB775" t="s">
        <v>148</v>
      </c>
      <c r="AC775" t="e">
        <f>VLOOKUP(C775,[1]Sheet1!$C:$O,13,FALSE)</f>
        <v>#N/A</v>
      </c>
      <c r="AD775" t="str">
        <f>VLOOKUP($H775,'[3]0509人员排班情况 副本'!$G:$U,12,FALSE)</f>
        <v>王安琪 (Anqi Wang),张朱同 Thomson（Zhutong Zhang）</v>
      </c>
      <c r="AE775" t="str">
        <f>VLOOKUP($H775,'[3]0509人员排班情况 副本'!$G:$U,13,FALSE)</f>
        <v>陈锦昭</v>
      </c>
      <c r="AF775">
        <f>VLOOKUP($H775,'[3]0509人员排班情况 副本'!$G:$U,14,FALSE)</f>
        <v>0</v>
      </c>
      <c r="AG775">
        <f>VLOOKUP($H775,'[3]0509人员排班情况 副本'!$G:$U,15,FALSE)</f>
        <v>0</v>
      </c>
    </row>
    <row r="776" customHeight="1" spans="1:33">
      <c r="A776" t="s">
        <v>202</v>
      </c>
      <c r="B776" t="s">
        <v>2369</v>
      </c>
      <c r="C776" t="s">
        <v>2370</v>
      </c>
      <c r="D776" t="s">
        <v>13</v>
      </c>
      <c r="E776" t="s">
        <v>2371</v>
      </c>
      <c r="F776" t="s">
        <v>148</v>
      </c>
      <c r="H776" t="str">
        <f t="shared" si="84"/>
        <v>CS 客户服务部运营分析组</v>
      </c>
      <c r="I776" t="s">
        <v>2372</v>
      </c>
      <c r="J776" t="s">
        <v>236</v>
      </c>
      <c r="K776" s="15">
        <v>0.395833333333333</v>
      </c>
      <c r="L776" s="15" t="s">
        <v>218</v>
      </c>
      <c r="M776" s="15">
        <v>0.291666666666667</v>
      </c>
      <c r="N776" t="s">
        <v>2373</v>
      </c>
      <c r="O776" s="20" t="str">
        <f t="shared" si="85"/>
        <v>不正确</v>
      </c>
      <c r="P776" s="21">
        <v>0</v>
      </c>
      <c r="Q776" s="21">
        <v>8.55</v>
      </c>
      <c r="R776" s="21">
        <v>0</v>
      </c>
      <c r="S776" s="21">
        <f t="shared" si="86"/>
        <v>8.55</v>
      </c>
      <c r="T776" s="21">
        <f t="shared" si="87"/>
        <v>0.550000000000001</v>
      </c>
      <c r="U776" s="21" t="str">
        <f t="shared" si="88"/>
        <v>是</v>
      </c>
      <c r="V776" s="21">
        <f>VLOOKUP($C776,[4]Sheet1!$B:$AN,39,FALSE)</f>
        <v>17.1</v>
      </c>
      <c r="W776" s="21">
        <v>0</v>
      </c>
      <c r="X776" s="23">
        <v>2</v>
      </c>
      <c r="Y776" s="23">
        <v>4</v>
      </c>
      <c r="Z776" s="25">
        <f t="shared" si="89"/>
        <v>2</v>
      </c>
      <c r="AA776" s="25" t="str">
        <f t="shared" si="90"/>
        <v>是</v>
      </c>
      <c r="AB776" t="s">
        <v>148</v>
      </c>
      <c r="AC776" t="e">
        <f>VLOOKUP(C776,[1]Sheet1!$C:$O,13,FALSE)</f>
        <v>#N/A</v>
      </c>
      <c r="AD776" t="str">
        <f>VLOOKUP($H776,'[3]0509人员排班情况 副本'!$G:$U,12,FALSE)</f>
        <v>袁博闻(Bowen Yuan)</v>
      </c>
      <c r="AE776">
        <f>VLOOKUP($H776,'[3]0509人员排班情况 副本'!$G:$U,13,FALSE)</f>
        <v>0</v>
      </c>
      <c r="AF776">
        <f>VLOOKUP($H776,'[3]0509人员排班情况 副本'!$G:$U,14,FALSE)</f>
        <v>0</v>
      </c>
      <c r="AG776">
        <f>VLOOKUP($H776,'[3]0509人员排班情况 副本'!$G:$U,15,FALSE)</f>
        <v>0</v>
      </c>
    </row>
    <row r="777" customHeight="1" spans="1:33">
      <c r="A777" t="s">
        <v>202</v>
      </c>
      <c r="B777" t="s">
        <v>2374</v>
      </c>
      <c r="C777" t="s">
        <v>2375</v>
      </c>
      <c r="D777" t="s">
        <v>48</v>
      </c>
      <c r="E777" t="s">
        <v>52</v>
      </c>
      <c r="F777" t="s">
        <v>329</v>
      </c>
      <c r="H777" t="str">
        <f t="shared" si="84"/>
        <v>Ground项目部OG 美中区ORD.G</v>
      </c>
      <c r="I777" t="s">
        <v>160</v>
      </c>
      <c r="J777" t="s">
        <v>236</v>
      </c>
      <c r="K777" s="15">
        <v>0.395833333333333</v>
      </c>
      <c r="L777" s="15" t="s">
        <v>218</v>
      </c>
      <c r="M777" s="15">
        <v>0.367361111111111</v>
      </c>
      <c r="N777" t="s">
        <v>148</v>
      </c>
      <c r="O777" s="20" t="str">
        <f t="shared" si="85"/>
        <v>正确</v>
      </c>
      <c r="P777" s="21">
        <v>0</v>
      </c>
      <c r="Q777" s="21">
        <v>0</v>
      </c>
      <c r="R777" s="21">
        <v>0</v>
      </c>
      <c r="S777" s="21">
        <f t="shared" si="86"/>
        <v>0</v>
      </c>
      <c r="T777" s="21">
        <f t="shared" si="87"/>
        <v>0</v>
      </c>
      <c r="U777" s="21" t="str">
        <f t="shared" si="88"/>
        <v>否</v>
      </c>
      <c r="V777" s="21">
        <f>VLOOKUP($C777,[4]Sheet1!$B:$AN,39,FALSE)</f>
        <v>13.73</v>
      </c>
      <c r="W777" s="21">
        <v>0</v>
      </c>
      <c r="X777" s="23">
        <v>2</v>
      </c>
      <c r="Y777" s="23">
        <v>4</v>
      </c>
      <c r="Z777" s="25">
        <f t="shared" si="89"/>
        <v>2</v>
      </c>
      <c r="AA777" s="25" t="str">
        <f t="shared" si="90"/>
        <v>是</v>
      </c>
      <c r="AB777" t="s">
        <v>148</v>
      </c>
      <c r="AC777" t="e">
        <f>VLOOKUP(C777,[1]Sheet1!$C:$O,13,FALSE)</f>
        <v>#N/A</v>
      </c>
      <c r="AD777" t="str">
        <f>VLOOKUP($H777,'[3]0509人员排班情况 副本'!$G:$U,12,FALSE)</f>
        <v>王安琪 (Anqi Wang),张朱同 Thomson（Zhutong Zhang）</v>
      </c>
      <c r="AE777" t="str">
        <f>VLOOKUP($H777,'[3]0509人员排班情况 副本'!$G:$U,13,FALSE)</f>
        <v>陈锦昭</v>
      </c>
      <c r="AF777">
        <f>VLOOKUP($H777,'[3]0509人员排班情况 副本'!$G:$U,14,FALSE)</f>
        <v>0</v>
      </c>
      <c r="AG777">
        <f>VLOOKUP($H777,'[3]0509人员排班情况 副本'!$G:$U,15,FALSE)</f>
        <v>0</v>
      </c>
    </row>
    <row r="778" customHeight="1" spans="1:33">
      <c r="A778" t="s">
        <v>202</v>
      </c>
      <c r="B778" t="s">
        <v>2376</v>
      </c>
      <c r="C778" t="s">
        <v>2377</v>
      </c>
      <c r="D778" t="s">
        <v>92</v>
      </c>
      <c r="E778" t="s">
        <v>97</v>
      </c>
      <c r="F778" t="s">
        <v>2378</v>
      </c>
      <c r="H778" t="str">
        <f t="shared" si="84"/>
        <v>TX 德州大区NT 北德州片区MAF01</v>
      </c>
      <c r="I778" t="s">
        <v>2379</v>
      </c>
      <c r="J778" t="s">
        <v>343</v>
      </c>
      <c r="K778" s="15">
        <v>0.25</v>
      </c>
      <c r="L778" s="15" t="s">
        <v>344</v>
      </c>
      <c r="M778" s="15"/>
      <c r="N778" t="s">
        <v>148</v>
      </c>
      <c r="O778" s="20" t="str">
        <f t="shared" si="85"/>
        <v>不正确</v>
      </c>
      <c r="P778" s="21">
        <v>0</v>
      </c>
      <c r="Q778" s="21">
        <v>0</v>
      </c>
      <c r="R778" s="21">
        <v>0</v>
      </c>
      <c r="S778" s="21">
        <f t="shared" si="86"/>
        <v>0</v>
      </c>
      <c r="T778" s="21">
        <f t="shared" si="87"/>
        <v>0</v>
      </c>
      <c r="U778" s="21" t="str">
        <f t="shared" si="88"/>
        <v>否</v>
      </c>
      <c r="V778" s="21">
        <f>VLOOKUP($C778,[4]Sheet1!$B:$AN,39,FALSE)</f>
        <v>0</v>
      </c>
      <c r="W778" s="21">
        <v>0</v>
      </c>
      <c r="X778" s="23">
        <v>0</v>
      </c>
      <c r="Y778" s="23">
        <v>4</v>
      </c>
      <c r="Z778" s="25">
        <f t="shared" si="89"/>
        <v>4</v>
      </c>
      <c r="AA778" s="25" t="str">
        <f t="shared" si="90"/>
        <v>是</v>
      </c>
      <c r="AB778" t="s">
        <v>148</v>
      </c>
      <c r="AC778" t="e">
        <f>VLOOKUP(C778,[1]Sheet1!$C:$O,13,FALSE)</f>
        <v>#N/A</v>
      </c>
      <c r="AD778" t="str">
        <f>VLOOKUP($H778,'[3]0509人员排班情况 副本'!$G:$U,12,FALSE)</f>
        <v>肖芦莉Lily (Luli Xiao)</v>
      </c>
      <c r="AE778" t="str">
        <f>VLOOKUP($H778,'[3]0509人员排班情况 副本'!$G:$U,13,FALSE)</f>
        <v>张骥Ji Zhang (Ji Zhang)</v>
      </c>
      <c r="AF778" t="str">
        <f>VLOOKUP($H778,'[3]0509人员排班情况 副本'!$G:$U,14,FALSE)</f>
        <v>何琼joan(Qiong He)</v>
      </c>
      <c r="AG778">
        <f>VLOOKUP($H778,'[3]0509人员排班情况 副本'!$G:$U,15,FALSE)</f>
        <v>0</v>
      </c>
    </row>
    <row r="779" customHeight="1" spans="1:33">
      <c r="A779" t="s">
        <v>202</v>
      </c>
      <c r="B779" t="s">
        <v>2380</v>
      </c>
      <c r="C779" t="s">
        <v>2381</v>
      </c>
      <c r="D779" t="s">
        <v>8</v>
      </c>
      <c r="E779" t="s">
        <v>1549</v>
      </c>
      <c r="F779" t="s">
        <v>148</v>
      </c>
      <c r="H779" t="str">
        <f t="shared" si="84"/>
        <v>AD 行政部美中组</v>
      </c>
      <c r="I779" t="s">
        <v>1678</v>
      </c>
      <c r="J779" t="s">
        <v>236</v>
      </c>
      <c r="K779" s="15">
        <v>0.395833333333333</v>
      </c>
      <c r="L779" s="15" t="s">
        <v>218</v>
      </c>
      <c r="M779" s="15">
        <v>0.384027777777778</v>
      </c>
      <c r="N779" t="s">
        <v>2382</v>
      </c>
      <c r="O779" s="20" t="str">
        <f t="shared" si="85"/>
        <v>正确</v>
      </c>
      <c r="P779" s="21">
        <v>0</v>
      </c>
      <c r="Q779" s="21">
        <v>9.12</v>
      </c>
      <c r="R779" s="21">
        <v>0</v>
      </c>
      <c r="S779" s="21">
        <f t="shared" si="86"/>
        <v>9.12</v>
      </c>
      <c r="T779" s="21">
        <f t="shared" si="87"/>
        <v>1.12</v>
      </c>
      <c r="U779" s="21" t="str">
        <f t="shared" si="88"/>
        <v>是</v>
      </c>
      <c r="V779" s="21">
        <f>VLOOKUP($C779,[4]Sheet1!$B:$AN,39,FALSE)</f>
        <v>18.45</v>
      </c>
      <c r="W779" s="21">
        <v>0</v>
      </c>
      <c r="X779" s="23">
        <v>4</v>
      </c>
      <c r="Y779" s="23">
        <v>4</v>
      </c>
      <c r="Z779" s="25">
        <f t="shared" si="89"/>
        <v>0</v>
      </c>
      <c r="AA779" s="25" t="str">
        <f t="shared" si="90"/>
        <v>是</v>
      </c>
      <c r="AB779" t="s">
        <v>148</v>
      </c>
      <c r="AC779" t="e">
        <f>VLOOKUP(C779,[1]Sheet1!$C:$O,13,FALSE)</f>
        <v>#N/A</v>
      </c>
      <c r="AD779" t="str">
        <f>VLOOKUP($H779,'[3]0509人员排班情况 副本'!$G:$U,12,FALSE)</f>
        <v>袁博闻(Bowen Yuan)</v>
      </c>
      <c r="AE779">
        <f>VLOOKUP($H779,'[3]0509人员排班情况 副本'!$G:$U,13,FALSE)</f>
        <v>0</v>
      </c>
      <c r="AF779">
        <f>VLOOKUP($H779,'[3]0509人员排班情况 副本'!$G:$U,14,FALSE)</f>
        <v>0</v>
      </c>
      <c r="AG779">
        <f>VLOOKUP($H779,'[3]0509人员排班情况 副本'!$G:$U,15,FALSE)</f>
        <v>0</v>
      </c>
    </row>
    <row r="780" customHeight="1" spans="1:33">
      <c r="A780" t="s">
        <v>202</v>
      </c>
      <c r="B780" t="s">
        <v>2383</v>
      </c>
      <c r="C780" t="s">
        <v>2384</v>
      </c>
      <c r="D780" t="s">
        <v>92</v>
      </c>
      <c r="E780" t="s">
        <v>93</v>
      </c>
      <c r="F780" t="s">
        <v>2208</v>
      </c>
      <c r="H780" t="str">
        <f t="shared" si="84"/>
        <v>TX 德州大区CT 中德州片区SAT01</v>
      </c>
      <c r="I780" t="s">
        <v>177</v>
      </c>
      <c r="J780" t="s">
        <v>217</v>
      </c>
      <c r="K780" s="15">
        <v>0.395833333333333</v>
      </c>
      <c r="L780" s="15" t="s">
        <v>218</v>
      </c>
      <c r="M780" s="15"/>
      <c r="N780" t="s">
        <v>148</v>
      </c>
      <c r="O780" s="20" t="s">
        <v>116</v>
      </c>
      <c r="P780" s="21">
        <v>0</v>
      </c>
      <c r="Q780" s="21">
        <v>0</v>
      </c>
      <c r="R780" s="21">
        <v>0</v>
      </c>
      <c r="S780" s="21">
        <f t="shared" si="86"/>
        <v>0</v>
      </c>
      <c r="T780" s="21">
        <f t="shared" si="87"/>
        <v>0</v>
      </c>
      <c r="U780" s="21" t="str">
        <f t="shared" si="88"/>
        <v>否</v>
      </c>
      <c r="V780" s="21">
        <f>VLOOKUP($C780,[4]Sheet1!$B:$AN,39,FALSE)</f>
        <v>7.2</v>
      </c>
      <c r="W780" s="21">
        <v>0</v>
      </c>
      <c r="X780" s="23">
        <v>0</v>
      </c>
      <c r="Y780" s="23">
        <v>0</v>
      </c>
      <c r="Z780" s="25">
        <f t="shared" si="89"/>
        <v>0</v>
      </c>
      <c r="AA780" s="25" t="str">
        <f t="shared" si="90"/>
        <v>是</v>
      </c>
      <c r="AB780" t="s">
        <v>148</v>
      </c>
      <c r="AC780" t="e">
        <f>VLOOKUP(C780,[1]Sheet1!$C:$O,13,FALSE)</f>
        <v>#N/A</v>
      </c>
      <c r="AD780" t="str">
        <f>VLOOKUP($H780,'[3]0509人员排班情况 副本'!$G:$U,12,FALSE)</f>
        <v>肖芦莉Lily (Luli Xiao)</v>
      </c>
      <c r="AE780" t="str">
        <f>VLOOKUP($H780,'[3]0509人员排班情况 副本'!$G:$U,13,FALSE)</f>
        <v>张骥Ji Zhang (Ji Zhang)</v>
      </c>
      <c r="AF780" t="str">
        <f>VLOOKUP($H780,'[3]0509人员排班情况 副本'!$G:$U,14,FALSE)</f>
        <v>陈潇剑Echo(Xiaojian Chen)</v>
      </c>
      <c r="AG780">
        <f>VLOOKUP($H780,'[3]0509人员排班情况 副本'!$G:$U,15,FALSE)</f>
        <v>0</v>
      </c>
    </row>
    <row r="781" customHeight="1" spans="1:33">
      <c r="A781" t="s">
        <v>202</v>
      </c>
      <c r="B781" t="s">
        <v>2385</v>
      </c>
      <c r="C781" t="s">
        <v>2386</v>
      </c>
      <c r="D781" t="s">
        <v>15</v>
      </c>
      <c r="E781" t="s">
        <v>22</v>
      </c>
      <c r="F781" t="s">
        <v>811</v>
      </c>
      <c r="H781" t="str">
        <f t="shared" si="84"/>
        <v>FL 佛州大区NF 北佛片区JAX01</v>
      </c>
      <c r="I781" t="s">
        <v>177</v>
      </c>
      <c r="J781" t="s">
        <v>221</v>
      </c>
      <c r="K781" s="15">
        <v>0.208333333333333</v>
      </c>
      <c r="L781" s="15" t="s">
        <v>222</v>
      </c>
      <c r="M781" s="15">
        <v>0.220138888888889</v>
      </c>
      <c r="N781" t="s">
        <v>507</v>
      </c>
      <c r="O781" s="20" t="str">
        <f t="shared" si="85"/>
        <v>正确</v>
      </c>
      <c r="P781" s="21">
        <v>0</v>
      </c>
      <c r="Q781" s="21">
        <v>7.23</v>
      </c>
      <c r="R781" s="21">
        <v>0</v>
      </c>
      <c r="S781" s="21">
        <f t="shared" si="86"/>
        <v>7.23</v>
      </c>
      <c r="T781" s="21">
        <f t="shared" si="87"/>
        <v>0</v>
      </c>
      <c r="U781" s="21" t="str">
        <f t="shared" si="88"/>
        <v>否</v>
      </c>
      <c r="V781" s="21">
        <f>VLOOKUP($C781,[4]Sheet1!$B:$AN,39,FALSE)</f>
        <v>16.23</v>
      </c>
      <c r="W781" s="21">
        <v>0</v>
      </c>
      <c r="X781" s="23">
        <v>4</v>
      </c>
      <c r="Y781" s="23">
        <v>4</v>
      </c>
      <c r="Z781" s="25">
        <f t="shared" si="89"/>
        <v>0</v>
      </c>
      <c r="AA781" s="25" t="str">
        <f t="shared" si="90"/>
        <v>是</v>
      </c>
      <c r="AB781" t="s">
        <v>148</v>
      </c>
      <c r="AC781" t="e">
        <f>VLOOKUP(C781,[1]Sheet1!$C:$O,13,FALSE)</f>
        <v>#N/A</v>
      </c>
      <c r="AD781" t="str">
        <f>VLOOKUP($H781,'[3]0509人员排班情况 副本'!$G:$U,12,FALSE)</f>
        <v>Natalia (Natalia Padilla),孙婕 Jasmine（Sunjie）</v>
      </c>
      <c r="AE781" t="str">
        <f>VLOOKUP($H781,'[3]0509人员排班情况 副本'!$G:$U,13,FALSE)</f>
        <v>贺子强Jeff (Ziqiang He)</v>
      </c>
      <c r="AF781" t="str">
        <f>VLOOKUP($H781,'[3]0509人员排班情况 副本'!$G:$U,14,FALSE)</f>
        <v>黄燕娜 Nana (Yanna Huang)</v>
      </c>
      <c r="AG781">
        <f>VLOOKUP($H781,'[3]0509人员排班情况 副本'!$G:$U,15,FALSE)</f>
        <v>0</v>
      </c>
    </row>
    <row r="782" customHeight="1" spans="1:33">
      <c r="A782" t="s">
        <v>202</v>
      </c>
      <c r="B782" t="s">
        <v>2387</v>
      </c>
      <c r="C782" t="s">
        <v>2388</v>
      </c>
      <c r="D782" t="s">
        <v>15</v>
      </c>
      <c r="E782" t="s">
        <v>20</v>
      </c>
      <c r="F782" t="s">
        <v>166</v>
      </c>
      <c r="G782" t="s">
        <v>112</v>
      </c>
      <c r="H782" t="str">
        <f t="shared" si="84"/>
        <v>FL 佛州大区MIA.H综办组</v>
      </c>
      <c r="I782" t="s">
        <v>1284</v>
      </c>
      <c r="J782" t="s">
        <v>295</v>
      </c>
      <c r="K782" s="15">
        <v>0.375</v>
      </c>
      <c r="L782" s="15" t="s">
        <v>296</v>
      </c>
      <c r="M782" s="15">
        <v>0.354166666666667</v>
      </c>
      <c r="N782" t="s">
        <v>699</v>
      </c>
      <c r="O782" s="20" t="str">
        <f t="shared" si="85"/>
        <v>正确</v>
      </c>
      <c r="P782" s="21">
        <v>0</v>
      </c>
      <c r="Q782" s="21">
        <v>9.02</v>
      </c>
      <c r="R782" s="21">
        <v>0</v>
      </c>
      <c r="S782" s="21">
        <f t="shared" si="86"/>
        <v>9.02</v>
      </c>
      <c r="T782" s="21">
        <f t="shared" si="87"/>
        <v>1.02</v>
      </c>
      <c r="U782" s="21" t="str">
        <f t="shared" si="88"/>
        <v>是</v>
      </c>
      <c r="V782" s="21">
        <f>VLOOKUP($C782,[4]Sheet1!$B:$AN,39,FALSE)</f>
        <v>17.9</v>
      </c>
      <c r="W782" s="21">
        <v>0</v>
      </c>
      <c r="X782" s="23">
        <v>2</v>
      </c>
      <c r="Y782" s="23">
        <v>4</v>
      </c>
      <c r="Z782" s="25">
        <f t="shared" si="89"/>
        <v>2</v>
      </c>
      <c r="AA782" s="25" t="str">
        <f t="shared" si="90"/>
        <v>是</v>
      </c>
      <c r="AB782" t="s">
        <v>148</v>
      </c>
      <c r="AC782" t="e">
        <f>VLOOKUP(C782,[1]Sheet1!$C:$O,13,FALSE)</f>
        <v>#N/A</v>
      </c>
      <c r="AD782" t="str">
        <f>VLOOKUP($H782,'[3]0509人员排班情况 副本'!$G:$U,12,FALSE)</f>
        <v>Natalia (Natalia Padilla),孙婕 Jasmine（Sunjie）</v>
      </c>
      <c r="AE782" t="str">
        <f>VLOOKUP($H782,'[3]0509人员排班情况 副本'!$G:$U,13,FALSE)</f>
        <v>贺子强Jeff (Ziqiang He)</v>
      </c>
      <c r="AF782" t="str">
        <f>VLOOKUP($H782,'[3]0509人员排班情况 副本'!$G:$U,14,FALSE)</f>
        <v>Minqing (Minqing Xu),罗煜雄 Mike (Yuxiong Luo)</v>
      </c>
      <c r="AG782">
        <f>VLOOKUP($H782,'[3]0509人员排班情况 副本'!$G:$U,15,FALSE)</f>
        <v>0</v>
      </c>
    </row>
    <row r="783" customHeight="1" spans="1:33">
      <c r="A783" t="s">
        <v>202</v>
      </c>
      <c r="B783" t="s">
        <v>2389</v>
      </c>
      <c r="C783" t="s">
        <v>2390</v>
      </c>
      <c r="D783" t="s">
        <v>92</v>
      </c>
      <c r="E783" t="s">
        <v>45</v>
      </c>
      <c r="F783" t="s">
        <v>148</v>
      </c>
      <c r="H783" t="str">
        <f t="shared" si="84"/>
        <v>TX 德州大区揽收部</v>
      </c>
      <c r="I783" t="s">
        <v>928</v>
      </c>
      <c r="J783" t="s">
        <v>347</v>
      </c>
      <c r="K783" s="15">
        <v>0.541666666666667</v>
      </c>
      <c r="L783" s="15" t="s">
        <v>348</v>
      </c>
      <c r="M783" s="15">
        <v>0.559027777777778</v>
      </c>
      <c r="N783" t="s">
        <v>1724</v>
      </c>
      <c r="O783" s="20" t="str">
        <f t="shared" si="85"/>
        <v>正确</v>
      </c>
      <c r="P783" s="21">
        <v>0</v>
      </c>
      <c r="Q783" s="21">
        <v>7.78</v>
      </c>
      <c r="R783" s="21">
        <v>0</v>
      </c>
      <c r="S783" s="21">
        <f t="shared" si="86"/>
        <v>7.78</v>
      </c>
      <c r="T783" s="21">
        <f t="shared" si="87"/>
        <v>0</v>
      </c>
      <c r="U783" s="21" t="str">
        <f t="shared" si="88"/>
        <v>否</v>
      </c>
      <c r="V783" s="21">
        <f>VLOOKUP($C783,[4]Sheet1!$B:$AN,39,FALSE)</f>
        <v>15.43</v>
      </c>
      <c r="W783" s="21">
        <v>0</v>
      </c>
      <c r="X783" s="23">
        <v>4</v>
      </c>
      <c r="Y783" s="23">
        <v>4</v>
      </c>
      <c r="Z783" s="25">
        <f t="shared" si="89"/>
        <v>0</v>
      </c>
      <c r="AA783" s="25" t="str">
        <f t="shared" si="90"/>
        <v>是</v>
      </c>
      <c r="AB783" t="s">
        <v>148</v>
      </c>
      <c r="AC783" t="e">
        <f>VLOOKUP(C783,[1]Sheet1!$C:$O,13,FALSE)</f>
        <v>#N/A</v>
      </c>
      <c r="AD783" t="str">
        <f>VLOOKUP($H783,'[3]0509人员排班情况 副本'!$G:$U,12,FALSE)</f>
        <v>肖芦莉Lily (Luli Xiao)</v>
      </c>
      <c r="AE783" t="str">
        <f>VLOOKUP($H783,'[3]0509人员排班情况 副本'!$G:$U,13,FALSE)</f>
        <v>张骥Ji Zhang (Ji Zhang)</v>
      </c>
      <c r="AF783">
        <f>VLOOKUP($H783,'[3]0509人员排班情况 副本'!$G:$U,14,FALSE)</f>
        <v>0</v>
      </c>
      <c r="AG783">
        <f>VLOOKUP($H783,'[3]0509人员排班情况 副本'!$G:$U,15,FALSE)</f>
        <v>0</v>
      </c>
    </row>
    <row r="784" customHeight="1" spans="1:33">
      <c r="A784" t="s">
        <v>202</v>
      </c>
      <c r="B784" t="s">
        <v>2391</v>
      </c>
      <c r="C784" t="s">
        <v>2392</v>
      </c>
      <c r="D784" t="s">
        <v>100</v>
      </c>
      <c r="E784" t="s">
        <v>103</v>
      </c>
      <c r="F784" t="s">
        <v>166</v>
      </c>
      <c r="G784" t="s">
        <v>112</v>
      </c>
      <c r="H784" t="str">
        <f t="shared" si="84"/>
        <v>WE 美西大区LAV.H综办组</v>
      </c>
      <c r="I784" t="s">
        <v>1284</v>
      </c>
      <c r="J784" t="s">
        <v>295</v>
      </c>
      <c r="K784" s="15">
        <v>0.375</v>
      </c>
      <c r="L784" s="15" t="s">
        <v>296</v>
      </c>
      <c r="M784" s="15">
        <v>0.3875</v>
      </c>
      <c r="N784" t="s">
        <v>2393</v>
      </c>
      <c r="O784" s="20" t="str">
        <f t="shared" si="85"/>
        <v>正确</v>
      </c>
      <c r="P784" s="21">
        <v>0</v>
      </c>
      <c r="Q784" s="21">
        <v>8</v>
      </c>
      <c r="R784" s="21">
        <v>0</v>
      </c>
      <c r="S784" s="21">
        <f t="shared" si="86"/>
        <v>8</v>
      </c>
      <c r="T784" s="21">
        <f t="shared" si="87"/>
        <v>0</v>
      </c>
      <c r="U784" s="21" t="str">
        <f t="shared" si="88"/>
        <v>否</v>
      </c>
      <c r="V784" s="21">
        <f>VLOOKUP($C784,[4]Sheet1!$B:$AN,39,FALSE)</f>
        <v>8</v>
      </c>
      <c r="W784" s="21">
        <v>0</v>
      </c>
      <c r="X784" s="23">
        <v>4</v>
      </c>
      <c r="Y784" s="23">
        <v>4</v>
      </c>
      <c r="Z784" s="25">
        <f t="shared" si="89"/>
        <v>0</v>
      </c>
      <c r="AA784" s="25" t="str">
        <f t="shared" si="90"/>
        <v>是</v>
      </c>
      <c r="AB784" t="s">
        <v>148</v>
      </c>
      <c r="AC784" t="e">
        <f>VLOOKUP(C784,[1]Sheet1!$C:$O,13,FALSE)</f>
        <v>#N/A</v>
      </c>
      <c r="AD784" t="str">
        <f>VLOOKUP($H784,'[3]0509人员排班情况 副本'!$G:$U,12,FALSE)</f>
        <v>王骞Ariel（Qian Wang）,叶秀芳Freya (Xiufang Ye)</v>
      </c>
      <c r="AE784" t="str">
        <f>VLOOKUP($H784,'[3]0509人员排班情况 副本'!$G:$U,13,FALSE)</f>
        <v>常哲</v>
      </c>
      <c r="AF784" t="str">
        <f>VLOOKUP($H784,'[3]0509人员排班情况 副本'!$G:$U,14,FALSE)</f>
        <v>Minqing (Minqing Xu),罗煜雄 Mike (Yuxiong Luo)</v>
      </c>
      <c r="AG784">
        <f>VLOOKUP($H784,'[3]0509人员排班情况 副本'!$G:$U,15,FALSE)</f>
        <v>0</v>
      </c>
    </row>
    <row r="785" customHeight="1" spans="1:33">
      <c r="A785" t="s">
        <v>202</v>
      </c>
      <c r="B785" t="s">
        <v>2394</v>
      </c>
      <c r="C785" t="s">
        <v>2395</v>
      </c>
      <c r="D785" t="s">
        <v>48</v>
      </c>
      <c r="E785" t="s">
        <v>49</v>
      </c>
      <c r="F785" t="s">
        <v>148</v>
      </c>
      <c r="H785" t="str">
        <f t="shared" si="84"/>
        <v>Ground项目部OG 美东区</v>
      </c>
      <c r="I785" t="s">
        <v>2396</v>
      </c>
      <c r="J785" t="s">
        <v>236</v>
      </c>
      <c r="K785" s="15">
        <v>0.395833333333333</v>
      </c>
      <c r="L785" s="15" t="s">
        <v>218</v>
      </c>
      <c r="M785" s="15">
        <v>0.4</v>
      </c>
      <c r="N785" t="s">
        <v>1216</v>
      </c>
      <c r="O785" s="20" t="str">
        <f t="shared" si="85"/>
        <v>正确</v>
      </c>
      <c r="P785" s="21">
        <v>0</v>
      </c>
      <c r="Q785" s="21">
        <v>8.2</v>
      </c>
      <c r="R785" s="21">
        <v>0</v>
      </c>
      <c r="S785" s="21">
        <f t="shared" si="86"/>
        <v>8.2</v>
      </c>
      <c r="T785" s="21">
        <f t="shared" si="87"/>
        <v>0.199999999999999</v>
      </c>
      <c r="U785" s="21" t="str">
        <f t="shared" si="88"/>
        <v>是</v>
      </c>
      <c r="V785" s="21">
        <f>VLOOKUP($C785,[4]Sheet1!$B:$AN,39,FALSE)</f>
        <v>16.95</v>
      </c>
      <c r="W785" s="21">
        <v>0</v>
      </c>
      <c r="X785" s="23">
        <v>2</v>
      </c>
      <c r="Y785" s="23">
        <v>4</v>
      </c>
      <c r="Z785" s="25">
        <f t="shared" si="89"/>
        <v>2</v>
      </c>
      <c r="AA785" s="25" t="str">
        <f t="shared" si="90"/>
        <v>是</v>
      </c>
      <c r="AB785" t="s">
        <v>148</v>
      </c>
      <c r="AC785" t="e">
        <f>VLOOKUP(C785,[1]Sheet1!$C:$O,13,FALSE)</f>
        <v>#N/A</v>
      </c>
      <c r="AD785" t="str">
        <f>VLOOKUP($H785,'[3]0509人员排班情况 副本'!$G:$U,12,FALSE)</f>
        <v>王安琪 (Anqi Wang),张朱同 Thomson（Zhutong Zhang）</v>
      </c>
      <c r="AE785" t="str">
        <f>VLOOKUP($H785,'[3]0509人员排班情况 副本'!$G:$U,13,FALSE)</f>
        <v>陈锦昭</v>
      </c>
      <c r="AF785">
        <f>VLOOKUP($H785,'[3]0509人员排班情况 副本'!$G:$U,14,FALSE)</f>
        <v>0</v>
      </c>
      <c r="AG785">
        <f>VLOOKUP($H785,'[3]0509人员排班情况 副本'!$G:$U,15,FALSE)</f>
        <v>0</v>
      </c>
    </row>
    <row r="786" customHeight="1" spans="1:33">
      <c r="A786" t="s">
        <v>202</v>
      </c>
      <c r="B786" t="s">
        <v>2397</v>
      </c>
      <c r="C786" t="s">
        <v>2398</v>
      </c>
      <c r="D786" t="s">
        <v>58</v>
      </c>
      <c r="E786" t="s">
        <v>61</v>
      </c>
      <c r="F786" t="s">
        <v>243</v>
      </c>
      <c r="G786" t="s">
        <v>112</v>
      </c>
      <c r="H786" t="str">
        <f t="shared" si="84"/>
        <v>MS 中南大区ATL.H调度组</v>
      </c>
      <c r="I786" t="s">
        <v>244</v>
      </c>
      <c r="J786" t="s">
        <v>282</v>
      </c>
      <c r="K786" s="15">
        <v>0.416666666666667</v>
      </c>
      <c r="L786" s="15" t="s">
        <v>283</v>
      </c>
      <c r="M786" s="15">
        <v>0.403472222222222</v>
      </c>
      <c r="N786" t="s">
        <v>402</v>
      </c>
      <c r="O786" s="20" t="str">
        <f t="shared" si="85"/>
        <v>正确</v>
      </c>
      <c r="P786" s="21">
        <v>0</v>
      </c>
      <c r="Q786" s="21">
        <v>12.35</v>
      </c>
      <c r="R786" s="21">
        <v>0</v>
      </c>
      <c r="S786" s="21">
        <f t="shared" si="86"/>
        <v>12.35</v>
      </c>
      <c r="T786" s="21">
        <f t="shared" si="87"/>
        <v>4.35</v>
      </c>
      <c r="U786" s="21" t="str">
        <f t="shared" si="88"/>
        <v>是</v>
      </c>
      <c r="V786" s="21">
        <f>VLOOKUP($C786,[4]Sheet1!$B:$AN,39,FALSE)</f>
        <v>25</v>
      </c>
      <c r="W786" s="21">
        <v>0</v>
      </c>
      <c r="X786" s="23">
        <v>2</v>
      </c>
      <c r="Y786" s="23">
        <v>4</v>
      </c>
      <c r="Z786" s="25">
        <f t="shared" si="89"/>
        <v>2</v>
      </c>
      <c r="AA786" s="25" t="str">
        <f t="shared" si="90"/>
        <v>是</v>
      </c>
      <c r="AB786" t="s">
        <v>148</v>
      </c>
      <c r="AC786" t="e">
        <f>VLOOKUP(C786,[1]Sheet1!$C:$O,13,FALSE)</f>
        <v>#N/A</v>
      </c>
      <c r="AD786" t="str">
        <f>VLOOKUP($H786,'[3]0509人员排班情况 副本'!$G:$U,12,FALSE)</f>
        <v>欧阳迎春Flower（Yingchun Ouyang）</v>
      </c>
      <c r="AE786" t="str">
        <f>VLOOKUP($H786,'[3]0509人员排班情况 副本'!$G:$U,13,FALSE)</f>
        <v>杨云飞</v>
      </c>
      <c r="AF786" t="str">
        <f>VLOOKUP($H786,'[3]0509人员排班情况 副本'!$G:$U,14,FALSE)</f>
        <v>Minqing (Minqing Xu),罗煜雄 Mike (Yuxiong Luo),明杰麟Jennie (Jielin Ming)</v>
      </c>
      <c r="AG786" t="str">
        <f>VLOOKUP($H786,'[3]0509人员排班情况 副本'!$G:$U,15,FALSE)</f>
        <v>文艳平</v>
      </c>
    </row>
    <row r="787" customHeight="1" spans="1:33">
      <c r="A787" t="s">
        <v>202</v>
      </c>
      <c r="B787" t="s">
        <v>2399</v>
      </c>
      <c r="C787" t="s">
        <v>2400</v>
      </c>
      <c r="D787" t="s">
        <v>48</v>
      </c>
      <c r="E787" t="s">
        <v>51</v>
      </c>
      <c r="F787" t="s">
        <v>1147</v>
      </c>
      <c r="H787" t="str">
        <f t="shared" si="84"/>
        <v>Ground项目部OG 美西区SD921</v>
      </c>
      <c r="I787" t="s">
        <v>177</v>
      </c>
      <c r="J787" t="s">
        <v>229</v>
      </c>
      <c r="K787" s="15">
        <v>0.270833333333333</v>
      </c>
      <c r="L787" s="15" t="s">
        <v>230</v>
      </c>
      <c r="M787" s="15">
        <v>0.263194444444444</v>
      </c>
      <c r="N787" t="s">
        <v>2401</v>
      </c>
      <c r="O787" s="20" t="str">
        <f t="shared" si="85"/>
        <v>正确</v>
      </c>
      <c r="P787" s="21">
        <v>0</v>
      </c>
      <c r="Q787" s="21">
        <v>8.52</v>
      </c>
      <c r="R787" s="21">
        <v>0</v>
      </c>
      <c r="S787" s="21">
        <f t="shared" si="86"/>
        <v>8.52</v>
      </c>
      <c r="T787" s="21">
        <f t="shared" si="87"/>
        <v>0.52</v>
      </c>
      <c r="U787" s="21" t="str">
        <f t="shared" si="88"/>
        <v>是</v>
      </c>
      <c r="V787" s="21">
        <f>VLOOKUP($C787,[4]Sheet1!$B:$AN,39,FALSE)</f>
        <v>17</v>
      </c>
      <c r="W787" s="21">
        <v>0</v>
      </c>
      <c r="X787" s="23">
        <v>4</v>
      </c>
      <c r="Y787" s="23">
        <v>4</v>
      </c>
      <c r="Z787" s="25">
        <f t="shared" si="89"/>
        <v>0</v>
      </c>
      <c r="AA787" s="25" t="str">
        <f t="shared" si="90"/>
        <v>是</v>
      </c>
      <c r="AB787" t="s">
        <v>148</v>
      </c>
      <c r="AC787" t="e">
        <f>VLOOKUP(C787,[1]Sheet1!$C:$O,13,FALSE)</f>
        <v>#N/A</v>
      </c>
      <c r="AD787" t="str">
        <f>VLOOKUP($H787,'[3]0509人员排班情况 副本'!$G:$U,12,FALSE)</f>
        <v>王安琪 (Anqi Wang),张朱同 Thomson（Zhutong Zhang）</v>
      </c>
      <c r="AE787" t="str">
        <f>VLOOKUP($H787,'[3]0509人员排班情况 副本'!$G:$U,13,FALSE)</f>
        <v>陈锦昭</v>
      </c>
      <c r="AF787" t="str">
        <f>VLOOKUP($H787,'[3]0509人员排班情况 副本'!$G:$U,14,FALSE)</f>
        <v>宋佳牧 Dorian (Jiamu Song)</v>
      </c>
      <c r="AG787">
        <f>VLOOKUP($H787,'[3]0509人员排班情况 副本'!$G:$U,15,FALSE)</f>
        <v>0</v>
      </c>
    </row>
    <row r="788" customHeight="1" spans="1:33">
      <c r="A788" t="s">
        <v>202</v>
      </c>
      <c r="B788" t="s">
        <v>2402</v>
      </c>
      <c r="C788" t="s">
        <v>2403</v>
      </c>
      <c r="D788" t="s">
        <v>48</v>
      </c>
      <c r="E788" t="s">
        <v>51</v>
      </c>
      <c r="F788" t="s">
        <v>1040</v>
      </c>
      <c r="H788" t="str">
        <f t="shared" si="84"/>
        <v>Ground项目部OG 美西区PX850</v>
      </c>
      <c r="I788" t="s">
        <v>177</v>
      </c>
      <c r="J788" t="s">
        <v>217</v>
      </c>
      <c r="K788" s="15">
        <v>0.395833333333333</v>
      </c>
      <c r="L788" s="15" t="s">
        <v>218</v>
      </c>
      <c r="M788" s="15"/>
      <c r="N788" t="s">
        <v>148</v>
      </c>
      <c r="O788" s="20" t="s">
        <v>116</v>
      </c>
      <c r="P788" s="21">
        <v>0</v>
      </c>
      <c r="Q788" s="21">
        <v>0</v>
      </c>
      <c r="R788" s="21">
        <v>0</v>
      </c>
      <c r="S788" s="21">
        <f t="shared" si="86"/>
        <v>0</v>
      </c>
      <c r="T788" s="21">
        <f t="shared" si="87"/>
        <v>0</v>
      </c>
      <c r="U788" s="21" t="str">
        <f t="shared" si="88"/>
        <v>否</v>
      </c>
      <c r="V788" s="21">
        <f>VLOOKUP($C788,[4]Sheet1!$B:$AN,39,FALSE)</f>
        <v>0</v>
      </c>
      <c r="W788" s="21">
        <v>0</v>
      </c>
      <c r="X788" s="23">
        <v>0</v>
      </c>
      <c r="Y788" s="23">
        <v>0</v>
      </c>
      <c r="Z788" s="25">
        <f t="shared" si="89"/>
        <v>0</v>
      </c>
      <c r="AA788" s="25" t="str">
        <f t="shared" si="90"/>
        <v>是</v>
      </c>
      <c r="AB788" t="s">
        <v>148</v>
      </c>
      <c r="AC788" t="e">
        <f>VLOOKUP(C788,[1]Sheet1!$C:$O,13,FALSE)</f>
        <v>#N/A</v>
      </c>
      <c r="AD788" t="str">
        <f>VLOOKUP($H788,'[3]0509人员排班情况 副本'!$G:$U,12,FALSE)</f>
        <v>王安琪 (Anqi Wang),张朱同 Thomson（Zhutong Zhang）</v>
      </c>
      <c r="AE788" t="str">
        <f>VLOOKUP($H788,'[3]0509人员排班情况 副本'!$G:$U,13,FALSE)</f>
        <v>陈锦昭</v>
      </c>
      <c r="AF788" t="str">
        <f>VLOOKUP($H788,'[3]0509人员排班情况 副本'!$G:$U,14,FALSE)</f>
        <v>宋佳牧 Dorian (Jiamu Song)</v>
      </c>
      <c r="AG788">
        <f>VLOOKUP($H788,'[3]0509人员排班情况 副本'!$G:$U,15,FALSE)</f>
        <v>0</v>
      </c>
    </row>
    <row r="789" customHeight="1" spans="1:33">
      <c r="A789" t="s">
        <v>202</v>
      </c>
      <c r="B789" t="s">
        <v>2404</v>
      </c>
      <c r="C789" t="s">
        <v>2405</v>
      </c>
      <c r="D789" t="s">
        <v>100</v>
      </c>
      <c r="E789" t="s">
        <v>105</v>
      </c>
      <c r="F789" t="s">
        <v>148</v>
      </c>
      <c r="H789" t="str">
        <f t="shared" si="84"/>
        <v>WE 美西大区NC 北加片区</v>
      </c>
      <c r="I789" t="s">
        <v>682</v>
      </c>
      <c r="J789" t="s">
        <v>295</v>
      </c>
      <c r="K789" s="15">
        <v>0.375</v>
      </c>
      <c r="L789" s="15" t="s">
        <v>296</v>
      </c>
      <c r="M789" s="15"/>
      <c r="N789" t="s">
        <v>148</v>
      </c>
      <c r="O789" s="20" t="str">
        <f t="shared" si="85"/>
        <v>不正确</v>
      </c>
      <c r="P789" s="21">
        <v>0</v>
      </c>
      <c r="Q789" s="21">
        <v>0</v>
      </c>
      <c r="R789" s="21">
        <v>0</v>
      </c>
      <c r="S789" s="21">
        <f t="shared" si="86"/>
        <v>0</v>
      </c>
      <c r="T789" s="21">
        <f t="shared" si="87"/>
        <v>0</v>
      </c>
      <c r="U789" s="21" t="str">
        <f t="shared" si="88"/>
        <v>否</v>
      </c>
      <c r="V789" s="21">
        <f>VLOOKUP($C789,[4]Sheet1!$B:$AN,39,FALSE)</f>
        <v>0</v>
      </c>
      <c r="W789" s="21">
        <v>0</v>
      </c>
      <c r="X789" s="23">
        <v>0</v>
      </c>
      <c r="Y789" s="23">
        <v>4</v>
      </c>
      <c r="Z789" s="25">
        <f t="shared" si="89"/>
        <v>4</v>
      </c>
      <c r="AA789" s="25" t="str">
        <f t="shared" si="90"/>
        <v>是</v>
      </c>
      <c r="AB789" t="s">
        <v>148</v>
      </c>
      <c r="AC789" t="e">
        <f>VLOOKUP(C789,[1]Sheet1!$C:$O,13,FALSE)</f>
        <v>#N/A</v>
      </c>
      <c r="AD789" t="str">
        <f>VLOOKUP($H789,'[3]0509人员排班情况 副本'!$G:$U,12,FALSE)</f>
        <v>王骞Ariel（Qian Wang）,叶秀芳Freya (Xiufang Ye)</v>
      </c>
      <c r="AE789" t="str">
        <f>VLOOKUP($H789,'[3]0509人员排班情况 副本'!$G:$U,13,FALSE)</f>
        <v>常哲</v>
      </c>
      <c r="AF789">
        <f>VLOOKUP($H789,'[3]0509人员排班情况 副本'!$G:$U,14,FALSE)</f>
        <v>0</v>
      </c>
      <c r="AG789">
        <f>VLOOKUP($H789,'[3]0509人员排班情况 副本'!$G:$U,15,FALSE)</f>
        <v>0</v>
      </c>
    </row>
    <row r="790" customHeight="1" spans="1:33">
      <c r="A790" t="s">
        <v>202</v>
      </c>
      <c r="B790" t="s">
        <v>2406</v>
      </c>
      <c r="C790" t="s">
        <v>2407</v>
      </c>
      <c r="D790" t="s">
        <v>100</v>
      </c>
      <c r="E790" t="s">
        <v>106</v>
      </c>
      <c r="F790" t="s">
        <v>1835</v>
      </c>
      <c r="H790" t="str">
        <f t="shared" si="84"/>
        <v>WE 美西大区SC 南加片区LAS01</v>
      </c>
      <c r="I790" t="s">
        <v>156</v>
      </c>
      <c r="J790" t="s">
        <v>221</v>
      </c>
      <c r="K790" s="15">
        <v>0.208333333333333</v>
      </c>
      <c r="L790" s="15" t="s">
        <v>222</v>
      </c>
      <c r="M790" s="15">
        <v>0.220833333333333</v>
      </c>
      <c r="N790" t="s">
        <v>148</v>
      </c>
      <c r="O790" s="20" t="str">
        <f t="shared" si="85"/>
        <v>正确</v>
      </c>
      <c r="P790" s="21">
        <v>0</v>
      </c>
      <c r="Q790" s="21">
        <v>0</v>
      </c>
      <c r="R790" s="21">
        <v>0</v>
      </c>
      <c r="S790" s="21">
        <f t="shared" si="86"/>
        <v>0</v>
      </c>
      <c r="T790" s="21">
        <f t="shared" si="87"/>
        <v>0</v>
      </c>
      <c r="U790" s="21" t="str">
        <f t="shared" si="88"/>
        <v>否</v>
      </c>
      <c r="V790" s="21">
        <f>VLOOKUP($C790,[4]Sheet1!$B:$AN,39,FALSE)</f>
        <v>7.25</v>
      </c>
      <c r="W790" s="21">
        <v>0</v>
      </c>
      <c r="X790" s="23">
        <v>2</v>
      </c>
      <c r="Y790" s="23">
        <v>4</v>
      </c>
      <c r="Z790" s="25">
        <f t="shared" si="89"/>
        <v>2</v>
      </c>
      <c r="AA790" s="25" t="str">
        <f t="shared" si="90"/>
        <v>是</v>
      </c>
      <c r="AB790" t="s">
        <v>148</v>
      </c>
      <c r="AC790" t="e">
        <f>VLOOKUP(C790,[1]Sheet1!$C:$O,13,FALSE)</f>
        <v>#N/A</v>
      </c>
      <c r="AD790" t="str">
        <f>VLOOKUP($H790,'[3]0509人员排班情况 副本'!$G:$U,12,FALSE)</f>
        <v>王骞Ariel（Qian Wang）,叶秀芳Freya (Xiufang Ye)</v>
      </c>
      <c r="AE790" t="str">
        <f>VLOOKUP($H790,'[3]0509人员排班情况 副本'!$G:$U,13,FALSE)</f>
        <v>常哲</v>
      </c>
      <c r="AF790" t="str">
        <f>VLOOKUP($H790,'[3]0509人员排班情况 副本'!$G:$U,14,FALSE)</f>
        <v>尤梦楠Yuko（Mengnan You）</v>
      </c>
      <c r="AG790">
        <f>VLOOKUP($H790,'[3]0509人员排班情况 副本'!$G:$U,15,FALSE)</f>
        <v>0</v>
      </c>
    </row>
    <row r="791" customHeight="1" spans="1:33">
      <c r="A791" t="s">
        <v>202</v>
      </c>
      <c r="B791" t="s">
        <v>2408</v>
      </c>
      <c r="C791" t="s">
        <v>2409</v>
      </c>
      <c r="D791" t="s">
        <v>68</v>
      </c>
      <c r="E791" t="s">
        <v>75</v>
      </c>
      <c r="F791" t="s">
        <v>74</v>
      </c>
      <c r="H791" t="str">
        <f t="shared" si="84"/>
        <v>NE 东北大区DC 华盛顿片区BWI01</v>
      </c>
      <c r="I791" t="s">
        <v>177</v>
      </c>
      <c r="J791" t="s">
        <v>1119</v>
      </c>
      <c r="K791" s="15">
        <v>0.520833333333333</v>
      </c>
      <c r="L791" s="15" t="s">
        <v>1120</v>
      </c>
      <c r="M791" s="15">
        <v>0.520833333333333</v>
      </c>
      <c r="N791" t="s">
        <v>2320</v>
      </c>
      <c r="O791" s="20" t="str">
        <f t="shared" si="85"/>
        <v>正确</v>
      </c>
      <c r="P791" s="21">
        <v>0</v>
      </c>
      <c r="Q791" s="21">
        <v>8.02</v>
      </c>
      <c r="R791" s="21">
        <v>0</v>
      </c>
      <c r="S791" s="21">
        <f t="shared" si="86"/>
        <v>8.02</v>
      </c>
      <c r="T791" s="21">
        <f t="shared" si="87"/>
        <v>0.0199999999999996</v>
      </c>
      <c r="U791" s="21" t="str">
        <f t="shared" si="88"/>
        <v>是</v>
      </c>
      <c r="V791" s="21">
        <f>VLOOKUP($C791,[4]Sheet1!$B:$AN,39,FALSE)</f>
        <v>8.02</v>
      </c>
      <c r="W791" s="21">
        <v>0</v>
      </c>
      <c r="X791" s="23">
        <v>3</v>
      </c>
      <c r="Y791" s="23">
        <v>4</v>
      </c>
      <c r="Z791" s="25">
        <f t="shared" si="89"/>
        <v>1</v>
      </c>
      <c r="AA791" s="25" t="str">
        <f t="shared" si="90"/>
        <v>是</v>
      </c>
      <c r="AB791" t="s">
        <v>148</v>
      </c>
      <c r="AC791" t="e">
        <f>VLOOKUP(C791,[1]Sheet1!$C:$O,13,FALSE)</f>
        <v>#N/A</v>
      </c>
      <c r="AD791" t="str">
        <f>VLOOKUP($H791,'[3]0509人员排班情况 副本'!$G:$U,12,FALSE)</f>
        <v>孙可君Monica（Kejun Sun）</v>
      </c>
      <c r="AE791" t="str">
        <f>VLOOKUP($H791,'[3]0509人员排班情况 副本'!$G:$U,13,FALSE)</f>
        <v>马聪Cong (Cong Ma)</v>
      </c>
      <c r="AF791" t="str">
        <f>VLOOKUP($H791,'[3]0509人员排班情况 副本'!$G:$U,14,FALSE)</f>
        <v>朱晗宇 Peter (Hanyu Zhu)</v>
      </c>
      <c r="AG791">
        <f>VLOOKUP($H791,'[3]0509人员排班情况 副本'!$G:$U,15,FALSE)</f>
        <v>0</v>
      </c>
    </row>
    <row r="792" customHeight="1" spans="1:33">
      <c r="A792" t="s">
        <v>202</v>
      </c>
      <c r="B792" t="s">
        <v>2410</v>
      </c>
      <c r="C792" t="s">
        <v>2411</v>
      </c>
      <c r="D792" t="s">
        <v>68</v>
      </c>
      <c r="E792" t="s">
        <v>81</v>
      </c>
      <c r="F792" t="s">
        <v>943</v>
      </c>
      <c r="H792" t="str">
        <f t="shared" si="84"/>
        <v>NE 东北大区NY 纽约片区FRG01</v>
      </c>
      <c r="I792" t="s">
        <v>177</v>
      </c>
      <c r="J792" t="s">
        <v>221</v>
      </c>
      <c r="K792" s="15">
        <v>0.208333333333333</v>
      </c>
      <c r="L792" s="15" t="s">
        <v>222</v>
      </c>
      <c r="M792" s="15">
        <v>0.239583333333333</v>
      </c>
      <c r="N792" t="s">
        <v>2412</v>
      </c>
      <c r="O792" s="20" t="str">
        <f t="shared" si="85"/>
        <v>正确</v>
      </c>
      <c r="P792" s="21">
        <v>0</v>
      </c>
      <c r="Q792" s="21">
        <v>7.72</v>
      </c>
      <c r="R792" s="21">
        <v>0</v>
      </c>
      <c r="S792" s="21">
        <f t="shared" si="86"/>
        <v>7.72</v>
      </c>
      <c r="T792" s="21">
        <f t="shared" si="87"/>
        <v>0</v>
      </c>
      <c r="U792" s="21" t="str">
        <f t="shared" si="88"/>
        <v>否</v>
      </c>
      <c r="V792" s="21">
        <f>VLOOKUP($C792,[4]Sheet1!$B:$AN,39,FALSE)</f>
        <v>7.72</v>
      </c>
      <c r="W792" s="21">
        <v>0</v>
      </c>
      <c r="X792" s="23">
        <v>2</v>
      </c>
      <c r="Y792" s="23">
        <v>4</v>
      </c>
      <c r="Z792" s="25">
        <f t="shared" si="89"/>
        <v>2</v>
      </c>
      <c r="AA792" s="25" t="str">
        <f t="shared" si="90"/>
        <v>是</v>
      </c>
      <c r="AB792" t="s">
        <v>148</v>
      </c>
      <c r="AC792" t="e">
        <f>VLOOKUP(C792,[1]Sheet1!$C:$O,13,FALSE)</f>
        <v>#N/A</v>
      </c>
      <c r="AD792" t="str">
        <f>VLOOKUP($H792,'[3]0509人员排班情况 副本'!$G:$U,12,FALSE)</f>
        <v>孙可君Monica（Kejun Sun）</v>
      </c>
      <c r="AE792" t="str">
        <f>VLOOKUP($H792,'[3]0509人员排班情况 副本'!$G:$U,13,FALSE)</f>
        <v>马聪Cong (Cong Ma)</v>
      </c>
      <c r="AF792" t="str">
        <f>VLOOKUP($H792,'[3]0509人员排班情况 副本'!$G:$U,14,FALSE)</f>
        <v>朱晗宇 Peter (Hanyu Zhu)</v>
      </c>
      <c r="AG792">
        <f>VLOOKUP($H792,'[3]0509人员排班情况 副本'!$G:$U,15,FALSE)</f>
        <v>0</v>
      </c>
    </row>
    <row r="793" customHeight="1" spans="1:33">
      <c r="A793" t="s">
        <v>202</v>
      </c>
      <c r="B793" t="s">
        <v>2413</v>
      </c>
      <c r="C793" t="s">
        <v>2414</v>
      </c>
      <c r="D793" t="s">
        <v>100</v>
      </c>
      <c r="E793" t="s">
        <v>101</v>
      </c>
      <c r="F793" t="s">
        <v>166</v>
      </c>
      <c r="G793" t="s">
        <v>112</v>
      </c>
      <c r="H793" t="str">
        <f t="shared" si="84"/>
        <v>WE 美西大区CNO.H综办组</v>
      </c>
      <c r="I793" t="s">
        <v>167</v>
      </c>
      <c r="J793" t="s">
        <v>211</v>
      </c>
      <c r="K793" s="15">
        <v>0.333333333333333</v>
      </c>
      <c r="L793" s="15" t="s">
        <v>212</v>
      </c>
      <c r="M793" s="15">
        <v>0.327083333333333</v>
      </c>
      <c r="N793" t="s">
        <v>1080</v>
      </c>
      <c r="O793" s="20" t="str">
        <f t="shared" si="85"/>
        <v>正确</v>
      </c>
      <c r="P793" s="21">
        <v>0</v>
      </c>
      <c r="Q793" s="21">
        <v>11.25</v>
      </c>
      <c r="R793" s="21">
        <v>0</v>
      </c>
      <c r="S793" s="21">
        <f t="shared" si="86"/>
        <v>11.25</v>
      </c>
      <c r="T793" s="21">
        <f t="shared" si="87"/>
        <v>3.25</v>
      </c>
      <c r="U793" s="21" t="str">
        <f t="shared" si="88"/>
        <v>是</v>
      </c>
      <c r="V793" s="21">
        <f>VLOOKUP($C793,[4]Sheet1!$B:$AN,39,FALSE)</f>
        <v>19.87</v>
      </c>
      <c r="W793" s="21">
        <v>0</v>
      </c>
      <c r="X793" s="23">
        <v>4</v>
      </c>
      <c r="Y793" s="23">
        <v>4</v>
      </c>
      <c r="Z793" s="25">
        <f t="shared" si="89"/>
        <v>0</v>
      </c>
      <c r="AA793" s="25" t="str">
        <f t="shared" si="90"/>
        <v>是</v>
      </c>
      <c r="AB793" t="s">
        <v>148</v>
      </c>
      <c r="AC793" t="e">
        <f>VLOOKUP(C793,[1]Sheet1!$C:$O,13,FALSE)</f>
        <v>#N/A</v>
      </c>
      <c r="AD793" t="str">
        <f>VLOOKUP($H793,'[3]0509人员排班情况 副本'!$G:$U,12,FALSE)</f>
        <v>王骞Ariel（Qian Wang）,叶秀芳Freya (Xiufang Ye)</v>
      </c>
      <c r="AE793" t="str">
        <f>VLOOKUP($H793,'[3]0509人员排班情况 副本'!$G:$U,13,FALSE)</f>
        <v>常哲</v>
      </c>
      <c r="AF793" t="str">
        <f>VLOOKUP($H793,'[3]0509人员排班情况 副本'!$G:$U,14,FALSE)</f>
        <v>Minqing (Minqing Xu),罗煜雄 Mike (Yuxiong Luo)</v>
      </c>
      <c r="AG793">
        <f>VLOOKUP($H793,'[3]0509人员排班情况 副本'!$G:$U,15,FALSE)</f>
        <v>0</v>
      </c>
    </row>
    <row r="794" customHeight="1" spans="1:33">
      <c r="A794" t="s">
        <v>202</v>
      </c>
      <c r="B794" t="s">
        <v>2415</v>
      </c>
      <c r="C794" t="s">
        <v>2416</v>
      </c>
      <c r="D794" t="s">
        <v>15</v>
      </c>
      <c r="E794" t="s">
        <v>20</v>
      </c>
      <c r="F794" t="s">
        <v>243</v>
      </c>
      <c r="G794" t="s">
        <v>112</v>
      </c>
      <c r="H794" t="str">
        <f t="shared" si="84"/>
        <v>FL 佛州大区MIA.H调度组</v>
      </c>
      <c r="I794" t="s">
        <v>244</v>
      </c>
      <c r="J794" t="s">
        <v>211</v>
      </c>
      <c r="K794" s="15">
        <v>0.333333333333333</v>
      </c>
      <c r="L794" s="15" t="s">
        <v>212</v>
      </c>
      <c r="M794" s="15">
        <v>0.315277777777778</v>
      </c>
      <c r="N794" t="s">
        <v>2373</v>
      </c>
      <c r="O794" s="20" t="str">
        <f t="shared" si="85"/>
        <v>正确</v>
      </c>
      <c r="P794" s="21">
        <v>0</v>
      </c>
      <c r="Q794" s="21">
        <v>7.98</v>
      </c>
      <c r="R794" s="21">
        <v>0</v>
      </c>
      <c r="S794" s="21">
        <f t="shared" si="86"/>
        <v>7.98</v>
      </c>
      <c r="T794" s="21">
        <f t="shared" si="87"/>
        <v>0</v>
      </c>
      <c r="U794" s="21" t="str">
        <f t="shared" si="88"/>
        <v>否</v>
      </c>
      <c r="V794" s="21">
        <f>VLOOKUP($C794,[4]Sheet1!$B:$AN,39,FALSE)</f>
        <v>18.73</v>
      </c>
      <c r="W794" s="21">
        <v>0</v>
      </c>
      <c r="X794" s="23">
        <v>4</v>
      </c>
      <c r="Y794" s="23">
        <v>4</v>
      </c>
      <c r="Z794" s="25">
        <f t="shared" si="89"/>
        <v>0</v>
      </c>
      <c r="AA794" s="25" t="str">
        <f t="shared" si="90"/>
        <v>是</v>
      </c>
      <c r="AB794" t="s">
        <v>148</v>
      </c>
      <c r="AC794" t="e">
        <f>VLOOKUP(C794,[1]Sheet1!$C:$O,13,FALSE)</f>
        <v>#N/A</v>
      </c>
      <c r="AD794" t="str">
        <f>VLOOKUP($H794,'[3]0509人员排班情况 副本'!$G:$U,12,FALSE)</f>
        <v>Natalia (Natalia Padilla),孙婕 Jasmine（Sunjie）</v>
      </c>
      <c r="AE794" t="str">
        <f>VLOOKUP($H794,'[3]0509人员排班情况 副本'!$G:$U,13,FALSE)</f>
        <v>贺子强Jeff (Ziqiang He)</v>
      </c>
      <c r="AF794" t="str">
        <f>VLOOKUP($H794,'[3]0509人员排班情况 副本'!$G:$U,14,FALSE)</f>
        <v>Minqing (Minqing Xu),罗煜雄 Mike (Yuxiong Luo)</v>
      </c>
      <c r="AG794">
        <f>VLOOKUP($H794,'[3]0509人员排班情况 副本'!$G:$U,15,FALSE)</f>
        <v>0</v>
      </c>
    </row>
    <row r="795" customHeight="1" spans="1:33">
      <c r="A795" t="s">
        <v>202</v>
      </c>
      <c r="B795" t="s">
        <v>2417</v>
      </c>
      <c r="C795" t="s">
        <v>2418</v>
      </c>
      <c r="D795" t="s">
        <v>48</v>
      </c>
      <c r="E795" t="s">
        <v>49</v>
      </c>
      <c r="F795" t="s">
        <v>686</v>
      </c>
      <c r="H795" t="str">
        <f t="shared" si="84"/>
        <v>Ground项目部OG 美东区BA210</v>
      </c>
      <c r="I795" t="s">
        <v>177</v>
      </c>
      <c r="J795" t="s">
        <v>373</v>
      </c>
      <c r="K795" s="15">
        <v>0.291666666666667</v>
      </c>
      <c r="L795" s="15" t="s">
        <v>374</v>
      </c>
      <c r="M795" s="15">
        <v>0.284027777777778</v>
      </c>
      <c r="N795" t="s">
        <v>861</v>
      </c>
      <c r="O795" s="20" t="str">
        <f t="shared" si="85"/>
        <v>正确</v>
      </c>
      <c r="P795" s="21">
        <v>0</v>
      </c>
      <c r="Q795" s="21">
        <v>8.33</v>
      </c>
      <c r="R795" s="21">
        <v>0</v>
      </c>
      <c r="S795" s="21">
        <f t="shared" si="86"/>
        <v>8.33</v>
      </c>
      <c r="T795" s="21">
        <f t="shared" si="87"/>
        <v>0.33</v>
      </c>
      <c r="U795" s="21" t="str">
        <f t="shared" si="88"/>
        <v>是</v>
      </c>
      <c r="V795" s="21">
        <f>VLOOKUP($C795,[4]Sheet1!$B:$AN,39,FALSE)</f>
        <v>8.33</v>
      </c>
      <c r="W795" s="21">
        <v>0</v>
      </c>
      <c r="X795" s="23">
        <v>3</v>
      </c>
      <c r="Y795" s="23">
        <v>4</v>
      </c>
      <c r="Z795" s="25">
        <f t="shared" si="89"/>
        <v>1</v>
      </c>
      <c r="AA795" s="25" t="str">
        <f t="shared" si="90"/>
        <v>是</v>
      </c>
      <c r="AB795" t="s">
        <v>148</v>
      </c>
      <c r="AC795" t="e">
        <f>VLOOKUP(C795,[1]Sheet1!$C:$O,13,FALSE)</f>
        <v>#N/A</v>
      </c>
      <c r="AD795" t="str">
        <f>VLOOKUP($H795,'[3]0509人员排班情况 副本'!$G:$U,12,FALSE)</f>
        <v>王安琪 (Anqi Wang),张朱同 Thomson（Zhutong Zhang）</v>
      </c>
      <c r="AE795" t="str">
        <f>VLOOKUP($H795,'[3]0509人员排班情况 副本'!$G:$U,13,FALSE)</f>
        <v>陈锦昭</v>
      </c>
      <c r="AF795" t="str">
        <f>VLOOKUP($H795,'[3]0509人员排班情况 副本'!$G:$U,14,FALSE)</f>
        <v>欧和枫 Henry (HeFeng Ou)</v>
      </c>
      <c r="AG795">
        <f>VLOOKUP($H795,'[3]0509人员排班情况 副本'!$G:$U,15,FALSE)</f>
        <v>0</v>
      </c>
    </row>
    <row r="796" customHeight="1" spans="1:33">
      <c r="A796" t="s">
        <v>202</v>
      </c>
      <c r="B796" t="s">
        <v>2419</v>
      </c>
      <c r="C796" t="s">
        <v>2420</v>
      </c>
      <c r="D796" t="s">
        <v>9</v>
      </c>
      <c r="E796" t="s">
        <v>148</v>
      </c>
      <c r="F796" t="s">
        <v>148</v>
      </c>
      <c r="H796" t="str">
        <f t="shared" si="84"/>
        <v>AS 审计监察部</v>
      </c>
      <c r="I796" t="s">
        <v>2421</v>
      </c>
      <c r="J796" t="s">
        <v>236</v>
      </c>
      <c r="K796" s="15">
        <v>0.395833333333333</v>
      </c>
      <c r="L796" s="15" t="s">
        <v>218</v>
      </c>
      <c r="M796" s="15">
        <v>0.372222222222222</v>
      </c>
      <c r="N796" t="s">
        <v>2422</v>
      </c>
      <c r="O796" s="20" t="str">
        <f t="shared" si="85"/>
        <v>正确</v>
      </c>
      <c r="P796" s="21">
        <v>0</v>
      </c>
      <c r="Q796" s="21">
        <v>8.47</v>
      </c>
      <c r="R796" s="21">
        <v>0</v>
      </c>
      <c r="S796" s="21">
        <f t="shared" si="86"/>
        <v>8.47</v>
      </c>
      <c r="T796" s="21">
        <f t="shared" si="87"/>
        <v>0.470000000000001</v>
      </c>
      <c r="U796" s="21" t="str">
        <f t="shared" si="88"/>
        <v>是</v>
      </c>
      <c r="V796" s="21">
        <f>VLOOKUP($C796,[4]Sheet1!$B:$AN,39,FALSE)</f>
        <v>17.24</v>
      </c>
      <c r="W796" s="21">
        <v>0</v>
      </c>
      <c r="X796" s="23">
        <v>2</v>
      </c>
      <c r="Y796" s="23">
        <v>4</v>
      </c>
      <c r="Z796" s="25">
        <f t="shared" si="89"/>
        <v>2</v>
      </c>
      <c r="AA796" s="25" t="str">
        <f t="shared" si="90"/>
        <v>是</v>
      </c>
      <c r="AB796" t="s">
        <v>148</v>
      </c>
      <c r="AC796" t="e">
        <f>VLOOKUP(C796,[1]Sheet1!$C:$O,13,FALSE)</f>
        <v>#N/A</v>
      </c>
      <c r="AD796" t="str">
        <f>VLOOKUP($H796,'[3]0509人员排班情况 副本'!$G:$U,12,FALSE)</f>
        <v>袁博闻(Bowen Yuan)</v>
      </c>
      <c r="AE796">
        <f>VLOOKUP($H796,'[3]0509人员排班情况 副本'!$G:$U,13,FALSE)</f>
        <v>0</v>
      </c>
      <c r="AF796">
        <f>VLOOKUP($H796,'[3]0509人员排班情况 副本'!$G:$U,14,FALSE)</f>
        <v>0</v>
      </c>
      <c r="AG796">
        <f>VLOOKUP($H796,'[3]0509人员排班情况 副本'!$G:$U,15,FALSE)</f>
        <v>0</v>
      </c>
    </row>
    <row r="797" customHeight="1" spans="1:33">
      <c r="A797" t="s">
        <v>202</v>
      </c>
      <c r="B797" t="s">
        <v>2423</v>
      </c>
      <c r="C797" t="s">
        <v>2424</v>
      </c>
      <c r="D797" t="s">
        <v>100</v>
      </c>
      <c r="E797" t="s">
        <v>102</v>
      </c>
      <c r="F797" t="s">
        <v>358</v>
      </c>
      <c r="H797" t="str">
        <f t="shared" si="84"/>
        <v>WE 美西大区DS 丹佛·盐湖城片区DEN.H</v>
      </c>
      <c r="I797" t="s">
        <v>160</v>
      </c>
      <c r="J797" t="s">
        <v>330</v>
      </c>
      <c r="K797" s="15">
        <v>0.625</v>
      </c>
      <c r="L797" s="15" t="s">
        <v>331</v>
      </c>
      <c r="M797" s="15"/>
      <c r="N797" t="s">
        <v>148</v>
      </c>
      <c r="O797" s="20" t="str">
        <f t="shared" si="85"/>
        <v>不正确</v>
      </c>
      <c r="P797" s="21">
        <v>0</v>
      </c>
      <c r="Q797" s="21">
        <v>0</v>
      </c>
      <c r="R797" s="21">
        <v>0</v>
      </c>
      <c r="S797" s="21">
        <f t="shared" si="86"/>
        <v>0</v>
      </c>
      <c r="T797" s="21">
        <f t="shared" si="87"/>
        <v>0</v>
      </c>
      <c r="U797" s="21" t="str">
        <f t="shared" si="88"/>
        <v>否</v>
      </c>
      <c r="V797" s="21">
        <f>VLOOKUP($C797,[4]Sheet1!$B:$AN,39,FALSE)</f>
        <v>0</v>
      </c>
      <c r="W797" s="21">
        <v>0</v>
      </c>
      <c r="X797" s="23">
        <v>0</v>
      </c>
      <c r="Y797" s="23">
        <v>4</v>
      </c>
      <c r="Z797" s="25">
        <f t="shared" si="89"/>
        <v>4</v>
      </c>
      <c r="AA797" s="25" t="str">
        <f t="shared" si="90"/>
        <v>是</v>
      </c>
      <c r="AB797" t="s">
        <v>148</v>
      </c>
      <c r="AC797" t="e">
        <f>VLOOKUP(C797,[1]Sheet1!$C:$O,13,FALSE)</f>
        <v>#N/A</v>
      </c>
      <c r="AD797" t="str">
        <f>VLOOKUP($H797,'[3]0509人员排班情况 副本'!$G:$U,12,FALSE)</f>
        <v>王骞Ariel（Qian Wang）,叶秀芳Freya (Xiufang Ye)</v>
      </c>
      <c r="AE797" t="str">
        <f>VLOOKUP($H797,'[3]0509人员排班情况 副本'!$G:$U,13,FALSE)</f>
        <v>常哲</v>
      </c>
      <c r="AF797" t="str">
        <f>VLOOKUP($H797,'[3]0509人员排班情况 副本'!$G:$U,14,FALSE)</f>
        <v>兰鹏Peng（Peng Lan）</v>
      </c>
      <c r="AG797">
        <f>VLOOKUP($H797,'[3]0509人员排班情况 副本'!$G:$U,15,FALSE)</f>
        <v>0</v>
      </c>
    </row>
    <row r="798" customHeight="1" spans="1:33">
      <c r="A798" t="s">
        <v>202</v>
      </c>
      <c r="B798" t="s">
        <v>2425</v>
      </c>
      <c r="C798" t="s">
        <v>2426</v>
      </c>
      <c r="D798" t="s">
        <v>100</v>
      </c>
      <c r="E798" t="s">
        <v>102</v>
      </c>
      <c r="F798" t="s">
        <v>358</v>
      </c>
      <c r="H798" t="str">
        <f t="shared" si="84"/>
        <v>WE 美西大区DS 丹佛·盐湖城片区DEN.H</v>
      </c>
      <c r="I798" t="s">
        <v>160</v>
      </c>
      <c r="J798" t="s">
        <v>217</v>
      </c>
      <c r="K798" s="15">
        <v>0.395833333333333</v>
      </c>
      <c r="L798" s="15" t="s">
        <v>218</v>
      </c>
      <c r="M798" s="15"/>
      <c r="N798" t="s">
        <v>148</v>
      </c>
      <c r="O798" s="20" t="s">
        <v>116</v>
      </c>
      <c r="P798" s="21">
        <v>0</v>
      </c>
      <c r="Q798" s="21">
        <v>0</v>
      </c>
      <c r="R798" s="21">
        <v>0</v>
      </c>
      <c r="S798" s="21">
        <f t="shared" si="86"/>
        <v>0</v>
      </c>
      <c r="T798" s="21">
        <f t="shared" si="87"/>
        <v>0</v>
      </c>
      <c r="U798" s="21" t="str">
        <f t="shared" si="88"/>
        <v>否</v>
      </c>
      <c r="V798" s="21">
        <f>VLOOKUP($C798,[4]Sheet1!$B:$AN,39,FALSE)</f>
        <v>12.58</v>
      </c>
      <c r="W798" s="21">
        <v>0</v>
      </c>
      <c r="X798" s="23">
        <v>0</v>
      </c>
      <c r="Y798" s="23">
        <v>0</v>
      </c>
      <c r="Z798" s="25">
        <f t="shared" si="89"/>
        <v>0</v>
      </c>
      <c r="AA798" s="25" t="str">
        <f t="shared" si="90"/>
        <v>是</v>
      </c>
      <c r="AB798" t="s">
        <v>148</v>
      </c>
      <c r="AC798" t="e">
        <f>VLOOKUP(C798,[1]Sheet1!$C:$O,13,FALSE)</f>
        <v>#N/A</v>
      </c>
      <c r="AD798" t="str">
        <f>VLOOKUP($H798,'[3]0509人员排班情况 副本'!$G:$U,12,FALSE)</f>
        <v>王骞Ariel（Qian Wang）,叶秀芳Freya (Xiufang Ye)</v>
      </c>
      <c r="AE798" t="str">
        <f>VLOOKUP($H798,'[3]0509人员排班情况 副本'!$G:$U,13,FALSE)</f>
        <v>常哲</v>
      </c>
      <c r="AF798" t="str">
        <f>VLOOKUP($H798,'[3]0509人员排班情况 副本'!$G:$U,14,FALSE)</f>
        <v>兰鹏Peng（Peng Lan）</v>
      </c>
      <c r="AG798">
        <f>VLOOKUP($H798,'[3]0509人员排班情况 副本'!$G:$U,15,FALSE)</f>
        <v>0</v>
      </c>
    </row>
    <row r="799" customHeight="1" spans="1:33">
      <c r="A799" t="s">
        <v>202</v>
      </c>
      <c r="B799" t="s">
        <v>2427</v>
      </c>
      <c r="C799" t="s">
        <v>2428</v>
      </c>
      <c r="D799" t="s">
        <v>14</v>
      </c>
      <c r="E799" t="s">
        <v>1522</v>
      </c>
      <c r="F799" t="s">
        <v>148</v>
      </c>
      <c r="H799" t="str">
        <f t="shared" si="84"/>
        <v>DO 数字运营部美国项目交付组</v>
      </c>
      <c r="I799" t="s">
        <v>1523</v>
      </c>
      <c r="J799" t="s">
        <v>295</v>
      </c>
      <c r="K799" s="15">
        <v>0.375</v>
      </c>
      <c r="L799" s="15" t="s">
        <v>296</v>
      </c>
      <c r="M799" s="15"/>
      <c r="N799" t="s">
        <v>148</v>
      </c>
      <c r="O799" s="20" t="str">
        <f t="shared" si="85"/>
        <v>不正确</v>
      </c>
      <c r="P799" s="21">
        <v>0</v>
      </c>
      <c r="Q799" s="21">
        <v>0</v>
      </c>
      <c r="R799" s="21">
        <v>0</v>
      </c>
      <c r="S799" s="21">
        <f t="shared" si="86"/>
        <v>0</v>
      </c>
      <c r="T799" s="21">
        <f t="shared" si="87"/>
        <v>0</v>
      </c>
      <c r="U799" s="21" t="str">
        <f t="shared" si="88"/>
        <v>否</v>
      </c>
      <c r="V799" s="21">
        <f>VLOOKUP($C799,[4]Sheet1!$B:$AN,39,FALSE)</f>
        <v>0</v>
      </c>
      <c r="W799" s="21">
        <v>0</v>
      </c>
      <c r="X799" s="23">
        <v>0</v>
      </c>
      <c r="Y799" s="23">
        <v>0</v>
      </c>
      <c r="Z799" s="25">
        <f t="shared" si="89"/>
        <v>0</v>
      </c>
      <c r="AA799" s="25" t="str">
        <f t="shared" si="90"/>
        <v>是</v>
      </c>
      <c r="AB799" t="s">
        <v>1011</v>
      </c>
      <c r="AC799" t="e">
        <f>VLOOKUP(C799,[1]Sheet1!$C:$O,13,FALSE)</f>
        <v>#N/A</v>
      </c>
      <c r="AD799" t="str">
        <f>VLOOKUP($H799,'[3]0509人员排班情况 副本'!$G:$U,12,FALSE)</f>
        <v>袁博闻(Bowen Yuan)</v>
      </c>
      <c r="AE799">
        <f>VLOOKUP($H799,'[3]0509人员排班情况 副本'!$G:$U,13,FALSE)</f>
        <v>0</v>
      </c>
      <c r="AF799">
        <f>VLOOKUP($H799,'[3]0509人员排班情况 副本'!$G:$U,14,FALSE)</f>
        <v>0</v>
      </c>
      <c r="AG799">
        <f>VLOOKUP($H799,'[3]0509人员排班情况 副本'!$G:$U,15,FALSE)</f>
        <v>0</v>
      </c>
    </row>
    <row r="800" customHeight="1" spans="1:33">
      <c r="A800" t="s">
        <v>202</v>
      </c>
      <c r="B800" t="s">
        <v>2429</v>
      </c>
      <c r="C800" t="s">
        <v>2430</v>
      </c>
      <c r="D800" t="s">
        <v>68</v>
      </c>
      <c r="E800" t="s">
        <v>76</v>
      </c>
      <c r="F800" t="s">
        <v>243</v>
      </c>
      <c r="G800" t="s">
        <v>112</v>
      </c>
      <c r="H800" t="str">
        <f t="shared" si="84"/>
        <v>NE 东北大区EWR.H调度组</v>
      </c>
      <c r="I800" t="s">
        <v>160</v>
      </c>
      <c r="J800" t="s">
        <v>882</v>
      </c>
      <c r="K800" s="15">
        <v>0.5625</v>
      </c>
      <c r="L800" s="15" t="s">
        <v>836</v>
      </c>
      <c r="M800" s="15">
        <v>0.5</v>
      </c>
      <c r="N800" t="s">
        <v>2431</v>
      </c>
      <c r="O800" s="20" t="str">
        <f t="shared" si="85"/>
        <v>不正确</v>
      </c>
      <c r="P800" s="21">
        <v>0</v>
      </c>
      <c r="Q800" s="21">
        <v>9.52</v>
      </c>
      <c r="R800" s="21">
        <v>0</v>
      </c>
      <c r="S800" s="21">
        <f t="shared" si="86"/>
        <v>9.52</v>
      </c>
      <c r="T800" s="21">
        <f t="shared" si="87"/>
        <v>1.52</v>
      </c>
      <c r="U800" s="21" t="str">
        <f t="shared" si="88"/>
        <v>是</v>
      </c>
      <c r="V800" s="21">
        <f>VLOOKUP($C800,[4]Sheet1!$B:$AN,39,FALSE)</f>
        <v>9.52</v>
      </c>
      <c r="W800" s="21">
        <v>0</v>
      </c>
      <c r="X800" s="23">
        <v>2</v>
      </c>
      <c r="Y800" s="23">
        <v>4</v>
      </c>
      <c r="Z800" s="25">
        <f t="shared" si="89"/>
        <v>2</v>
      </c>
      <c r="AA800" s="25" t="str">
        <f t="shared" si="90"/>
        <v>是</v>
      </c>
      <c r="AB800" t="s">
        <v>148</v>
      </c>
      <c r="AC800" t="e">
        <f>VLOOKUP(C800,[1]Sheet1!$C:$O,13,FALSE)</f>
        <v>#N/A</v>
      </c>
      <c r="AD800" t="str">
        <f>VLOOKUP($H800,'[3]0509人员排班情况 副本'!$G:$U,12,FALSE)</f>
        <v>孙可君Monica（Kejun Sun）</v>
      </c>
      <c r="AE800" t="str">
        <f>VLOOKUP($H800,'[3]0509人员排班情况 副本'!$G:$U,13,FALSE)</f>
        <v>马聪Cong (Cong Ma)</v>
      </c>
      <c r="AF800" t="str">
        <f>VLOOKUP($H800,'[3]0509人员排班情况 副本'!$G:$U,14,FALSE)</f>
        <v>Minqing (Minqing Xu),罗煜雄 Mike (Yuxiong Luo)</v>
      </c>
      <c r="AG800">
        <f>VLOOKUP($H800,'[3]0509人员排班情况 副本'!$G:$U,15,FALSE)</f>
        <v>0</v>
      </c>
    </row>
    <row r="801" customHeight="1" spans="1:33">
      <c r="A801" t="s">
        <v>202</v>
      </c>
      <c r="B801" t="s">
        <v>2432</v>
      </c>
      <c r="C801" t="s">
        <v>2433</v>
      </c>
      <c r="D801" t="s">
        <v>100</v>
      </c>
      <c r="E801" t="s">
        <v>102</v>
      </c>
      <c r="F801" t="s">
        <v>148</v>
      </c>
      <c r="H801" t="str">
        <f t="shared" si="84"/>
        <v>WE 美西大区DS 丹佛·盐湖城片区</v>
      </c>
      <c r="I801" t="s">
        <v>682</v>
      </c>
      <c r="J801" t="s">
        <v>295</v>
      </c>
      <c r="K801" s="15">
        <v>0.375</v>
      </c>
      <c r="L801" s="15" t="s">
        <v>296</v>
      </c>
      <c r="M801" s="15"/>
      <c r="N801" t="s">
        <v>148</v>
      </c>
      <c r="O801" s="20" t="str">
        <f t="shared" si="85"/>
        <v>不正确</v>
      </c>
      <c r="P801" s="21">
        <v>0</v>
      </c>
      <c r="Q801" s="21">
        <v>0</v>
      </c>
      <c r="R801" s="21">
        <v>0</v>
      </c>
      <c r="S801" s="21">
        <f t="shared" si="86"/>
        <v>0</v>
      </c>
      <c r="T801" s="21">
        <f t="shared" si="87"/>
        <v>0</v>
      </c>
      <c r="U801" s="21" t="str">
        <f t="shared" si="88"/>
        <v>否</v>
      </c>
      <c r="V801" s="21">
        <f>VLOOKUP($C801,[4]Sheet1!$B:$AN,39,FALSE)</f>
        <v>0</v>
      </c>
      <c r="W801" s="21">
        <v>0</v>
      </c>
      <c r="X801" s="23">
        <v>0</v>
      </c>
      <c r="Y801" s="23">
        <v>4</v>
      </c>
      <c r="Z801" s="25">
        <f t="shared" si="89"/>
        <v>4</v>
      </c>
      <c r="AA801" s="25" t="str">
        <f t="shared" si="90"/>
        <v>是</v>
      </c>
      <c r="AB801" t="s">
        <v>148</v>
      </c>
      <c r="AC801" t="e">
        <f>VLOOKUP(C801,[1]Sheet1!$C:$O,13,FALSE)</f>
        <v>#N/A</v>
      </c>
      <c r="AD801" t="str">
        <f>VLOOKUP($H801,'[3]0509人员排班情况 副本'!$G:$U,12,FALSE)</f>
        <v>王骞Ariel（Qian Wang）,叶秀芳Freya (Xiufang Ye)</v>
      </c>
      <c r="AE801" t="str">
        <f>VLOOKUP($H801,'[3]0509人员排班情况 副本'!$G:$U,13,FALSE)</f>
        <v>常哲</v>
      </c>
      <c r="AF801">
        <f>VLOOKUP($H801,'[3]0509人员排班情况 副本'!$G:$U,14,FALSE)</f>
        <v>0</v>
      </c>
      <c r="AG801">
        <f>VLOOKUP($H801,'[3]0509人员排班情况 副本'!$G:$U,15,FALSE)</f>
        <v>0</v>
      </c>
    </row>
    <row r="802" customHeight="1" spans="1:33">
      <c r="A802" t="s">
        <v>202</v>
      </c>
      <c r="B802" t="s">
        <v>2434</v>
      </c>
      <c r="C802" t="s">
        <v>2435</v>
      </c>
      <c r="D802" t="s">
        <v>58</v>
      </c>
      <c r="E802" t="s">
        <v>66</v>
      </c>
      <c r="F802" t="s">
        <v>1051</v>
      </c>
      <c r="H802" t="str">
        <f t="shared" si="84"/>
        <v>MS 中南大区RE 北卡和东南海岸片区RDU01</v>
      </c>
      <c r="I802" t="s">
        <v>177</v>
      </c>
      <c r="J802" t="s">
        <v>221</v>
      </c>
      <c r="K802" s="15">
        <v>0.208333333333333</v>
      </c>
      <c r="L802" s="15" t="s">
        <v>222</v>
      </c>
      <c r="M802" s="15">
        <v>0.209027777777778</v>
      </c>
      <c r="N802" t="s">
        <v>148</v>
      </c>
      <c r="O802" s="20" t="str">
        <f t="shared" si="85"/>
        <v>正确</v>
      </c>
      <c r="P802" s="21">
        <v>0</v>
      </c>
      <c r="Q802" s="21">
        <v>0</v>
      </c>
      <c r="R802" s="21">
        <v>0</v>
      </c>
      <c r="S802" s="21">
        <f t="shared" si="86"/>
        <v>0</v>
      </c>
      <c r="T802" s="21">
        <f t="shared" si="87"/>
        <v>0</v>
      </c>
      <c r="U802" s="21" t="str">
        <f t="shared" si="88"/>
        <v>否</v>
      </c>
      <c r="V802" s="21">
        <f>VLOOKUP($C802,[4]Sheet1!$B:$AN,39,FALSE)</f>
        <v>6</v>
      </c>
      <c r="W802" s="21">
        <v>0</v>
      </c>
      <c r="X802" s="23">
        <v>3</v>
      </c>
      <c r="Y802" s="23">
        <v>4</v>
      </c>
      <c r="Z802" s="25">
        <f t="shared" si="89"/>
        <v>1</v>
      </c>
      <c r="AA802" s="25" t="str">
        <f t="shared" si="90"/>
        <v>是</v>
      </c>
      <c r="AB802" t="s">
        <v>148</v>
      </c>
      <c r="AC802" t="e">
        <f>VLOOKUP(C802,[1]Sheet1!$C:$O,13,FALSE)</f>
        <v>#N/A</v>
      </c>
      <c r="AD802" t="str">
        <f>VLOOKUP($H802,'[3]0509人员排班情况 副本'!$G:$U,12,FALSE)</f>
        <v>欧阳迎春Flower（Yingchun Ouyang）</v>
      </c>
      <c r="AE802" t="str">
        <f>VLOOKUP($H802,'[3]0509人员排班情况 副本'!$G:$U,13,FALSE)</f>
        <v>杨云飞</v>
      </c>
      <c r="AF802" t="str">
        <f>VLOOKUP($H802,'[3]0509人员排班情况 副本'!$G:$U,14,FALSE)</f>
        <v>张森 (Sen Zhang)</v>
      </c>
      <c r="AG802">
        <f>VLOOKUP($H802,'[3]0509人员排班情况 副本'!$G:$U,15,FALSE)</f>
        <v>0</v>
      </c>
    </row>
    <row r="803" customHeight="1" spans="1:33">
      <c r="A803" t="s">
        <v>202</v>
      </c>
      <c r="B803" t="s">
        <v>2436</v>
      </c>
      <c r="C803" t="s">
        <v>2437</v>
      </c>
      <c r="D803" t="s">
        <v>100</v>
      </c>
      <c r="E803" t="s">
        <v>103</v>
      </c>
      <c r="F803" t="s">
        <v>850</v>
      </c>
      <c r="G803" t="s">
        <v>112</v>
      </c>
      <c r="H803" t="str">
        <f t="shared" si="84"/>
        <v>WE 美西大区LAV.H维保组</v>
      </c>
      <c r="I803" t="s">
        <v>851</v>
      </c>
      <c r="J803" t="s">
        <v>384</v>
      </c>
      <c r="K803" s="15">
        <v>0.6875</v>
      </c>
      <c r="L803" s="15" t="s">
        <v>385</v>
      </c>
      <c r="M803" s="15"/>
      <c r="N803" t="s">
        <v>148</v>
      </c>
      <c r="O803" s="20" t="str">
        <f t="shared" si="85"/>
        <v>不正确</v>
      </c>
      <c r="P803" s="21">
        <v>0</v>
      </c>
      <c r="Q803" s="21">
        <v>0</v>
      </c>
      <c r="R803" s="21">
        <v>0</v>
      </c>
      <c r="S803" s="21">
        <f t="shared" si="86"/>
        <v>0</v>
      </c>
      <c r="T803" s="21">
        <f t="shared" si="87"/>
        <v>0</v>
      </c>
      <c r="U803" s="21" t="str">
        <f t="shared" si="88"/>
        <v>否</v>
      </c>
      <c r="V803" s="21">
        <f>VLOOKUP($C803,[4]Sheet1!$B:$AN,39,FALSE)</f>
        <v>0</v>
      </c>
      <c r="W803" s="21">
        <v>0</v>
      </c>
      <c r="X803" s="23">
        <v>0</v>
      </c>
      <c r="Y803" s="23">
        <v>0</v>
      </c>
      <c r="Z803" s="25">
        <f t="shared" si="89"/>
        <v>0</v>
      </c>
      <c r="AA803" s="25" t="str">
        <f t="shared" si="90"/>
        <v>是</v>
      </c>
      <c r="AB803" t="s">
        <v>2438</v>
      </c>
      <c r="AC803" t="e">
        <f>VLOOKUP(C803,[1]Sheet1!$C:$O,13,FALSE)</f>
        <v>#N/A</v>
      </c>
      <c r="AD803" t="str">
        <f>VLOOKUP($H803,'[3]0509人员排班情况 副本'!$G:$U,12,FALSE)</f>
        <v>王骞Ariel（Qian Wang）,叶秀芳Freya (Xiufang Ye)</v>
      </c>
      <c r="AE803" t="str">
        <f>VLOOKUP($H803,'[3]0509人员排班情况 副本'!$G:$U,13,FALSE)</f>
        <v>常哲</v>
      </c>
      <c r="AF803" t="str">
        <f>VLOOKUP($H803,'[3]0509人员排班情况 副本'!$G:$U,14,FALSE)</f>
        <v>章峻铭 J (Junming Zhang)</v>
      </c>
      <c r="AG803">
        <f>VLOOKUP($H803,'[3]0509人员排班情况 副本'!$G:$U,15,FALSE)</f>
        <v>0</v>
      </c>
    </row>
    <row r="804" customHeight="1" spans="1:33">
      <c r="A804" t="s">
        <v>202</v>
      </c>
      <c r="B804" t="s">
        <v>2439</v>
      </c>
      <c r="C804" t="s">
        <v>2440</v>
      </c>
      <c r="D804" t="s">
        <v>68</v>
      </c>
      <c r="E804" t="s">
        <v>81</v>
      </c>
      <c r="F804" t="s">
        <v>943</v>
      </c>
      <c r="H804" t="str">
        <f t="shared" si="84"/>
        <v>NE 东北大区NY 纽约片区FRG01</v>
      </c>
      <c r="I804" t="s">
        <v>177</v>
      </c>
      <c r="J804" t="s">
        <v>330</v>
      </c>
      <c r="K804" s="15">
        <v>0.625</v>
      </c>
      <c r="L804" s="15" t="s">
        <v>331</v>
      </c>
      <c r="M804" s="15">
        <v>0.617361111111111</v>
      </c>
      <c r="N804" t="s">
        <v>2441</v>
      </c>
      <c r="O804" s="20" t="str">
        <f t="shared" si="85"/>
        <v>正确</v>
      </c>
      <c r="P804" s="21">
        <v>0</v>
      </c>
      <c r="Q804" s="21">
        <v>9.73</v>
      </c>
      <c r="R804" s="21">
        <v>0</v>
      </c>
      <c r="S804" s="21">
        <f t="shared" si="86"/>
        <v>9.73</v>
      </c>
      <c r="T804" s="21">
        <f t="shared" si="87"/>
        <v>1.73</v>
      </c>
      <c r="U804" s="21" t="str">
        <f t="shared" si="88"/>
        <v>是</v>
      </c>
      <c r="V804" s="21">
        <f>VLOOKUP($C804,[4]Sheet1!$B:$AN,39,FALSE)</f>
        <v>18.96</v>
      </c>
      <c r="W804" s="21">
        <v>0</v>
      </c>
      <c r="X804" s="23">
        <v>4</v>
      </c>
      <c r="Y804" s="23">
        <v>4</v>
      </c>
      <c r="Z804" s="25">
        <f t="shared" si="89"/>
        <v>0</v>
      </c>
      <c r="AA804" s="25" t="str">
        <f t="shared" si="90"/>
        <v>是</v>
      </c>
      <c r="AB804" t="s">
        <v>148</v>
      </c>
      <c r="AC804" t="e">
        <f>VLOOKUP(C804,[1]Sheet1!$C:$O,13,FALSE)</f>
        <v>#N/A</v>
      </c>
      <c r="AD804" t="str">
        <f>VLOOKUP($H804,'[3]0509人员排班情况 副本'!$G:$U,12,FALSE)</f>
        <v>孙可君Monica（Kejun Sun）</v>
      </c>
      <c r="AE804" t="str">
        <f>VLOOKUP($H804,'[3]0509人员排班情况 副本'!$G:$U,13,FALSE)</f>
        <v>马聪Cong (Cong Ma)</v>
      </c>
      <c r="AF804" t="str">
        <f>VLOOKUP($H804,'[3]0509人员排班情况 副本'!$G:$U,14,FALSE)</f>
        <v>朱晗宇 Peter (Hanyu Zhu)</v>
      </c>
      <c r="AG804">
        <f>VLOOKUP($H804,'[3]0509人员排班情况 副本'!$G:$U,15,FALSE)</f>
        <v>0</v>
      </c>
    </row>
    <row r="805" customHeight="1" spans="1:33">
      <c r="A805" t="s">
        <v>202</v>
      </c>
      <c r="B805" t="s">
        <v>2442</v>
      </c>
      <c r="C805" t="s">
        <v>2443</v>
      </c>
      <c r="D805" t="s">
        <v>48</v>
      </c>
      <c r="E805" t="s">
        <v>51</v>
      </c>
      <c r="F805" t="s">
        <v>148</v>
      </c>
      <c r="H805" t="str">
        <f t="shared" si="84"/>
        <v>Ground项目部OG 美西区</v>
      </c>
      <c r="I805" t="s">
        <v>2444</v>
      </c>
      <c r="J805" t="s">
        <v>295</v>
      </c>
      <c r="K805" s="15">
        <v>0.375</v>
      </c>
      <c r="L805" s="15" t="s">
        <v>296</v>
      </c>
      <c r="M805" s="15"/>
      <c r="N805" t="s">
        <v>2445</v>
      </c>
      <c r="O805" s="20" t="str">
        <f t="shared" si="85"/>
        <v>不正确</v>
      </c>
      <c r="P805" s="21">
        <v>0</v>
      </c>
      <c r="Q805" s="21">
        <v>0</v>
      </c>
      <c r="R805" s="21">
        <v>0</v>
      </c>
      <c r="S805" s="21">
        <f t="shared" si="86"/>
        <v>0</v>
      </c>
      <c r="T805" s="21">
        <f t="shared" si="87"/>
        <v>0</v>
      </c>
      <c r="U805" s="21" t="str">
        <f t="shared" si="88"/>
        <v>否</v>
      </c>
      <c r="V805" s="21">
        <f>VLOOKUP($C805,[4]Sheet1!$B:$AN,39,FALSE)</f>
        <v>0</v>
      </c>
      <c r="W805" s="21">
        <v>0</v>
      </c>
      <c r="X805" s="23">
        <v>1</v>
      </c>
      <c r="Y805" s="23">
        <v>4</v>
      </c>
      <c r="Z805" s="25">
        <f t="shared" si="89"/>
        <v>3</v>
      </c>
      <c r="AA805" s="25" t="str">
        <f t="shared" si="90"/>
        <v>是</v>
      </c>
      <c r="AB805" t="s">
        <v>148</v>
      </c>
      <c r="AC805" t="e">
        <f>VLOOKUP(C805,[1]Sheet1!$C:$O,13,FALSE)</f>
        <v>#N/A</v>
      </c>
      <c r="AD805" t="str">
        <f>VLOOKUP($H805,'[3]0509人员排班情况 副本'!$G:$U,12,FALSE)</f>
        <v>王安琪 (Anqi Wang),张朱同 Thomson（Zhutong Zhang）</v>
      </c>
      <c r="AE805" t="str">
        <f>VLOOKUP($H805,'[3]0509人员排班情况 副本'!$G:$U,13,FALSE)</f>
        <v>陈锦昭</v>
      </c>
      <c r="AF805">
        <f>VLOOKUP($H805,'[3]0509人员排班情况 副本'!$G:$U,14,FALSE)</f>
        <v>0</v>
      </c>
      <c r="AG805">
        <f>VLOOKUP($H805,'[3]0509人员排班情况 副本'!$G:$U,15,FALSE)</f>
        <v>0</v>
      </c>
    </row>
    <row r="806" customHeight="1" spans="1:33">
      <c r="A806" t="s">
        <v>202</v>
      </c>
      <c r="B806" t="s">
        <v>2446</v>
      </c>
      <c r="C806" t="s">
        <v>2447</v>
      </c>
      <c r="D806" t="s">
        <v>92</v>
      </c>
      <c r="E806" t="s">
        <v>97</v>
      </c>
      <c r="F806" t="s">
        <v>262</v>
      </c>
      <c r="H806" t="str">
        <f t="shared" si="84"/>
        <v>TX 德州大区NT 北德州片区DFW01</v>
      </c>
      <c r="I806" t="s">
        <v>177</v>
      </c>
      <c r="J806" t="s">
        <v>221</v>
      </c>
      <c r="K806" s="15">
        <v>0.208333333333333</v>
      </c>
      <c r="L806" s="15" t="s">
        <v>222</v>
      </c>
      <c r="M806" s="15">
        <v>0.224305555555556</v>
      </c>
      <c r="N806" t="s">
        <v>2448</v>
      </c>
      <c r="O806" s="20" t="str">
        <f t="shared" si="85"/>
        <v>正确</v>
      </c>
      <c r="P806" s="21">
        <v>0</v>
      </c>
      <c r="Q806" s="21">
        <v>8.23</v>
      </c>
      <c r="R806" s="21">
        <v>0</v>
      </c>
      <c r="S806" s="21">
        <f t="shared" si="86"/>
        <v>8.23</v>
      </c>
      <c r="T806" s="21">
        <f t="shared" si="87"/>
        <v>0.23</v>
      </c>
      <c r="U806" s="21" t="str">
        <f t="shared" si="88"/>
        <v>是</v>
      </c>
      <c r="V806" s="21">
        <f>VLOOKUP($C806,[4]Sheet1!$B:$AN,39,FALSE)</f>
        <v>8.23</v>
      </c>
      <c r="W806" s="21">
        <v>0</v>
      </c>
      <c r="X806" s="23">
        <v>4</v>
      </c>
      <c r="Y806" s="23">
        <v>4</v>
      </c>
      <c r="Z806" s="25">
        <f t="shared" si="89"/>
        <v>0</v>
      </c>
      <c r="AA806" s="25" t="str">
        <f t="shared" si="90"/>
        <v>是</v>
      </c>
      <c r="AB806" t="s">
        <v>148</v>
      </c>
      <c r="AC806" t="e">
        <f>VLOOKUP(C806,[1]Sheet1!$C:$O,13,FALSE)</f>
        <v>#N/A</v>
      </c>
      <c r="AD806" t="str">
        <f>VLOOKUP($H806,'[3]0509人员排班情况 副本'!$G:$U,12,FALSE)</f>
        <v>肖芦莉Lily (Luli Xiao)</v>
      </c>
      <c r="AE806" t="str">
        <f>VLOOKUP($H806,'[3]0509人员排班情况 副本'!$G:$U,13,FALSE)</f>
        <v>张骥Ji Zhang (Ji Zhang)</v>
      </c>
      <c r="AF806" t="str">
        <f>VLOOKUP($H806,'[3]0509人员排班情况 副本'!$G:$U,14,FALSE)</f>
        <v>何琼joan(Qiong He)</v>
      </c>
      <c r="AG806">
        <f>VLOOKUP($H806,'[3]0509人员排班情况 副本'!$G:$U,15,FALSE)</f>
        <v>0</v>
      </c>
    </row>
    <row r="807" customHeight="1" spans="1:33">
      <c r="A807" t="s">
        <v>202</v>
      </c>
      <c r="B807" t="s">
        <v>2449</v>
      </c>
      <c r="C807" t="s">
        <v>2450</v>
      </c>
      <c r="D807" t="s">
        <v>100</v>
      </c>
      <c r="E807" t="s">
        <v>106</v>
      </c>
      <c r="F807" t="s">
        <v>1112</v>
      </c>
      <c r="H807" t="str">
        <f t="shared" si="84"/>
        <v>WE 美西大区SC 南加片区CNO01</v>
      </c>
      <c r="I807" t="s">
        <v>156</v>
      </c>
      <c r="J807" t="s">
        <v>221</v>
      </c>
      <c r="K807" s="15">
        <v>0.208333333333333</v>
      </c>
      <c r="L807" s="15" t="s">
        <v>222</v>
      </c>
      <c r="M807" s="15">
        <v>0.201388888888889</v>
      </c>
      <c r="N807" t="s">
        <v>222</v>
      </c>
      <c r="O807" s="20" t="str">
        <f t="shared" si="85"/>
        <v>正确</v>
      </c>
      <c r="P807" s="21">
        <v>0</v>
      </c>
      <c r="Q807" s="21">
        <v>8.17</v>
      </c>
      <c r="R807" s="21">
        <v>0</v>
      </c>
      <c r="S807" s="21">
        <f t="shared" si="86"/>
        <v>8.17</v>
      </c>
      <c r="T807" s="21">
        <f t="shared" si="87"/>
        <v>0.17</v>
      </c>
      <c r="U807" s="21" t="str">
        <f t="shared" si="88"/>
        <v>是</v>
      </c>
      <c r="V807" s="21">
        <f>VLOOKUP($C807,[4]Sheet1!$B:$AN,39,FALSE)</f>
        <v>13.9</v>
      </c>
      <c r="W807" s="21">
        <v>22</v>
      </c>
      <c r="X807" s="23">
        <v>4</v>
      </c>
      <c r="Y807" s="23">
        <v>4</v>
      </c>
      <c r="Z807" s="25">
        <f t="shared" si="89"/>
        <v>0</v>
      </c>
      <c r="AA807" s="25" t="str">
        <f t="shared" si="90"/>
        <v>是</v>
      </c>
      <c r="AB807" t="s">
        <v>148</v>
      </c>
      <c r="AC807" t="e">
        <f>VLOOKUP(C807,[1]Sheet1!$C:$O,13,FALSE)</f>
        <v>#N/A</v>
      </c>
      <c r="AD807" t="str">
        <f>VLOOKUP($H807,'[3]0509人员排班情况 副本'!$G:$U,12,FALSE)</f>
        <v>王骞Ariel（Qian Wang）,叶秀芳Freya (Xiufang Ye)</v>
      </c>
      <c r="AE807" t="str">
        <f>VLOOKUP($H807,'[3]0509人员排班情况 副本'!$G:$U,13,FALSE)</f>
        <v>常哲</v>
      </c>
      <c r="AF807" t="str">
        <f>VLOOKUP($H807,'[3]0509人员排班情况 副本'!$G:$U,14,FALSE)</f>
        <v>尤梦楠Yuko（Mengnan You）</v>
      </c>
      <c r="AG807">
        <f>VLOOKUP($H807,'[3]0509人员排班情况 副本'!$G:$U,15,FALSE)</f>
        <v>0</v>
      </c>
    </row>
    <row r="808" customHeight="1" spans="1:33">
      <c r="A808" t="s">
        <v>202</v>
      </c>
      <c r="B808" t="s">
        <v>2451</v>
      </c>
      <c r="C808" t="s">
        <v>2452</v>
      </c>
      <c r="D808" t="s">
        <v>92</v>
      </c>
      <c r="E808" t="s">
        <v>95</v>
      </c>
      <c r="F808" t="s">
        <v>798</v>
      </c>
      <c r="H808" t="str">
        <f t="shared" si="84"/>
        <v>TX 德州大区GC 墨湾片区IAH01</v>
      </c>
      <c r="I808" t="s">
        <v>177</v>
      </c>
      <c r="J808" t="s">
        <v>229</v>
      </c>
      <c r="K808" s="15">
        <v>0.270833333333333</v>
      </c>
      <c r="L808" s="15" t="s">
        <v>230</v>
      </c>
      <c r="M808" s="15"/>
      <c r="N808" t="s">
        <v>148</v>
      </c>
      <c r="O808" s="20" t="str">
        <f t="shared" si="85"/>
        <v>不正确</v>
      </c>
      <c r="P808" s="21">
        <v>0</v>
      </c>
      <c r="Q808" s="21">
        <v>0</v>
      </c>
      <c r="R808" s="21">
        <v>0</v>
      </c>
      <c r="S808" s="21">
        <f t="shared" si="86"/>
        <v>0</v>
      </c>
      <c r="T808" s="21">
        <f t="shared" si="87"/>
        <v>0</v>
      </c>
      <c r="U808" s="21" t="str">
        <f t="shared" si="88"/>
        <v>否</v>
      </c>
      <c r="V808" s="21">
        <f>VLOOKUP($C808,[4]Sheet1!$B:$AN,39,FALSE)</f>
        <v>0</v>
      </c>
      <c r="W808" s="21">
        <v>0</v>
      </c>
      <c r="X808" s="23">
        <v>0</v>
      </c>
      <c r="Y808" s="23">
        <v>4</v>
      </c>
      <c r="Z808" s="25">
        <f t="shared" si="89"/>
        <v>4</v>
      </c>
      <c r="AA808" s="25" t="str">
        <f t="shared" si="90"/>
        <v>是</v>
      </c>
      <c r="AB808" t="s">
        <v>148</v>
      </c>
      <c r="AC808" t="e">
        <f>VLOOKUP(C808,[1]Sheet1!$C:$O,13,FALSE)</f>
        <v>#N/A</v>
      </c>
      <c r="AD808" t="str">
        <f>VLOOKUP($H808,'[3]0509人员排班情况 副本'!$G:$U,12,FALSE)</f>
        <v>肖芦莉Lily (Luli Xiao)</v>
      </c>
      <c r="AE808" t="str">
        <f>VLOOKUP($H808,'[3]0509人员排班情况 副本'!$G:$U,13,FALSE)</f>
        <v>张骥Ji Zhang (Ji Zhang)</v>
      </c>
      <c r="AF808" t="str">
        <f>VLOOKUP($H808,'[3]0509人员排班情况 副本'!$G:$U,14,FALSE)</f>
        <v>金磊Brian（LEI JIN）</v>
      </c>
      <c r="AG808">
        <f>VLOOKUP($H808,'[3]0509人员排班情况 副本'!$G:$U,15,FALSE)</f>
        <v>0</v>
      </c>
    </row>
    <row r="809" customHeight="1" spans="1:33">
      <c r="A809" t="s">
        <v>202</v>
      </c>
      <c r="B809" t="s">
        <v>2453</v>
      </c>
      <c r="C809" t="s">
        <v>2454</v>
      </c>
      <c r="D809" t="s">
        <v>92</v>
      </c>
      <c r="E809" t="s">
        <v>94</v>
      </c>
      <c r="F809" t="s">
        <v>243</v>
      </c>
      <c r="G809" t="s">
        <v>112</v>
      </c>
      <c r="H809" t="str">
        <f t="shared" si="84"/>
        <v>TX 德州大区DFW.H调度组</v>
      </c>
      <c r="I809" t="s">
        <v>160</v>
      </c>
      <c r="J809" t="s">
        <v>373</v>
      </c>
      <c r="K809" s="15">
        <v>0.291666666666667</v>
      </c>
      <c r="L809" s="15" t="s">
        <v>374</v>
      </c>
      <c r="M809" s="15">
        <v>0.298611111111111</v>
      </c>
      <c r="N809" t="s">
        <v>1675</v>
      </c>
      <c r="O809" s="20" t="str">
        <f t="shared" si="85"/>
        <v>正确</v>
      </c>
      <c r="P809" s="21">
        <v>0</v>
      </c>
      <c r="Q809" s="21">
        <v>9.02</v>
      </c>
      <c r="R809" s="21">
        <v>0</v>
      </c>
      <c r="S809" s="21">
        <f t="shared" si="86"/>
        <v>9.02</v>
      </c>
      <c r="T809" s="21">
        <f t="shared" si="87"/>
        <v>1.02</v>
      </c>
      <c r="U809" s="21" t="str">
        <f t="shared" si="88"/>
        <v>是</v>
      </c>
      <c r="V809" s="21">
        <f>VLOOKUP($C809,[4]Sheet1!$B:$AN,39,FALSE)</f>
        <v>9.02</v>
      </c>
      <c r="W809" s="21">
        <v>0</v>
      </c>
      <c r="X809" s="23">
        <v>2</v>
      </c>
      <c r="Y809" s="23">
        <v>4</v>
      </c>
      <c r="Z809" s="25">
        <f t="shared" si="89"/>
        <v>2</v>
      </c>
      <c r="AA809" s="25" t="str">
        <f t="shared" si="90"/>
        <v>是</v>
      </c>
      <c r="AB809" t="s">
        <v>148</v>
      </c>
      <c r="AC809" t="e">
        <f>VLOOKUP(C809,[1]Sheet1!$C:$O,13,FALSE)</f>
        <v>#N/A</v>
      </c>
      <c r="AD809" t="str">
        <f>VLOOKUP($H809,'[3]0509人员排班情况 副本'!$G:$U,12,FALSE)</f>
        <v>肖芦莉Lily (Luli Xiao)</v>
      </c>
      <c r="AE809" t="str">
        <f>VLOOKUP($H809,'[3]0509人员排班情况 副本'!$G:$U,13,FALSE)</f>
        <v>张骥Ji Zhang (Ji Zhang)</v>
      </c>
      <c r="AF809" t="str">
        <f>VLOOKUP($H809,'[3]0509人员排班情况 副本'!$G:$U,14,FALSE)</f>
        <v>Minqing (Minqing Xu),罗煜雄 Mike (Yuxiong Luo)</v>
      </c>
      <c r="AG809">
        <f>VLOOKUP($H809,'[3]0509人员排班情况 副本'!$G:$U,15,FALSE)</f>
        <v>0</v>
      </c>
    </row>
    <row r="810" customHeight="1" spans="1:33">
      <c r="A810" t="s">
        <v>202</v>
      </c>
      <c r="B810" t="s">
        <v>2455</v>
      </c>
      <c r="C810" t="s">
        <v>2456</v>
      </c>
      <c r="D810" t="s">
        <v>68</v>
      </c>
      <c r="E810" t="s">
        <v>82</v>
      </c>
      <c r="F810" t="s">
        <v>1105</v>
      </c>
      <c r="H810" t="str">
        <f t="shared" si="84"/>
        <v>NE 东北大区PA 宾州片区TEB01</v>
      </c>
      <c r="I810" t="s">
        <v>177</v>
      </c>
      <c r="J810" t="s">
        <v>221</v>
      </c>
      <c r="K810" s="15">
        <v>0.208333333333333</v>
      </c>
      <c r="L810" s="15" t="s">
        <v>222</v>
      </c>
      <c r="M810" s="15">
        <v>0.202083333333333</v>
      </c>
      <c r="N810" t="s">
        <v>1139</v>
      </c>
      <c r="O810" s="20" t="str">
        <f t="shared" si="85"/>
        <v>正确</v>
      </c>
      <c r="P810" s="21">
        <v>0</v>
      </c>
      <c r="Q810" s="21">
        <v>9.6</v>
      </c>
      <c r="R810" s="21">
        <v>0</v>
      </c>
      <c r="S810" s="21">
        <f t="shared" si="86"/>
        <v>9.6</v>
      </c>
      <c r="T810" s="21">
        <f t="shared" si="87"/>
        <v>1.6</v>
      </c>
      <c r="U810" s="21" t="str">
        <f t="shared" si="88"/>
        <v>是</v>
      </c>
      <c r="V810" s="21">
        <f>VLOOKUP($C810,[4]Sheet1!$B:$AN,39,FALSE)</f>
        <v>18.02</v>
      </c>
      <c r="W810" s="21">
        <v>0</v>
      </c>
      <c r="X810" s="23">
        <v>2</v>
      </c>
      <c r="Y810" s="23">
        <v>4</v>
      </c>
      <c r="Z810" s="25">
        <f t="shared" si="89"/>
        <v>2</v>
      </c>
      <c r="AA810" s="25" t="str">
        <f t="shared" si="90"/>
        <v>是</v>
      </c>
      <c r="AB810" t="s">
        <v>148</v>
      </c>
      <c r="AC810" t="e">
        <f>VLOOKUP(C810,[1]Sheet1!$C:$O,13,FALSE)</f>
        <v>#N/A</v>
      </c>
      <c r="AD810" t="str">
        <f>VLOOKUP($H810,'[3]0509人员排班情况 副本'!$G:$U,12,FALSE)</f>
        <v>孙可君Monica（Kejun Sun）</v>
      </c>
      <c r="AE810" t="str">
        <f>VLOOKUP($H810,'[3]0509人员排班情况 副本'!$G:$U,13,FALSE)</f>
        <v>马聪Cong (Cong Ma)</v>
      </c>
      <c r="AF810" t="str">
        <f>VLOOKUP($H810,'[3]0509人员排班情况 副本'!$G:$U,14,FALSE)</f>
        <v>朱晗宇 Peter (Hanyu Zhu)</v>
      </c>
      <c r="AG810">
        <f>VLOOKUP($H810,'[3]0509人员排班情况 副本'!$G:$U,15,FALSE)</f>
        <v>0</v>
      </c>
    </row>
    <row r="811" customHeight="1" spans="1:33">
      <c r="A811" t="s">
        <v>202</v>
      </c>
      <c r="B811" t="s">
        <v>2457</v>
      </c>
      <c r="C811" t="s">
        <v>2458</v>
      </c>
      <c r="D811" t="s">
        <v>68</v>
      </c>
      <c r="E811" t="s">
        <v>82</v>
      </c>
      <c r="F811" t="s">
        <v>2459</v>
      </c>
      <c r="H811" t="str">
        <f t="shared" si="84"/>
        <v>NE 东北大区PA 宾州片区LDJ01</v>
      </c>
      <c r="I811" t="s">
        <v>687</v>
      </c>
      <c r="J811" t="s">
        <v>221</v>
      </c>
      <c r="K811" s="15">
        <v>0.208333333333333</v>
      </c>
      <c r="L811" s="15" t="s">
        <v>222</v>
      </c>
      <c r="M811" s="15">
        <v>0.206944444444444</v>
      </c>
      <c r="N811" t="s">
        <v>222</v>
      </c>
      <c r="O811" s="20" t="str">
        <f t="shared" si="85"/>
        <v>正确</v>
      </c>
      <c r="P811" s="21">
        <v>0</v>
      </c>
      <c r="Q811" s="21">
        <v>8.03</v>
      </c>
      <c r="R811" s="21">
        <v>0</v>
      </c>
      <c r="S811" s="21">
        <f t="shared" si="86"/>
        <v>8.03</v>
      </c>
      <c r="T811" s="21">
        <f t="shared" si="87"/>
        <v>0.0299999999999994</v>
      </c>
      <c r="U811" s="21" t="str">
        <f t="shared" si="88"/>
        <v>是</v>
      </c>
      <c r="V811" s="21">
        <f>VLOOKUP($C811,[4]Sheet1!$B:$AN,39,FALSE)</f>
        <v>16.11</v>
      </c>
      <c r="W811" s="21">
        <v>0</v>
      </c>
      <c r="X811" s="23">
        <v>3</v>
      </c>
      <c r="Y811" s="23">
        <v>4</v>
      </c>
      <c r="Z811" s="25">
        <f t="shared" si="89"/>
        <v>1</v>
      </c>
      <c r="AA811" s="25" t="str">
        <f t="shared" si="90"/>
        <v>是</v>
      </c>
      <c r="AB811" t="s">
        <v>148</v>
      </c>
      <c r="AC811" t="e">
        <f>VLOOKUP(C811,[1]Sheet1!$C:$O,13,FALSE)</f>
        <v>#N/A</v>
      </c>
      <c r="AD811" t="str">
        <f>VLOOKUP($H811,'[3]0509人员排班情况 副本'!$G:$U,12,FALSE)</f>
        <v>孙可君Monica（Kejun Sun）</v>
      </c>
      <c r="AE811" t="str">
        <f>VLOOKUP($H811,'[3]0509人员排班情况 副本'!$G:$U,13,FALSE)</f>
        <v>马聪Cong (Cong Ma)</v>
      </c>
      <c r="AF811" t="str">
        <f>VLOOKUP($H811,'[3]0509人员排班情况 副本'!$G:$U,14,FALSE)</f>
        <v>朱晗宇 Peter (Hanyu Zhu)</v>
      </c>
      <c r="AG811">
        <f>VLOOKUP($H811,'[3]0509人员排班情况 副本'!$G:$U,15,FALSE)</f>
        <v>0</v>
      </c>
    </row>
    <row r="812" customHeight="1" spans="1:33">
      <c r="A812" t="s">
        <v>202</v>
      </c>
      <c r="B812" t="s">
        <v>2460</v>
      </c>
      <c r="C812" t="s">
        <v>2461</v>
      </c>
      <c r="D812" t="s">
        <v>92</v>
      </c>
      <c r="E812" t="s">
        <v>29</v>
      </c>
      <c r="F812" t="s">
        <v>200</v>
      </c>
      <c r="H812" t="str">
        <f t="shared" si="84"/>
        <v>TX 德州大区运营支持部区域支持组</v>
      </c>
      <c r="I812" t="s">
        <v>201</v>
      </c>
      <c r="J812" t="s">
        <v>295</v>
      </c>
      <c r="K812" s="15">
        <v>0.375</v>
      </c>
      <c r="L812" s="15" t="s">
        <v>296</v>
      </c>
      <c r="M812" s="15">
        <v>0.36875</v>
      </c>
      <c r="N812" t="s">
        <v>218</v>
      </c>
      <c r="O812" s="20" t="str">
        <f t="shared" si="85"/>
        <v>正确</v>
      </c>
      <c r="P812" s="21">
        <v>0</v>
      </c>
      <c r="Q812" s="21">
        <v>8.65</v>
      </c>
      <c r="R812" s="21">
        <v>0</v>
      </c>
      <c r="S812" s="21">
        <f t="shared" si="86"/>
        <v>8.65</v>
      </c>
      <c r="T812" s="21">
        <f t="shared" si="87"/>
        <v>0.65</v>
      </c>
      <c r="U812" s="21" t="str">
        <f t="shared" si="88"/>
        <v>是</v>
      </c>
      <c r="V812" s="21">
        <f>VLOOKUP($C812,[4]Sheet1!$B:$AN,39,FALSE)</f>
        <v>17.2</v>
      </c>
      <c r="W812" s="21">
        <v>0</v>
      </c>
      <c r="X812" s="23">
        <v>4</v>
      </c>
      <c r="Y812" s="23">
        <v>4</v>
      </c>
      <c r="Z812" s="25">
        <f t="shared" si="89"/>
        <v>0</v>
      </c>
      <c r="AA812" s="25" t="str">
        <f t="shared" si="90"/>
        <v>是</v>
      </c>
      <c r="AB812" t="s">
        <v>148</v>
      </c>
      <c r="AC812" t="e">
        <f>VLOOKUP(C812,[1]Sheet1!$C:$O,13,FALSE)</f>
        <v>#N/A</v>
      </c>
      <c r="AD812" t="str">
        <f>VLOOKUP($H812,'[3]0509人员排班情况 副本'!$G:$U,12,FALSE)</f>
        <v>肖芦莉Lily (Luli Xiao)</v>
      </c>
      <c r="AE812" t="str">
        <f>VLOOKUP($H812,'[3]0509人员排班情况 副本'!$G:$U,13,FALSE)</f>
        <v>张骥Ji Zhang (Ji Zhang)</v>
      </c>
      <c r="AF812">
        <f>VLOOKUP($H812,'[3]0509人员排班情况 副本'!$G:$U,14,FALSE)</f>
        <v>0</v>
      </c>
      <c r="AG812">
        <f>VLOOKUP($H812,'[3]0509人员排班情况 副本'!$G:$U,15,FALSE)</f>
        <v>0</v>
      </c>
    </row>
    <row r="813" customHeight="1" spans="1:33">
      <c r="A813" t="s">
        <v>202</v>
      </c>
      <c r="B813" t="s">
        <v>2462</v>
      </c>
      <c r="C813" t="s">
        <v>2463</v>
      </c>
      <c r="D813" t="s">
        <v>100</v>
      </c>
      <c r="E813" t="s">
        <v>29</v>
      </c>
      <c r="F813" t="s">
        <v>200</v>
      </c>
      <c r="H813" t="str">
        <f t="shared" si="84"/>
        <v>WE 美西大区运营支持部区域支持组</v>
      </c>
      <c r="I813" t="s">
        <v>201</v>
      </c>
      <c r="J813" t="s">
        <v>236</v>
      </c>
      <c r="K813" s="15">
        <v>0.395833333333333</v>
      </c>
      <c r="L813" s="15" t="s">
        <v>218</v>
      </c>
      <c r="M813" s="15"/>
      <c r="N813" t="s">
        <v>148</v>
      </c>
      <c r="O813" s="20" t="str">
        <f t="shared" si="85"/>
        <v>不正确</v>
      </c>
      <c r="P813" s="21">
        <v>0</v>
      </c>
      <c r="Q813" s="21">
        <v>0</v>
      </c>
      <c r="R813" s="21">
        <v>0</v>
      </c>
      <c r="S813" s="21">
        <f t="shared" si="86"/>
        <v>0</v>
      </c>
      <c r="T813" s="21">
        <f t="shared" si="87"/>
        <v>0</v>
      </c>
      <c r="U813" s="21" t="str">
        <f t="shared" si="88"/>
        <v>否</v>
      </c>
      <c r="V813" s="21">
        <f>VLOOKUP($C813,[4]Sheet1!$B:$AN,39,FALSE)</f>
        <v>8.1</v>
      </c>
      <c r="W813" s="21">
        <v>0</v>
      </c>
      <c r="X813" s="23">
        <v>0</v>
      </c>
      <c r="Y813" s="23">
        <v>0</v>
      </c>
      <c r="Z813" s="25">
        <f t="shared" si="89"/>
        <v>0</v>
      </c>
      <c r="AA813" s="25" t="str">
        <f t="shared" si="90"/>
        <v>是</v>
      </c>
      <c r="AB813" t="s">
        <v>495</v>
      </c>
      <c r="AC813" t="e">
        <f>VLOOKUP(C813,[1]Sheet1!$C:$O,13,FALSE)</f>
        <v>#N/A</v>
      </c>
      <c r="AD813" t="str">
        <f>VLOOKUP($H813,'[3]0509人员排班情况 副本'!$G:$U,12,FALSE)</f>
        <v>王骞Ariel（Qian Wang）,叶秀芳Freya (Xiufang Ye)</v>
      </c>
      <c r="AE813" t="str">
        <f>VLOOKUP($H813,'[3]0509人员排班情况 副本'!$G:$U,13,FALSE)</f>
        <v>常哲</v>
      </c>
      <c r="AF813">
        <f>VLOOKUP($H813,'[3]0509人员排班情况 副本'!$G:$U,14,FALSE)</f>
        <v>0</v>
      </c>
      <c r="AG813">
        <f>VLOOKUP($H813,'[3]0509人员排班情况 副本'!$G:$U,15,FALSE)</f>
        <v>0</v>
      </c>
    </row>
    <row r="814" customHeight="1" spans="1:33">
      <c r="A814" t="s">
        <v>202</v>
      </c>
      <c r="B814" t="s">
        <v>2464</v>
      </c>
      <c r="C814" t="s">
        <v>2465</v>
      </c>
      <c r="D814" t="s">
        <v>11</v>
      </c>
      <c r="E814" t="s">
        <v>148</v>
      </c>
      <c r="F814" t="s">
        <v>148</v>
      </c>
      <c r="H814" t="str">
        <f t="shared" si="84"/>
        <v>BM 品牌市场部</v>
      </c>
      <c r="I814" t="s">
        <v>1067</v>
      </c>
      <c r="J814" t="s">
        <v>236</v>
      </c>
      <c r="K814" s="15">
        <v>0.395833333333333</v>
      </c>
      <c r="L814" s="15" t="s">
        <v>218</v>
      </c>
      <c r="M814" s="15">
        <v>0.420833333333333</v>
      </c>
      <c r="N814" t="s">
        <v>1244</v>
      </c>
      <c r="O814" s="20" t="str">
        <f t="shared" si="85"/>
        <v>正确</v>
      </c>
      <c r="P814" s="21">
        <v>0</v>
      </c>
      <c r="Q814" s="21">
        <v>7.93</v>
      </c>
      <c r="R814" s="21">
        <v>0</v>
      </c>
      <c r="S814" s="21">
        <f t="shared" si="86"/>
        <v>7.93</v>
      </c>
      <c r="T814" s="21">
        <f t="shared" si="87"/>
        <v>0</v>
      </c>
      <c r="U814" s="21" t="str">
        <f t="shared" si="88"/>
        <v>否</v>
      </c>
      <c r="V814" s="21">
        <f>VLOOKUP($C814,[4]Sheet1!$B:$AN,39,FALSE)</f>
        <v>16</v>
      </c>
      <c r="W814" s="21">
        <v>0</v>
      </c>
      <c r="X814" s="23">
        <v>2</v>
      </c>
      <c r="Y814" s="23">
        <v>4</v>
      </c>
      <c r="Z814" s="25">
        <f t="shared" si="89"/>
        <v>2</v>
      </c>
      <c r="AA814" s="25" t="str">
        <f t="shared" si="90"/>
        <v>是</v>
      </c>
      <c r="AB814" t="s">
        <v>148</v>
      </c>
      <c r="AC814" t="e">
        <f>VLOOKUP(C814,[1]Sheet1!$C:$O,13,FALSE)</f>
        <v>#N/A</v>
      </c>
      <c r="AD814" t="str">
        <f>VLOOKUP($H814,'[3]0509人员排班情况 副本'!$G:$U,12,FALSE)</f>
        <v>袁博闻(Bowen Yuan)</v>
      </c>
      <c r="AE814">
        <f>VLOOKUP($H814,'[3]0509人员排班情况 副本'!$G:$U,13,FALSE)</f>
        <v>0</v>
      </c>
      <c r="AF814">
        <f>VLOOKUP($H814,'[3]0509人员排班情况 副本'!$G:$U,14,FALSE)</f>
        <v>0</v>
      </c>
      <c r="AG814">
        <f>VLOOKUP($H814,'[3]0509人员排班情况 副本'!$G:$U,15,FALSE)</f>
        <v>0</v>
      </c>
    </row>
    <row r="815" customHeight="1" spans="1:33">
      <c r="A815" t="s">
        <v>202</v>
      </c>
      <c r="B815" t="s">
        <v>2466</v>
      </c>
      <c r="C815" t="s">
        <v>2467</v>
      </c>
      <c r="D815" t="s">
        <v>48</v>
      </c>
      <c r="E815" t="s">
        <v>50</v>
      </c>
      <c r="F815" t="s">
        <v>159</v>
      </c>
      <c r="H815" t="str">
        <f t="shared" si="84"/>
        <v>Ground项目部OG 美南区ATL.G</v>
      </c>
      <c r="I815" t="s">
        <v>654</v>
      </c>
      <c r="J815" t="s">
        <v>282</v>
      </c>
      <c r="K815" s="15">
        <v>0.416666666666667</v>
      </c>
      <c r="L815" s="15" t="s">
        <v>283</v>
      </c>
      <c r="M815" s="15"/>
      <c r="N815" t="s">
        <v>148</v>
      </c>
      <c r="O815" s="20" t="str">
        <f t="shared" si="85"/>
        <v>不正确</v>
      </c>
      <c r="P815" s="21">
        <v>0</v>
      </c>
      <c r="Q815" s="21">
        <v>0</v>
      </c>
      <c r="R815" s="21">
        <v>0</v>
      </c>
      <c r="S815" s="21">
        <f t="shared" si="86"/>
        <v>0</v>
      </c>
      <c r="T815" s="21">
        <f t="shared" si="87"/>
        <v>0</v>
      </c>
      <c r="U815" s="21" t="str">
        <f t="shared" si="88"/>
        <v>否</v>
      </c>
      <c r="V815" s="21">
        <f>VLOOKUP($C815,[4]Sheet1!$B:$AN,39,FALSE)</f>
        <v>0</v>
      </c>
      <c r="W815" s="21">
        <v>0</v>
      </c>
      <c r="X815" s="23">
        <v>0</v>
      </c>
      <c r="Y815" s="23">
        <v>4</v>
      </c>
      <c r="Z815" s="25">
        <f t="shared" si="89"/>
        <v>4</v>
      </c>
      <c r="AA815" s="25" t="str">
        <f t="shared" si="90"/>
        <v>是</v>
      </c>
      <c r="AB815" t="s">
        <v>148</v>
      </c>
      <c r="AC815" t="e">
        <f>VLOOKUP(C815,[1]Sheet1!$C:$O,13,FALSE)</f>
        <v>#N/A</v>
      </c>
      <c r="AD815" t="str">
        <f>VLOOKUP($H815,'[3]0509人员排班情况 副本'!$G:$U,12,FALSE)</f>
        <v>王安琪 (Anqi Wang),张朱同 Thomson（Zhutong Zhang）</v>
      </c>
      <c r="AE815" t="str">
        <f>VLOOKUP($H815,'[3]0509人员排班情况 副本'!$G:$U,13,FALSE)</f>
        <v>陈锦昭</v>
      </c>
      <c r="AF815" t="str">
        <f>VLOOKUP($H815,'[3]0509人员排班情况 副本'!$G:$U,14,FALSE)</f>
        <v>金筱燕Sharon（Xiaoyan Jin）</v>
      </c>
      <c r="AG815">
        <f>VLOOKUP($H815,'[3]0509人员排班情况 副本'!$G:$U,15,FALSE)</f>
        <v>0</v>
      </c>
    </row>
    <row r="816" customHeight="1" spans="1:33">
      <c r="A816" t="s">
        <v>202</v>
      </c>
      <c r="B816" t="s">
        <v>2468</v>
      </c>
      <c r="C816" t="s">
        <v>2469</v>
      </c>
      <c r="D816" t="s">
        <v>15</v>
      </c>
      <c r="E816" t="s">
        <v>20</v>
      </c>
      <c r="F816" t="s">
        <v>312</v>
      </c>
      <c r="G816" t="s">
        <v>112</v>
      </c>
      <c r="H816" t="str">
        <f t="shared" si="84"/>
        <v>FL 佛州大区MIA.H异常处理组</v>
      </c>
      <c r="I816" t="s">
        <v>313</v>
      </c>
      <c r="J816" t="s">
        <v>295</v>
      </c>
      <c r="K816" s="15">
        <v>0.375</v>
      </c>
      <c r="L816" s="15" t="s">
        <v>296</v>
      </c>
      <c r="M816" s="15">
        <v>0.36875</v>
      </c>
      <c r="N816" t="s">
        <v>296</v>
      </c>
      <c r="O816" s="20" t="str">
        <f t="shared" si="85"/>
        <v>正确</v>
      </c>
      <c r="P816" s="21">
        <v>0</v>
      </c>
      <c r="Q816" s="21">
        <v>8.15</v>
      </c>
      <c r="R816" s="21">
        <v>0</v>
      </c>
      <c r="S816" s="21">
        <f t="shared" si="86"/>
        <v>8.15</v>
      </c>
      <c r="T816" s="21">
        <f t="shared" si="87"/>
        <v>0.15</v>
      </c>
      <c r="U816" s="21" t="str">
        <f t="shared" si="88"/>
        <v>是</v>
      </c>
      <c r="V816" s="21">
        <f>VLOOKUP($C816,[4]Sheet1!$B:$AN,39,FALSE)</f>
        <v>16.43</v>
      </c>
      <c r="W816" s="21">
        <v>0</v>
      </c>
      <c r="X816" s="23">
        <v>4</v>
      </c>
      <c r="Y816" s="23">
        <v>4</v>
      </c>
      <c r="Z816" s="25">
        <f t="shared" si="89"/>
        <v>0</v>
      </c>
      <c r="AA816" s="25" t="str">
        <f t="shared" si="90"/>
        <v>是</v>
      </c>
      <c r="AB816" t="s">
        <v>148</v>
      </c>
      <c r="AC816" t="e">
        <f>VLOOKUP(C816,[1]Sheet1!$C:$O,13,FALSE)</f>
        <v>#N/A</v>
      </c>
      <c r="AD816" t="str">
        <f>VLOOKUP($H816,'[3]0509人员排班情况 副本'!$G:$U,12,FALSE)</f>
        <v>Natalia (Natalia Padilla),孙婕 Jasmine（Sunjie）</v>
      </c>
      <c r="AE816" t="str">
        <f>VLOOKUP($H816,'[3]0509人员排班情况 副本'!$G:$U,13,FALSE)</f>
        <v>贺子强Jeff (Ziqiang He)</v>
      </c>
      <c r="AF816" t="str">
        <f>VLOOKUP($H816,'[3]0509人员排班情况 副本'!$G:$U,14,FALSE)</f>
        <v>Minqing (Minqing Xu),罗煜雄 Mike (Yuxiong Luo)</v>
      </c>
      <c r="AG816">
        <f>VLOOKUP($H816,'[3]0509人员排班情况 副本'!$G:$U,15,FALSE)</f>
        <v>0</v>
      </c>
    </row>
    <row r="817" customHeight="1" spans="1:33">
      <c r="A817" t="s">
        <v>202</v>
      </c>
      <c r="B817" t="s">
        <v>2470</v>
      </c>
      <c r="C817" t="s">
        <v>2471</v>
      </c>
      <c r="D817" t="s">
        <v>100</v>
      </c>
      <c r="E817" t="s">
        <v>101</v>
      </c>
      <c r="F817" t="s">
        <v>275</v>
      </c>
      <c r="G817" t="s">
        <v>112</v>
      </c>
      <c r="H817" t="str">
        <f t="shared" si="84"/>
        <v>WE 美西大区CNO.H分拣组</v>
      </c>
      <c r="I817" t="s">
        <v>303</v>
      </c>
      <c r="J817" t="s">
        <v>217</v>
      </c>
      <c r="K817" s="15">
        <v>0.395833333333333</v>
      </c>
      <c r="L817" s="15" t="s">
        <v>218</v>
      </c>
      <c r="M817" s="15"/>
      <c r="N817" t="s">
        <v>148</v>
      </c>
      <c r="O817" s="20" t="s">
        <v>116</v>
      </c>
      <c r="P817" s="21">
        <v>0</v>
      </c>
      <c r="Q817" s="21">
        <v>0</v>
      </c>
      <c r="R817" s="21">
        <v>0</v>
      </c>
      <c r="S817" s="21">
        <f t="shared" si="86"/>
        <v>0</v>
      </c>
      <c r="T817" s="21">
        <f t="shared" si="87"/>
        <v>0</v>
      </c>
      <c r="U817" s="21" t="str">
        <f t="shared" si="88"/>
        <v>否</v>
      </c>
      <c r="V817" s="21">
        <f>VLOOKUP($C817,[4]Sheet1!$B:$AN,39,FALSE)</f>
        <v>0</v>
      </c>
      <c r="W817" s="21">
        <v>0</v>
      </c>
      <c r="X817" s="23">
        <v>0</v>
      </c>
      <c r="Y817" s="23">
        <v>0</v>
      </c>
      <c r="Z817" s="25">
        <f t="shared" si="89"/>
        <v>0</v>
      </c>
      <c r="AA817" s="25" t="str">
        <f t="shared" si="90"/>
        <v>是</v>
      </c>
      <c r="AB817" t="s">
        <v>148</v>
      </c>
      <c r="AC817" t="e">
        <f>VLOOKUP(C817,[1]Sheet1!$C:$O,13,FALSE)</f>
        <v>#N/A</v>
      </c>
      <c r="AD817" t="str">
        <f>VLOOKUP($H817,'[3]0509人员排班情况 副本'!$G:$U,12,FALSE)</f>
        <v>王骞Ariel（Qian Wang）,叶秀芳Freya (Xiufang Ye)</v>
      </c>
      <c r="AE817" t="str">
        <f>VLOOKUP($H817,'[3]0509人员排班情况 副本'!$G:$U,13,FALSE)</f>
        <v>常哲</v>
      </c>
      <c r="AF817" t="str">
        <f>VLOOKUP($H817,'[3]0509人员排班情况 副本'!$G:$U,14,FALSE)</f>
        <v>张双甫(Shuangfu Zhang)</v>
      </c>
      <c r="AG817">
        <f>VLOOKUP($H817,'[3]0509人员排班情况 副本'!$G:$U,15,FALSE)</f>
        <v>0</v>
      </c>
    </row>
    <row r="818" customHeight="1" spans="1:33">
      <c r="A818" t="s">
        <v>202</v>
      </c>
      <c r="B818" t="s">
        <v>2472</v>
      </c>
      <c r="C818" t="s">
        <v>2473</v>
      </c>
      <c r="D818" t="s">
        <v>100</v>
      </c>
      <c r="E818" t="s">
        <v>103</v>
      </c>
      <c r="F818" t="s">
        <v>275</v>
      </c>
      <c r="G818" t="s">
        <v>112</v>
      </c>
      <c r="H818" t="str">
        <f t="shared" si="84"/>
        <v>WE 美西大区LAV.H分拣组</v>
      </c>
      <c r="I818" t="s">
        <v>303</v>
      </c>
      <c r="J818" t="s">
        <v>221</v>
      </c>
      <c r="K818" s="15">
        <v>0.208333333333333</v>
      </c>
      <c r="L818" s="15" t="s">
        <v>222</v>
      </c>
      <c r="M818" s="15">
        <v>0.202083333333333</v>
      </c>
      <c r="N818" t="s">
        <v>1432</v>
      </c>
      <c r="O818" s="20" t="str">
        <f t="shared" si="85"/>
        <v>正确</v>
      </c>
      <c r="P818" s="21">
        <v>0</v>
      </c>
      <c r="Q818" s="21">
        <v>11.32</v>
      </c>
      <c r="R818" s="21">
        <v>0</v>
      </c>
      <c r="S818" s="21">
        <f t="shared" si="86"/>
        <v>11.32</v>
      </c>
      <c r="T818" s="21">
        <f t="shared" si="87"/>
        <v>3.32</v>
      </c>
      <c r="U818" s="21" t="str">
        <f t="shared" si="88"/>
        <v>是</v>
      </c>
      <c r="V818" s="21">
        <f>VLOOKUP($C818,[4]Sheet1!$B:$AN,39,FALSE)</f>
        <v>22.52</v>
      </c>
      <c r="W818" s="21">
        <v>0</v>
      </c>
      <c r="X818" s="23">
        <v>4</v>
      </c>
      <c r="Y818" s="23">
        <v>4</v>
      </c>
      <c r="Z818" s="25">
        <f t="shared" si="89"/>
        <v>0</v>
      </c>
      <c r="AA818" s="25" t="str">
        <f t="shared" si="90"/>
        <v>是</v>
      </c>
      <c r="AB818" t="s">
        <v>148</v>
      </c>
      <c r="AC818" t="e">
        <f>VLOOKUP(C818,[1]Sheet1!$C:$O,13,FALSE)</f>
        <v>#N/A</v>
      </c>
      <c r="AD818" t="str">
        <f>VLOOKUP($H818,'[3]0509人员排班情况 副本'!$G:$U,12,FALSE)</f>
        <v>王骞Ariel（Qian Wang）,叶秀芳Freya (Xiufang Ye)</v>
      </c>
      <c r="AE818" t="str">
        <f>VLOOKUP($H818,'[3]0509人员排班情况 副本'!$G:$U,13,FALSE)</f>
        <v>常哲</v>
      </c>
      <c r="AF818" t="str">
        <f>VLOOKUP($H818,'[3]0509人员排班情况 副本'!$G:$U,14,FALSE)</f>
        <v>张双甫(Shuangfu Zhang)</v>
      </c>
      <c r="AG818">
        <f>VLOOKUP($H818,'[3]0509人员排班情况 副本'!$G:$U,15,FALSE)</f>
        <v>0</v>
      </c>
    </row>
    <row r="819" customHeight="1" spans="1:33">
      <c r="A819" t="s">
        <v>202</v>
      </c>
      <c r="B819" t="s">
        <v>2474</v>
      </c>
      <c r="C819" t="s">
        <v>2475</v>
      </c>
      <c r="D819" t="s">
        <v>14</v>
      </c>
      <c r="E819" t="s">
        <v>645</v>
      </c>
      <c r="F819" t="s">
        <v>148</v>
      </c>
      <c r="H819" t="str">
        <f t="shared" si="84"/>
        <v>DO 数字运营部美国技术支持组</v>
      </c>
      <c r="I819" t="s">
        <v>2476</v>
      </c>
      <c r="J819" t="s">
        <v>295</v>
      </c>
      <c r="K819" s="15">
        <v>0.375</v>
      </c>
      <c r="L819" s="15" t="s">
        <v>296</v>
      </c>
      <c r="M819" s="15">
        <v>0.375</v>
      </c>
      <c r="N819" t="s">
        <v>296</v>
      </c>
      <c r="O819" s="20" t="str">
        <f t="shared" si="85"/>
        <v>正确</v>
      </c>
      <c r="P819" s="21">
        <v>0</v>
      </c>
      <c r="Q819" s="21">
        <v>8</v>
      </c>
      <c r="R819" s="21">
        <v>0</v>
      </c>
      <c r="S819" s="21">
        <f t="shared" si="86"/>
        <v>8</v>
      </c>
      <c r="T819" s="21">
        <f t="shared" si="87"/>
        <v>0</v>
      </c>
      <c r="U819" s="21" t="str">
        <f t="shared" si="88"/>
        <v>否</v>
      </c>
      <c r="V819" s="21">
        <f>VLOOKUP($C819,[4]Sheet1!$B:$AN,39,FALSE)</f>
        <v>16</v>
      </c>
      <c r="W819" s="21">
        <v>0</v>
      </c>
      <c r="X819" s="23">
        <v>2</v>
      </c>
      <c r="Y819" s="23">
        <v>4</v>
      </c>
      <c r="Z819" s="25">
        <f t="shared" si="89"/>
        <v>2</v>
      </c>
      <c r="AA819" s="25" t="str">
        <f t="shared" si="90"/>
        <v>是</v>
      </c>
      <c r="AB819" t="s">
        <v>148</v>
      </c>
      <c r="AC819" t="e">
        <f>VLOOKUP(C819,[1]Sheet1!$C:$O,13,FALSE)</f>
        <v>#N/A</v>
      </c>
      <c r="AD819" t="str">
        <f>VLOOKUP($H819,'[3]0509人员排班情况 副本'!$G:$U,12,FALSE)</f>
        <v>袁博闻(Bowen Yuan)</v>
      </c>
      <c r="AE819">
        <f>VLOOKUP($H819,'[3]0509人员排班情况 副本'!$G:$U,13,FALSE)</f>
        <v>0</v>
      </c>
      <c r="AF819">
        <f>VLOOKUP($H819,'[3]0509人员排班情况 副本'!$G:$U,14,FALSE)</f>
        <v>0</v>
      </c>
      <c r="AG819">
        <f>VLOOKUP($H819,'[3]0509人员排班情况 副本'!$G:$U,15,FALSE)</f>
        <v>0</v>
      </c>
    </row>
    <row r="820" customHeight="1" spans="1:33">
      <c r="A820" t="s">
        <v>202</v>
      </c>
      <c r="B820" t="s">
        <v>2477</v>
      </c>
      <c r="C820" t="s">
        <v>2478</v>
      </c>
      <c r="D820" t="s">
        <v>31</v>
      </c>
      <c r="E820" t="s">
        <v>41</v>
      </c>
      <c r="F820" t="s">
        <v>166</v>
      </c>
      <c r="G820" t="s">
        <v>112</v>
      </c>
      <c r="H820" t="str">
        <f t="shared" si="84"/>
        <v>GL 大湖大区ORD.H综办组</v>
      </c>
      <c r="I820" t="s">
        <v>1284</v>
      </c>
      <c r="J820" t="s">
        <v>343</v>
      </c>
      <c r="K820" s="15">
        <v>0.25</v>
      </c>
      <c r="L820" s="15" t="s">
        <v>344</v>
      </c>
      <c r="M820" s="15">
        <v>0.247222222222222</v>
      </c>
      <c r="N820" t="s">
        <v>2479</v>
      </c>
      <c r="O820" s="20" t="str">
        <f t="shared" si="85"/>
        <v>正确</v>
      </c>
      <c r="P820" s="21">
        <v>0</v>
      </c>
      <c r="Q820" s="21">
        <v>9</v>
      </c>
      <c r="R820" s="21">
        <v>0</v>
      </c>
      <c r="S820" s="21">
        <f t="shared" si="86"/>
        <v>9</v>
      </c>
      <c r="T820" s="21">
        <f t="shared" si="87"/>
        <v>1</v>
      </c>
      <c r="U820" s="21" t="str">
        <f t="shared" si="88"/>
        <v>是</v>
      </c>
      <c r="V820" s="21">
        <f>VLOOKUP($C820,[4]Sheet1!$B:$AN,39,FALSE)</f>
        <v>18.5</v>
      </c>
      <c r="W820" s="21">
        <v>29</v>
      </c>
      <c r="X820" s="23">
        <v>2</v>
      </c>
      <c r="Y820" s="23">
        <v>4</v>
      </c>
      <c r="Z820" s="25">
        <f t="shared" si="89"/>
        <v>2</v>
      </c>
      <c r="AA820" s="25" t="str">
        <f t="shared" si="90"/>
        <v>是</v>
      </c>
      <c r="AB820" t="s">
        <v>148</v>
      </c>
      <c r="AC820" t="e">
        <f>VLOOKUP(C820,[1]Sheet1!$C:$O,13,FALSE)</f>
        <v>#N/A</v>
      </c>
      <c r="AD820" t="str">
        <f>VLOOKUP($H820,'[3]0509人员排班情况 副本'!$G:$U,12,FALSE)</f>
        <v>王晓丹 Jasmine（Xiaodan Wang）,周延舒Isabel（Yanshu Zhou）</v>
      </c>
      <c r="AE820" t="str">
        <f>VLOOKUP($H820,'[3]0509人员排班情况 副本'!$G:$U,13,FALSE)</f>
        <v>张骥Ji Zhang (Ji Zhang)</v>
      </c>
      <c r="AF820" t="str">
        <f>VLOOKUP($H820,'[3]0509人员排班情况 副本'!$G:$U,14,FALSE)</f>
        <v>Minqing (Minqing Xu),罗煜雄 Mike (Yuxiong Luo)</v>
      </c>
      <c r="AG820">
        <f>VLOOKUP($H820,'[3]0509人员排班情况 副本'!$G:$U,15,FALSE)</f>
        <v>0</v>
      </c>
    </row>
    <row r="821" customHeight="1" spans="1:33">
      <c r="A821" t="s">
        <v>202</v>
      </c>
      <c r="B821" t="s">
        <v>2480</v>
      </c>
      <c r="C821" t="s">
        <v>2481</v>
      </c>
      <c r="D821" t="s">
        <v>99</v>
      </c>
      <c r="E821" t="s">
        <v>677</v>
      </c>
      <c r="F821" t="s">
        <v>864</v>
      </c>
      <c r="H821" t="str">
        <f t="shared" si="84"/>
        <v>US人力资源部美洲HRBP组招聘组</v>
      </c>
      <c r="I821" t="s">
        <v>865</v>
      </c>
      <c r="J821" t="s">
        <v>236</v>
      </c>
      <c r="K821" s="15">
        <v>0.395833333333333</v>
      </c>
      <c r="L821" s="15" t="s">
        <v>218</v>
      </c>
      <c r="M821" s="15">
        <v>0.382638888888889</v>
      </c>
      <c r="N821" t="s">
        <v>381</v>
      </c>
      <c r="O821" s="20" t="str">
        <f t="shared" si="85"/>
        <v>正确</v>
      </c>
      <c r="P821" s="21">
        <v>0</v>
      </c>
      <c r="Q821" s="21">
        <v>9.25</v>
      </c>
      <c r="R821" s="21">
        <v>0</v>
      </c>
      <c r="S821" s="21">
        <f t="shared" si="86"/>
        <v>9.25</v>
      </c>
      <c r="T821" s="21">
        <f t="shared" si="87"/>
        <v>1.25</v>
      </c>
      <c r="U821" s="21" t="str">
        <f t="shared" si="88"/>
        <v>是</v>
      </c>
      <c r="V821" s="21">
        <f>VLOOKUP($C821,[4]Sheet1!$B:$AN,39,FALSE)</f>
        <v>18.03</v>
      </c>
      <c r="W821" s="21">
        <v>0</v>
      </c>
      <c r="X821" s="23">
        <v>2</v>
      </c>
      <c r="Y821" s="23">
        <v>4</v>
      </c>
      <c r="Z821" s="25">
        <f t="shared" si="89"/>
        <v>2</v>
      </c>
      <c r="AA821" s="25" t="str">
        <f t="shared" si="90"/>
        <v>是</v>
      </c>
      <c r="AB821" t="s">
        <v>148</v>
      </c>
      <c r="AC821" t="e">
        <f>VLOOKUP(C821,[1]Sheet1!$C:$O,13,FALSE)</f>
        <v>#N/A</v>
      </c>
      <c r="AD821" t="str">
        <f>VLOOKUP($H821,'[3]0509人员排班情况 副本'!$G:$U,12,FALSE)</f>
        <v>袁博闻(Bowen Yuan)</v>
      </c>
      <c r="AE821">
        <f>VLOOKUP($H821,'[3]0509人员排班情况 副本'!$G:$U,13,FALSE)</f>
        <v>0</v>
      </c>
      <c r="AF821">
        <f>VLOOKUP($H821,'[3]0509人员排班情况 副本'!$G:$U,14,FALSE)</f>
        <v>0</v>
      </c>
      <c r="AG821">
        <f>VLOOKUP($H821,'[3]0509人员排班情况 副本'!$G:$U,15,FALSE)</f>
        <v>0</v>
      </c>
    </row>
    <row r="822" customHeight="1" spans="1:33">
      <c r="A822" t="s">
        <v>202</v>
      </c>
      <c r="B822" t="s">
        <v>2482</v>
      </c>
      <c r="C822" t="s">
        <v>2483</v>
      </c>
      <c r="D822" t="s">
        <v>48</v>
      </c>
      <c r="E822" t="s">
        <v>51</v>
      </c>
      <c r="F822" t="s">
        <v>563</v>
      </c>
      <c r="G822" t="s">
        <v>112</v>
      </c>
      <c r="H822" t="str">
        <f t="shared" si="84"/>
        <v>Ground项目部OG 美西区CNO.G</v>
      </c>
      <c r="I822" t="s">
        <v>1284</v>
      </c>
      <c r="J822" t="s">
        <v>975</v>
      </c>
      <c r="K822" s="15">
        <v>0.3125</v>
      </c>
      <c r="L822" s="15" t="s">
        <v>976</v>
      </c>
      <c r="M822" s="15">
        <v>0.345138888888889</v>
      </c>
      <c r="N822" t="s">
        <v>1094</v>
      </c>
      <c r="O822" s="20" t="str">
        <f t="shared" si="85"/>
        <v>正确</v>
      </c>
      <c r="P822" s="21">
        <v>0</v>
      </c>
      <c r="Q822" s="21">
        <v>7.52</v>
      </c>
      <c r="R822" s="21">
        <v>0</v>
      </c>
      <c r="S822" s="21">
        <f t="shared" si="86"/>
        <v>7.52</v>
      </c>
      <c r="T822" s="21">
        <f t="shared" si="87"/>
        <v>0</v>
      </c>
      <c r="U822" s="21" t="str">
        <f t="shared" si="88"/>
        <v>否</v>
      </c>
      <c r="V822" s="21">
        <f>VLOOKUP($C822,[4]Sheet1!$B:$AN,39,FALSE)</f>
        <v>15.84</v>
      </c>
      <c r="W822" s="21">
        <v>0</v>
      </c>
      <c r="X822" s="23">
        <v>4</v>
      </c>
      <c r="Y822" s="23">
        <v>4</v>
      </c>
      <c r="Z822" s="25">
        <f t="shared" si="89"/>
        <v>0</v>
      </c>
      <c r="AA822" s="25" t="str">
        <f t="shared" si="90"/>
        <v>是</v>
      </c>
      <c r="AB822" t="s">
        <v>148</v>
      </c>
      <c r="AC822" t="e">
        <f>VLOOKUP(C822,[1]Sheet1!$C:$O,13,FALSE)</f>
        <v>#N/A</v>
      </c>
      <c r="AD822" t="str">
        <f>VLOOKUP($H822,'[3]0509人员排班情况 副本'!$G:$U,12,FALSE)</f>
        <v>王安琪 (Anqi Wang),张朱同 Thomson（Zhutong Zhang）</v>
      </c>
      <c r="AE822" t="str">
        <f>VLOOKUP($H822,'[3]0509人员排班情况 副本'!$G:$U,13,FALSE)</f>
        <v>陈锦昭</v>
      </c>
      <c r="AF822" t="str">
        <f>VLOOKUP($H822,'[3]0509人员排班情况 副本'!$G:$U,14,FALSE)</f>
        <v>张弘毅 Hongyi （Hongyi Zhang）</v>
      </c>
      <c r="AG822">
        <f>VLOOKUP($H822,'[3]0509人员排班情况 副本'!$G:$U,15,FALSE)</f>
        <v>0</v>
      </c>
    </row>
    <row r="823" customHeight="1" spans="1:33">
      <c r="A823" t="s">
        <v>202</v>
      </c>
      <c r="B823" t="s">
        <v>2484</v>
      </c>
      <c r="C823" t="s">
        <v>2485</v>
      </c>
      <c r="D823" t="s">
        <v>68</v>
      </c>
      <c r="E823" t="s">
        <v>73</v>
      </c>
      <c r="F823" t="s">
        <v>148</v>
      </c>
      <c r="G823" t="s">
        <v>112</v>
      </c>
      <c r="H823" t="str">
        <f t="shared" si="84"/>
        <v>NE 东北大区BWI.H</v>
      </c>
      <c r="I823" t="s">
        <v>965</v>
      </c>
      <c r="J823" t="s">
        <v>282</v>
      </c>
      <c r="K823" s="15">
        <v>0.416666666666667</v>
      </c>
      <c r="L823" s="15" t="s">
        <v>283</v>
      </c>
      <c r="M823" s="15">
        <v>0.427777777777778</v>
      </c>
      <c r="N823" t="s">
        <v>656</v>
      </c>
      <c r="O823" s="20" t="str">
        <f t="shared" si="85"/>
        <v>正确</v>
      </c>
      <c r="P823" s="21">
        <v>0</v>
      </c>
      <c r="Q823" s="21">
        <v>11.73</v>
      </c>
      <c r="R823" s="21">
        <v>0</v>
      </c>
      <c r="S823" s="21">
        <f t="shared" si="86"/>
        <v>11.73</v>
      </c>
      <c r="T823" s="21">
        <f t="shared" si="87"/>
        <v>3.73</v>
      </c>
      <c r="U823" s="21" t="str">
        <f t="shared" si="88"/>
        <v>是</v>
      </c>
      <c r="V823" s="21">
        <f>VLOOKUP($C823,[4]Sheet1!$B:$AN,39,FALSE)</f>
        <v>25.76</v>
      </c>
      <c r="W823" s="21">
        <v>0</v>
      </c>
      <c r="X823" s="23">
        <v>4</v>
      </c>
      <c r="Y823" s="23">
        <v>4</v>
      </c>
      <c r="Z823" s="25">
        <f t="shared" si="89"/>
        <v>0</v>
      </c>
      <c r="AA823" s="25" t="str">
        <f t="shared" si="90"/>
        <v>是</v>
      </c>
      <c r="AB823" t="s">
        <v>148</v>
      </c>
      <c r="AC823" t="e">
        <f>VLOOKUP(C823,[1]Sheet1!$C:$O,13,FALSE)</f>
        <v>#N/A</v>
      </c>
      <c r="AD823" t="str">
        <f>VLOOKUP($H823,'[3]0509人员排班情况 副本'!$G:$U,12,FALSE)</f>
        <v>孙可君Monica（Kejun Sun）</v>
      </c>
      <c r="AE823" t="str">
        <f>VLOOKUP($H823,'[3]0509人员排班情况 副本'!$G:$U,13,FALSE)</f>
        <v>马聪Cong (Cong Ma)</v>
      </c>
      <c r="AF823">
        <f>VLOOKUP($H823,'[3]0509人员排班情况 副本'!$G:$U,14,FALSE)</f>
        <v>0</v>
      </c>
      <c r="AG823">
        <f>VLOOKUP($H823,'[3]0509人员排班情况 副本'!$G:$U,15,FALSE)</f>
        <v>0</v>
      </c>
    </row>
    <row r="824" customHeight="1" spans="1:33">
      <c r="A824" t="s">
        <v>202</v>
      </c>
      <c r="B824" t="s">
        <v>2486</v>
      </c>
      <c r="C824" t="s">
        <v>2487</v>
      </c>
      <c r="D824" t="s">
        <v>31</v>
      </c>
      <c r="E824" t="s">
        <v>41</v>
      </c>
      <c r="F824" t="s">
        <v>275</v>
      </c>
      <c r="G824" t="s">
        <v>112</v>
      </c>
      <c r="H824" t="str">
        <f t="shared" si="84"/>
        <v>GL 大湖大区ORD.H分拣组</v>
      </c>
      <c r="I824" t="s">
        <v>303</v>
      </c>
      <c r="J824" t="s">
        <v>2488</v>
      </c>
      <c r="K824" s="15">
        <v>0.645833333333333</v>
      </c>
      <c r="L824" s="15" t="s">
        <v>2489</v>
      </c>
      <c r="M824" s="15">
        <v>0.657638888888889</v>
      </c>
      <c r="N824" t="s">
        <v>148</v>
      </c>
      <c r="O824" s="20" t="str">
        <f t="shared" si="85"/>
        <v>正确</v>
      </c>
      <c r="P824" s="21">
        <v>0</v>
      </c>
      <c r="Q824" s="21">
        <v>0</v>
      </c>
      <c r="R824" s="21">
        <v>0</v>
      </c>
      <c r="S824" s="21">
        <f t="shared" si="86"/>
        <v>0</v>
      </c>
      <c r="T824" s="21">
        <f t="shared" si="87"/>
        <v>0</v>
      </c>
      <c r="U824" s="21" t="str">
        <f t="shared" si="88"/>
        <v>否</v>
      </c>
      <c r="V824" s="21">
        <f>VLOOKUP($C824,[4]Sheet1!$B:$AN,39,FALSE)</f>
        <v>9.88</v>
      </c>
      <c r="W824" s="21">
        <v>0</v>
      </c>
      <c r="X824" s="23">
        <v>1</v>
      </c>
      <c r="Y824" s="23">
        <v>4</v>
      </c>
      <c r="Z824" s="25">
        <f t="shared" si="89"/>
        <v>3</v>
      </c>
      <c r="AA824" s="25" t="str">
        <f t="shared" si="90"/>
        <v>是</v>
      </c>
      <c r="AB824" t="s">
        <v>148</v>
      </c>
      <c r="AC824" t="e">
        <f>VLOOKUP(C824,[1]Sheet1!$C:$O,13,FALSE)</f>
        <v>#N/A</v>
      </c>
      <c r="AD824" t="str">
        <f>VLOOKUP($H824,'[3]0509人员排班情况 副本'!$G:$U,12,FALSE)</f>
        <v>王晓丹 Jasmine（Xiaodan Wang）,周延舒Isabel（Yanshu Zhou）</v>
      </c>
      <c r="AE824" t="str">
        <f>VLOOKUP($H824,'[3]0509人员排班情况 副本'!$G:$U,13,FALSE)</f>
        <v>张骥Ji Zhang (Ji Zhang)</v>
      </c>
      <c r="AF824" t="str">
        <f>VLOOKUP($H824,'[3]0509人员排班情况 副本'!$G:$U,14,FALSE)</f>
        <v>张双甫(Shuangfu Zhang)</v>
      </c>
      <c r="AG824">
        <f>VLOOKUP($H824,'[3]0509人员排班情况 副本'!$G:$U,15,FALSE)</f>
        <v>0</v>
      </c>
    </row>
    <row r="825" customHeight="1" spans="1:33">
      <c r="A825" t="s">
        <v>202</v>
      </c>
      <c r="B825" t="s">
        <v>2490</v>
      </c>
      <c r="C825" t="s">
        <v>2491</v>
      </c>
      <c r="D825" t="s">
        <v>58</v>
      </c>
      <c r="E825" t="s">
        <v>60</v>
      </c>
      <c r="F825" t="s">
        <v>155</v>
      </c>
      <c r="H825" t="str">
        <f t="shared" si="84"/>
        <v>MS 中南大区AS 亚特兰大和南阿拉巴马片区MOB01</v>
      </c>
      <c r="I825" t="s">
        <v>156</v>
      </c>
      <c r="J825" t="s">
        <v>229</v>
      </c>
      <c r="K825" s="15">
        <v>0.270833333333333</v>
      </c>
      <c r="L825" s="15" t="s">
        <v>230</v>
      </c>
      <c r="M825" s="15">
        <v>0.270833333333333</v>
      </c>
      <c r="N825" t="s">
        <v>148</v>
      </c>
      <c r="O825" s="20" t="str">
        <f t="shared" si="85"/>
        <v>正确</v>
      </c>
      <c r="P825" s="21">
        <v>0</v>
      </c>
      <c r="Q825" s="21">
        <v>0</v>
      </c>
      <c r="R825" s="21">
        <v>0</v>
      </c>
      <c r="S825" s="21">
        <f t="shared" si="86"/>
        <v>0</v>
      </c>
      <c r="T825" s="21">
        <f t="shared" si="87"/>
        <v>0</v>
      </c>
      <c r="U825" s="21" t="str">
        <f t="shared" si="88"/>
        <v>否</v>
      </c>
      <c r="V825" s="21">
        <f>VLOOKUP($C825,[4]Sheet1!$B:$AN,39,FALSE)</f>
        <v>0</v>
      </c>
      <c r="W825" s="21">
        <v>0</v>
      </c>
      <c r="X825" s="23">
        <v>2</v>
      </c>
      <c r="Y825" s="23">
        <v>4</v>
      </c>
      <c r="Z825" s="25">
        <f t="shared" si="89"/>
        <v>2</v>
      </c>
      <c r="AA825" s="25" t="str">
        <f t="shared" si="90"/>
        <v>是</v>
      </c>
      <c r="AB825" t="s">
        <v>148</v>
      </c>
      <c r="AC825" t="e">
        <f>VLOOKUP(C825,[1]Sheet1!$C:$O,13,FALSE)</f>
        <v>#N/A</v>
      </c>
      <c r="AD825" t="str">
        <f>VLOOKUP($H825,'[3]0509人员排班情况 副本'!$G:$U,12,FALSE)</f>
        <v>欧阳迎春Flower（Yingchun Ouyang）</v>
      </c>
      <c r="AE825" t="str">
        <f>VLOOKUP($H825,'[3]0509人员排班情况 副本'!$G:$U,13,FALSE)</f>
        <v>杨云飞</v>
      </c>
      <c r="AF825" t="str">
        <f>VLOOKUP($H825,'[3]0509人员排班情况 副本'!$G:$U,14,FALSE)</f>
        <v>曾令桓（Linghuan Zeng）</v>
      </c>
      <c r="AG825">
        <f>VLOOKUP($H825,'[3]0509人员排班情况 副本'!$G:$U,15,FALSE)</f>
        <v>0</v>
      </c>
    </row>
    <row r="826" customHeight="1" spans="1:33">
      <c r="A826" t="s">
        <v>202</v>
      </c>
      <c r="B826" t="s">
        <v>2492</v>
      </c>
      <c r="C826" t="s">
        <v>2493</v>
      </c>
      <c r="D826" t="s">
        <v>31</v>
      </c>
      <c r="E826" t="s">
        <v>41</v>
      </c>
      <c r="F826" t="s">
        <v>275</v>
      </c>
      <c r="G826" t="s">
        <v>112</v>
      </c>
      <c r="H826" t="str">
        <f t="shared" si="84"/>
        <v>GL 大湖大区ORD.H分拣组</v>
      </c>
      <c r="I826" t="s">
        <v>276</v>
      </c>
      <c r="J826" t="s">
        <v>413</v>
      </c>
      <c r="K826" s="15">
        <v>0.9375</v>
      </c>
      <c r="L826" s="15" t="s">
        <v>414</v>
      </c>
      <c r="M826" s="15">
        <v>0.930555555555556</v>
      </c>
      <c r="N826" t="s">
        <v>148</v>
      </c>
      <c r="O826" s="20" t="str">
        <f t="shared" si="85"/>
        <v>正确</v>
      </c>
      <c r="P826" s="21">
        <v>0</v>
      </c>
      <c r="Q826" s="21">
        <v>0</v>
      </c>
      <c r="R826" s="21">
        <v>0</v>
      </c>
      <c r="S826" s="21">
        <f t="shared" si="86"/>
        <v>0</v>
      </c>
      <c r="T826" s="21">
        <f t="shared" si="87"/>
        <v>0</v>
      </c>
      <c r="U826" s="21" t="str">
        <f t="shared" si="88"/>
        <v>否</v>
      </c>
      <c r="V826" s="21">
        <f>VLOOKUP($C826,[4]Sheet1!$B:$AN,39,FALSE)</f>
        <v>8.9</v>
      </c>
      <c r="W826" s="21">
        <v>0</v>
      </c>
      <c r="X826" s="23">
        <v>1</v>
      </c>
      <c r="Y826" s="23">
        <v>4</v>
      </c>
      <c r="Z826" s="25">
        <f t="shared" si="89"/>
        <v>3</v>
      </c>
      <c r="AA826" s="25" t="str">
        <f t="shared" si="90"/>
        <v>是</v>
      </c>
      <c r="AB826" t="s">
        <v>148</v>
      </c>
      <c r="AC826" t="e">
        <f>VLOOKUP(C826,[1]Sheet1!$C:$O,13,FALSE)</f>
        <v>#N/A</v>
      </c>
      <c r="AD826" t="str">
        <f>VLOOKUP($H826,'[3]0509人员排班情况 副本'!$G:$U,12,FALSE)</f>
        <v>王晓丹 Jasmine（Xiaodan Wang）,周延舒Isabel（Yanshu Zhou）</v>
      </c>
      <c r="AE826" t="str">
        <f>VLOOKUP($H826,'[3]0509人员排班情况 副本'!$G:$U,13,FALSE)</f>
        <v>张骥Ji Zhang (Ji Zhang)</v>
      </c>
      <c r="AF826" t="str">
        <f>VLOOKUP($H826,'[3]0509人员排班情况 副本'!$G:$U,14,FALSE)</f>
        <v>张双甫(Shuangfu Zhang)</v>
      </c>
      <c r="AG826">
        <f>VLOOKUP($H826,'[3]0509人员排班情况 副本'!$G:$U,15,FALSE)</f>
        <v>0</v>
      </c>
    </row>
    <row r="827" customHeight="1" spans="1:33">
      <c r="A827" t="s">
        <v>202</v>
      </c>
      <c r="B827" t="s">
        <v>2494</v>
      </c>
      <c r="C827" t="s">
        <v>2495</v>
      </c>
      <c r="D827" t="s">
        <v>100</v>
      </c>
      <c r="E827" t="s">
        <v>101</v>
      </c>
      <c r="F827" t="s">
        <v>850</v>
      </c>
      <c r="G827" t="s">
        <v>112</v>
      </c>
      <c r="H827" t="str">
        <f t="shared" si="84"/>
        <v>WE 美西大区CNO.H维保组</v>
      </c>
      <c r="I827" t="s">
        <v>2496</v>
      </c>
      <c r="J827" t="s">
        <v>304</v>
      </c>
      <c r="K827" s="15">
        <v>0.666666666666667</v>
      </c>
      <c r="L827" s="15" t="s">
        <v>305</v>
      </c>
      <c r="M827" s="15">
        <v>0.663194444444444</v>
      </c>
      <c r="N827" t="s">
        <v>148</v>
      </c>
      <c r="O827" s="20" t="str">
        <f t="shared" si="85"/>
        <v>正确</v>
      </c>
      <c r="P827" s="21">
        <v>0</v>
      </c>
      <c r="Q827" s="21">
        <v>0</v>
      </c>
      <c r="R827" s="21">
        <v>0</v>
      </c>
      <c r="S827" s="21">
        <f t="shared" si="86"/>
        <v>0</v>
      </c>
      <c r="T827" s="21">
        <f t="shared" si="87"/>
        <v>0</v>
      </c>
      <c r="U827" s="21" t="str">
        <f t="shared" si="88"/>
        <v>否</v>
      </c>
      <c r="V827" s="21">
        <f>VLOOKUP($C827,[4]Sheet1!$B:$AN,39,FALSE)</f>
        <v>11.6</v>
      </c>
      <c r="W827" s="21">
        <v>0</v>
      </c>
      <c r="X827" s="23">
        <v>3</v>
      </c>
      <c r="Y827" s="23">
        <v>4</v>
      </c>
      <c r="Z827" s="25">
        <f t="shared" si="89"/>
        <v>1</v>
      </c>
      <c r="AA827" s="25" t="str">
        <f t="shared" si="90"/>
        <v>是</v>
      </c>
      <c r="AB827" t="s">
        <v>148</v>
      </c>
      <c r="AC827" t="e">
        <f>VLOOKUP(C827,[1]Sheet1!$C:$O,13,FALSE)</f>
        <v>#N/A</v>
      </c>
      <c r="AD827" t="str">
        <f>VLOOKUP($H827,'[3]0509人员排班情况 副本'!$G:$U,12,FALSE)</f>
        <v>王骞Ariel（Qian Wang）,叶秀芳Freya (Xiufang Ye)</v>
      </c>
      <c r="AE827" t="str">
        <f>VLOOKUP($H827,'[3]0509人员排班情况 副本'!$G:$U,13,FALSE)</f>
        <v>常哲</v>
      </c>
      <c r="AF827" t="str">
        <f>VLOOKUP($H827,'[3]0509人员排班情况 副本'!$G:$U,14,FALSE)</f>
        <v>章峻铭 J (Junming Zhang)</v>
      </c>
      <c r="AG827">
        <f>VLOOKUP($H827,'[3]0509人员排班情况 副本'!$G:$U,15,FALSE)</f>
        <v>0</v>
      </c>
    </row>
    <row r="828" customHeight="1" spans="1:33">
      <c r="A828" t="s">
        <v>202</v>
      </c>
      <c r="B828" t="s">
        <v>2497</v>
      </c>
      <c r="C828" t="s">
        <v>2498</v>
      </c>
      <c r="D828" t="s">
        <v>48</v>
      </c>
      <c r="E828" t="s">
        <v>54</v>
      </c>
      <c r="F828" t="s">
        <v>2499</v>
      </c>
      <c r="H828" t="str">
        <f t="shared" si="84"/>
        <v>Ground项目部运营管理部站点管理组</v>
      </c>
      <c r="I828" t="s">
        <v>2500</v>
      </c>
      <c r="J828" t="s">
        <v>295</v>
      </c>
      <c r="K828" s="15">
        <v>0.375</v>
      </c>
      <c r="L828" s="15" t="s">
        <v>296</v>
      </c>
      <c r="M828" s="15"/>
      <c r="N828" t="s">
        <v>148</v>
      </c>
      <c r="O828" s="20" t="str">
        <f t="shared" si="85"/>
        <v>不正确</v>
      </c>
      <c r="P828" s="21">
        <v>0</v>
      </c>
      <c r="Q828" s="21">
        <v>0</v>
      </c>
      <c r="R828" s="21">
        <v>0</v>
      </c>
      <c r="S828" s="21">
        <f t="shared" si="86"/>
        <v>0</v>
      </c>
      <c r="T828" s="21">
        <f t="shared" si="87"/>
        <v>0</v>
      </c>
      <c r="U828" s="21" t="str">
        <f t="shared" si="88"/>
        <v>否</v>
      </c>
      <c r="V828" s="21">
        <f>VLOOKUP($C828,[4]Sheet1!$B:$AN,39,FALSE)</f>
        <v>0</v>
      </c>
      <c r="W828" s="21">
        <v>0</v>
      </c>
      <c r="X828" s="23">
        <v>0</v>
      </c>
      <c r="Y828" s="23">
        <v>0</v>
      </c>
      <c r="Z828" s="25">
        <f t="shared" si="89"/>
        <v>0</v>
      </c>
      <c r="AA828" s="25" t="str">
        <f t="shared" si="90"/>
        <v>是</v>
      </c>
      <c r="AB828" t="s">
        <v>2501</v>
      </c>
      <c r="AC828" t="e">
        <f>VLOOKUP(C828,[1]Sheet1!$C:$O,13,FALSE)</f>
        <v>#N/A</v>
      </c>
      <c r="AD828" t="str">
        <f>VLOOKUP($H828,'[3]0509人员排班情况 副本'!$G:$U,12,FALSE)</f>
        <v>王安琪 (Anqi Wang),张朱同 Thomson（Zhutong Zhang）</v>
      </c>
      <c r="AE828" t="str">
        <f>VLOOKUP($H828,'[3]0509人员排班情况 副本'!$G:$U,13,FALSE)</f>
        <v>陈锦昭</v>
      </c>
      <c r="AF828">
        <f>VLOOKUP($H828,'[3]0509人员排班情况 副本'!$G:$U,14,FALSE)</f>
        <v>0</v>
      </c>
      <c r="AG828">
        <f>VLOOKUP($H828,'[3]0509人员排班情况 副本'!$G:$U,15,FALSE)</f>
        <v>0</v>
      </c>
    </row>
    <row r="829" customHeight="1" spans="1:33">
      <c r="A829" t="s">
        <v>202</v>
      </c>
      <c r="B829" t="s">
        <v>2502</v>
      </c>
      <c r="C829" t="s">
        <v>2503</v>
      </c>
      <c r="D829" t="s">
        <v>68</v>
      </c>
      <c r="E829" t="s">
        <v>75</v>
      </c>
      <c r="F829" t="s">
        <v>1825</v>
      </c>
      <c r="H829" t="str">
        <f t="shared" si="84"/>
        <v>NE 东北大区DC 华盛顿片区PNE01</v>
      </c>
      <c r="I829" t="s">
        <v>177</v>
      </c>
      <c r="J829" t="s">
        <v>343</v>
      </c>
      <c r="K829" s="15">
        <v>0.25</v>
      </c>
      <c r="L829" s="15" t="s">
        <v>344</v>
      </c>
      <c r="M829" s="15">
        <v>0.249305555555556</v>
      </c>
      <c r="N829" t="s">
        <v>148</v>
      </c>
      <c r="O829" s="20" t="str">
        <f t="shared" si="85"/>
        <v>正确</v>
      </c>
      <c r="P829" s="21">
        <v>0</v>
      </c>
      <c r="Q829" s="21">
        <v>0</v>
      </c>
      <c r="R829" s="21">
        <v>0</v>
      </c>
      <c r="S829" s="21">
        <f t="shared" si="86"/>
        <v>0</v>
      </c>
      <c r="T829" s="21">
        <f t="shared" si="87"/>
        <v>0</v>
      </c>
      <c r="U829" s="21" t="str">
        <f t="shared" si="88"/>
        <v>否</v>
      </c>
      <c r="V829" s="21">
        <f>VLOOKUP($C829,[4]Sheet1!$B:$AN,39,FALSE)</f>
        <v>8.82</v>
      </c>
      <c r="W829" s="21">
        <v>0</v>
      </c>
      <c r="X829" s="23">
        <v>1</v>
      </c>
      <c r="Y829" s="23">
        <v>0</v>
      </c>
      <c r="Z829" s="25">
        <f t="shared" si="89"/>
        <v>0</v>
      </c>
      <c r="AA829" s="25" t="str">
        <f t="shared" si="90"/>
        <v>是</v>
      </c>
      <c r="AB829" t="s">
        <v>2504</v>
      </c>
      <c r="AC829" t="e">
        <f>VLOOKUP(C829,[1]Sheet1!$C:$O,13,FALSE)</f>
        <v>#N/A</v>
      </c>
      <c r="AD829" t="str">
        <f>VLOOKUP($H829,'[3]0509人员排班情况 副本'!$G:$U,12,FALSE)</f>
        <v>孙可君Monica（Kejun Sun）</v>
      </c>
      <c r="AE829" t="str">
        <f>VLOOKUP($H829,'[3]0509人员排班情况 副本'!$G:$U,13,FALSE)</f>
        <v>马聪Cong (Cong Ma)</v>
      </c>
      <c r="AF829" t="str">
        <f>VLOOKUP($H829,'[3]0509人员排班情况 副本'!$G:$U,14,FALSE)</f>
        <v>朱晗宇 Peter (Hanyu Zhu)</v>
      </c>
      <c r="AG829">
        <f>VLOOKUP($H829,'[3]0509人员排班情况 副本'!$G:$U,15,FALSE)</f>
        <v>0</v>
      </c>
    </row>
    <row r="830" customHeight="1" spans="1:33">
      <c r="A830" t="s">
        <v>202</v>
      </c>
      <c r="B830" t="s">
        <v>2505</v>
      </c>
      <c r="C830" t="s">
        <v>2506</v>
      </c>
      <c r="D830" t="s">
        <v>31</v>
      </c>
      <c r="E830" t="s">
        <v>41</v>
      </c>
      <c r="F830" t="s">
        <v>210</v>
      </c>
      <c r="G830" t="s">
        <v>112</v>
      </c>
      <c r="H830" t="str">
        <f t="shared" si="84"/>
        <v>GL 大湖大区ORD.H操作组</v>
      </c>
      <c r="I830" t="s">
        <v>156</v>
      </c>
      <c r="J830" t="s">
        <v>211</v>
      </c>
      <c r="K830" s="15">
        <v>0.333333333333333</v>
      </c>
      <c r="L830" s="15" t="s">
        <v>212</v>
      </c>
      <c r="M830" s="15">
        <v>0.318055555555556</v>
      </c>
      <c r="N830" t="s">
        <v>2507</v>
      </c>
      <c r="O830" s="20" t="str">
        <f t="shared" si="85"/>
        <v>正确</v>
      </c>
      <c r="P830" s="21">
        <v>0</v>
      </c>
      <c r="Q830" s="21">
        <v>9.7</v>
      </c>
      <c r="R830" s="21">
        <v>0</v>
      </c>
      <c r="S830" s="21">
        <f t="shared" si="86"/>
        <v>9.7</v>
      </c>
      <c r="T830" s="21">
        <f t="shared" si="87"/>
        <v>1.7</v>
      </c>
      <c r="U830" s="21" t="str">
        <f t="shared" si="88"/>
        <v>是</v>
      </c>
      <c r="V830" s="21">
        <f>VLOOKUP($C830,[4]Sheet1!$B:$AN,39,FALSE)</f>
        <v>9.7</v>
      </c>
      <c r="W830" s="21">
        <v>0</v>
      </c>
      <c r="X830" s="23">
        <v>4</v>
      </c>
      <c r="Y830" s="23">
        <v>4</v>
      </c>
      <c r="Z830" s="25">
        <f t="shared" si="89"/>
        <v>0</v>
      </c>
      <c r="AA830" s="25" t="str">
        <f t="shared" si="90"/>
        <v>是</v>
      </c>
      <c r="AB830" t="s">
        <v>148</v>
      </c>
      <c r="AC830" t="e">
        <f>VLOOKUP(C830,[1]Sheet1!$C:$O,13,FALSE)</f>
        <v>#N/A</v>
      </c>
      <c r="AD830" t="str">
        <f>VLOOKUP($H830,'[3]0509人员排班情况 副本'!$G:$U,12,FALSE)</f>
        <v>王晓丹 Jasmine（Xiaodan Wang）,周延舒Isabel（Yanshu Zhou）</v>
      </c>
      <c r="AE830" t="str">
        <f>VLOOKUP($H830,'[3]0509人员排班情况 副本'!$G:$U,13,FALSE)</f>
        <v>张骥Ji Zhang (Ji Zhang)</v>
      </c>
      <c r="AF830" t="str">
        <f>VLOOKUP($H830,'[3]0509人员排班情况 副本'!$G:$U,14,FALSE)</f>
        <v>Minqing (Minqing Xu),罗煜雄 Mike (Yuxiong Luo)</v>
      </c>
      <c r="AG830">
        <f>VLOOKUP($H830,'[3]0509人员排班情况 副本'!$G:$U,15,FALSE)</f>
        <v>0</v>
      </c>
    </row>
    <row r="831" customHeight="1" spans="1:33">
      <c r="A831" t="s">
        <v>202</v>
      </c>
      <c r="B831" t="s">
        <v>2508</v>
      </c>
      <c r="C831" t="s">
        <v>2509</v>
      </c>
      <c r="D831" t="s">
        <v>100</v>
      </c>
      <c r="E831" t="s">
        <v>101</v>
      </c>
      <c r="F831" t="s">
        <v>850</v>
      </c>
      <c r="G831" t="s">
        <v>112</v>
      </c>
      <c r="H831" t="str">
        <f t="shared" si="84"/>
        <v>WE 美西大区CNO.H维保组</v>
      </c>
      <c r="I831" t="s">
        <v>851</v>
      </c>
      <c r="J831" t="s">
        <v>304</v>
      </c>
      <c r="K831" s="15">
        <v>0.666666666666667</v>
      </c>
      <c r="L831" s="15" t="s">
        <v>305</v>
      </c>
      <c r="M831" s="15">
        <v>0.692361111111111</v>
      </c>
      <c r="N831" t="s">
        <v>148</v>
      </c>
      <c r="O831" s="20" t="str">
        <f t="shared" si="85"/>
        <v>正确</v>
      </c>
      <c r="P831" s="21">
        <v>0</v>
      </c>
      <c r="Q831" s="21">
        <v>0</v>
      </c>
      <c r="R831" s="21">
        <v>0</v>
      </c>
      <c r="S831" s="21">
        <f t="shared" si="86"/>
        <v>0</v>
      </c>
      <c r="T831" s="21">
        <f t="shared" si="87"/>
        <v>0</v>
      </c>
      <c r="U831" s="21" t="str">
        <f t="shared" si="88"/>
        <v>否</v>
      </c>
      <c r="V831" s="21">
        <f>VLOOKUP($C831,[4]Sheet1!$B:$AN,39,FALSE)</f>
        <v>10.15</v>
      </c>
      <c r="W831" s="21">
        <v>0</v>
      </c>
      <c r="X831" s="23">
        <v>3</v>
      </c>
      <c r="Y831" s="23">
        <v>4</v>
      </c>
      <c r="Z831" s="25">
        <f t="shared" si="89"/>
        <v>1</v>
      </c>
      <c r="AA831" s="25" t="str">
        <f t="shared" si="90"/>
        <v>是</v>
      </c>
      <c r="AB831" t="s">
        <v>148</v>
      </c>
      <c r="AC831" t="e">
        <f>VLOOKUP(C831,[1]Sheet1!$C:$O,13,FALSE)</f>
        <v>#N/A</v>
      </c>
      <c r="AD831" t="str">
        <f>VLOOKUP($H831,'[3]0509人员排班情况 副本'!$G:$U,12,FALSE)</f>
        <v>王骞Ariel（Qian Wang）,叶秀芳Freya (Xiufang Ye)</v>
      </c>
      <c r="AE831" t="str">
        <f>VLOOKUP($H831,'[3]0509人员排班情况 副本'!$G:$U,13,FALSE)</f>
        <v>常哲</v>
      </c>
      <c r="AF831" t="str">
        <f>VLOOKUP($H831,'[3]0509人员排班情况 副本'!$G:$U,14,FALSE)</f>
        <v>章峻铭 J (Junming Zhang)</v>
      </c>
      <c r="AG831">
        <f>VLOOKUP($H831,'[3]0509人员排班情况 副本'!$G:$U,15,FALSE)</f>
        <v>0</v>
      </c>
    </row>
    <row r="832" customHeight="1" spans="1:33">
      <c r="A832" t="s">
        <v>202</v>
      </c>
      <c r="B832" t="s">
        <v>2510</v>
      </c>
      <c r="C832" t="s">
        <v>2511</v>
      </c>
      <c r="D832" t="s">
        <v>68</v>
      </c>
      <c r="E832" t="s">
        <v>80</v>
      </c>
      <c r="F832" t="s">
        <v>1002</v>
      </c>
      <c r="H832" t="str">
        <f t="shared" si="84"/>
        <v>NE 东北大区MA 新英格兰片区PVD01</v>
      </c>
      <c r="I832" t="s">
        <v>177</v>
      </c>
      <c r="J832" t="s">
        <v>437</v>
      </c>
      <c r="K832" s="15">
        <v>0.229166666666667</v>
      </c>
      <c r="L832" s="15" t="s">
        <v>438</v>
      </c>
      <c r="M832" s="15">
        <v>0.25625</v>
      </c>
      <c r="N832" t="s">
        <v>2512</v>
      </c>
      <c r="O832" s="20" t="str">
        <f t="shared" si="85"/>
        <v>正确</v>
      </c>
      <c r="P832" s="21">
        <v>0</v>
      </c>
      <c r="Q832" s="21">
        <v>8.38</v>
      </c>
      <c r="R832" s="21">
        <v>0</v>
      </c>
      <c r="S832" s="21">
        <f t="shared" si="86"/>
        <v>8.38</v>
      </c>
      <c r="T832" s="21">
        <f t="shared" si="87"/>
        <v>0.380000000000001</v>
      </c>
      <c r="U832" s="21" t="str">
        <f t="shared" si="88"/>
        <v>是</v>
      </c>
      <c r="V832" s="21">
        <f>VLOOKUP($C832,[4]Sheet1!$B:$AN,39,FALSE)</f>
        <v>8.38</v>
      </c>
      <c r="W832" s="21">
        <v>0</v>
      </c>
      <c r="X832" s="23">
        <v>4</v>
      </c>
      <c r="Y832" s="23">
        <v>4</v>
      </c>
      <c r="Z832" s="25">
        <f t="shared" si="89"/>
        <v>0</v>
      </c>
      <c r="AA832" s="25" t="str">
        <f t="shared" si="90"/>
        <v>是</v>
      </c>
      <c r="AB832" t="s">
        <v>148</v>
      </c>
      <c r="AC832" t="e">
        <f>VLOOKUP(C832,[1]Sheet1!$C:$O,13,FALSE)</f>
        <v>#N/A</v>
      </c>
      <c r="AD832" t="str">
        <f>VLOOKUP($H832,'[3]0509人员排班情况 副本'!$G:$U,12,FALSE)</f>
        <v>孙可君Monica（Kejun Sun）</v>
      </c>
      <c r="AE832" t="str">
        <f>VLOOKUP($H832,'[3]0509人员排班情况 副本'!$G:$U,13,FALSE)</f>
        <v>马聪Cong (Cong Ma)</v>
      </c>
      <c r="AF832" t="str">
        <f>VLOOKUP($H832,'[3]0509人员排班情况 副本'!$G:$U,14,FALSE)</f>
        <v>朱晗宇 Peter (Hanyu Zhu)</v>
      </c>
      <c r="AG832">
        <f>VLOOKUP($H832,'[3]0509人员排班情况 副本'!$G:$U,15,FALSE)</f>
        <v>0</v>
      </c>
    </row>
    <row r="833" customHeight="1" spans="1:33">
      <c r="A833" t="s">
        <v>202</v>
      </c>
      <c r="B833" t="s">
        <v>2513</v>
      </c>
      <c r="C833" t="s">
        <v>2514</v>
      </c>
      <c r="D833" t="s">
        <v>68</v>
      </c>
      <c r="E833" t="s">
        <v>78</v>
      </c>
      <c r="F833" t="s">
        <v>166</v>
      </c>
      <c r="G833" t="s">
        <v>112</v>
      </c>
      <c r="H833" t="str">
        <f t="shared" si="84"/>
        <v>NE 东北大区JFK.H综办组</v>
      </c>
      <c r="I833" t="s">
        <v>167</v>
      </c>
      <c r="J833" t="s">
        <v>236</v>
      </c>
      <c r="K833" s="15">
        <v>0.395833333333333</v>
      </c>
      <c r="L833" s="15" t="s">
        <v>218</v>
      </c>
      <c r="M833" s="15">
        <v>0.395833333333333</v>
      </c>
      <c r="N833" t="s">
        <v>1068</v>
      </c>
      <c r="O833" s="20" t="str">
        <f t="shared" si="85"/>
        <v>正确</v>
      </c>
      <c r="P833" s="21">
        <v>0</v>
      </c>
      <c r="Q833" s="21">
        <v>8.55</v>
      </c>
      <c r="R833" s="21">
        <v>0</v>
      </c>
      <c r="S833" s="21">
        <f t="shared" si="86"/>
        <v>8.55</v>
      </c>
      <c r="T833" s="21">
        <f t="shared" si="87"/>
        <v>0.550000000000001</v>
      </c>
      <c r="U833" s="21" t="str">
        <f t="shared" si="88"/>
        <v>是</v>
      </c>
      <c r="V833" s="21">
        <f>VLOOKUP($C833,[4]Sheet1!$B:$AN,39,FALSE)</f>
        <v>18.28</v>
      </c>
      <c r="W833" s="21">
        <v>0</v>
      </c>
      <c r="X833" s="23">
        <v>4</v>
      </c>
      <c r="Y833" s="23">
        <v>4</v>
      </c>
      <c r="Z833" s="25">
        <f t="shared" si="89"/>
        <v>0</v>
      </c>
      <c r="AA833" s="25" t="str">
        <f t="shared" si="90"/>
        <v>是</v>
      </c>
      <c r="AB833" t="s">
        <v>148</v>
      </c>
      <c r="AC833" t="e">
        <f>VLOOKUP(C833,[1]Sheet1!$C:$O,13,FALSE)</f>
        <v>#N/A</v>
      </c>
      <c r="AD833" t="str">
        <f>VLOOKUP($H833,'[3]0509人员排班情况 副本'!$G:$U,12,FALSE)</f>
        <v>孙可君Monica（Kejun Sun）</v>
      </c>
      <c r="AE833" t="str">
        <f>VLOOKUP($H833,'[3]0509人员排班情况 副本'!$G:$U,13,FALSE)</f>
        <v>马聪Cong (Cong Ma)</v>
      </c>
      <c r="AF833" t="str">
        <f>VLOOKUP($H833,'[3]0509人员排班情况 副本'!$G:$U,14,FALSE)</f>
        <v>Minqing (Minqing Xu),罗煜雄 Mike (Yuxiong Luo)</v>
      </c>
      <c r="AG833">
        <f>VLOOKUP($H833,'[3]0509人员排班情况 副本'!$G:$U,15,FALSE)</f>
        <v>0</v>
      </c>
    </row>
    <row r="834" customHeight="1" spans="1:33">
      <c r="A834" t="s">
        <v>202</v>
      </c>
      <c r="B834" t="s">
        <v>2515</v>
      </c>
      <c r="C834" t="s">
        <v>2516</v>
      </c>
      <c r="D834" t="s">
        <v>100</v>
      </c>
      <c r="E834" t="s">
        <v>103</v>
      </c>
      <c r="F834" t="s">
        <v>210</v>
      </c>
      <c r="G834" t="s">
        <v>112</v>
      </c>
      <c r="H834" t="str">
        <f t="shared" si="84"/>
        <v>WE 美西大区LAV.H操作组</v>
      </c>
      <c r="I834" t="s">
        <v>281</v>
      </c>
      <c r="J834" t="s">
        <v>1152</v>
      </c>
      <c r="K834" s="15">
        <v>0.375</v>
      </c>
      <c r="L834" s="15" t="s">
        <v>218</v>
      </c>
      <c r="M834" s="15"/>
      <c r="N834" t="s">
        <v>148</v>
      </c>
      <c r="O834" s="20" t="s">
        <v>116</v>
      </c>
      <c r="P834" s="21">
        <v>0</v>
      </c>
      <c r="Q834" s="21">
        <v>0</v>
      </c>
      <c r="R834" s="21">
        <v>0</v>
      </c>
      <c r="S834" s="21">
        <f t="shared" si="86"/>
        <v>0</v>
      </c>
      <c r="T834" s="21">
        <f t="shared" si="87"/>
        <v>0</v>
      </c>
      <c r="U834" s="21" t="str">
        <f t="shared" si="88"/>
        <v>否</v>
      </c>
      <c r="V834" s="21">
        <f>VLOOKUP($C834,[4]Sheet1!$B:$AN,39,FALSE)</f>
        <v>0</v>
      </c>
      <c r="W834" s="21">
        <v>0</v>
      </c>
      <c r="X834" s="23">
        <v>0</v>
      </c>
      <c r="Y834" s="23">
        <v>0</v>
      </c>
      <c r="Z834" s="25">
        <f t="shared" si="89"/>
        <v>0</v>
      </c>
      <c r="AA834" s="25" t="str">
        <f t="shared" si="90"/>
        <v>是</v>
      </c>
      <c r="AB834" t="s">
        <v>148</v>
      </c>
      <c r="AC834" t="e">
        <f>VLOOKUP(C834,[1]Sheet1!$C:$O,13,FALSE)</f>
        <v>#N/A</v>
      </c>
      <c r="AD834" t="str">
        <f>VLOOKUP($H834,'[3]0509人员排班情况 副本'!$G:$U,12,FALSE)</f>
        <v>王骞Ariel（Qian Wang）,叶秀芳Freya (Xiufang Ye)</v>
      </c>
      <c r="AE834" t="str">
        <f>VLOOKUP($H834,'[3]0509人员排班情况 副本'!$G:$U,13,FALSE)</f>
        <v>常哲</v>
      </c>
      <c r="AF834" t="str">
        <f>VLOOKUP($H834,'[3]0509人员排班情况 副本'!$G:$U,14,FALSE)</f>
        <v>Minqing (Minqing Xu),罗煜雄 Mike (Yuxiong Luo)</v>
      </c>
      <c r="AG834">
        <f>VLOOKUP($H834,'[3]0509人员排班情况 副本'!$G:$U,15,FALSE)</f>
        <v>0</v>
      </c>
    </row>
    <row r="835" customHeight="1" spans="1:33">
      <c r="A835" t="s">
        <v>202</v>
      </c>
      <c r="B835" t="s">
        <v>2517</v>
      </c>
      <c r="C835" t="s">
        <v>2518</v>
      </c>
      <c r="D835" t="s">
        <v>58</v>
      </c>
      <c r="E835" t="s">
        <v>60</v>
      </c>
      <c r="F835" t="s">
        <v>556</v>
      </c>
      <c r="H835" t="str">
        <f t="shared" si="84"/>
        <v>MS 中南大区AS 亚特兰大和南阿拉巴马片区BHM01</v>
      </c>
      <c r="I835" t="s">
        <v>177</v>
      </c>
      <c r="J835" t="s">
        <v>343</v>
      </c>
      <c r="K835" s="15">
        <v>0.25</v>
      </c>
      <c r="L835" s="15" t="s">
        <v>344</v>
      </c>
      <c r="M835" s="15"/>
      <c r="N835" t="s">
        <v>1966</v>
      </c>
      <c r="O835" s="20" t="str">
        <f t="shared" si="85"/>
        <v>不正确</v>
      </c>
      <c r="P835" s="21">
        <v>0</v>
      </c>
      <c r="Q835" s="21">
        <v>0</v>
      </c>
      <c r="R835" s="21">
        <v>0</v>
      </c>
      <c r="S835" s="21">
        <f t="shared" si="86"/>
        <v>0</v>
      </c>
      <c r="T835" s="21">
        <f t="shared" si="87"/>
        <v>0</v>
      </c>
      <c r="U835" s="21" t="str">
        <f t="shared" si="88"/>
        <v>否</v>
      </c>
      <c r="V835" s="21">
        <f>VLOOKUP($C835,[4]Sheet1!$B:$AN,39,FALSE)</f>
        <v>0</v>
      </c>
      <c r="W835" s="21">
        <v>0</v>
      </c>
      <c r="X835" s="23">
        <v>3</v>
      </c>
      <c r="Y835" s="23">
        <v>4</v>
      </c>
      <c r="Z835" s="25">
        <f t="shared" si="89"/>
        <v>1</v>
      </c>
      <c r="AA835" s="25" t="str">
        <f t="shared" si="90"/>
        <v>是</v>
      </c>
      <c r="AB835" t="s">
        <v>148</v>
      </c>
      <c r="AC835" t="e">
        <f>VLOOKUP(C835,[1]Sheet1!$C:$O,13,FALSE)</f>
        <v>#N/A</v>
      </c>
      <c r="AD835" t="str">
        <f>VLOOKUP($H835,'[3]0509人员排班情况 副本'!$G:$U,12,FALSE)</f>
        <v>欧阳迎春Flower（Yingchun Ouyang）</v>
      </c>
      <c r="AE835" t="str">
        <f>VLOOKUP($H835,'[3]0509人员排班情况 副本'!$G:$U,13,FALSE)</f>
        <v>杨云飞</v>
      </c>
      <c r="AF835" t="str">
        <f>VLOOKUP($H835,'[3]0509人员排班情况 副本'!$G:$U,14,FALSE)</f>
        <v>鄧亦翔Sean (Yi-Hsiang Teng)</v>
      </c>
      <c r="AG835">
        <f>VLOOKUP($H835,'[3]0509人员排班情况 副本'!$G:$U,15,FALSE)</f>
        <v>0</v>
      </c>
    </row>
    <row r="836" customHeight="1" spans="1:33">
      <c r="A836" t="s">
        <v>202</v>
      </c>
      <c r="B836" t="s">
        <v>2519</v>
      </c>
      <c r="C836" t="s">
        <v>2520</v>
      </c>
      <c r="D836" t="s">
        <v>100</v>
      </c>
      <c r="E836" t="s">
        <v>103</v>
      </c>
      <c r="F836" t="s">
        <v>148</v>
      </c>
      <c r="G836" t="s">
        <v>112</v>
      </c>
      <c r="H836" t="str">
        <f t="shared" ref="H836:H899" si="91">D836&amp;E836&amp;F836</f>
        <v>WE 美西大区LAV.H</v>
      </c>
      <c r="I836" t="s">
        <v>654</v>
      </c>
      <c r="J836" t="s">
        <v>282</v>
      </c>
      <c r="K836" s="15">
        <v>0.416666666666667</v>
      </c>
      <c r="L836" s="15" t="s">
        <v>283</v>
      </c>
      <c r="M836" s="15">
        <v>0.361111111111111</v>
      </c>
      <c r="N836" t="s">
        <v>2521</v>
      </c>
      <c r="O836" s="20" t="str">
        <f t="shared" ref="O836:O899" si="92">IFERROR(IF(ABS(M836-K836)&lt;=1/24,"正确","不正确"),"/")</f>
        <v>不正确</v>
      </c>
      <c r="P836" s="21">
        <v>0</v>
      </c>
      <c r="Q836" s="21">
        <v>11.03</v>
      </c>
      <c r="R836" s="21">
        <v>0</v>
      </c>
      <c r="S836" s="21">
        <f t="shared" ref="S836:S899" si="93">Q836+R836</f>
        <v>11.03</v>
      </c>
      <c r="T836" s="21">
        <f t="shared" ref="T836:T899" si="94">IF(S836-8&gt;0,S836-8,0)</f>
        <v>3.03</v>
      </c>
      <c r="U836" s="21" t="str">
        <f t="shared" ref="U836:U899" si="95">IF(T836=0,"否","是")</f>
        <v>是</v>
      </c>
      <c r="V836" s="21">
        <f>VLOOKUP($C836,[4]Sheet1!$B:$AN,39,FALSE)</f>
        <v>21.58</v>
      </c>
      <c r="W836" s="21">
        <v>0</v>
      </c>
      <c r="X836" s="23">
        <v>4</v>
      </c>
      <c r="Y836" s="23">
        <v>4</v>
      </c>
      <c r="Z836" s="25">
        <f t="shared" ref="Z836:Z899" si="96">IF(Y836-X836&gt;=0,Y836-X836,0)</f>
        <v>0</v>
      </c>
      <c r="AA836" s="25" t="str">
        <f t="shared" ref="AA836:AA899" si="97">IF(J836="","否","是")</f>
        <v>是</v>
      </c>
      <c r="AB836" t="s">
        <v>148</v>
      </c>
      <c r="AC836" t="e">
        <f>VLOOKUP(C836,[1]Sheet1!$C:$O,13,FALSE)</f>
        <v>#N/A</v>
      </c>
      <c r="AD836" t="str">
        <f>VLOOKUP($H836,'[3]0509人员排班情况 副本'!$G:$U,12,FALSE)</f>
        <v>王骞Ariel（Qian Wang）,叶秀芳Freya (Xiufang Ye)</v>
      </c>
      <c r="AE836" t="str">
        <f>VLOOKUP($H836,'[3]0509人员排班情况 副本'!$G:$U,13,FALSE)</f>
        <v>常哲</v>
      </c>
      <c r="AF836">
        <f>VLOOKUP($H836,'[3]0509人员排班情况 副本'!$G:$U,14,FALSE)</f>
        <v>0</v>
      </c>
      <c r="AG836">
        <f>VLOOKUP($H836,'[3]0509人员排班情况 副本'!$G:$U,15,FALSE)</f>
        <v>0</v>
      </c>
    </row>
    <row r="837" customHeight="1" spans="1:33">
      <c r="A837" t="s">
        <v>202</v>
      </c>
      <c r="B837" t="s">
        <v>2522</v>
      </c>
      <c r="C837" t="s">
        <v>2523</v>
      </c>
      <c r="D837" t="s">
        <v>100</v>
      </c>
      <c r="E837" t="s">
        <v>101</v>
      </c>
      <c r="F837" t="s">
        <v>275</v>
      </c>
      <c r="G837" t="s">
        <v>112</v>
      </c>
      <c r="H837" t="str">
        <f t="shared" si="91"/>
        <v>WE 美西大区CNO.H分拣组</v>
      </c>
      <c r="I837" t="s">
        <v>276</v>
      </c>
      <c r="J837" t="s">
        <v>655</v>
      </c>
      <c r="K837" s="15">
        <v>0.583333333333333</v>
      </c>
      <c r="L837" s="15" t="s">
        <v>656</v>
      </c>
      <c r="M837" s="15">
        <v>0.702083333333333</v>
      </c>
      <c r="N837" t="s">
        <v>348</v>
      </c>
      <c r="O837" s="20" t="str">
        <f t="shared" si="92"/>
        <v>不正确</v>
      </c>
      <c r="P837" s="21">
        <v>0</v>
      </c>
      <c r="Q837" s="21">
        <v>4.15</v>
      </c>
      <c r="R837" s="21">
        <v>0</v>
      </c>
      <c r="S837" s="21">
        <f t="shared" si="93"/>
        <v>4.15</v>
      </c>
      <c r="T837" s="21">
        <f t="shared" si="94"/>
        <v>0</v>
      </c>
      <c r="U837" s="21" t="str">
        <f t="shared" si="95"/>
        <v>否</v>
      </c>
      <c r="V837" s="21">
        <f>VLOOKUP($C837,[4]Sheet1!$B:$AN,39,FALSE)</f>
        <v>4.15</v>
      </c>
      <c r="W837" s="21">
        <v>0</v>
      </c>
      <c r="X837" s="23">
        <v>3</v>
      </c>
      <c r="Y837" s="23">
        <v>4</v>
      </c>
      <c r="Z837" s="25">
        <f t="shared" si="96"/>
        <v>1</v>
      </c>
      <c r="AA837" s="25" t="str">
        <f t="shared" si="97"/>
        <v>是</v>
      </c>
      <c r="AB837" t="s">
        <v>148</v>
      </c>
      <c r="AC837" t="e">
        <f>VLOOKUP(C837,[1]Sheet1!$C:$O,13,FALSE)</f>
        <v>#N/A</v>
      </c>
      <c r="AD837" t="str">
        <f>VLOOKUP($H837,'[3]0509人员排班情况 副本'!$G:$U,12,FALSE)</f>
        <v>王骞Ariel（Qian Wang）,叶秀芳Freya (Xiufang Ye)</v>
      </c>
      <c r="AE837" t="str">
        <f>VLOOKUP($H837,'[3]0509人员排班情况 副本'!$G:$U,13,FALSE)</f>
        <v>常哲</v>
      </c>
      <c r="AF837" t="str">
        <f>VLOOKUP($H837,'[3]0509人员排班情况 副本'!$G:$U,14,FALSE)</f>
        <v>张双甫(Shuangfu Zhang)</v>
      </c>
      <c r="AG837">
        <f>VLOOKUP($H837,'[3]0509人员排班情况 副本'!$G:$U,15,FALSE)</f>
        <v>0</v>
      </c>
    </row>
    <row r="838" customHeight="1" spans="1:33">
      <c r="A838" t="s">
        <v>202</v>
      </c>
      <c r="B838" t="s">
        <v>2524</v>
      </c>
      <c r="C838" t="s">
        <v>2525</v>
      </c>
      <c r="D838" t="s">
        <v>92</v>
      </c>
      <c r="E838" t="s">
        <v>95</v>
      </c>
      <c r="F838" t="s">
        <v>148</v>
      </c>
      <c r="H838" t="str">
        <f t="shared" si="91"/>
        <v>TX 德州大区GC 墨湾片区</v>
      </c>
      <c r="I838" t="s">
        <v>173</v>
      </c>
      <c r="J838" t="s">
        <v>229</v>
      </c>
      <c r="K838" s="15">
        <v>0.270833333333333</v>
      </c>
      <c r="L838" s="15" t="s">
        <v>230</v>
      </c>
      <c r="M838" s="15"/>
      <c r="N838" t="s">
        <v>148</v>
      </c>
      <c r="O838" s="20" t="str">
        <f t="shared" si="92"/>
        <v>不正确</v>
      </c>
      <c r="P838" s="21">
        <v>0</v>
      </c>
      <c r="Q838" s="21">
        <v>0</v>
      </c>
      <c r="R838" s="21">
        <v>0</v>
      </c>
      <c r="S838" s="21">
        <f t="shared" si="93"/>
        <v>0</v>
      </c>
      <c r="T838" s="21">
        <f t="shared" si="94"/>
        <v>0</v>
      </c>
      <c r="U838" s="21" t="str">
        <f t="shared" si="95"/>
        <v>否</v>
      </c>
      <c r="V838" s="21">
        <f>VLOOKUP($C838,[4]Sheet1!$B:$AN,39,FALSE)</f>
        <v>0</v>
      </c>
      <c r="W838" s="21">
        <v>0</v>
      </c>
      <c r="X838" s="23">
        <v>0</v>
      </c>
      <c r="Y838" s="23">
        <v>0</v>
      </c>
      <c r="Z838" s="25">
        <f t="shared" si="96"/>
        <v>0</v>
      </c>
      <c r="AA838" s="25" t="str">
        <f t="shared" si="97"/>
        <v>是</v>
      </c>
      <c r="AB838" t="s">
        <v>2526</v>
      </c>
      <c r="AC838" t="e">
        <f>VLOOKUP(C838,[1]Sheet1!$C:$O,13,FALSE)</f>
        <v>#N/A</v>
      </c>
      <c r="AD838" t="str">
        <f>VLOOKUP($H838,'[3]0509人员排班情况 副本'!$G:$U,12,FALSE)</f>
        <v>肖芦莉Lily (Luli Xiao)</v>
      </c>
      <c r="AE838" t="str">
        <f>VLOOKUP($H838,'[3]0509人员排班情况 副本'!$G:$U,13,FALSE)</f>
        <v>张骥Ji Zhang (Ji Zhang)</v>
      </c>
      <c r="AF838">
        <f>VLOOKUP($H838,'[3]0509人员排班情况 副本'!$G:$U,14,FALSE)</f>
        <v>0</v>
      </c>
      <c r="AG838">
        <f>VLOOKUP($H838,'[3]0509人员排班情况 副本'!$G:$U,15,FALSE)</f>
        <v>0</v>
      </c>
    </row>
    <row r="839" customHeight="1" spans="1:33">
      <c r="A839" t="s">
        <v>202</v>
      </c>
      <c r="B839" t="s">
        <v>2527</v>
      </c>
      <c r="C839" t="s">
        <v>2528</v>
      </c>
      <c r="D839" t="s">
        <v>48</v>
      </c>
      <c r="E839" t="s">
        <v>50</v>
      </c>
      <c r="F839" t="s">
        <v>839</v>
      </c>
      <c r="H839" t="str">
        <f t="shared" si="91"/>
        <v>Ground项目部OG 美南区运营支持组</v>
      </c>
      <c r="I839" t="s">
        <v>326</v>
      </c>
      <c r="J839" t="s">
        <v>282</v>
      </c>
      <c r="K839" s="15">
        <v>0.416666666666667</v>
      </c>
      <c r="L839" s="15" t="s">
        <v>283</v>
      </c>
      <c r="M839" s="15">
        <v>0.417361111111111</v>
      </c>
      <c r="N839" t="s">
        <v>2529</v>
      </c>
      <c r="O839" s="20" t="str">
        <f t="shared" si="92"/>
        <v>正确</v>
      </c>
      <c r="P839" s="21">
        <v>0</v>
      </c>
      <c r="Q839" s="21">
        <v>8.12</v>
      </c>
      <c r="R839" s="21">
        <v>0</v>
      </c>
      <c r="S839" s="21">
        <f t="shared" si="93"/>
        <v>8.12</v>
      </c>
      <c r="T839" s="21">
        <f t="shared" si="94"/>
        <v>0.119999999999999</v>
      </c>
      <c r="U839" s="21" t="str">
        <f t="shared" si="95"/>
        <v>是</v>
      </c>
      <c r="V839" s="21">
        <f>VLOOKUP($C839,[4]Sheet1!$B:$AN,39,FALSE)</f>
        <v>18.4</v>
      </c>
      <c r="W839" s="21">
        <v>0</v>
      </c>
      <c r="X839" s="23">
        <v>4</v>
      </c>
      <c r="Y839" s="23">
        <v>4</v>
      </c>
      <c r="Z839" s="25">
        <f t="shared" si="96"/>
        <v>0</v>
      </c>
      <c r="AA839" s="25" t="str">
        <f t="shared" si="97"/>
        <v>是</v>
      </c>
      <c r="AB839" t="s">
        <v>148</v>
      </c>
      <c r="AC839" t="e">
        <f>VLOOKUP(C839,[1]Sheet1!$C:$O,13,FALSE)</f>
        <v>#N/A</v>
      </c>
      <c r="AD839" t="str">
        <f>VLOOKUP($H839,'[3]0509人员排班情况 副本'!$G:$U,12,FALSE)</f>
        <v>王安琪 (Anqi Wang),张朱同 Thomson（Zhutong Zhang）</v>
      </c>
      <c r="AE839" t="str">
        <f>VLOOKUP($H839,'[3]0509人员排班情况 副本'!$G:$U,13,FALSE)</f>
        <v>陈锦昭</v>
      </c>
      <c r="AF839">
        <f>VLOOKUP($H839,'[3]0509人员排班情况 副本'!$G:$U,14,FALSE)</f>
        <v>0</v>
      </c>
      <c r="AG839">
        <f>VLOOKUP($H839,'[3]0509人员排班情况 副本'!$G:$U,15,FALSE)</f>
        <v>0</v>
      </c>
    </row>
    <row r="840" customHeight="1" spans="1:33">
      <c r="A840" t="s">
        <v>202</v>
      </c>
      <c r="B840" t="s">
        <v>2530</v>
      </c>
      <c r="C840" t="s">
        <v>2531</v>
      </c>
      <c r="D840" t="s">
        <v>92</v>
      </c>
      <c r="E840" t="s">
        <v>96</v>
      </c>
      <c r="F840" t="s">
        <v>148</v>
      </c>
      <c r="G840" t="s">
        <v>112</v>
      </c>
      <c r="H840" t="str">
        <f t="shared" si="91"/>
        <v>TX 德州大区IAH.H</v>
      </c>
      <c r="I840" t="s">
        <v>170</v>
      </c>
      <c r="J840" t="s">
        <v>347</v>
      </c>
      <c r="K840" s="15">
        <v>0.541666666666667</v>
      </c>
      <c r="L840" s="15" t="s">
        <v>348</v>
      </c>
      <c r="M840" s="15">
        <v>0.543055555555556</v>
      </c>
      <c r="N840" t="s">
        <v>2532</v>
      </c>
      <c r="O840" s="20" t="str">
        <f t="shared" si="92"/>
        <v>正确</v>
      </c>
      <c r="P840" s="21">
        <v>0</v>
      </c>
      <c r="Q840" s="21">
        <v>10.58</v>
      </c>
      <c r="R840" s="21">
        <v>0</v>
      </c>
      <c r="S840" s="21">
        <f t="shared" si="93"/>
        <v>10.58</v>
      </c>
      <c r="T840" s="21">
        <f t="shared" si="94"/>
        <v>2.58</v>
      </c>
      <c r="U840" s="21" t="str">
        <f t="shared" si="95"/>
        <v>是</v>
      </c>
      <c r="V840" s="21">
        <f>VLOOKUP($C840,[4]Sheet1!$B:$AN,39,FALSE)</f>
        <v>19.46</v>
      </c>
      <c r="W840" s="21">
        <v>0</v>
      </c>
      <c r="X840" s="23">
        <v>2</v>
      </c>
      <c r="Y840" s="23">
        <v>4</v>
      </c>
      <c r="Z840" s="25">
        <f t="shared" si="96"/>
        <v>2</v>
      </c>
      <c r="AA840" s="25" t="str">
        <f t="shared" si="97"/>
        <v>是</v>
      </c>
      <c r="AB840" t="s">
        <v>148</v>
      </c>
      <c r="AC840" t="e">
        <f>VLOOKUP(C840,[1]Sheet1!$C:$O,13,FALSE)</f>
        <v>#N/A</v>
      </c>
      <c r="AD840" t="str">
        <f>VLOOKUP($H840,'[3]0509人员排班情况 副本'!$G:$U,12,FALSE)</f>
        <v>肖芦莉Lily (Luli Xiao)</v>
      </c>
      <c r="AE840" t="str">
        <f>VLOOKUP($H840,'[3]0509人员排班情况 副本'!$G:$U,13,FALSE)</f>
        <v>张骥Ji Zhang (Ji Zhang)</v>
      </c>
      <c r="AF840">
        <f>VLOOKUP($H840,'[3]0509人员排班情况 副本'!$G:$U,14,FALSE)</f>
        <v>0</v>
      </c>
      <c r="AG840">
        <f>VLOOKUP($H840,'[3]0509人员排班情况 副本'!$G:$U,15,FALSE)</f>
        <v>0</v>
      </c>
    </row>
    <row r="841" customHeight="1" spans="1:33">
      <c r="A841" t="s">
        <v>202</v>
      </c>
      <c r="B841" t="s">
        <v>2533</v>
      </c>
      <c r="C841" t="s">
        <v>2534</v>
      </c>
      <c r="D841" t="s">
        <v>100</v>
      </c>
      <c r="E841" t="s">
        <v>106</v>
      </c>
      <c r="F841" t="s">
        <v>879</v>
      </c>
      <c r="H841" t="str">
        <f t="shared" si="91"/>
        <v>WE 美西大区SC 南加片区LAX01</v>
      </c>
      <c r="I841" t="s">
        <v>406</v>
      </c>
      <c r="J841" t="s">
        <v>217</v>
      </c>
      <c r="K841" s="15">
        <v>0.395833333333333</v>
      </c>
      <c r="L841" s="15" t="s">
        <v>218</v>
      </c>
      <c r="M841" s="15">
        <v>0.416666666666667</v>
      </c>
      <c r="N841" t="s">
        <v>2535</v>
      </c>
      <c r="O841" s="20" t="str">
        <f t="shared" si="92"/>
        <v>正确</v>
      </c>
      <c r="P841" s="21">
        <v>0</v>
      </c>
      <c r="Q841" s="21">
        <v>3.2</v>
      </c>
      <c r="R841" s="21">
        <v>0</v>
      </c>
      <c r="S841" s="21">
        <f t="shared" si="93"/>
        <v>3.2</v>
      </c>
      <c r="T841" s="21">
        <f t="shared" si="94"/>
        <v>0</v>
      </c>
      <c r="U841" s="21" t="str">
        <f t="shared" si="95"/>
        <v>否</v>
      </c>
      <c r="V841" s="21">
        <f>VLOOKUP($C841,[4]Sheet1!$B:$AN,39,FALSE)</f>
        <v>13.23</v>
      </c>
      <c r="W841" s="21">
        <v>0</v>
      </c>
      <c r="X841" s="23">
        <v>2</v>
      </c>
      <c r="Y841" s="23">
        <v>0</v>
      </c>
      <c r="Z841" s="25">
        <f t="shared" si="96"/>
        <v>0</v>
      </c>
      <c r="AA841" s="25" t="str">
        <f t="shared" si="97"/>
        <v>是</v>
      </c>
      <c r="AB841" t="s">
        <v>148</v>
      </c>
      <c r="AC841" t="e">
        <f>VLOOKUP(C841,[1]Sheet1!$C:$O,13,FALSE)</f>
        <v>#N/A</v>
      </c>
      <c r="AD841" t="str">
        <f>VLOOKUP($H841,'[3]0509人员排班情况 副本'!$G:$U,12,FALSE)</f>
        <v>王骞Ariel（Qian Wang）,叶秀芳Freya (Xiufang Ye)</v>
      </c>
      <c r="AE841" t="str">
        <f>VLOOKUP($H841,'[3]0509人员排班情况 副本'!$G:$U,13,FALSE)</f>
        <v>常哲</v>
      </c>
      <c r="AF841" t="str">
        <f>VLOOKUP($H841,'[3]0509人员排班情况 副本'!$G:$U,14,FALSE)</f>
        <v>尤梦楠Yuko（Mengnan You）</v>
      </c>
      <c r="AG841">
        <f>VLOOKUP($H841,'[3]0509人员排班情况 副本'!$G:$U,15,FALSE)</f>
        <v>0</v>
      </c>
    </row>
    <row r="842" customHeight="1" spans="1:33">
      <c r="A842" t="s">
        <v>202</v>
      </c>
      <c r="B842" t="s">
        <v>2536</v>
      </c>
      <c r="C842" t="s">
        <v>2537</v>
      </c>
      <c r="D842" t="s">
        <v>48</v>
      </c>
      <c r="E842" t="s">
        <v>51</v>
      </c>
      <c r="F842" t="s">
        <v>563</v>
      </c>
      <c r="G842" t="s">
        <v>112</v>
      </c>
      <c r="H842" t="str">
        <f t="shared" si="91"/>
        <v>Ground项目部OG 美西区CNO.G</v>
      </c>
      <c r="I842" t="s">
        <v>654</v>
      </c>
      <c r="J842" t="s">
        <v>295</v>
      </c>
      <c r="K842" s="15">
        <v>0.375</v>
      </c>
      <c r="L842" s="15" t="s">
        <v>296</v>
      </c>
      <c r="M842" s="15">
        <v>0.373611111111111</v>
      </c>
      <c r="N842" t="s">
        <v>757</v>
      </c>
      <c r="O842" s="20" t="str">
        <f t="shared" si="92"/>
        <v>正确</v>
      </c>
      <c r="P842" s="21">
        <v>0</v>
      </c>
      <c r="Q842" s="21">
        <v>9.52</v>
      </c>
      <c r="R842" s="21">
        <v>0</v>
      </c>
      <c r="S842" s="21">
        <f t="shared" si="93"/>
        <v>9.52</v>
      </c>
      <c r="T842" s="21">
        <f t="shared" si="94"/>
        <v>1.52</v>
      </c>
      <c r="U842" s="21" t="str">
        <f t="shared" si="95"/>
        <v>是</v>
      </c>
      <c r="V842" s="21">
        <f>VLOOKUP($C842,[4]Sheet1!$B:$AN,39,FALSE)</f>
        <v>17.27</v>
      </c>
      <c r="W842" s="21">
        <v>0</v>
      </c>
      <c r="X842" s="23">
        <v>4</v>
      </c>
      <c r="Y842" s="23">
        <v>4</v>
      </c>
      <c r="Z842" s="25">
        <f t="shared" si="96"/>
        <v>0</v>
      </c>
      <c r="AA842" s="25" t="str">
        <f t="shared" si="97"/>
        <v>是</v>
      </c>
      <c r="AB842" t="s">
        <v>148</v>
      </c>
      <c r="AC842" t="e">
        <f>VLOOKUP(C842,[1]Sheet1!$C:$O,13,FALSE)</f>
        <v>#N/A</v>
      </c>
      <c r="AD842" t="str">
        <f>VLOOKUP($H842,'[3]0509人员排班情况 副本'!$G:$U,12,FALSE)</f>
        <v>王安琪 (Anqi Wang),张朱同 Thomson（Zhutong Zhang）</v>
      </c>
      <c r="AE842" t="str">
        <f>VLOOKUP($H842,'[3]0509人员排班情况 副本'!$G:$U,13,FALSE)</f>
        <v>陈锦昭</v>
      </c>
      <c r="AF842" t="str">
        <f>VLOOKUP($H842,'[3]0509人员排班情况 副本'!$G:$U,14,FALSE)</f>
        <v>张弘毅 Hongyi （Hongyi Zhang）</v>
      </c>
      <c r="AG842">
        <f>VLOOKUP($H842,'[3]0509人员排班情况 副本'!$G:$U,15,FALSE)</f>
        <v>0</v>
      </c>
    </row>
    <row r="843" customHeight="1" spans="1:33">
      <c r="A843" t="s">
        <v>202</v>
      </c>
      <c r="B843" t="s">
        <v>2538</v>
      </c>
      <c r="C843" t="s">
        <v>2539</v>
      </c>
      <c r="D843" t="s">
        <v>58</v>
      </c>
      <c r="E843" t="s">
        <v>63</v>
      </c>
      <c r="F843" t="s">
        <v>312</v>
      </c>
      <c r="G843" t="s">
        <v>112</v>
      </c>
      <c r="H843" t="str">
        <f t="shared" si="91"/>
        <v>MS 中南大区CLT.H异常处理组</v>
      </c>
      <c r="I843" t="s">
        <v>313</v>
      </c>
      <c r="J843" t="s">
        <v>295</v>
      </c>
      <c r="K843" s="15">
        <v>0.375</v>
      </c>
      <c r="L843" s="15" t="s">
        <v>296</v>
      </c>
      <c r="M843" s="15">
        <v>0.373611111111111</v>
      </c>
      <c r="N843" t="s">
        <v>1025</v>
      </c>
      <c r="O843" s="20" t="str">
        <f t="shared" si="92"/>
        <v>正确</v>
      </c>
      <c r="P843" s="21">
        <v>0</v>
      </c>
      <c r="Q843" s="21">
        <v>8.62</v>
      </c>
      <c r="R843" s="21">
        <v>0</v>
      </c>
      <c r="S843" s="21">
        <f t="shared" si="93"/>
        <v>8.62</v>
      </c>
      <c r="T843" s="21">
        <f t="shared" si="94"/>
        <v>0.619999999999999</v>
      </c>
      <c r="U843" s="21" t="str">
        <f t="shared" si="95"/>
        <v>是</v>
      </c>
      <c r="V843" s="21">
        <f>VLOOKUP($C843,[4]Sheet1!$B:$AN,39,FALSE)</f>
        <v>17.2</v>
      </c>
      <c r="W843" s="21">
        <v>0</v>
      </c>
      <c r="X843" s="23">
        <v>4</v>
      </c>
      <c r="Y843" s="23">
        <v>4</v>
      </c>
      <c r="Z843" s="25">
        <f t="shared" si="96"/>
        <v>0</v>
      </c>
      <c r="AA843" s="25" t="str">
        <f t="shared" si="97"/>
        <v>是</v>
      </c>
      <c r="AB843" t="s">
        <v>148</v>
      </c>
      <c r="AC843" t="e">
        <f>VLOOKUP(C843,[1]Sheet1!$C:$O,13,FALSE)</f>
        <v>#N/A</v>
      </c>
      <c r="AD843" t="str">
        <f>VLOOKUP($H843,'[3]0509人员排班情况 副本'!$G:$U,12,FALSE)</f>
        <v>欧阳迎春Flower（Yingchun Ouyang）</v>
      </c>
      <c r="AE843" t="str">
        <f>VLOOKUP($H843,'[3]0509人员排班情况 副本'!$G:$U,13,FALSE)</f>
        <v>杨云飞</v>
      </c>
      <c r="AF843" t="str">
        <f>VLOOKUP($H843,'[3]0509人员排班情况 副本'!$G:$U,14,FALSE)</f>
        <v>Minqing (Minqing Xu),罗煜雄 Mike (Yuxiong Luo)</v>
      </c>
      <c r="AG843">
        <f>VLOOKUP($H843,'[3]0509人员排班情况 副本'!$G:$U,15,FALSE)</f>
        <v>0</v>
      </c>
    </row>
    <row r="844" customHeight="1" spans="1:33">
      <c r="A844" t="s">
        <v>202</v>
      </c>
      <c r="B844" t="s">
        <v>2540</v>
      </c>
      <c r="C844" t="s">
        <v>2541</v>
      </c>
      <c r="D844" t="s">
        <v>47</v>
      </c>
      <c r="E844" t="s">
        <v>1856</v>
      </c>
      <c r="F844" t="s">
        <v>1857</v>
      </c>
      <c r="H844" t="str">
        <f t="shared" si="91"/>
        <v>Gofo财务部美区财务组合规及本地支持组</v>
      </c>
      <c r="I844" t="s">
        <v>1858</v>
      </c>
      <c r="J844" t="s">
        <v>236</v>
      </c>
      <c r="K844" s="15">
        <v>0.395833333333333</v>
      </c>
      <c r="L844" s="15" t="s">
        <v>218</v>
      </c>
      <c r="M844" s="15">
        <v>0.479166666666667</v>
      </c>
      <c r="N844" t="s">
        <v>2542</v>
      </c>
      <c r="O844" s="20" t="str">
        <f t="shared" si="92"/>
        <v>不正确</v>
      </c>
      <c r="P844" s="21">
        <v>0</v>
      </c>
      <c r="Q844" s="21">
        <v>7.72</v>
      </c>
      <c r="R844" s="21">
        <v>0</v>
      </c>
      <c r="S844" s="21">
        <f t="shared" si="93"/>
        <v>7.72</v>
      </c>
      <c r="T844" s="21">
        <f t="shared" si="94"/>
        <v>0</v>
      </c>
      <c r="U844" s="21" t="str">
        <f t="shared" si="95"/>
        <v>否</v>
      </c>
      <c r="V844" s="21">
        <f>VLOOKUP($C844,[4]Sheet1!$B:$AN,39,FALSE)</f>
        <v>18.24</v>
      </c>
      <c r="W844" s="21">
        <v>0</v>
      </c>
      <c r="X844" s="23">
        <v>4</v>
      </c>
      <c r="Y844" s="23">
        <v>4</v>
      </c>
      <c r="Z844" s="25">
        <f t="shared" si="96"/>
        <v>0</v>
      </c>
      <c r="AA844" s="25" t="str">
        <f t="shared" si="97"/>
        <v>是</v>
      </c>
      <c r="AB844" t="s">
        <v>148</v>
      </c>
      <c r="AC844" t="e">
        <f>VLOOKUP(C844,[1]Sheet1!$C:$O,13,FALSE)</f>
        <v>#N/A</v>
      </c>
      <c r="AD844" t="str">
        <f>VLOOKUP($H844,'[3]0509人员排班情况 副本'!$G:$U,12,FALSE)</f>
        <v>袁博闻(Bowen Yuan)</v>
      </c>
      <c r="AE844">
        <f>VLOOKUP($H844,'[3]0509人员排班情况 副本'!$G:$U,13,FALSE)</f>
        <v>0</v>
      </c>
      <c r="AF844">
        <f>VLOOKUP($H844,'[3]0509人员排班情况 副本'!$G:$U,14,FALSE)</f>
        <v>0</v>
      </c>
      <c r="AG844">
        <f>VLOOKUP($H844,'[3]0509人员排班情况 副本'!$G:$U,15,FALSE)</f>
        <v>0</v>
      </c>
    </row>
    <row r="845" customHeight="1" spans="1:33">
      <c r="A845" t="s">
        <v>202</v>
      </c>
      <c r="B845" t="s">
        <v>2543</v>
      </c>
      <c r="C845" t="s">
        <v>2544</v>
      </c>
      <c r="D845" t="s">
        <v>99</v>
      </c>
      <c r="E845" t="s">
        <v>677</v>
      </c>
      <c r="F845" t="s">
        <v>864</v>
      </c>
      <c r="H845" t="str">
        <f t="shared" si="91"/>
        <v>US人力资源部美洲HRBP组招聘组</v>
      </c>
      <c r="I845" t="s">
        <v>865</v>
      </c>
      <c r="J845" t="s">
        <v>236</v>
      </c>
      <c r="K845" s="15">
        <v>0.395833333333333</v>
      </c>
      <c r="L845" s="15" t="s">
        <v>218</v>
      </c>
      <c r="M845" s="15"/>
      <c r="N845" t="s">
        <v>148</v>
      </c>
      <c r="O845" s="20" t="str">
        <f t="shared" si="92"/>
        <v>不正确</v>
      </c>
      <c r="P845" s="21">
        <v>0</v>
      </c>
      <c r="Q845" s="21">
        <v>0</v>
      </c>
      <c r="R845" s="21">
        <v>0</v>
      </c>
      <c r="S845" s="21">
        <f t="shared" si="93"/>
        <v>0</v>
      </c>
      <c r="T845" s="21">
        <f t="shared" si="94"/>
        <v>0</v>
      </c>
      <c r="U845" s="21" t="str">
        <f t="shared" si="95"/>
        <v>否</v>
      </c>
      <c r="V845" s="21">
        <f>VLOOKUP($C845,[4]Sheet1!$B:$AN,39,FALSE)</f>
        <v>0</v>
      </c>
      <c r="W845" s="21">
        <v>0</v>
      </c>
      <c r="X845" s="23">
        <v>0</v>
      </c>
      <c r="Y845" s="23">
        <v>0</v>
      </c>
      <c r="Z845" s="25">
        <f t="shared" si="96"/>
        <v>0</v>
      </c>
      <c r="AA845" s="25" t="str">
        <f t="shared" si="97"/>
        <v>是</v>
      </c>
      <c r="AB845" t="s">
        <v>339</v>
      </c>
      <c r="AC845" t="e">
        <f>VLOOKUP(C845,[1]Sheet1!$C:$O,13,FALSE)</f>
        <v>#N/A</v>
      </c>
      <c r="AD845" t="str">
        <f>VLOOKUP($H845,'[3]0509人员排班情况 副本'!$G:$U,12,FALSE)</f>
        <v>袁博闻(Bowen Yuan)</v>
      </c>
      <c r="AE845">
        <f>VLOOKUP($H845,'[3]0509人员排班情况 副本'!$G:$U,13,FALSE)</f>
        <v>0</v>
      </c>
      <c r="AF845">
        <f>VLOOKUP($H845,'[3]0509人员排班情况 副本'!$G:$U,14,FALSE)</f>
        <v>0</v>
      </c>
      <c r="AG845">
        <f>VLOOKUP($H845,'[3]0509人员排班情况 副本'!$G:$U,15,FALSE)</f>
        <v>0</v>
      </c>
    </row>
    <row r="846" customHeight="1" spans="1:33">
      <c r="A846" t="s">
        <v>202</v>
      </c>
      <c r="B846" t="s">
        <v>2545</v>
      </c>
      <c r="C846" t="s">
        <v>2546</v>
      </c>
      <c r="D846" t="s">
        <v>8</v>
      </c>
      <c r="E846" t="s">
        <v>1549</v>
      </c>
      <c r="F846" t="s">
        <v>148</v>
      </c>
      <c r="H846" t="str">
        <f t="shared" si="91"/>
        <v>AD 行政部美中组</v>
      </c>
      <c r="I846" t="s">
        <v>1550</v>
      </c>
      <c r="J846" t="s">
        <v>236</v>
      </c>
      <c r="K846" s="15">
        <v>0.395833333333333</v>
      </c>
      <c r="L846" s="15" t="s">
        <v>218</v>
      </c>
      <c r="M846" s="15">
        <v>0.390277777777778</v>
      </c>
      <c r="N846" t="s">
        <v>408</v>
      </c>
      <c r="O846" s="20" t="str">
        <f t="shared" si="92"/>
        <v>正确</v>
      </c>
      <c r="P846" s="21">
        <v>0</v>
      </c>
      <c r="Q846" s="21">
        <v>8.37</v>
      </c>
      <c r="R846" s="21">
        <v>0</v>
      </c>
      <c r="S846" s="21">
        <f t="shared" si="93"/>
        <v>8.37</v>
      </c>
      <c r="T846" s="21">
        <f t="shared" si="94"/>
        <v>0.369999999999999</v>
      </c>
      <c r="U846" s="21" t="str">
        <f t="shared" si="95"/>
        <v>是</v>
      </c>
      <c r="V846" s="21">
        <f>VLOOKUP($C846,[4]Sheet1!$B:$AN,39,FALSE)</f>
        <v>16.57</v>
      </c>
      <c r="W846" s="21">
        <v>0</v>
      </c>
      <c r="X846" s="23">
        <v>2</v>
      </c>
      <c r="Y846" s="23">
        <v>4</v>
      </c>
      <c r="Z846" s="25">
        <f t="shared" si="96"/>
        <v>2</v>
      </c>
      <c r="AA846" s="25" t="str">
        <f t="shared" si="97"/>
        <v>是</v>
      </c>
      <c r="AB846" t="s">
        <v>148</v>
      </c>
      <c r="AC846" t="e">
        <f>VLOOKUP(C846,[1]Sheet1!$C:$O,13,FALSE)</f>
        <v>#N/A</v>
      </c>
      <c r="AD846" t="str">
        <f>VLOOKUP($H846,'[3]0509人员排班情况 副本'!$G:$U,12,FALSE)</f>
        <v>袁博闻(Bowen Yuan)</v>
      </c>
      <c r="AE846">
        <f>VLOOKUP($H846,'[3]0509人员排班情况 副本'!$G:$U,13,FALSE)</f>
        <v>0</v>
      </c>
      <c r="AF846">
        <f>VLOOKUP($H846,'[3]0509人员排班情况 副本'!$G:$U,14,FALSE)</f>
        <v>0</v>
      </c>
      <c r="AG846">
        <f>VLOOKUP($H846,'[3]0509人员排班情况 副本'!$G:$U,15,FALSE)</f>
        <v>0</v>
      </c>
    </row>
    <row r="847" customHeight="1" spans="1:33">
      <c r="A847" t="s">
        <v>202</v>
      </c>
      <c r="B847" t="s">
        <v>2547</v>
      </c>
      <c r="C847" t="s">
        <v>2548</v>
      </c>
      <c r="D847" t="s">
        <v>48</v>
      </c>
      <c r="E847" t="s">
        <v>51</v>
      </c>
      <c r="F847" t="s">
        <v>1721</v>
      </c>
      <c r="H847" t="str">
        <f t="shared" si="91"/>
        <v>Ground项目部OG 美西区LV891</v>
      </c>
      <c r="I847" t="s">
        <v>687</v>
      </c>
      <c r="J847" t="s">
        <v>236</v>
      </c>
      <c r="K847" s="15">
        <v>0.395833333333333</v>
      </c>
      <c r="L847" s="15" t="s">
        <v>218</v>
      </c>
      <c r="M847" s="15"/>
      <c r="N847" t="s">
        <v>148</v>
      </c>
      <c r="O847" s="20" t="str">
        <f t="shared" si="92"/>
        <v>不正确</v>
      </c>
      <c r="P847" s="21">
        <v>0</v>
      </c>
      <c r="Q847" s="21">
        <v>0</v>
      </c>
      <c r="R847" s="21">
        <v>0</v>
      </c>
      <c r="S847" s="21">
        <f t="shared" si="93"/>
        <v>0</v>
      </c>
      <c r="T847" s="21">
        <f t="shared" si="94"/>
        <v>0</v>
      </c>
      <c r="U847" s="21" t="str">
        <f t="shared" si="95"/>
        <v>否</v>
      </c>
      <c r="V847" s="21">
        <f>VLOOKUP($C847,[4]Sheet1!$B:$AN,39,FALSE)</f>
        <v>0</v>
      </c>
      <c r="W847" s="21">
        <v>0</v>
      </c>
      <c r="X847" s="23">
        <v>0</v>
      </c>
      <c r="Y847" s="23">
        <v>4</v>
      </c>
      <c r="Z847" s="25">
        <f t="shared" si="96"/>
        <v>4</v>
      </c>
      <c r="AA847" s="25" t="str">
        <f t="shared" si="97"/>
        <v>是</v>
      </c>
      <c r="AB847" t="s">
        <v>148</v>
      </c>
      <c r="AC847" t="e">
        <f>VLOOKUP(C847,[1]Sheet1!$C:$O,13,FALSE)</f>
        <v>#N/A</v>
      </c>
      <c r="AD847" t="str">
        <f>VLOOKUP($H847,'[3]0509人员排班情况 副本'!$G:$U,12,FALSE)</f>
        <v>王安琪 (Anqi Wang),张朱同 Thomson（Zhutong Zhang）</v>
      </c>
      <c r="AE847" t="str">
        <f>VLOOKUP($H847,'[3]0509人员排班情况 副本'!$G:$U,13,FALSE)</f>
        <v>陈锦昭</v>
      </c>
      <c r="AF847" t="str">
        <f>VLOOKUP($H847,'[3]0509人员排班情况 副本'!$G:$U,14,FALSE)</f>
        <v>宋佳牧 Dorian (Jiamu Song)</v>
      </c>
      <c r="AG847">
        <f>VLOOKUP($H847,'[3]0509人员排班情况 副本'!$G:$U,15,FALSE)</f>
        <v>0</v>
      </c>
    </row>
    <row r="848" customHeight="1" spans="1:33">
      <c r="A848" t="s">
        <v>202</v>
      </c>
      <c r="B848" t="s">
        <v>2549</v>
      </c>
      <c r="C848" t="s">
        <v>2550</v>
      </c>
      <c r="D848" t="s">
        <v>92</v>
      </c>
      <c r="E848" t="s">
        <v>29</v>
      </c>
      <c r="F848" t="s">
        <v>200</v>
      </c>
      <c r="H848" t="str">
        <f t="shared" si="91"/>
        <v>TX 德州大区运营支持部区域支持组</v>
      </c>
      <c r="I848" t="s">
        <v>201</v>
      </c>
      <c r="J848" t="s">
        <v>295</v>
      </c>
      <c r="K848" s="15">
        <v>0.375</v>
      </c>
      <c r="L848" s="15" t="s">
        <v>296</v>
      </c>
      <c r="M848" s="15">
        <v>0.3625</v>
      </c>
      <c r="N848" t="s">
        <v>2141</v>
      </c>
      <c r="O848" s="20" t="str">
        <f t="shared" si="92"/>
        <v>正确</v>
      </c>
      <c r="P848" s="21">
        <v>0</v>
      </c>
      <c r="Q848" s="21">
        <v>9.17</v>
      </c>
      <c r="R848" s="21">
        <v>0</v>
      </c>
      <c r="S848" s="21">
        <f t="shared" si="93"/>
        <v>9.17</v>
      </c>
      <c r="T848" s="21">
        <f t="shared" si="94"/>
        <v>1.17</v>
      </c>
      <c r="U848" s="21" t="str">
        <f t="shared" si="95"/>
        <v>是</v>
      </c>
      <c r="V848" s="21">
        <f>VLOOKUP($C848,[4]Sheet1!$B:$AN,39,FALSE)</f>
        <v>17.54</v>
      </c>
      <c r="W848" s="21">
        <v>0</v>
      </c>
      <c r="X848" s="23">
        <v>4</v>
      </c>
      <c r="Y848" s="23">
        <v>4</v>
      </c>
      <c r="Z848" s="25">
        <f t="shared" si="96"/>
        <v>0</v>
      </c>
      <c r="AA848" s="25" t="str">
        <f t="shared" si="97"/>
        <v>是</v>
      </c>
      <c r="AB848" t="s">
        <v>148</v>
      </c>
      <c r="AC848" t="e">
        <f>VLOOKUP(C848,[1]Sheet1!$C:$O,13,FALSE)</f>
        <v>#N/A</v>
      </c>
      <c r="AD848" t="str">
        <f>VLOOKUP($H848,'[3]0509人员排班情况 副本'!$G:$U,12,FALSE)</f>
        <v>肖芦莉Lily (Luli Xiao)</v>
      </c>
      <c r="AE848" t="str">
        <f>VLOOKUP($H848,'[3]0509人员排班情况 副本'!$G:$U,13,FALSE)</f>
        <v>张骥Ji Zhang (Ji Zhang)</v>
      </c>
      <c r="AF848">
        <f>VLOOKUP($H848,'[3]0509人员排班情况 副本'!$G:$U,14,FALSE)</f>
        <v>0</v>
      </c>
      <c r="AG848">
        <f>VLOOKUP($H848,'[3]0509人员排班情况 副本'!$G:$U,15,FALSE)</f>
        <v>0</v>
      </c>
    </row>
    <row r="849" customHeight="1" spans="1:33">
      <c r="A849" t="s">
        <v>202</v>
      </c>
      <c r="B849" t="s">
        <v>2551</v>
      </c>
      <c r="C849" t="s">
        <v>2552</v>
      </c>
      <c r="D849" t="s">
        <v>68</v>
      </c>
      <c r="E849" t="s">
        <v>29</v>
      </c>
      <c r="F849" t="s">
        <v>200</v>
      </c>
      <c r="H849" t="str">
        <f t="shared" si="91"/>
        <v>NE 东北大区运营支持部区域支持组</v>
      </c>
      <c r="I849" t="s">
        <v>195</v>
      </c>
      <c r="J849" t="s">
        <v>236</v>
      </c>
      <c r="K849" s="15">
        <v>0.395833333333333</v>
      </c>
      <c r="L849" s="15" t="s">
        <v>218</v>
      </c>
      <c r="M849" s="15"/>
      <c r="N849" t="s">
        <v>148</v>
      </c>
      <c r="O849" s="20" t="str">
        <f t="shared" si="92"/>
        <v>不正确</v>
      </c>
      <c r="P849" s="21">
        <v>0</v>
      </c>
      <c r="Q849" s="21">
        <v>0</v>
      </c>
      <c r="R849" s="21">
        <v>0</v>
      </c>
      <c r="S849" s="21">
        <f t="shared" si="93"/>
        <v>0</v>
      </c>
      <c r="T849" s="21">
        <f t="shared" si="94"/>
        <v>0</v>
      </c>
      <c r="U849" s="21" t="str">
        <f t="shared" si="95"/>
        <v>否</v>
      </c>
      <c r="V849" s="21">
        <f>VLOOKUP($C849,[4]Sheet1!$B:$AN,39,FALSE)</f>
        <v>0</v>
      </c>
      <c r="W849" s="21">
        <v>0</v>
      </c>
      <c r="X849" s="23">
        <v>0</v>
      </c>
      <c r="Y849" s="23">
        <v>0</v>
      </c>
      <c r="Z849" s="25">
        <f t="shared" si="96"/>
        <v>0</v>
      </c>
      <c r="AA849" s="25" t="str">
        <f t="shared" si="97"/>
        <v>是</v>
      </c>
      <c r="AB849" t="s">
        <v>339</v>
      </c>
      <c r="AC849" t="e">
        <f>VLOOKUP(C849,[1]Sheet1!$C:$O,13,FALSE)</f>
        <v>#N/A</v>
      </c>
      <c r="AD849" t="str">
        <f>VLOOKUP($H849,'[3]0509人员排班情况 副本'!$G:$U,12,FALSE)</f>
        <v>孙可君Monica（Kejun Sun）</v>
      </c>
      <c r="AE849" t="str">
        <f>VLOOKUP($H849,'[3]0509人员排班情况 副本'!$G:$U,13,FALSE)</f>
        <v>马聪Cong (Cong Ma)</v>
      </c>
      <c r="AF849">
        <f>VLOOKUP($H849,'[3]0509人员排班情况 副本'!$G:$U,14,FALSE)</f>
        <v>0</v>
      </c>
      <c r="AG849">
        <f>VLOOKUP($H849,'[3]0509人员排班情况 副本'!$G:$U,15,FALSE)</f>
        <v>0</v>
      </c>
    </row>
    <row r="850" customHeight="1" spans="1:33">
      <c r="A850" t="s">
        <v>202</v>
      </c>
      <c r="B850" t="s">
        <v>2553</v>
      </c>
      <c r="C850" t="s">
        <v>2554</v>
      </c>
      <c r="D850" t="s">
        <v>68</v>
      </c>
      <c r="E850" t="s">
        <v>75</v>
      </c>
      <c r="F850" t="s">
        <v>1138</v>
      </c>
      <c r="H850" t="str">
        <f t="shared" si="91"/>
        <v>NE 东北大区DC 华盛顿片区IAD01</v>
      </c>
      <c r="I850" t="s">
        <v>177</v>
      </c>
      <c r="J850" t="s">
        <v>343</v>
      </c>
      <c r="K850" s="15">
        <v>0.25</v>
      </c>
      <c r="L850" s="15" t="s">
        <v>344</v>
      </c>
      <c r="M850" s="15">
        <v>0.249305555555556</v>
      </c>
      <c r="N850" t="s">
        <v>2555</v>
      </c>
      <c r="O850" s="20" t="str">
        <f t="shared" si="92"/>
        <v>正确</v>
      </c>
      <c r="P850" s="21">
        <v>0</v>
      </c>
      <c r="Q850" s="21">
        <v>8.72</v>
      </c>
      <c r="R850" s="21">
        <v>0</v>
      </c>
      <c r="S850" s="21">
        <f t="shared" si="93"/>
        <v>8.72</v>
      </c>
      <c r="T850" s="21">
        <f t="shared" si="94"/>
        <v>0.720000000000001</v>
      </c>
      <c r="U850" s="21" t="str">
        <f t="shared" si="95"/>
        <v>是</v>
      </c>
      <c r="V850" s="21">
        <f>VLOOKUP($C850,[4]Sheet1!$B:$AN,39,FALSE)</f>
        <v>17.45</v>
      </c>
      <c r="W850" s="21">
        <v>0</v>
      </c>
      <c r="X850" s="23">
        <v>2</v>
      </c>
      <c r="Y850" s="23">
        <v>4</v>
      </c>
      <c r="Z850" s="25">
        <f t="shared" si="96"/>
        <v>2</v>
      </c>
      <c r="AA850" s="25" t="str">
        <f t="shared" si="97"/>
        <v>是</v>
      </c>
      <c r="AB850" t="s">
        <v>148</v>
      </c>
      <c r="AC850" t="e">
        <f>VLOOKUP(C850,[1]Sheet1!$C:$O,13,FALSE)</f>
        <v>#N/A</v>
      </c>
      <c r="AD850" t="str">
        <f>VLOOKUP($H850,'[3]0509人员排班情况 副本'!$G:$U,12,FALSE)</f>
        <v>孙可君Monica（Kejun Sun）</v>
      </c>
      <c r="AE850" t="str">
        <f>VLOOKUP($H850,'[3]0509人员排班情况 副本'!$G:$U,13,FALSE)</f>
        <v>马聪Cong (Cong Ma)</v>
      </c>
      <c r="AF850" t="str">
        <f>VLOOKUP($H850,'[3]0509人员排班情况 副本'!$G:$U,14,FALSE)</f>
        <v>朱晗宇 Peter (Hanyu Zhu)</v>
      </c>
      <c r="AG850">
        <f>VLOOKUP($H850,'[3]0509人员排班情况 副本'!$G:$U,15,FALSE)</f>
        <v>0</v>
      </c>
    </row>
    <row r="851" customHeight="1" spans="1:33">
      <c r="A851" t="s">
        <v>202</v>
      </c>
      <c r="B851" t="s">
        <v>2556</v>
      </c>
      <c r="C851" t="s">
        <v>2557</v>
      </c>
      <c r="D851" t="s">
        <v>8</v>
      </c>
      <c r="E851" t="s">
        <v>1366</v>
      </c>
      <c r="F851" t="s">
        <v>148</v>
      </c>
      <c r="H851" t="str">
        <f t="shared" si="91"/>
        <v>AD 行政部美西组</v>
      </c>
      <c r="I851" t="s">
        <v>1208</v>
      </c>
      <c r="J851" t="s">
        <v>236</v>
      </c>
      <c r="K851" s="15">
        <v>0.395833333333333</v>
      </c>
      <c r="L851" s="15" t="s">
        <v>218</v>
      </c>
      <c r="M851" s="15"/>
      <c r="N851" t="s">
        <v>148</v>
      </c>
      <c r="O851" s="20" t="str">
        <f t="shared" si="92"/>
        <v>不正确</v>
      </c>
      <c r="P851" s="21">
        <v>0</v>
      </c>
      <c r="Q851" s="21">
        <v>0</v>
      </c>
      <c r="R851" s="21">
        <v>0</v>
      </c>
      <c r="S851" s="21">
        <f t="shared" si="93"/>
        <v>0</v>
      </c>
      <c r="T851" s="21">
        <f t="shared" si="94"/>
        <v>0</v>
      </c>
      <c r="U851" s="21" t="str">
        <f t="shared" si="95"/>
        <v>否</v>
      </c>
      <c r="V851" s="21">
        <f>VLOOKUP($C851,[4]Sheet1!$B:$AN,39,FALSE)</f>
        <v>7.18</v>
      </c>
      <c r="W851" s="21">
        <v>0</v>
      </c>
      <c r="X851" s="23">
        <v>0</v>
      </c>
      <c r="Y851" s="23">
        <v>0</v>
      </c>
      <c r="Z851" s="25">
        <f t="shared" si="96"/>
        <v>0</v>
      </c>
      <c r="AA851" s="25" t="str">
        <f t="shared" si="97"/>
        <v>是</v>
      </c>
      <c r="AB851" t="s">
        <v>1546</v>
      </c>
      <c r="AC851" t="e">
        <f>VLOOKUP(C851,[1]Sheet1!$C:$O,13,FALSE)</f>
        <v>#N/A</v>
      </c>
      <c r="AD851" t="str">
        <f>VLOOKUP($H851,'[3]0509人员排班情况 副本'!$G:$U,12,FALSE)</f>
        <v>袁博闻(Bowen Yuan)</v>
      </c>
      <c r="AE851">
        <f>VLOOKUP($H851,'[3]0509人员排班情况 副本'!$G:$U,13,FALSE)</f>
        <v>0</v>
      </c>
      <c r="AF851">
        <f>VLOOKUP($H851,'[3]0509人员排班情况 副本'!$G:$U,14,FALSE)</f>
        <v>0</v>
      </c>
      <c r="AG851">
        <f>VLOOKUP($H851,'[3]0509人员排班情况 副本'!$G:$U,15,FALSE)</f>
        <v>0</v>
      </c>
    </row>
    <row r="852" customHeight="1" spans="1:33">
      <c r="A852" t="s">
        <v>202</v>
      </c>
      <c r="B852" t="s">
        <v>2558</v>
      </c>
      <c r="C852" t="s">
        <v>2559</v>
      </c>
      <c r="D852" t="s">
        <v>68</v>
      </c>
      <c r="E852" t="s">
        <v>70</v>
      </c>
      <c r="F852" t="s">
        <v>2560</v>
      </c>
      <c r="H852" t="str">
        <f t="shared" si="91"/>
        <v>NE 东北大区BN 布法罗片区ROC01</v>
      </c>
      <c r="I852" t="s">
        <v>177</v>
      </c>
      <c r="J852" t="s">
        <v>217</v>
      </c>
      <c r="K852" s="15">
        <v>0.395833333333333</v>
      </c>
      <c r="L852" s="15" t="s">
        <v>218</v>
      </c>
      <c r="M852" s="15"/>
      <c r="N852" t="s">
        <v>148</v>
      </c>
      <c r="O852" s="20" t="s">
        <v>116</v>
      </c>
      <c r="P852" s="21">
        <v>0</v>
      </c>
      <c r="Q852" s="21">
        <v>0</v>
      </c>
      <c r="R852" s="21">
        <v>0</v>
      </c>
      <c r="S852" s="21">
        <f t="shared" si="93"/>
        <v>0</v>
      </c>
      <c r="T852" s="21">
        <f t="shared" si="94"/>
        <v>0</v>
      </c>
      <c r="U852" s="21" t="str">
        <f t="shared" si="95"/>
        <v>否</v>
      </c>
      <c r="V852" s="21">
        <f>VLOOKUP($C852,[4]Sheet1!$B:$AN,39,FALSE)</f>
        <v>0</v>
      </c>
      <c r="W852" s="21">
        <v>0</v>
      </c>
      <c r="X852" s="23">
        <v>0</v>
      </c>
      <c r="Y852" s="23">
        <v>0</v>
      </c>
      <c r="Z852" s="25">
        <f t="shared" si="96"/>
        <v>0</v>
      </c>
      <c r="AA852" s="25" t="str">
        <f t="shared" si="97"/>
        <v>是</v>
      </c>
      <c r="AB852" t="s">
        <v>148</v>
      </c>
      <c r="AC852" t="e">
        <f>VLOOKUP(C852,[1]Sheet1!$C:$O,13,FALSE)</f>
        <v>#N/A</v>
      </c>
      <c r="AD852" t="str">
        <f>VLOOKUP($H852,'[3]0509人员排班情况 副本'!$G:$U,12,FALSE)</f>
        <v>孙可君Monica（Kejun Sun）</v>
      </c>
      <c r="AE852" t="str">
        <f>VLOOKUP($H852,'[3]0509人员排班情况 副本'!$G:$U,13,FALSE)</f>
        <v>马聪Cong (Cong Ma)</v>
      </c>
      <c r="AF852" t="str">
        <f>VLOOKUP($H852,'[3]0509人员排班情况 副本'!$G:$U,14,FALSE)</f>
        <v>朱晗宇 Peter (Hanyu Zhu)</v>
      </c>
      <c r="AG852">
        <f>VLOOKUP($H852,'[3]0509人员排班情况 副本'!$G:$U,15,FALSE)</f>
        <v>0</v>
      </c>
    </row>
    <row r="853" customHeight="1" spans="1:33">
      <c r="A853" t="s">
        <v>202</v>
      </c>
      <c r="B853" t="s">
        <v>2561</v>
      </c>
      <c r="C853" t="s">
        <v>2562</v>
      </c>
      <c r="D853" t="s">
        <v>100</v>
      </c>
      <c r="E853" t="s">
        <v>104</v>
      </c>
      <c r="F853" t="s">
        <v>744</v>
      </c>
      <c r="H853" t="str">
        <f t="shared" si="91"/>
        <v>WE 美西大区LA揽收部揽收调度组</v>
      </c>
      <c r="I853" t="s">
        <v>745</v>
      </c>
      <c r="J853" t="s">
        <v>746</v>
      </c>
      <c r="K853" s="15">
        <v>0.4375</v>
      </c>
      <c r="L853" s="15" t="s">
        <v>491</v>
      </c>
      <c r="M853" s="15">
        <v>0.406944444444444</v>
      </c>
      <c r="N853" t="s">
        <v>2286</v>
      </c>
      <c r="O853" s="20" t="str">
        <f t="shared" si="92"/>
        <v>正确</v>
      </c>
      <c r="P853" s="21">
        <v>0</v>
      </c>
      <c r="Q853" s="21">
        <v>10.77</v>
      </c>
      <c r="R853" s="21">
        <v>0</v>
      </c>
      <c r="S853" s="21">
        <f t="shared" si="93"/>
        <v>10.77</v>
      </c>
      <c r="T853" s="21">
        <f t="shared" si="94"/>
        <v>2.77</v>
      </c>
      <c r="U853" s="21" t="str">
        <f t="shared" si="95"/>
        <v>是</v>
      </c>
      <c r="V853" s="21">
        <f>VLOOKUP($C853,[4]Sheet1!$B:$AN,39,FALSE)</f>
        <v>23.95</v>
      </c>
      <c r="W853" s="21">
        <v>0</v>
      </c>
      <c r="X853" s="23">
        <v>2</v>
      </c>
      <c r="Y853" s="23">
        <v>4</v>
      </c>
      <c r="Z853" s="25">
        <f t="shared" si="96"/>
        <v>2</v>
      </c>
      <c r="AA853" s="25" t="str">
        <f t="shared" si="97"/>
        <v>是</v>
      </c>
      <c r="AB853" t="s">
        <v>148</v>
      </c>
      <c r="AC853" t="e">
        <f>VLOOKUP(C853,[1]Sheet1!$C:$O,13,FALSE)</f>
        <v>#N/A</v>
      </c>
      <c r="AD853" t="str">
        <f>VLOOKUP($H853,'[3]0509人员排班情况 副本'!$G:$U,12,FALSE)</f>
        <v>王骞Ariel（Qian Wang）,叶秀芳Freya (Xiufang Ye)</v>
      </c>
      <c r="AE853" t="str">
        <f>VLOOKUP($H853,'[3]0509人员排班情况 副本'!$G:$U,13,FALSE)</f>
        <v>常哲</v>
      </c>
      <c r="AF853">
        <f>VLOOKUP($H853,'[3]0509人员排班情况 副本'!$G:$U,14,FALSE)</f>
        <v>0</v>
      </c>
      <c r="AG853">
        <f>VLOOKUP($H853,'[3]0509人员排班情况 副本'!$G:$U,15,FALSE)</f>
        <v>0</v>
      </c>
    </row>
    <row r="854" customHeight="1" spans="1:33">
      <c r="A854" t="s">
        <v>202</v>
      </c>
      <c r="B854" t="s">
        <v>2563</v>
      </c>
      <c r="C854" t="s">
        <v>2564</v>
      </c>
      <c r="D854" t="s">
        <v>15</v>
      </c>
      <c r="E854" t="s">
        <v>17</v>
      </c>
      <c r="F854" t="s">
        <v>243</v>
      </c>
      <c r="G854" t="s">
        <v>112</v>
      </c>
      <c r="H854" t="str">
        <f t="shared" si="91"/>
        <v>FL 佛州大区MCO.H调度组</v>
      </c>
      <c r="I854" t="s">
        <v>160</v>
      </c>
      <c r="J854" t="s">
        <v>347</v>
      </c>
      <c r="K854" s="15">
        <v>0.541666666666667</v>
      </c>
      <c r="L854" s="15" t="s">
        <v>348</v>
      </c>
      <c r="M854" s="15">
        <v>0.542361111111111</v>
      </c>
      <c r="N854" t="s">
        <v>1712</v>
      </c>
      <c r="O854" s="20" t="str">
        <f t="shared" si="92"/>
        <v>正确</v>
      </c>
      <c r="P854" s="21">
        <v>0</v>
      </c>
      <c r="Q854" s="21">
        <v>9.62</v>
      </c>
      <c r="R854" s="21">
        <v>0</v>
      </c>
      <c r="S854" s="21">
        <f t="shared" si="93"/>
        <v>9.62</v>
      </c>
      <c r="T854" s="21">
        <f t="shared" si="94"/>
        <v>1.62</v>
      </c>
      <c r="U854" s="21" t="str">
        <f t="shared" si="95"/>
        <v>是</v>
      </c>
      <c r="V854" s="21">
        <f>VLOOKUP($C854,[4]Sheet1!$B:$AN,39,FALSE)</f>
        <v>20.84</v>
      </c>
      <c r="W854" s="21">
        <v>0</v>
      </c>
      <c r="X854" s="23">
        <v>4</v>
      </c>
      <c r="Y854" s="23">
        <v>4</v>
      </c>
      <c r="Z854" s="25">
        <f t="shared" si="96"/>
        <v>0</v>
      </c>
      <c r="AA854" s="25" t="str">
        <f t="shared" si="97"/>
        <v>是</v>
      </c>
      <c r="AB854" t="s">
        <v>148</v>
      </c>
      <c r="AC854" t="e">
        <f>VLOOKUP(C854,[1]Sheet1!$C:$O,13,FALSE)</f>
        <v>#N/A</v>
      </c>
      <c r="AD854" t="str">
        <f>VLOOKUP($H854,'[3]0509人员排班情况 副本'!$G:$U,12,FALSE)</f>
        <v>Natalia (Natalia Padilla),孙婕 Jasmine（Sunjie）</v>
      </c>
      <c r="AE854" t="str">
        <f>VLOOKUP($H854,'[3]0509人员排班情况 副本'!$G:$U,13,FALSE)</f>
        <v>贺子强Jeff (Ziqiang He)</v>
      </c>
      <c r="AF854" t="str">
        <f>VLOOKUP($H854,'[3]0509人员排班情况 副本'!$G:$U,14,FALSE)</f>
        <v>Minqing (Minqing Xu),罗煜雄 Mike (Yuxiong Luo)</v>
      </c>
      <c r="AG854">
        <f>VLOOKUP($H854,'[3]0509人员排班情况 副本'!$G:$U,15,FALSE)</f>
        <v>0</v>
      </c>
    </row>
    <row r="855" customHeight="1" spans="1:33">
      <c r="A855" t="s">
        <v>202</v>
      </c>
      <c r="B855" t="s">
        <v>2565</v>
      </c>
      <c r="C855" t="s">
        <v>2566</v>
      </c>
      <c r="D855" t="s">
        <v>31</v>
      </c>
      <c r="E855" t="s">
        <v>36</v>
      </c>
      <c r="F855" t="s">
        <v>2246</v>
      </c>
      <c r="H855" t="str">
        <f t="shared" si="91"/>
        <v>GL 大湖大区EG 东大湖片区DTW01</v>
      </c>
      <c r="I855" t="s">
        <v>406</v>
      </c>
      <c r="J855" t="s">
        <v>221</v>
      </c>
      <c r="K855" s="15">
        <v>0.208333333333333</v>
      </c>
      <c r="L855" s="15" t="s">
        <v>222</v>
      </c>
      <c r="M855" s="15">
        <v>0.230555555555556</v>
      </c>
      <c r="N855" t="s">
        <v>2567</v>
      </c>
      <c r="O855" s="20" t="str">
        <f t="shared" si="92"/>
        <v>正确</v>
      </c>
      <c r="P855" s="21">
        <v>0</v>
      </c>
      <c r="Q855" s="21">
        <v>10.08</v>
      </c>
      <c r="R855" s="21">
        <v>0</v>
      </c>
      <c r="S855" s="21">
        <f t="shared" si="93"/>
        <v>10.08</v>
      </c>
      <c r="T855" s="21">
        <f t="shared" si="94"/>
        <v>2.08</v>
      </c>
      <c r="U855" s="21" t="str">
        <f t="shared" si="95"/>
        <v>是</v>
      </c>
      <c r="V855" s="21">
        <f>VLOOKUP($C855,[4]Sheet1!$B:$AN,39,FALSE)</f>
        <v>21.51</v>
      </c>
      <c r="W855" s="21">
        <v>0</v>
      </c>
      <c r="X855" s="23">
        <v>4</v>
      </c>
      <c r="Y855" s="23">
        <v>4</v>
      </c>
      <c r="Z855" s="25">
        <f t="shared" si="96"/>
        <v>0</v>
      </c>
      <c r="AA855" s="25" t="str">
        <f t="shared" si="97"/>
        <v>是</v>
      </c>
      <c r="AB855" t="s">
        <v>148</v>
      </c>
      <c r="AC855" t="e">
        <f>VLOOKUP(C855,[1]Sheet1!$C:$O,13,FALSE)</f>
        <v>#N/A</v>
      </c>
      <c r="AD855" t="str">
        <f>VLOOKUP($H855,'[3]0509人员排班情况 副本'!$G:$U,12,FALSE)</f>
        <v>王晓丹 Jasmine（Xiaodan Wang）,周延舒Isabel（Yanshu Zhou）</v>
      </c>
      <c r="AE855" t="str">
        <f>VLOOKUP($H855,'[3]0509人员排班情况 副本'!$G:$U,13,FALSE)</f>
        <v>张骥Ji Zhang (Ji Zhang)</v>
      </c>
      <c r="AF855" t="str">
        <f>VLOOKUP($H855,'[3]0509人员排班情况 副本'!$G:$U,14,FALSE)</f>
        <v>肖泓杰 Leo （hongjie Xiao）,尚青蓓 Suki （Qingbei Shang）</v>
      </c>
      <c r="AG855">
        <f>VLOOKUP($H855,'[3]0509人员排班情况 副本'!$G:$U,15,FALSE)</f>
        <v>0</v>
      </c>
    </row>
    <row r="856" customHeight="1" spans="1:33">
      <c r="A856" t="s">
        <v>202</v>
      </c>
      <c r="B856" t="s">
        <v>2568</v>
      </c>
      <c r="C856" t="s">
        <v>2569</v>
      </c>
      <c r="D856" t="s">
        <v>100</v>
      </c>
      <c r="E856" t="s">
        <v>105</v>
      </c>
      <c r="F856" t="s">
        <v>760</v>
      </c>
      <c r="H856" t="str">
        <f t="shared" si="91"/>
        <v>WE 美西大区NC 北加片区SFO01</v>
      </c>
      <c r="I856" t="s">
        <v>687</v>
      </c>
      <c r="J856" t="s">
        <v>229</v>
      </c>
      <c r="K856" s="15">
        <v>0.270833333333333</v>
      </c>
      <c r="L856" s="15" t="s">
        <v>230</v>
      </c>
      <c r="M856" s="15">
        <v>0.275</v>
      </c>
      <c r="N856" t="s">
        <v>2045</v>
      </c>
      <c r="O856" s="20" t="str">
        <f t="shared" si="92"/>
        <v>正确</v>
      </c>
      <c r="P856" s="21">
        <v>0</v>
      </c>
      <c r="Q856" s="21">
        <v>7.92</v>
      </c>
      <c r="R856" s="21">
        <v>0</v>
      </c>
      <c r="S856" s="21">
        <f t="shared" si="93"/>
        <v>7.92</v>
      </c>
      <c r="T856" s="21">
        <f t="shared" si="94"/>
        <v>0</v>
      </c>
      <c r="U856" s="21" t="str">
        <f t="shared" si="95"/>
        <v>否</v>
      </c>
      <c r="V856" s="21">
        <f>VLOOKUP($C856,[4]Sheet1!$B:$AN,39,FALSE)</f>
        <v>16.07</v>
      </c>
      <c r="W856" s="21">
        <v>0</v>
      </c>
      <c r="X856" s="23">
        <v>4</v>
      </c>
      <c r="Y856" s="23">
        <v>4</v>
      </c>
      <c r="Z856" s="25">
        <f t="shared" si="96"/>
        <v>0</v>
      </c>
      <c r="AA856" s="25" t="str">
        <f t="shared" si="97"/>
        <v>是</v>
      </c>
      <c r="AB856" t="s">
        <v>148</v>
      </c>
      <c r="AC856" t="e">
        <f>VLOOKUP(C856,[1]Sheet1!$C:$O,13,FALSE)</f>
        <v>#N/A</v>
      </c>
      <c r="AD856" t="str">
        <f>VLOOKUP($H856,'[3]0509人员排班情况 副本'!$G:$U,12,FALSE)</f>
        <v>王骞Ariel（Qian Wang）,叶秀芳Freya (Xiufang Ye)</v>
      </c>
      <c r="AE856" t="str">
        <f>VLOOKUP($H856,'[3]0509人员排班情况 副本'!$G:$U,13,FALSE)</f>
        <v>常哲</v>
      </c>
      <c r="AF856" t="str">
        <f>VLOOKUP($H856,'[3]0509人员排班情况 副本'!$G:$U,14,FALSE)</f>
        <v>林美浚（Meijun Lin）</v>
      </c>
      <c r="AG856">
        <f>VLOOKUP($H856,'[3]0509人员排班情况 副本'!$G:$U,15,FALSE)</f>
        <v>0</v>
      </c>
    </row>
    <row r="857" customHeight="1" spans="1:33">
      <c r="A857" t="s">
        <v>202</v>
      </c>
      <c r="B857" t="s">
        <v>2570</v>
      </c>
      <c r="C857" t="s">
        <v>2571</v>
      </c>
      <c r="D857" t="s">
        <v>68</v>
      </c>
      <c r="E857" t="s">
        <v>44</v>
      </c>
      <c r="F857" t="s">
        <v>148</v>
      </c>
      <c r="H857" t="str">
        <f t="shared" si="91"/>
        <v>NE 东北大区车辆管理部</v>
      </c>
      <c r="I857" t="s">
        <v>968</v>
      </c>
      <c r="J857" t="s">
        <v>236</v>
      </c>
      <c r="K857" s="15">
        <v>0.395833333333333</v>
      </c>
      <c r="L857" s="15" t="s">
        <v>218</v>
      </c>
      <c r="M857" s="15">
        <v>0.395833333333333</v>
      </c>
      <c r="N857" t="s">
        <v>2572</v>
      </c>
      <c r="O857" s="20" t="str">
        <f t="shared" si="92"/>
        <v>正确</v>
      </c>
      <c r="P857" s="21">
        <v>0</v>
      </c>
      <c r="Q857" s="21">
        <v>8.22</v>
      </c>
      <c r="R857" s="21">
        <v>0</v>
      </c>
      <c r="S857" s="21">
        <f t="shared" si="93"/>
        <v>8.22</v>
      </c>
      <c r="T857" s="21">
        <f t="shared" si="94"/>
        <v>0.220000000000001</v>
      </c>
      <c r="U857" s="21" t="str">
        <f t="shared" si="95"/>
        <v>是</v>
      </c>
      <c r="V857" s="21">
        <f>VLOOKUP($C857,[4]Sheet1!$B:$AN,39,FALSE)</f>
        <v>19.2</v>
      </c>
      <c r="W857" s="21">
        <v>0</v>
      </c>
      <c r="X857" s="23">
        <v>4</v>
      </c>
      <c r="Y857" s="23">
        <v>4</v>
      </c>
      <c r="Z857" s="25">
        <f t="shared" si="96"/>
        <v>0</v>
      </c>
      <c r="AA857" s="25" t="str">
        <f t="shared" si="97"/>
        <v>是</v>
      </c>
      <c r="AB857" t="s">
        <v>148</v>
      </c>
      <c r="AC857" t="e">
        <f>VLOOKUP(C857,[1]Sheet1!$C:$O,13,FALSE)</f>
        <v>#N/A</v>
      </c>
      <c r="AD857" t="str">
        <f>VLOOKUP($H857,'[3]0509人员排班情况 副本'!$G:$U,12,FALSE)</f>
        <v>孙可君Monica（Kejun Sun）</v>
      </c>
      <c r="AE857" t="str">
        <f>VLOOKUP($H857,'[3]0509人员排班情况 副本'!$G:$U,13,FALSE)</f>
        <v>马聪Cong (Cong Ma)</v>
      </c>
      <c r="AF857">
        <f>VLOOKUP($H857,'[3]0509人员排班情况 副本'!$G:$U,14,FALSE)</f>
        <v>0</v>
      </c>
      <c r="AG857">
        <f>VLOOKUP($H857,'[3]0509人员排班情况 副本'!$G:$U,15,FALSE)</f>
        <v>0</v>
      </c>
    </row>
    <row r="858" customHeight="1" spans="1:33">
      <c r="A858" t="s">
        <v>202</v>
      </c>
      <c r="B858" t="s">
        <v>2573</v>
      </c>
      <c r="C858" t="s">
        <v>2574</v>
      </c>
      <c r="D858" t="s">
        <v>15</v>
      </c>
      <c r="E858" t="s">
        <v>24</v>
      </c>
      <c r="F858" t="s">
        <v>21</v>
      </c>
      <c r="H858" t="str">
        <f t="shared" si="91"/>
        <v>FL 佛州大区SF 南佛片区MIA01</v>
      </c>
      <c r="I858" t="s">
        <v>177</v>
      </c>
      <c r="J858" t="s">
        <v>205</v>
      </c>
      <c r="K858" s="15">
        <v>0.166666666666667</v>
      </c>
      <c r="L858" s="15" t="s">
        <v>206</v>
      </c>
      <c r="M858" s="15">
        <v>0.16875</v>
      </c>
      <c r="N858" t="s">
        <v>1666</v>
      </c>
      <c r="O858" s="20" t="str">
        <f t="shared" si="92"/>
        <v>正确</v>
      </c>
      <c r="P858" s="21">
        <v>0</v>
      </c>
      <c r="Q858" s="21">
        <v>9.63</v>
      </c>
      <c r="R858" s="21">
        <v>0</v>
      </c>
      <c r="S858" s="21">
        <f t="shared" si="93"/>
        <v>9.63</v>
      </c>
      <c r="T858" s="21">
        <f t="shared" si="94"/>
        <v>1.63</v>
      </c>
      <c r="U858" s="21" t="str">
        <f t="shared" si="95"/>
        <v>是</v>
      </c>
      <c r="V858" s="21">
        <f>VLOOKUP($C858,[4]Sheet1!$B:$AN,39,FALSE)</f>
        <v>19.85</v>
      </c>
      <c r="W858" s="21">
        <v>0</v>
      </c>
      <c r="X858" s="23">
        <v>4</v>
      </c>
      <c r="Y858" s="23">
        <v>4</v>
      </c>
      <c r="Z858" s="25">
        <f t="shared" si="96"/>
        <v>0</v>
      </c>
      <c r="AA858" s="25" t="str">
        <f t="shared" si="97"/>
        <v>是</v>
      </c>
      <c r="AB858" t="s">
        <v>148</v>
      </c>
      <c r="AC858" t="e">
        <f>VLOOKUP(C858,[1]Sheet1!$C:$O,13,FALSE)</f>
        <v>#N/A</v>
      </c>
      <c r="AD858" t="str">
        <f>VLOOKUP($H858,'[3]0509人员排班情况 副本'!$G:$U,12,FALSE)</f>
        <v>Natalia (Natalia Padilla),孙婕 Jasmine（Sunjie）</v>
      </c>
      <c r="AE858" t="str">
        <f>VLOOKUP($H858,'[3]0509人员排班情况 副本'!$G:$U,13,FALSE)</f>
        <v>贺子强Jeff (Ziqiang He)</v>
      </c>
      <c r="AF858" t="str">
        <f>VLOOKUP($H858,'[3]0509人员排班情况 副本'!$G:$U,14,FALSE)</f>
        <v>王航 Hang (Hang Wang)</v>
      </c>
      <c r="AG858">
        <f>VLOOKUP($H858,'[3]0509人员排班情况 副本'!$G:$U,15,FALSE)</f>
        <v>0</v>
      </c>
    </row>
    <row r="859" customHeight="1" spans="1:33">
      <c r="A859" t="s">
        <v>202</v>
      </c>
      <c r="B859" t="s">
        <v>2575</v>
      </c>
      <c r="C859" t="s">
        <v>2576</v>
      </c>
      <c r="D859" t="s">
        <v>48</v>
      </c>
      <c r="E859" t="s">
        <v>51</v>
      </c>
      <c r="F859" t="s">
        <v>1695</v>
      </c>
      <c r="H859" t="str">
        <f t="shared" si="91"/>
        <v>Ground项目部OG 美西区SFO.G</v>
      </c>
      <c r="I859" t="s">
        <v>156</v>
      </c>
      <c r="J859" t="s">
        <v>217</v>
      </c>
      <c r="K859" s="15">
        <v>0.395833333333333</v>
      </c>
      <c r="L859" s="15" t="s">
        <v>218</v>
      </c>
      <c r="M859" s="15"/>
      <c r="N859" t="s">
        <v>148</v>
      </c>
      <c r="O859" s="20" t="s">
        <v>116</v>
      </c>
      <c r="P859" s="21">
        <v>0</v>
      </c>
      <c r="Q859" s="21">
        <v>0</v>
      </c>
      <c r="R859" s="21">
        <v>0</v>
      </c>
      <c r="S859" s="21">
        <f t="shared" si="93"/>
        <v>0</v>
      </c>
      <c r="T859" s="21">
        <f t="shared" si="94"/>
        <v>0</v>
      </c>
      <c r="U859" s="21" t="str">
        <f t="shared" si="95"/>
        <v>否</v>
      </c>
      <c r="V859" s="21">
        <f>VLOOKUP($C859,[4]Sheet1!$B:$AN,39,FALSE)</f>
        <v>8.35</v>
      </c>
      <c r="W859" s="21">
        <v>0</v>
      </c>
      <c r="X859" s="23">
        <v>0</v>
      </c>
      <c r="Y859" s="23">
        <v>0</v>
      </c>
      <c r="Z859" s="25">
        <f t="shared" si="96"/>
        <v>0</v>
      </c>
      <c r="AA859" s="25" t="str">
        <f t="shared" si="97"/>
        <v>是</v>
      </c>
      <c r="AB859" t="s">
        <v>148</v>
      </c>
      <c r="AC859" t="e">
        <f>VLOOKUP(C859,[1]Sheet1!$C:$O,13,FALSE)</f>
        <v>#N/A</v>
      </c>
      <c r="AD859" t="str">
        <f>VLOOKUP($H859,'[3]0509人员排班情况 副本'!$G:$U,12,FALSE)</f>
        <v>王安琪 (Anqi Wang),张朱同 Thomson（Zhutong Zhang）</v>
      </c>
      <c r="AE859" t="str">
        <f>VLOOKUP($H859,'[3]0509人员排班情况 副本'!$G:$U,13,FALSE)</f>
        <v>陈锦昭</v>
      </c>
      <c r="AF859" t="str">
        <f>VLOOKUP($H859,'[3]0509人员排班情况 副本'!$G:$U,14,FALSE)</f>
        <v>蒲奕霖Steven（Yilin Pu）</v>
      </c>
      <c r="AG859">
        <f>VLOOKUP($H859,'[3]0509人员排班情况 副本'!$G:$U,15,FALSE)</f>
        <v>0</v>
      </c>
    </row>
    <row r="860" customHeight="1" spans="1:33">
      <c r="A860" t="s">
        <v>202</v>
      </c>
      <c r="B860" t="s">
        <v>2577</v>
      </c>
      <c r="C860" t="s">
        <v>2578</v>
      </c>
      <c r="D860" t="s">
        <v>100</v>
      </c>
      <c r="E860" t="s">
        <v>29</v>
      </c>
      <c r="F860" t="s">
        <v>200</v>
      </c>
      <c r="H860" t="str">
        <f t="shared" si="91"/>
        <v>WE 美西大区运营支持部区域支持组</v>
      </c>
      <c r="I860" t="s">
        <v>201</v>
      </c>
      <c r="J860" t="s">
        <v>236</v>
      </c>
      <c r="K860" s="15">
        <v>0.395833333333333</v>
      </c>
      <c r="L860" s="15" t="s">
        <v>218</v>
      </c>
      <c r="M860" s="15"/>
      <c r="N860" t="s">
        <v>148</v>
      </c>
      <c r="O860" s="20" t="str">
        <f t="shared" si="92"/>
        <v>不正确</v>
      </c>
      <c r="P860" s="21">
        <v>0</v>
      </c>
      <c r="Q860" s="21">
        <v>0</v>
      </c>
      <c r="R860" s="21">
        <v>0</v>
      </c>
      <c r="S860" s="21">
        <f t="shared" si="93"/>
        <v>0</v>
      </c>
      <c r="T860" s="21">
        <f t="shared" si="94"/>
        <v>0</v>
      </c>
      <c r="U860" s="21" t="str">
        <f t="shared" si="95"/>
        <v>否</v>
      </c>
      <c r="V860" s="21">
        <f>VLOOKUP($C860,[4]Sheet1!$B:$AN,39,FALSE)</f>
        <v>0</v>
      </c>
      <c r="W860" s="21">
        <v>0</v>
      </c>
      <c r="X860" s="23">
        <v>0</v>
      </c>
      <c r="Y860" s="23">
        <v>0</v>
      </c>
      <c r="Z860" s="25">
        <f t="shared" si="96"/>
        <v>0</v>
      </c>
      <c r="AA860" s="25" t="str">
        <f t="shared" si="97"/>
        <v>是</v>
      </c>
      <c r="AB860" t="s">
        <v>2579</v>
      </c>
      <c r="AC860" t="e">
        <f>VLOOKUP(C860,[1]Sheet1!$C:$O,13,FALSE)</f>
        <v>#N/A</v>
      </c>
      <c r="AD860" t="str">
        <f>VLOOKUP($H860,'[3]0509人员排班情况 副本'!$G:$U,12,FALSE)</f>
        <v>王骞Ariel（Qian Wang）,叶秀芳Freya (Xiufang Ye)</v>
      </c>
      <c r="AE860" t="str">
        <f>VLOOKUP($H860,'[3]0509人员排班情况 副本'!$G:$U,13,FALSE)</f>
        <v>常哲</v>
      </c>
      <c r="AF860">
        <f>VLOOKUP($H860,'[3]0509人员排班情况 副本'!$G:$U,14,FALSE)</f>
        <v>0</v>
      </c>
      <c r="AG860">
        <f>VLOOKUP($H860,'[3]0509人员排班情况 副本'!$G:$U,15,FALSE)</f>
        <v>0</v>
      </c>
    </row>
    <row r="861" customHeight="1" spans="1:33">
      <c r="A861" t="s">
        <v>202</v>
      </c>
      <c r="B861" t="s">
        <v>2580</v>
      </c>
      <c r="C861" t="s">
        <v>2581</v>
      </c>
      <c r="D861" t="s">
        <v>100</v>
      </c>
      <c r="E861" t="s">
        <v>44</v>
      </c>
      <c r="F861" t="s">
        <v>148</v>
      </c>
      <c r="H861" t="str">
        <f t="shared" si="91"/>
        <v>WE 美西大区车辆管理部</v>
      </c>
      <c r="I861" t="s">
        <v>769</v>
      </c>
      <c r="J861" t="s">
        <v>236</v>
      </c>
      <c r="K861" s="15">
        <v>0.395833333333333</v>
      </c>
      <c r="L861" s="15" t="s">
        <v>218</v>
      </c>
      <c r="M861" s="15">
        <v>0.4</v>
      </c>
      <c r="N861" t="s">
        <v>1931</v>
      </c>
      <c r="O861" s="20" t="str">
        <f t="shared" si="92"/>
        <v>正确</v>
      </c>
      <c r="P861" s="21">
        <v>0</v>
      </c>
      <c r="Q861" s="21">
        <v>9.82</v>
      </c>
      <c r="R861" s="21">
        <v>0</v>
      </c>
      <c r="S861" s="21">
        <f t="shared" si="93"/>
        <v>9.82</v>
      </c>
      <c r="T861" s="21">
        <f t="shared" si="94"/>
        <v>1.82</v>
      </c>
      <c r="U861" s="21" t="str">
        <f t="shared" si="95"/>
        <v>是</v>
      </c>
      <c r="V861" s="21">
        <f>VLOOKUP($C861,[4]Sheet1!$B:$AN,39,FALSE)</f>
        <v>17.94</v>
      </c>
      <c r="W861" s="21">
        <v>0</v>
      </c>
      <c r="X861" s="23">
        <v>4</v>
      </c>
      <c r="Y861" s="23">
        <v>4</v>
      </c>
      <c r="Z861" s="25">
        <f t="shared" si="96"/>
        <v>0</v>
      </c>
      <c r="AA861" s="25" t="str">
        <f t="shared" si="97"/>
        <v>是</v>
      </c>
      <c r="AB861" t="s">
        <v>148</v>
      </c>
      <c r="AC861" t="e">
        <f>VLOOKUP(C861,[1]Sheet1!$C:$O,13,FALSE)</f>
        <v>#N/A</v>
      </c>
      <c r="AD861" t="str">
        <f>VLOOKUP($H861,'[3]0509人员排班情况 副本'!$G:$U,12,FALSE)</f>
        <v>王骞Ariel（Qian Wang）,叶秀芳Freya (Xiufang Ye)</v>
      </c>
      <c r="AE861" t="str">
        <f>VLOOKUP($H861,'[3]0509人员排班情况 副本'!$G:$U,13,FALSE)</f>
        <v>常哲</v>
      </c>
      <c r="AF861">
        <f>VLOOKUP($H861,'[3]0509人员排班情况 副本'!$G:$U,14,FALSE)</f>
        <v>0</v>
      </c>
      <c r="AG861">
        <f>VLOOKUP($H861,'[3]0509人员排班情况 副本'!$G:$U,15,FALSE)</f>
        <v>0</v>
      </c>
    </row>
    <row r="862" customHeight="1" spans="1:33">
      <c r="A862" t="s">
        <v>202</v>
      </c>
      <c r="B862" t="s">
        <v>2582</v>
      </c>
      <c r="C862" t="s">
        <v>2583</v>
      </c>
      <c r="D862" t="s">
        <v>68</v>
      </c>
      <c r="E862" t="s">
        <v>76</v>
      </c>
      <c r="F862" t="s">
        <v>243</v>
      </c>
      <c r="G862" t="s">
        <v>112</v>
      </c>
      <c r="H862" t="str">
        <f t="shared" si="91"/>
        <v>NE 东北大区EWR.H调度组</v>
      </c>
      <c r="I862" t="s">
        <v>160</v>
      </c>
      <c r="J862" t="s">
        <v>343</v>
      </c>
      <c r="K862" s="15">
        <v>0.25</v>
      </c>
      <c r="L862" s="15" t="s">
        <v>344</v>
      </c>
      <c r="M862" s="15">
        <v>0.244444444444444</v>
      </c>
      <c r="N862" t="s">
        <v>2584</v>
      </c>
      <c r="O862" s="20" t="str">
        <f t="shared" si="92"/>
        <v>正确</v>
      </c>
      <c r="P862" s="21">
        <v>0</v>
      </c>
      <c r="Q862" s="21">
        <v>9.95</v>
      </c>
      <c r="R862" s="21">
        <v>0</v>
      </c>
      <c r="S862" s="21">
        <f t="shared" si="93"/>
        <v>9.95</v>
      </c>
      <c r="T862" s="21">
        <f t="shared" si="94"/>
        <v>1.95</v>
      </c>
      <c r="U862" s="21" t="str">
        <f t="shared" si="95"/>
        <v>是</v>
      </c>
      <c r="V862" s="21">
        <f>VLOOKUP($C862,[4]Sheet1!$B:$AN,39,FALSE)</f>
        <v>20.03</v>
      </c>
      <c r="W862" s="21">
        <v>0</v>
      </c>
      <c r="X862" s="23">
        <v>4</v>
      </c>
      <c r="Y862" s="23">
        <v>4</v>
      </c>
      <c r="Z862" s="25">
        <f t="shared" si="96"/>
        <v>0</v>
      </c>
      <c r="AA862" s="25" t="str">
        <f t="shared" si="97"/>
        <v>是</v>
      </c>
      <c r="AB862" t="s">
        <v>148</v>
      </c>
      <c r="AC862" t="e">
        <f>VLOOKUP(C862,[1]Sheet1!$C:$O,13,FALSE)</f>
        <v>#N/A</v>
      </c>
      <c r="AD862" t="str">
        <f>VLOOKUP($H862,'[3]0509人员排班情况 副本'!$G:$U,12,FALSE)</f>
        <v>孙可君Monica（Kejun Sun）</v>
      </c>
      <c r="AE862" t="str">
        <f>VLOOKUP($H862,'[3]0509人员排班情况 副本'!$G:$U,13,FALSE)</f>
        <v>马聪Cong (Cong Ma)</v>
      </c>
      <c r="AF862" t="str">
        <f>VLOOKUP($H862,'[3]0509人员排班情况 副本'!$G:$U,14,FALSE)</f>
        <v>Minqing (Minqing Xu),罗煜雄 Mike (Yuxiong Luo)</v>
      </c>
      <c r="AG862">
        <f>VLOOKUP($H862,'[3]0509人员排班情况 副本'!$G:$U,15,FALSE)</f>
        <v>0</v>
      </c>
    </row>
    <row r="863" customHeight="1" spans="1:33">
      <c r="A863" t="s">
        <v>202</v>
      </c>
      <c r="B863" t="s">
        <v>2585</v>
      </c>
      <c r="C863" t="s">
        <v>2586</v>
      </c>
      <c r="D863" t="s">
        <v>91</v>
      </c>
      <c r="E863" t="s">
        <v>1771</v>
      </c>
      <c r="F863" t="s">
        <v>148</v>
      </c>
      <c r="H863" t="str">
        <f t="shared" si="91"/>
        <v>SM 站点管理部产品运营组</v>
      </c>
      <c r="I863" t="s">
        <v>2587</v>
      </c>
      <c r="J863" t="s">
        <v>236</v>
      </c>
      <c r="K863" s="15">
        <v>0.395833333333333</v>
      </c>
      <c r="L863" s="15" t="s">
        <v>218</v>
      </c>
      <c r="M863" s="15"/>
      <c r="N863" t="s">
        <v>148</v>
      </c>
      <c r="O863" s="20" t="str">
        <f t="shared" si="92"/>
        <v>不正确</v>
      </c>
      <c r="P863" s="21">
        <v>0</v>
      </c>
      <c r="Q863" s="21">
        <v>0</v>
      </c>
      <c r="R863" s="21">
        <v>0</v>
      </c>
      <c r="S863" s="21">
        <f t="shared" si="93"/>
        <v>0</v>
      </c>
      <c r="T863" s="21">
        <f t="shared" si="94"/>
        <v>0</v>
      </c>
      <c r="U863" s="21" t="str">
        <f t="shared" si="95"/>
        <v>否</v>
      </c>
      <c r="V863" s="21">
        <f>VLOOKUP($C863,[4]Sheet1!$B:$AN,39,FALSE)</f>
        <v>0</v>
      </c>
      <c r="W863" s="21">
        <v>0</v>
      </c>
      <c r="X863" s="23">
        <v>0</v>
      </c>
      <c r="Y863" s="23">
        <v>0</v>
      </c>
      <c r="Z863" s="25">
        <f t="shared" si="96"/>
        <v>0</v>
      </c>
      <c r="AA863" s="25" t="str">
        <f t="shared" si="97"/>
        <v>是</v>
      </c>
      <c r="AB863" t="s">
        <v>339</v>
      </c>
      <c r="AC863" t="e">
        <f>VLOOKUP(C863,[1]Sheet1!$C:$O,13,FALSE)</f>
        <v>#N/A</v>
      </c>
      <c r="AD863" t="str">
        <f>VLOOKUP($H863,'[3]0509人员排班情况 副本'!$G:$U,12,FALSE)</f>
        <v>袁博闻(Bowen Yuan)</v>
      </c>
      <c r="AE863">
        <f>VLOOKUP($H863,'[3]0509人员排班情况 副本'!$G:$U,13,FALSE)</f>
        <v>0</v>
      </c>
      <c r="AF863">
        <f>VLOOKUP($H863,'[3]0509人员排班情况 副本'!$G:$U,14,FALSE)</f>
        <v>0</v>
      </c>
      <c r="AG863">
        <f>VLOOKUP($H863,'[3]0509人员排班情况 副本'!$G:$U,15,FALSE)</f>
        <v>0</v>
      </c>
    </row>
    <row r="864" customHeight="1" spans="1:33">
      <c r="A864" t="s">
        <v>202</v>
      </c>
      <c r="B864" t="s">
        <v>2588</v>
      </c>
      <c r="C864" t="s">
        <v>2589</v>
      </c>
      <c r="D864" t="s">
        <v>48</v>
      </c>
      <c r="E864" t="s">
        <v>51</v>
      </c>
      <c r="F864" t="s">
        <v>2590</v>
      </c>
      <c r="H864" t="str">
        <f t="shared" si="91"/>
        <v>Ground项目部OG 美西区ST958</v>
      </c>
      <c r="I864" t="s">
        <v>687</v>
      </c>
      <c r="J864" t="s">
        <v>330</v>
      </c>
      <c r="K864" s="15">
        <v>0.625</v>
      </c>
      <c r="L864" s="15" t="s">
        <v>331</v>
      </c>
      <c r="M864" s="15">
        <v>0.604166666666667</v>
      </c>
      <c r="N864" t="s">
        <v>1345</v>
      </c>
      <c r="O864" s="20" t="str">
        <f t="shared" si="92"/>
        <v>正确</v>
      </c>
      <c r="P864" s="21">
        <v>0</v>
      </c>
      <c r="Q864" s="21">
        <v>8.15</v>
      </c>
      <c r="R864" s="21">
        <v>0</v>
      </c>
      <c r="S864" s="21">
        <f t="shared" si="93"/>
        <v>8.15</v>
      </c>
      <c r="T864" s="21">
        <f t="shared" si="94"/>
        <v>0.15</v>
      </c>
      <c r="U864" s="21" t="str">
        <f t="shared" si="95"/>
        <v>是</v>
      </c>
      <c r="V864" s="21">
        <f>VLOOKUP($C864,[4]Sheet1!$B:$AN,39,FALSE)</f>
        <v>16.6</v>
      </c>
      <c r="W864" s="21">
        <v>0</v>
      </c>
      <c r="X864" s="23">
        <v>4</v>
      </c>
      <c r="Y864" s="23">
        <v>4</v>
      </c>
      <c r="Z864" s="25">
        <f t="shared" si="96"/>
        <v>0</v>
      </c>
      <c r="AA864" s="25" t="str">
        <f t="shared" si="97"/>
        <v>是</v>
      </c>
      <c r="AB864" t="s">
        <v>148</v>
      </c>
      <c r="AC864" t="e">
        <f>VLOOKUP(C864,[1]Sheet1!$C:$O,13,FALSE)</f>
        <v>#N/A</v>
      </c>
      <c r="AD864" t="str">
        <f>VLOOKUP($H864,'[3]0509人员排班情况 副本'!$G:$U,12,FALSE)</f>
        <v>王安琪 (Anqi Wang),张朱同 Thomson（Zhutong Zhang）</v>
      </c>
      <c r="AE864" t="str">
        <f>VLOOKUP($H864,'[3]0509人员排班情况 副本'!$G:$U,13,FALSE)</f>
        <v>陈锦昭</v>
      </c>
      <c r="AF864" t="str">
        <f>VLOOKUP($H864,'[3]0509人员排班情况 副本'!$G:$U,14,FALSE)</f>
        <v>刘俊甜Verity（Juntian Liu）</v>
      </c>
      <c r="AG864">
        <f>VLOOKUP($H864,'[3]0509人员排班情况 副本'!$G:$U,15,FALSE)</f>
        <v>0</v>
      </c>
    </row>
    <row r="865" customHeight="1" spans="1:33">
      <c r="A865" t="s">
        <v>202</v>
      </c>
      <c r="B865" t="s">
        <v>2591</v>
      </c>
      <c r="C865" t="s">
        <v>2592</v>
      </c>
      <c r="D865" t="s">
        <v>68</v>
      </c>
      <c r="E865" t="s">
        <v>77</v>
      </c>
      <c r="F865" t="s">
        <v>148</v>
      </c>
      <c r="H865" t="str">
        <f t="shared" si="91"/>
        <v>NE 东北大区EWR01</v>
      </c>
      <c r="I865" t="s">
        <v>177</v>
      </c>
      <c r="J865" t="s">
        <v>221</v>
      </c>
      <c r="K865" s="15">
        <v>0.208333333333333</v>
      </c>
      <c r="L865" s="15" t="s">
        <v>222</v>
      </c>
      <c r="M865" s="15">
        <v>0.220833333333333</v>
      </c>
      <c r="N865" t="s">
        <v>2593</v>
      </c>
      <c r="O865" s="20" t="str">
        <f t="shared" si="92"/>
        <v>正确</v>
      </c>
      <c r="P865" s="21">
        <v>0</v>
      </c>
      <c r="Q865" s="21">
        <v>9.3</v>
      </c>
      <c r="R865" s="21">
        <v>0</v>
      </c>
      <c r="S865" s="21">
        <f t="shared" si="93"/>
        <v>9.3</v>
      </c>
      <c r="T865" s="21">
        <f t="shared" si="94"/>
        <v>1.3</v>
      </c>
      <c r="U865" s="21" t="str">
        <f t="shared" si="95"/>
        <v>是</v>
      </c>
      <c r="V865" s="21">
        <f>VLOOKUP($C865,[4]Sheet1!$B:$AN,39,FALSE)</f>
        <v>9.3</v>
      </c>
      <c r="W865" s="21">
        <v>0</v>
      </c>
      <c r="X865" s="23">
        <v>2</v>
      </c>
      <c r="Y865" s="23">
        <v>4</v>
      </c>
      <c r="Z865" s="25">
        <f t="shared" si="96"/>
        <v>2</v>
      </c>
      <c r="AA865" s="25" t="str">
        <f t="shared" si="97"/>
        <v>是</v>
      </c>
      <c r="AB865" t="s">
        <v>148</v>
      </c>
      <c r="AC865" t="e">
        <f>VLOOKUP(C865,[1]Sheet1!$C:$O,13,FALSE)</f>
        <v>#N/A</v>
      </c>
      <c r="AD865" t="str">
        <f>VLOOKUP($H865,'[3]0509人员排班情况 副本'!$G:$U,12,FALSE)</f>
        <v>孙可君Monica（Kejun Sun）</v>
      </c>
      <c r="AE865" t="str">
        <f>VLOOKUP($H865,'[3]0509人员排班情况 副本'!$G:$U,13,FALSE)</f>
        <v>马聪Cong (Cong Ma)</v>
      </c>
      <c r="AF865">
        <f>VLOOKUP($H865,'[3]0509人员排班情况 副本'!$G:$U,14,FALSE)</f>
        <v>0</v>
      </c>
      <c r="AG865">
        <f>VLOOKUP($H865,'[3]0509人员排班情况 副本'!$G:$U,15,FALSE)</f>
        <v>0</v>
      </c>
    </row>
    <row r="866" customHeight="1" spans="1:33">
      <c r="A866" t="s">
        <v>202</v>
      </c>
      <c r="B866" t="s">
        <v>2594</v>
      </c>
      <c r="C866" t="s">
        <v>2595</v>
      </c>
      <c r="D866" t="s">
        <v>48</v>
      </c>
      <c r="E866" t="s">
        <v>52</v>
      </c>
      <c r="F866" t="s">
        <v>405</v>
      </c>
      <c r="H866" t="str">
        <f t="shared" si="91"/>
        <v>Ground项目部OG 美中区CH600</v>
      </c>
      <c r="I866" t="s">
        <v>177</v>
      </c>
      <c r="J866" t="s">
        <v>229</v>
      </c>
      <c r="K866" s="15">
        <v>0.270833333333333</v>
      </c>
      <c r="L866" s="15" t="s">
        <v>230</v>
      </c>
      <c r="M866" s="15"/>
      <c r="N866" t="s">
        <v>148</v>
      </c>
      <c r="O866" s="20" t="str">
        <f t="shared" si="92"/>
        <v>不正确</v>
      </c>
      <c r="P866" s="21">
        <v>0</v>
      </c>
      <c r="Q866" s="21">
        <v>0</v>
      </c>
      <c r="R866" s="21">
        <v>0</v>
      </c>
      <c r="S866" s="21">
        <f t="shared" si="93"/>
        <v>0</v>
      </c>
      <c r="T866" s="21">
        <f t="shared" si="94"/>
        <v>0</v>
      </c>
      <c r="U866" s="21" t="str">
        <f t="shared" si="95"/>
        <v>否</v>
      </c>
      <c r="V866" s="21">
        <f>VLOOKUP($C866,[4]Sheet1!$B:$AN,39,FALSE)</f>
        <v>8.23</v>
      </c>
      <c r="W866" s="21">
        <v>0</v>
      </c>
      <c r="X866" s="23">
        <v>0</v>
      </c>
      <c r="Y866" s="23">
        <v>4</v>
      </c>
      <c r="Z866" s="25">
        <f t="shared" si="96"/>
        <v>4</v>
      </c>
      <c r="AA866" s="25" t="str">
        <f t="shared" si="97"/>
        <v>是</v>
      </c>
      <c r="AB866" t="s">
        <v>148</v>
      </c>
      <c r="AC866" t="e">
        <f>VLOOKUP(C866,[1]Sheet1!$C:$O,13,FALSE)</f>
        <v>#N/A</v>
      </c>
      <c r="AD866" t="str">
        <f>VLOOKUP($H866,'[3]0509人员排班情况 副本'!$G:$U,12,FALSE)</f>
        <v>王安琪 (Anqi Wang),张朱同 Thomson（Zhutong Zhang）</v>
      </c>
      <c r="AE866" t="str">
        <f>VLOOKUP($H866,'[3]0509人员排班情况 副本'!$G:$U,13,FALSE)</f>
        <v>陈锦昭</v>
      </c>
      <c r="AF866" t="str">
        <f>VLOOKUP($H866,'[3]0509人员排班情况 副本'!$G:$U,14,FALSE)</f>
        <v>王佳昊 Jason (Jiahao Wang)</v>
      </c>
      <c r="AG866">
        <f>VLOOKUP($H866,'[3]0509人员排班情况 副本'!$G:$U,15,FALSE)</f>
        <v>0</v>
      </c>
    </row>
    <row r="867" customHeight="1" spans="1:33">
      <c r="A867" t="s">
        <v>202</v>
      </c>
      <c r="B867" t="s">
        <v>2596</v>
      </c>
      <c r="C867" t="s">
        <v>2597</v>
      </c>
      <c r="D867" t="s">
        <v>31</v>
      </c>
      <c r="E867" t="s">
        <v>41</v>
      </c>
      <c r="F867" t="s">
        <v>243</v>
      </c>
      <c r="G867" t="s">
        <v>112</v>
      </c>
      <c r="H867" t="str">
        <f t="shared" si="91"/>
        <v>GL 大湖大区ORD.H调度组</v>
      </c>
      <c r="I867" t="s">
        <v>160</v>
      </c>
      <c r="J867" t="s">
        <v>655</v>
      </c>
      <c r="K867" s="15">
        <v>0.583333333333333</v>
      </c>
      <c r="L867" s="15" t="s">
        <v>656</v>
      </c>
      <c r="M867" s="15">
        <v>0.554166666666667</v>
      </c>
      <c r="N867" t="s">
        <v>2598</v>
      </c>
      <c r="O867" s="20" t="str">
        <f t="shared" si="92"/>
        <v>正确</v>
      </c>
      <c r="P867" s="21">
        <v>0</v>
      </c>
      <c r="Q867" s="21">
        <v>8.78</v>
      </c>
      <c r="R867" s="21">
        <v>0</v>
      </c>
      <c r="S867" s="21">
        <f t="shared" si="93"/>
        <v>8.78</v>
      </c>
      <c r="T867" s="21">
        <f t="shared" si="94"/>
        <v>0.779999999999999</v>
      </c>
      <c r="U867" s="21" t="str">
        <f t="shared" si="95"/>
        <v>是</v>
      </c>
      <c r="V867" s="21">
        <f>VLOOKUP($C867,[4]Sheet1!$B:$AN,39,FALSE)</f>
        <v>18.51</v>
      </c>
      <c r="W867" s="21">
        <v>0</v>
      </c>
      <c r="X867" s="23">
        <v>4</v>
      </c>
      <c r="Y867" s="23">
        <v>4</v>
      </c>
      <c r="Z867" s="25">
        <f t="shared" si="96"/>
        <v>0</v>
      </c>
      <c r="AA867" s="25" t="str">
        <f t="shared" si="97"/>
        <v>是</v>
      </c>
      <c r="AB867" t="s">
        <v>148</v>
      </c>
      <c r="AC867" t="e">
        <f>VLOOKUP(C867,[1]Sheet1!$C:$O,13,FALSE)</f>
        <v>#N/A</v>
      </c>
      <c r="AD867" t="str">
        <f>VLOOKUP($H867,'[3]0509人员排班情况 副本'!$G:$U,12,FALSE)</f>
        <v>王晓丹 Jasmine（Xiaodan Wang）,周延舒Isabel（Yanshu Zhou）</v>
      </c>
      <c r="AE867" t="str">
        <f>VLOOKUP($H867,'[3]0509人员排班情况 副本'!$G:$U,13,FALSE)</f>
        <v>张骥Ji Zhang (Ji Zhang)</v>
      </c>
      <c r="AF867" t="str">
        <f>VLOOKUP($H867,'[3]0509人员排班情况 副本'!$G:$U,14,FALSE)</f>
        <v>Minqing (Minqing Xu),罗煜雄 Mike (Yuxiong Luo)</v>
      </c>
      <c r="AG867">
        <f>VLOOKUP($H867,'[3]0509人员排班情况 副本'!$G:$U,15,FALSE)</f>
        <v>0</v>
      </c>
    </row>
    <row r="868" customHeight="1" spans="1:33">
      <c r="A868" t="s">
        <v>202</v>
      </c>
      <c r="B868" t="s">
        <v>2599</v>
      </c>
      <c r="C868" t="s">
        <v>2600</v>
      </c>
      <c r="D868" t="s">
        <v>15</v>
      </c>
      <c r="E868" t="s">
        <v>29</v>
      </c>
      <c r="F868" t="s">
        <v>200</v>
      </c>
      <c r="H868" t="str">
        <f t="shared" si="91"/>
        <v>FL 佛州大区运营支持部区域支持组</v>
      </c>
      <c r="I868" t="s">
        <v>201</v>
      </c>
      <c r="J868" t="s">
        <v>211</v>
      </c>
      <c r="K868" s="15">
        <v>0.333333333333333</v>
      </c>
      <c r="L868" s="15" t="s">
        <v>212</v>
      </c>
      <c r="M868" s="15">
        <v>0.352777777777778</v>
      </c>
      <c r="N868" t="s">
        <v>1273</v>
      </c>
      <c r="O868" s="20" t="str">
        <f t="shared" si="92"/>
        <v>正确</v>
      </c>
      <c r="P868" s="21">
        <v>0</v>
      </c>
      <c r="Q868" s="21">
        <v>9</v>
      </c>
      <c r="R868" s="21">
        <v>0</v>
      </c>
      <c r="S868" s="21">
        <f t="shared" si="93"/>
        <v>9</v>
      </c>
      <c r="T868" s="21">
        <f t="shared" si="94"/>
        <v>1</v>
      </c>
      <c r="U868" s="21" t="str">
        <f t="shared" si="95"/>
        <v>是</v>
      </c>
      <c r="V868" s="21">
        <f>VLOOKUP($C868,[4]Sheet1!$B:$AN,39,FALSE)</f>
        <v>18.43</v>
      </c>
      <c r="W868" s="21">
        <v>0</v>
      </c>
      <c r="X868" s="23">
        <v>4</v>
      </c>
      <c r="Y868" s="23">
        <v>4</v>
      </c>
      <c r="Z868" s="25">
        <f t="shared" si="96"/>
        <v>0</v>
      </c>
      <c r="AA868" s="25" t="str">
        <f t="shared" si="97"/>
        <v>是</v>
      </c>
      <c r="AB868" t="s">
        <v>148</v>
      </c>
      <c r="AC868" t="e">
        <f>VLOOKUP(C868,[1]Sheet1!$C:$O,13,FALSE)</f>
        <v>#N/A</v>
      </c>
      <c r="AD868" t="str">
        <f>VLOOKUP($H868,'[3]0509人员排班情况 副本'!$G:$U,12,FALSE)</f>
        <v>Natalia (Natalia Padilla),孙婕 Jasmine（Sunjie）</v>
      </c>
      <c r="AE868" t="str">
        <f>VLOOKUP($H868,'[3]0509人员排班情况 副本'!$G:$U,13,FALSE)</f>
        <v>贺子强Jeff (Ziqiang He)</v>
      </c>
      <c r="AF868">
        <f>VLOOKUP($H868,'[3]0509人员排班情况 副本'!$G:$U,14,FALSE)</f>
        <v>0</v>
      </c>
      <c r="AG868">
        <f>VLOOKUP($H868,'[3]0509人员排班情况 副本'!$G:$U,15,FALSE)</f>
        <v>0</v>
      </c>
    </row>
    <row r="869" customHeight="1" spans="1:33">
      <c r="A869" t="s">
        <v>202</v>
      </c>
      <c r="B869" t="s">
        <v>2601</v>
      </c>
      <c r="C869" t="s">
        <v>2602</v>
      </c>
      <c r="D869" t="s">
        <v>12</v>
      </c>
      <c r="E869" t="s">
        <v>2603</v>
      </c>
      <c r="F869" t="s">
        <v>148</v>
      </c>
      <c r="H869" t="str">
        <f t="shared" si="91"/>
        <v>CM 运力管理部美中运力组</v>
      </c>
      <c r="I869" t="s">
        <v>1015</v>
      </c>
      <c r="J869" t="s">
        <v>236</v>
      </c>
      <c r="K869" s="15">
        <v>0.395833333333333</v>
      </c>
      <c r="L869" s="15" t="s">
        <v>218</v>
      </c>
      <c r="M869" s="15">
        <v>0.472222222222222</v>
      </c>
      <c r="N869" t="s">
        <v>148</v>
      </c>
      <c r="O869" s="20" t="str">
        <f t="shared" si="92"/>
        <v>不正确</v>
      </c>
      <c r="P869" s="21">
        <v>0</v>
      </c>
      <c r="Q869" s="21">
        <v>0</v>
      </c>
      <c r="R869" s="21">
        <v>0</v>
      </c>
      <c r="S869" s="21">
        <f t="shared" si="93"/>
        <v>0</v>
      </c>
      <c r="T869" s="21">
        <f t="shared" si="94"/>
        <v>0</v>
      </c>
      <c r="U869" s="21" t="str">
        <f t="shared" si="95"/>
        <v>否</v>
      </c>
      <c r="V869" s="21">
        <f>VLOOKUP($C869,[4]Sheet1!$B:$AN,39,FALSE)</f>
        <v>6.78</v>
      </c>
      <c r="W869" s="21">
        <v>0</v>
      </c>
      <c r="X869" s="23">
        <v>1</v>
      </c>
      <c r="Y869" s="23">
        <v>4</v>
      </c>
      <c r="Z869" s="25">
        <f t="shared" si="96"/>
        <v>3</v>
      </c>
      <c r="AA869" s="25" t="str">
        <f t="shared" si="97"/>
        <v>是</v>
      </c>
      <c r="AB869" t="s">
        <v>148</v>
      </c>
      <c r="AC869" t="e">
        <f>VLOOKUP(C869,[1]Sheet1!$C:$O,13,FALSE)</f>
        <v>#N/A</v>
      </c>
      <c r="AD869" t="str">
        <f>VLOOKUP($H869,'[3]0509人员排班情况 副本'!$G:$U,12,FALSE)</f>
        <v>袁博闻(Bowen Yuan)</v>
      </c>
      <c r="AE869">
        <f>VLOOKUP($H869,'[3]0509人员排班情况 副本'!$G:$U,13,FALSE)</f>
        <v>0</v>
      </c>
      <c r="AF869">
        <f>VLOOKUP($H869,'[3]0509人员排班情况 副本'!$G:$U,14,FALSE)</f>
        <v>0</v>
      </c>
      <c r="AG869">
        <f>VLOOKUP($H869,'[3]0509人员排班情况 副本'!$G:$U,15,FALSE)</f>
        <v>0</v>
      </c>
    </row>
    <row r="870" customHeight="1" spans="1:33">
      <c r="A870" t="s">
        <v>202</v>
      </c>
      <c r="B870" t="s">
        <v>2604</v>
      </c>
      <c r="C870" t="s">
        <v>2605</v>
      </c>
      <c r="D870" t="s">
        <v>58</v>
      </c>
      <c r="E870" t="s">
        <v>45</v>
      </c>
      <c r="F870" t="s">
        <v>781</v>
      </c>
      <c r="H870" t="str">
        <f t="shared" si="91"/>
        <v>MS 中南大区揽收部ATL揽收组</v>
      </c>
      <c r="I870" t="s">
        <v>782</v>
      </c>
      <c r="J870" t="s">
        <v>282</v>
      </c>
      <c r="K870" s="15">
        <v>0.416666666666667</v>
      </c>
      <c r="L870" s="15" t="s">
        <v>283</v>
      </c>
      <c r="M870" s="15">
        <v>0.415972222222222</v>
      </c>
      <c r="N870" t="s">
        <v>2606</v>
      </c>
      <c r="O870" s="20" t="str">
        <f t="shared" si="92"/>
        <v>正确</v>
      </c>
      <c r="P870" s="21">
        <v>0</v>
      </c>
      <c r="Q870" s="21">
        <v>12.9</v>
      </c>
      <c r="R870" s="21">
        <v>0</v>
      </c>
      <c r="S870" s="21">
        <f t="shared" si="93"/>
        <v>12.9</v>
      </c>
      <c r="T870" s="21">
        <f t="shared" si="94"/>
        <v>4.9</v>
      </c>
      <c r="U870" s="21" t="str">
        <f t="shared" si="95"/>
        <v>是</v>
      </c>
      <c r="V870" s="21">
        <f>VLOOKUP($C870,[4]Sheet1!$B:$AN,39,FALSE)</f>
        <v>22.22</v>
      </c>
      <c r="W870" s="21">
        <v>0</v>
      </c>
      <c r="X870" s="23">
        <v>4</v>
      </c>
      <c r="Y870" s="23">
        <v>4</v>
      </c>
      <c r="Z870" s="25">
        <f t="shared" si="96"/>
        <v>0</v>
      </c>
      <c r="AA870" s="25" t="str">
        <f t="shared" si="97"/>
        <v>是</v>
      </c>
      <c r="AB870" t="s">
        <v>148</v>
      </c>
      <c r="AC870" t="e">
        <f>VLOOKUP(C870,[1]Sheet1!$C:$O,13,FALSE)</f>
        <v>#N/A</v>
      </c>
      <c r="AD870" t="str">
        <f>VLOOKUP($H870,'[3]0509人员排班情况 副本'!$G:$U,12,FALSE)</f>
        <v>欧阳迎春Flower（Yingchun Ouyang）</v>
      </c>
      <c r="AE870" t="str">
        <f>VLOOKUP($H870,'[3]0509人员排班情况 副本'!$G:$U,13,FALSE)</f>
        <v>杨云飞</v>
      </c>
      <c r="AF870" t="str">
        <f>VLOOKUP($H870,'[3]0509人员排班情况 副本'!$G:$U,14,FALSE)</f>
        <v>依丽旦娜·依明江Dana （Yilidanna Yimingjiang）</v>
      </c>
      <c r="AG870">
        <f>VLOOKUP($H870,'[3]0509人员排班情况 副本'!$G:$U,15,FALSE)</f>
        <v>0</v>
      </c>
    </row>
    <row r="871" customHeight="1" spans="1:33">
      <c r="A871" t="s">
        <v>202</v>
      </c>
      <c r="B871" t="s">
        <v>2607</v>
      </c>
      <c r="C871" t="s">
        <v>2608</v>
      </c>
      <c r="D871" t="s">
        <v>31</v>
      </c>
      <c r="E871" t="s">
        <v>29</v>
      </c>
      <c r="F871" t="s">
        <v>200</v>
      </c>
      <c r="H871" t="str">
        <f t="shared" si="91"/>
        <v>GL 大湖大区运营支持部区域支持组</v>
      </c>
      <c r="I871" t="s">
        <v>201</v>
      </c>
      <c r="J871" t="s">
        <v>347</v>
      </c>
      <c r="K871" s="15">
        <v>0.541666666666667</v>
      </c>
      <c r="L871" s="15" t="s">
        <v>348</v>
      </c>
      <c r="M871" s="15">
        <v>0.5</v>
      </c>
      <c r="N871" t="s">
        <v>1672</v>
      </c>
      <c r="O871" s="20" t="str">
        <f t="shared" si="92"/>
        <v>正确</v>
      </c>
      <c r="P871" s="21">
        <v>0</v>
      </c>
      <c r="Q871" s="21">
        <v>9.57</v>
      </c>
      <c r="R871" s="21">
        <v>0</v>
      </c>
      <c r="S871" s="21">
        <f t="shared" si="93"/>
        <v>9.57</v>
      </c>
      <c r="T871" s="21">
        <f t="shared" si="94"/>
        <v>1.57</v>
      </c>
      <c r="U871" s="21" t="str">
        <f t="shared" si="95"/>
        <v>是</v>
      </c>
      <c r="V871" s="21">
        <f>VLOOKUP($C871,[4]Sheet1!$B:$AN,39,FALSE)</f>
        <v>18.45</v>
      </c>
      <c r="W871" s="21">
        <v>0</v>
      </c>
      <c r="X871" s="23">
        <v>4</v>
      </c>
      <c r="Y871" s="23">
        <v>4</v>
      </c>
      <c r="Z871" s="25">
        <f t="shared" si="96"/>
        <v>0</v>
      </c>
      <c r="AA871" s="25" t="str">
        <f t="shared" si="97"/>
        <v>是</v>
      </c>
      <c r="AB871" t="s">
        <v>148</v>
      </c>
      <c r="AC871" t="e">
        <f>VLOOKUP(C871,[1]Sheet1!$C:$O,13,FALSE)</f>
        <v>#N/A</v>
      </c>
      <c r="AD871" t="str">
        <f>VLOOKUP($H871,'[3]0509人员排班情况 副本'!$G:$U,12,FALSE)</f>
        <v>王晓丹 Jasmine（Xiaodan Wang）,周延舒Isabel（Yanshu Zhou）</v>
      </c>
      <c r="AE871" t="str">
        <f>VLOOKUP($H871,'[3]0509人员排班情况 副本'!$G:$U,13,FALSE)</f>
        <v>张骥Ji Zhang (Ji Zhang)</v>
      </c>
      <c r="AF871">
        <f>VLOOKUP($H871,'[3]0509人员排班情况 副本'!$G:$U,14,FALSE)</f>
        <v>0</v>
      </c>
      <c r="AG871">
        <f>VLOOKUP($H871,'[3]0509人员排班情况 副本'!$G:$U,15,FALSE)</f>
        <v>0</v>
      </c>
    </row>
    <row r="872" customHeight="1" spans="1:33">
      <c r="A872" t="s">
        <v>202</v>
      </c>
      <c r="B872" t="s">
        <v>2609</v>
      </c>
      <c r="C872" t="s">
        <v>2610</v>
      </c>
      <c r="D872" t="s">
        <v>15</v>
      </c>
      <c r="E872" t="s">
        <v>19</v>
      </c>
      <c r="F872" t="s">
        <v>18</v>
      </c>
      <c r="H872" t="str">
        <f t="shared" si="91"/>
        <v>FL 佛州大区MF 中佛片区MCO01</v>
      </c>
      <c r="I872" t="s">
        <v>177</v>
      </c>
      <c r="J872" t="s">
        <v>258</v>
      </c>
      <c r="K872" s="15">
        <v>0.1875</v>
      </c>
      <c r="L872" s="15" t="s">
        <v>259</v>
      </c>
      <c r="M872" s="15">
        <v>0.222222222222222</v>
      </c>
      <c r="N872" t="s">
        <v>2611</v>
      </c>
      <c r="O872" s="20" t="str">
        <f t="shared" si="92"/>
        <v>正确</v>
      </c>
      <c r="P872" s="21">
        <v>0</v>
      </c>
      <c r="Q872" s="21">
        <v>8.82</v>
      </c>
      <c r="R872" s="21">
        <v>0</v>
      </c>
      <c r="S872" s="21">
        <f t="shared" si="93"/>
        <v>8.82</v>
      </c>
      <c r="T872" s="21">
        <f t="shared" si="94"/>
        <v>0.82</v>
      </c>
      <c r="U872" s="21" t="str">
        <f t="shared" si="95"/>
        <v>是</v>
      </c>
      <c r="V872" s="21">
        <f>VLOOKUP($C872,[4]Sheet1!$B:$AN,39,FALSE)</f>
        <v>17.02</v>
      </c>
      <c r="W872" s="21">
        <v>0</v>
      </c>
      <c r="X872" s="23">
        <v>2</v>
      </c>
      <c r="Y872" s="23">
        <v>4</v>
      </c>
      <c r="Z872" s="25">
        <f t="shared" si="96"/>
        <v>2</v>
      </c>
      <c r="AA872" s="25" t="str">
        <f t="shared" si="97"/>
        <v>是</v>
      </c>
      <c r="AB872" t="s">
        <v>148</v>
      </c>
      <c r="AC872" t="e">
        <f>VLOOKUP(C872,[1]Sheet1!$C:$O,13,FALSE)</f>
        <v>#N/A</v>
      </c>
      <c r="AD872" t="str">
        <f>VLOOKUP($H872,'[3]0509人员排班情况 副本'!$G:$U,12,FALSE)</f>
        <v>Natalia (Natalia Padilla),孙婕 Jasmine（Sunjie）</v>
      </c>
      <c r="AE872" t="str">
        <f>VLOOKUP($H872,'[3]0509人员排班情况 副本'!$G:$U,13,FALSE)</f>
        <v>贺子强Jeff (Ziqiang He)</v>
      </c>
      <c r="AF872" t="str">
        <f>VLOOKUP($H872,'[3]0509人员排班情况 副本'!$G:$U,14,FALSE)</f>
        <v>朱家仡Andrew (Jiayi Zhu)</v>
      </c>
      <c r="AG872">
        <f>VLOOKUP($H872,'[3]0509人员排班情况 副本'!$G:$U,15,FALSE)</f>
        <v>0</v>
      </c>
    </row>
    <row r="873" customHeight="1" spans="1:33">
      <c r="A873" t="s">
        <v>202</v>
      </c>
      <c r="B873" t="s">
        <v>2612</v>
      </c>
      <c r="C873" t="s">
        <v>2613</v>
      </c>
      <c r="D873" t="s">
        <v>13</v>
      </c>
      <c r="E873" t="s">
        <v>2371</v>
      </c>
      <c r="F873" t="s">
        <v>148</v>
      </c>
      <c r="H873" t="str">
        <f t="shared" si="91"/>
        <v>CS 客户服务部运营分析组</v>
      </c>
      <c r="I873" t="s">
        <v>2614</v>
      </c>
      <c r="J873" t="s">
        <v>236</v>
      </c>
      <c r="K873" s="15">
        <v>0.395833333333333</v>
      </c>
      <c r="L873" s="15" t="s">
        <v>218</v>
      </c>
      <c r="M873" s="15">
        <v>0.386111111111111</v>
      </c>
      <c r="N873" t="s">
        <v>2445</v>
      </c>
      <c r="O873" s="20" t="str">
        <f t="shared" si="92"/>
        <v>正确</v>
      </c>
      <c r="P873" s="21">
        <v>0</v>
      </c>
      <c r="Q873" s="21">
        <v>9.48</v>
      </c>
      <c r="R873" s="21">
        <v>0</v>
      </c>
      <c r="S873" s="21">
        <f t="shared" si="93"/>
        <v>9.48</v>
      </c>
      <c r="T873" s="21">
        <f t="shared" si="94"/>
        <v>1.48</v>
      </c>
      <c r="U873" s="21" t="str">
        <f t="shared" si="95"/>
        <v>是</v>
      </c>
      <c r="V873" s="21">
        <f>VLOOKUP($C873,[4]Sheet1!$B:$AN,39,FALSE)</f>
        <v>19.11</v>
      </c>
      <c r="W873" s="21">
        <v>0</v>
      </c>
      <c r="X873" s="23">
        <v>4</v>
      </c>
      <c r="Y873" s="23">
        <v>4</v>
      </c>
      <c r="Z873" s="25">
        <f t="shared" si="96"/>
        <v>0</v>
      </c>
      <c r="AA873" s="25" t="str">
        <f t="shared" si="97"/>
        <v>是</v>
      </c>
      <c r="AB873" t="s">
        <v>148</v>
      </c>
      <c r="AC873" t="e">
        <f>VLOOKUP(C873,[1]Sheet1!$C:$O,13,FALSE)</f>
        <v>#N/A</v>
      </c>
      <c r="AD873" t="str">
        <f>VLOOKUP($H873,'[3]0509人员排班情况 副本'!$G:$U,12,FALSE)</f>
        <v>袁博闻(Bowen Yuan)</v>
      </c>
      <c r="AE873">
        <f>VLOOKUP($H873,'[3]0509人员排班情况 副本'!$G:$U,13,FALSE)</f>
        <v>0</v>
      </c>
      <c r="AF873">
        <f>VLOOKUP($H873,'[3]0509人员排班情况 副本'!$G:$U,14,FALSE)</f>
        <v>0</v>
      </c>
      <c r="AG873">
        <f>VLOOKUP($H873,'[3]0509人员排班情况 副本'!$G:$U,15,FALSE)</f>
        <v>0</v>
      </c>
    </row>
    <row r="874" customHeight="1" spans="1:33">
      <c r="A874" t="s">
        <v>202</v>
      </c>
      <c r="B874" t="s">
        <v>2615</v>
      </c>
      <c r="C874" t="s">
        <v>2616</v>
      </c>
      <c r="D874" t="s">
        <v>58</v>
      </c>
      <c r="E874" t="s">
        <v>60</v>
      </c>
      <c r="F874" t="s">
        <v>228</v>
      </c>
      <c r="H874" t="str">
        <f t="shared" si="91"/>
        <v>MS 中南大区AS 亚特兰大和南阿拉巴马片区ATL01</v>
      </c>
      <c r="I874" t="s">
        <v>177</v>
      </c>
      <c r="J874" t="s">
        <v>343</v>
      </c>
      <c r="K874" s="15">
        <v>0.25</v>
      </c>
      <c r="L874" s="15" t="s">
        <v>344</v>
      </c>
      <c r="M874" s="15">
        <v>0.265277777777778</v>
      </c>
      <c r="N874" t="s">
        <v>2617</v>
      </c>
      <c r="O874" s="20" t="str">
        <f t="shared" si="92"/>
        <v>正确</v>
      </c>
      <c r="P874" s="21">
        <v>0</v>
      </c>
      <c r="Q874" s="21">
        <v>8.22</v>
      </c>
      <c r="R874" s="21">
        <v>0</v>
      </c>
      <c r="S874" s="21">
        <f t="shared" si="93"/>
        <v>8.22</v>
      </c>
      <c r="T874" s="21">
        <f t="shared" si="94"/>
        <v>0.220000000000001</v>
      </c>
      <c r="U874" s="21" t="str">
        <f t="shared" si="95"/>
        <v>是</v>
      </c>
      <c r="V874" s="21">
        <f>VLOOKUP($C874,[4]Sheet1!$B:$AN,39,FALSE)</f>
        <v>18.52</v>
      </c>
      <c r="W874" s="21">
        <v>0</v>
      </c>
      <c r="X874" s="23">
        <v>5</v>
      </c>
      <c r="Y874" s="23">
        <v>4</v>
      </c>
      <c r="Z874" s="25">
        <f t="shared" si="96"/>
        <v>0</v>
      </c>
      <c r="AA874" s="25" t="str">
        <f t="shared" si="97"/>
        <v>是</v>
      </c>
      <c r="AB874" t="s">
        <v>148</v>
      </c>
      <c r="AC874" t="e">
        <f>VLOOKUP(C874,[1]Sheet1!$C:$O,13,FALSE)</f>
        <v>#N/A</v>
      </c>
      <c r="AD874" t="str">
        <f>VLOOKUP($H874,'[3]0509人员排班情况 副本'!$G:$U,12,FALSE)</f>
        <v>欧阳迎春Flower（Yingchun Ouyang）</v>
      </c>
      <c r="AE874" t="str">
        <f>VLOOKUP($H874,'[3]0509人员排班情况 副本'!$G:$U,13,FALSE)</f>
        <v>杨云飞</v>
      </c>
      <c r="AF874" t="str">
        <f>VLOOKUP($H874,'[3]0509人员排班情况 副本'!$G:$U,14,FALSE)</f>
        <v>李明峰Lucas(Mingfeng Li)</v>
      </c>
      <c r="AG874">
        <f>VLOOKUP($H874,'[3]0509人员排班情况 副本'!$G:$U,15,FALSE)</f>
        <v>0</v>
      </c>
    </row>
    <row r="875" customHeight="1" spans="1:33">
      <c r="A875" t="s">
        <v>202</v>
      </c>
      <c r="B875" t="s">
        <v>2618</v>
      </c>
      <c r="C875" t="s">
        <v>2619</v>
      </c>
      <c r="D875" t="s">
        <v>68</v>
      </c>
      <c r="E875" t="s">
        <v>76</v>
      </c>
      <c r="F875" t="s">
        <v>275</v>
      </c>
      <c r="G875" t="s">
        <v>112</v>
      </c>
      <c r="H875" t="str">
        <f t="shared" si="91"/>
        <v>NE 东北大区EWR.H分拣组</v>
      </c>
      <c r="I875" t="s">
        <v>303</v>
      </c>
      <c r="J875" t="s">
        <v>282</v>
      </c>
      <c r="K875" s="15">
        <v>0.416666666666667</v>
      </c>
      <c r="L875" s="15" t="s">
        <v>283</v>
      </c>
      <c r="M875" s="15">
        <v>0.420138888888889</v>
      </c>
      <c r="N875" t="s">
        <v>250</v>
      </c>
      <c r="O875" s="20" t="str">
        <f t="shared" si="92"/>
        <v>正确</v>
      </c>
      <c r="P875" s="21">
        <v>0</v>
      </c>
      <c r="Q875" s="21">
        <v>8.92</v>
      </c>
      <c r="R875" s="21">
        <v>0</v>
      </c>
      <c r="S875" s="21">
        <f t="shared" si="93"/>
        <v>8.92</v>
      </c>
      <c r="T875" s="21">
        <f t="shared" si="94"/>
        <v>0.92</v>
      </c>
      <c r="U875" s="21" t="str">
        <f t="shared" si="95"/>
        <v>是</v>
      </c>
      <c r="V875" s="21">
        <f>VLOOKUP($C875,[4]Sheet1!$B:$AN,39,FALSE)</f>
        <v>17.42</v>
      </c>
      <c r="W875" s="21">
        <v>19.04</v>
      </c>
      <c r="X875" s="23">
        <v>5</v>
      </c>
      <c r="Y875" s="23">
        <v>4</v>
      </c>
      <c r="Z875" s="25">
        <f t="shared" si="96"/>
        <v>0</v>
      </c>
      <c r="AA875" s="25" t="str">
        <f t="shared" si="97"/>
        <v>是</v>
      </c>
      <c r="AB875" t="s">
        <v>148</v>
      </c>
      <c r="AC875" t="e">
        <f>VLOOKUP(C875,[1]Sheet1!$C:$O,13,FALSE)</f>
        <v>#N/A</v>
      </c>
      <c r="AD875" t="str">
        <f>VLOOKUP($H875,'[3]0509人员排班情况 副本'!$G:$U,12,FALSE)</f>
        <v>孙可君Monica（Kejun Sun）</v>
      </c>
      <c r="AE875" t="str">
        <f>VLOOKUP($H875,'[3]0509人员排班情况 副本'!$G:$U,13,FALSE)</f>
        <v>马聪Cong (Cong Ma)</v>
      </c>
      <c r="AF875" t="str">
        <f>VLOOKUP($H875,'[3]0509人员排班情况 副本'!$G:$U,14,FALSE)</f>
        <v>张双甫(Shuangfu Zhang)</v>
      </c>
      <c r="AG875">
        <f>VLOOKUP($H875,'[3]0509人员排班情况 副本'!$G:$U,15,FALSE)</f>
        <v>0</v>
      </c>
    </row>
    <row r="876" customHeight="1" spans="1:33">
      <c r="A876" t="s">
        <v>202</v>
      </c>
      <c r="B876" t="s">
        <v>2620</v>
      </c>
      <c r="C876" t="s">
        <v>2621</v>
      </c>
      <c r="D876" t="s">
        <v>48</v>
      </c>
      <c r="E876" t="s">
        <v>51</v>
      </c>
      <c r="F876" t="s">
        <v>806</v>
      </c>
      <c r="H876" t="str">
        <f t="shared" si="91"/>
        <v>Ground项目部OG 美西区LA900</v>
      </c>
      <c r="I876" t="s">
        <v>687</v>
      </c>
      <c r="J876" t="s">
        <v>211</v>
      </c>
      <c r="K876" s="15">
        <v>0.333333333333333</v>
      </c>
      <c r="L876" s="15" t="s">
        <v>212</v>
      </c>
      <c r="M876" s="15">
        <v>0.317361111111111</v>
      </c>
      <c r="N876" t="s">
        <v>2622</v>
      </c>
      <c r="O876" s="20" t="str">
        <f t="shared" si="92"/>
        <v>正确</v>
      </c>
      <c r="P876" s="21">
        <v>0</v>
      </c>
      <c r="Q876" s="21">
        <v>8.72</v>
      </c>
      <c r="R876" s="21">
        <v>0</v>
      </c>
      <c r="S876" s="21">
        <f t="shared" si="93"/>
        <v>8.72</v>
      </c>
      <c r="T876" s="21">
        <f t="shared" si="94"/>
        <v>0.720000000000001</v>
      </c>
      <c r="U876" s="21" t="str">
        <f t="shared" si="95"/>
        <v>是</v>
      </c>
      <c r="V876" s="21">
        <f>VLOOKUP($C876,[4]Sheet1!$B:$AN,39,FALSE)</f>
        <v>17.84</v>
      </c>
      <c r="W876" s="21">
        <v>0</v>
      </c>
      <c r="X876" s="23">
        <v>4</v>
      </c>
      <c r="Y876" s="23">
        <v>4</v>
      </c>
      <c r="Z876" s="25">
        <f t="shared" si="96"/>
        <v>0</v>
      </c>
      <c r="AA876" s="25" t="str">
        <f t="shared" si="97"/>
        <v>是</v>
      </c>
      <c r="AB876" t="s">
        <v>148</v>
      </c>
      <c r="AC876" t="e">
        <f>VLOOKUP(C876,[1]Sheet1!$C:$O,13,FALSE)</f>
        <v>#N/A</v>
      </c>
      <c r="AD876" t="str">
        <f>VLOOKUP($H876,'[3]0509人员排班情况 副本'!$G:$U,12,FALSE)</f>
        <v>王安琪 (Anqi Wang),张朱同 Thomson（Zhutong Zhang）</v>
      </c>
      <c r="AE876" t="str">
        <f>VLOOKUP($H876,'[3]0509人员排班情况 副本'!$G:$U,13,FALSE)</f>
        <v>陈锦昭</v>
      </c>
      <c r="AF876" t="str">
        <f>VLOOKUP($H876,'[3]0509人员排班情况 副本'!$G:$U,14,FALSE)</f>
        <v>刘俊甜Verity（Juntian Liu）</v>
      </c>
      <c r="AG876">
        <f>VLOOKUP($H876,'[3]0509人员排班情况 副本'!$G:$U,15,FALSE)</f>
        <v>0</v>
      </c>
    </row>
    <row r="877" customHeight="1" spans="1:33">
      <c r="A877" t="s">
        <v>202</v>
      </c>
      <c r="B877" t="s">
        <v>2623</v>
      </c>
      <c r="C877" t="s">
        <v>2624</v>
      </c>
      <c r="D877" t="s">
        <v>68</v>
      </c>
      <c r="E877" t="s">
        <v>76</v>
      </c>
      <c r="F877" t="s">
        <v>243</v>
      </c>
      <c r="G877" t="s">
        <v>112</v>
      </c>
      <c r="H877" t="str">
        <f t="shared" si="91"/>
        <v>NE 东北大区EWR.H调度组</v>
      </c>
      <c r="I877" t="s">
        <v>160</v>
      </c>
      <c r="J877" t="s">
        <v>343</v>
      </c>
      <c r="K877" s="15">
        <v>0.25</v>
      </c>
      <c r="L877" s="15" t="s">
        <v>344</v>
      </c>
      <c r="M877" s="15">
        <v>0.273611111111111</v>
      </c>
      <c r="N877" t="s">
        <v>218</v>
      </c>
      <c r="O877" s="20" t="str">
        <f t="shared" si="92"/>
        <v>正确</v>
      </c>
      <c r="P877" s="21">
        <v>0</v>
      </c>
      <c r="Q877" s="21">
        <v>10.93</v>
      </c>
      <c r="R877" s="21">
        <v>0</v>
      </c>
      <c r="S877" s="21">
        <f t="shared" si="93"/>
        <v>10.93</v>
      </c>
      <c r="T877" s="21">
        <f t="shared" si="94"/>
        <v>2.93</v>
      </c>
      <c r="U877" s="21" t="str">
        <f t="shared" si="95"/>
        <v>是</v>
      </c>
      <c r="V877" s="21">
        <f>VLOOKUP($C877,[4]Sheet1!$B:$AN,39,FALSE)</f>
        <v>10.93</v>
      </c>
      <c r="W877" s="21">
        <v>0</v>
      </c>
      <c r="X877" s="23">
        <v>2</v>
      </c>
      <c r="Y877" s="23">
        <v>4</v>
      </c>
      <c r="Z877" s="25">
        <f t="shared" si="96"/>
        <v>2</v>
      </c>
      <c r="AA877" s="25" t="str">
        <f t="shared" si="97"/>
        <v>是</v>
      </c>
      <c r="AB877" t="s">
        <v>148</v>
      </c>
      <c r="AC877" t="e">
        <f>VLOOKUP(C877,[1]Sheet1!$C:$O,13,FALSE)</f>
        <v>#N/A</v>
      </c>
      <c r="AD877" t="str">
        <f>VLOOKUP($H877,'[3]0509人员排班情况 副本'!$G:$U,12,FALSE)</f>
        <v>孙可君Monica（Kejun Sun）</v>
      </c>
      <c r="AE877" t="str">
        <f>VLOOKUP($H877,'[3]0509人员排班情况 副本'!$G:$U,13,FALSE)</f>
        <v>马聪Cong (Cong Ma)</v>
      </c>
      <c r="AF877" t="str">
        <f>VLOOKUP($H877,'[3]0509人员排班情况 副本'!$G:$U,14,FALSE)</f>
        <v>Minqing (Minqing Xu),罗煜雄 Mike (Yuxiong Luo)</v>
      </c>
      <c r="AG877">
        <f>VLOOKUP($H877,'[3]0509人员排班情况 副本'!$G:$U,15,FALSE)</f>
        <v>0</v>
      </c>
    </row>
    <row r="878" customHeight="1" spans="1:33">
      <c r="A878" t="s">
        <v>202</v>
      </c>
      <c r="B878" t="s">
        <v>2625</v>
      </c>
      <c r="C878" t="s">
        <v>2626</v>
      </c>
      <c r="D878" t="s">
        <v>68</v>
      </c>
      <c r="E878" t="s">
        <v>76</v>
      </c>
      <c r="F878" t="s">
        <v>166</v>
      </c>
      <c r="G878" t="s">
        <v>112</v>
      </c>
      <c r="H878" t="str">
        <f t="shared" si="91"/>
        <v>NE 东北大区EWR.H综办组</v>
      </c>
      <c r="I878" t="s">
        <v>167</v>
      </c>
      <c r="J878" t="s">
        <v>282</v>
      </c>
      <c r="K878" s="15">
        <v>0.416666666666667</v>
      </c>
      <c r="L878" s="15" t="s">
        <v>283</v>
      </c>
      <c r="M878" s="15">
        <v>0.395138888888889</v>
      </c>
      <c r="N878" t="s">
        <v>1167</v>
      </c>
      <c r="O878" s="20" t="str">
        <f t="shared" si="92"/>
        <v>正确</v>
      </c>
      <c r="P878" s="21">
        <v>0</v>
      </c>
      <c r="Q878" s="21">
        <v>8.58</v>
      </c>
      <c r="R878" s="21">
        <v>0</v>
      </c>
      <c r="S878" s="21">
        <f t="shared" si="93"/>
        <v>8.58</v>
      </c>
      <c r="T878" s="21">
        <f t="shared" si="94"/>
        <v>0.58</v>
      </c>
      <c r="U878" s="21" t="str">
        <f t="shared" si="95"/>
        <v>是</v>
      </c>
      <c r="V878" s="21">
        <f>VLOOKUP($C878,[4]Sheet1!$B:$AN,39,FALSE)</f>
        <v>18.5</v>
      </c>
      <c r="W878" s="21">
        <v>0</v>
      </c>
      <c r="X878" s="23">
        <v>2</v>
      </c>
      <c r="Y878" s="23">
        <v>4</v>
      </c>
      <c r="Z878" s="25">
        <f t="shared" si="96"/>
        <v>2</v>
      </c>
      <c r="AA878" s="25" t="str">
        <f t="shared" si="97"/>
        <v>是</v>
      </c>
      <c r="AB878" t="s">
        <v>148</v>
      </c>
      <c r="AC878" t="e">
        <f>VLOOKUP(C878,[1]Sheet1!$C:$O,13,FALSE)</f>
        <v>#N/A</v>
      </c>
      <c r="AD878" t="str">
        <f>VLOOKUP($H878,'[3]0509人员排班情况 副本'!$G:$U,12,FALSE)</f>
        <v>孙可君Monica（Kejun Sun）</v>
      </c>
      <c r="AE878" t="str">
        <f>VLOOKUP($H878,'[3]0509人员排班情况 副本'!$G:$U,13,FALSE)</f>
        <v>马聪Cong (Cong Ma)</v>
      </c>
      <c r="AF878" t="str">
        <f>VLOOKUP($H878,'[3]0509人员排班情况 副本'!$G:$U,14,FALSE)</f>
        <v>Minqing (Minqing Xu),罗煜雄 Mike (Yuxiong Luo)</v>
      </c>
      <c r="AG878">
        <f>VLOOKUP($H878,'[3]0509人员排班情况 副本'!$G:$U,15,FALSE)</f>
        <v>0</v>
      </c>
    </row>
    <row r="879" customHeight="1" spans="1:33">
      <c r="A879" t="s">
        <v>202</v>
      </c>
      <c r="B879" t="s">
        <v>2627</v>
      </c>
      <c r="C879" t="s">
        <v>2628</v>
      </c>
      <c r="D879" t="s">
        <v>58</v>
      </c>
      <c r="E879" t="s">
        <v>61</v>
      </c>
      <c r="F879" t="s">
        <v>243</v>
      </c>
      <c r="G879" t="s">
        <v>112</v>
      </c>
      <c r="H879" t="str">
        <f t="shared" si="91"/>
        <v>MS 中南大区ATL.H调度组</v>
      </c>
      <c r="I879" t="s">
        <v>160</v>
      </c>
      <c r="J879" t="s">
        <v>245</v>
      </c>
      <c r="K879" s="15">
        <v>0.75</v>
      </c>
      <c r="L879" s="15" t="s">
        <v>246</v>
      </c>
      <c r="M879" s="15"/>
      <c r="N879" t="s">
        <v>148</v>
      </c>
      <c r="O879" s="20" t="str">
        <f t="shared" si="92"/>
        <v>不正确</v>
      </c>
      <c r="P879" s="21">
        <v>0</v>
      </c>
      <c r="Q879" s="21">
        <v>0</v>
      </c>
      <c r="R879" s="21">
        <v>0</v>
      </c>
      <c r="S879" s="21">
        <f t="shared" si="93"/>
        <v>0</v>
      </c>
      <c r="T879" s="21">
        <f t="shared" si="94"/>
        <v>0</v>
      </c>
      <c r="U879" s="21" t="str">
        <f t="shared" si="95"/>
        <v>否</v>
      </c>
      <c r="V879" s="21">
        <f>VLOOKUP($C879,[4]Sheet1!$B:$AN,39,FALSE)</f>
        <v>0</v>
      </c>
      <c r="W879" s="21">
        <v>0</v>
      </c>
      <c r="X879" s="23">
        <v>0</v>
      </c>
      <c r="Y879" s="23">
        <v>0</v>
      </c>
      <c r="Z879" s="25">
        <f t="shared" si="96"/>
        <v>0</v>
      </c>
      <c r="AA879" s="25" t="str">
        <f t="shared" si="97"/>
        <v>是</v>
      </c>
      <c r="AB879" t="s">
        <v>2629</v>
      </c>
      <c r="AC879" t="e">
        <f>VLOOKUP(C879,[1]Sheet1!$C:$O,13,FALSE)</f>
        <v>#N/A</v>
      </c>
      <c r="AD879" t="str">
        <f>VLOOKUP($H879,'[3]0509人员排班情况 副本'!$G:$U,12,FALSE)</f>
        <v>欧阳迎春Flower（Yingchun Ouyang）</v>
      </c>
      <c r="AE879" t="str">
        <f>VLOOKUP($H879,'[3]0509人员排班情况 副本'!$G:$U,13,FALSE)</f>
        <v>杨云飞</v>
      </c>
      <c r="AF879" t="str">
        <f>VLOOKUP($H879,'[3]0509人员排班情况 副本'!$G:$U,14,FALSE)</f>
        <v>Minqing (Minqing Xu),罗煜雄 Mike (Yuxiong Luo),明杰麟Jennie (Jielin Ming)</v>
      </c>
      <c r="AG879" t="str">
        <f>VLOOKUP($H879,'[3]0509人员排班情况 副本'!$G:$U,15,FALSE)</f>
        <v>文艳平</v>
      </c>
    </row>
    <row r="880" customHeight="1" spans="1:33">
      <c r="A880" t="s">
        <v>202</v>
      </c>
      <c r="B880" t="s">
        <v>2630</v>
      </c>
      <c r="C880" t="s">
        <v>2631</v>
      </c>
      <c r="D880" t="s">
        <v>31</v>
      </c>
      <c r="E880" t="s">
        <v>41</v>
      </c>
      <c r="F880" t="s">
        <v>243</v>
      </c>
      <c r="G880" t="s">
        <v>112</v>
      </c>
      <c r="H880" t="str">
        <f t="shared" si="91"/>
        <v>GL 大湖大区ORD.H调度组</v>
      </c>
      <c r="I880" t="s">
        <v>160</v>
      </c>
      <c r="J880" t="s">
        <v>304</v>
      </c>
      <c r="K880" s="15">
        <v>0.666666666666667</v>
      </c>
      <c r="L880" s="15" t="s">
        <v>305</v>
      </c>
      <c r="M880" s="15">
        <v>0.645138888888889</v>
      </c>
      <c r="N880" t="s">
        <v>2632</v>
      </c>
      <c r="O880" s="20" t="str">
        <f t="shared" si="92"/>
        <v>正确</v>
      </c>
      <c r="P880" s="21">
        <v>0</v>
      </c>
      <c r="Q880" s="21">
        <v>8.63</v>
      </c>
      <c r="R880" s="21">
        <v>0</v>
      </c>
      <c r="S880" s="21">
        <f t="shared" si="93"/>
        <v>8.63</v>
      </c>
      <c r="T880" s="21">
        <f t="shared" si="94"/>
        <v>0.630000000000001</v>
      </c>
      <c r="U880" s="21" t="str">
        <f t="shared" si="95"/>
        <v>是</v>
      </c>
      <c r="V880" s="21">
        <f>VLOOKUP($C880,[4]Sheet1!$B:$AN,39,FALSE)</f>
        <v>14.61</v>
      </c>
      <c r="W880" s="21">
        <v>0</v>
      </c>
      <c r="X880" s="23">
        <v>4</v>
      </c>
      <c r="Y880" s="23">
        <v>4</v>
      </c>
      <c r="Z880" s="25">
        <f t="shared" si="96"/>
        <v>0</v>
      </c>
      <c r="AA880" s="25" t="str">
        <f t="shared" si="97"/>
        <v>是</v>
      </c>
      <c r="AB880" t="s">
        <v>148</v>
      </c>
      <c r="AC880" t="e">
        <f>VLOOKUP(C880,[1]Sheet1!$C:$O,13,FALSE)</f>
        <v>#N/A</v>
      </c>
      <c r="AD880" t="str">
        <f>VLOOKUP($H880,'[3]0509人员排班情况 副本'!$G:$U,12,FALSE)</f>
        <v>王晓丹 Jasmine（Xiaodan Wang）,周延舒Isabel（Yanshu Zhou）</v>
      </c>
      <c r="AE880" t="str">
        <f>VLOOKUP($H880,'[3]0509人员排班情况 副本'!$G:$U,13,FALSE)</f>
        <v>张骥Ji Zhang (Ji Zhang)</v>
      </c>
      <c r="AF880" t="str">
        <f>VLOOKUP($H880,'[3]0509人员排班情况 副本'!$G:$U,14,FALSE)</f>
        <v>Minqing (Minqing Xu),罗煜雄 Mike (Yuxiong Luo)</v>
      </c>
      <c r="AG880">
        <f>VLOOKUP($H880,'[3]0509人员排班情况 副本'!$G:$U,15,FALSE)</f>
        <v>0</v>
      </c>
    </row>
    <row r="881" customHeight="1" spans="1:33">
      <c r="A881" t="s">
        <v>202</v>
      </c>
      <c r="B881" t="s">
        <v>2633</v>
      </c>
      <c r="C881" t="s">
        <v>2634</v>
      </c>
      <c r="D881" t="s">
        <v>100</v>
      </c>
      <c r="E881" t="s">
        <v>102</v>
      </c>
      <c r="F881" t="s">
        <v>358</v>
      </c>
      <c r="H881" t="str">
        <f t="shared" si="91"/>
        <v>WE 美西大区DS 丹佛·盐湖城片区DEN.H</v>
      </c>
      <c r="I881" t="s">
        <v>156</v>
      </c>
      <c r="J881" t="s">
        <v>217</v>
      </c>
      <c r="K881" s="15">
        <v>0.395833333333333</v>
      </c>
      <c r="L881" s="15" t="s">
        <v>218</v>
      </c>
      <c r="M881" s="15"/>
      <c r="N881" t="s">
        <v>148</v>
      </c>
      <c r="O881" s="20" t="s">
        <v>116</v>
      </c>
      <c r="P881" s="21">
        <v>0</v>
      </c>
      <c r="Q881" s="21">
        <v>0</v>
      </c>
      <c r="R881" s="21">
        <v>0</v>
      </c>
      <c r="S881" s="21">
        <f t="shared" si="93"/>
        <v>0</v>
      </c>
      <c r="T881" s="21">
        <f t="shared" si="94"/>
        <v>0</v>
      </c>
      <c r="U881" s="21" t="str">
        <f t="shared" si="95"/>
        <v>否</v>
      </c>
      <c r="V881" s="21">
        <f>VLOOKUP($C881,[4]Sheet1!$B:$AN,39,FALSE)</f>
        <v>0</v>
      </c>
      <c r="W881" s="21">
        <v>0</v>
      </c>
      <c r="X881" s="23">
        <v>0</v>
      </c>
      <c r="Y881" s="23">
        <v>0</v>
      </c>
      <c r="Z881" s="25">
        <f t="shared" si="96"/>
        <v>0</v>
      </c>
      <c r="AA881" s="25" t="str">
        <f t="shared" si="97"/>
        <v>是</v>
      </c>
      <c r="AB881" t="s">
        <v>148</v>
      </c>
      <c r="AC881" t="e">
        <f>VLOOKUP(C881,[1]Sheet1!$C:$O,13,FALSE)</f>
        <v>#N/A</v>
      </c>
      <c r="AD881" t="str">
        <f>VLOOKUP($H881,'[3]0509人员排班情况 副本'!$G:$U,12,FALSE)</f>
        <v>王骞Ariel（Qian Wang）,叶秀芳Freya (Xiufang Ye)</v>
      </c>
      <c r="AE881" t="str">
        <f>VLOOKUP($H881,'[3]0509人员排班情况 副本'!$G:$U,13,FALSE)</f>
        <v>常哲</v>
      </c>
      <c r="AF881" t="str">
        <f>VLOOKUP($H881,'[3]0509人员排班情况 副本'!$G:$U,14,FALSE)</f>
        <v>兰鹏Peng（Peng Lan）</v>
      </c>
      <c r="AG881">
        <f>VLOOKUP($H881,'[3]0509人员排班情况 副本'!$G:$U,15,FALSE)</f>
        <v>0</v>
      </c>
    </row>
    <row r="882" customHeight="1" spans="1:33">
      <c r="A882" t="s">
        <v>202</v>
      </c>
      <c r="B882" t="s">
        <v>2635</v>
      </c>
      <c r="C882" t="s">
        <v>2636</v>
      </c>
      <c r="D882" t="s">
        <v>31</v>
      </c>
      <c r="E882" t="s">
        <v>43</v>
      </c>
      <c r="F882" t="s">
        <v>42</v>
      </c>
      <c r="H882" t="str">
        <f t="shared" si="91"/>
        <v>GL 大湖大区WG 西大湖片区ORD01</v>
      </c>
      <c r="I882" t="s">
        <v>177</v>
      </c>
      <c r="J882" t="s">
        <v>217</v>
      </c>
      <c r="K882" s="15">
        <v>0.395833333333333</v>
      </c>
      <c r="L882" s="15" t="s">
        <v>218</v>
      </c>
      <c r="M882" s="15"/>
      <c r="N882" t="s">
        <v>148</v>
      </c>
      <c r="O882" s="20" t="s">
        <v>116</v>
      </c>
      <c r="P882" s="21">
        <v>0</v>
      </c>
      <c r="Q882" s="21">
        <v>0</v>
      </c>
      <c r="R882" s="21">
        <v>0</v>
      </c>
      <c r="S882" s="21">
        <f t="shared" si="93"/>
        <v>0</v>
      </c>
      <c r="T882" s="21">
        <f t="shared" si="94"/>
        <v>0</v>
      </c>
      <c r="U882" s="21" t="str">
        <f t="shared" si="95"/>
        <v>否</v>
      </c>
      <c r="V882" s="21">
        <f>VLOOKUP($C882,[4]Sheet1!$B:$AN,39,FALSE)</f>
        <v>0</v>
      </c>
      <c r="W882" s="21">
        <v>0</v>
      </c>
      <c r="X882" s="23">
        <v>0</v>
      </c>
      <c r="Y882" s="23">
        <v>0</v>
      </c>
      <c r="Z882" s="25">
        <f t="shared" si="96"/>
        <v>0</v>
      </c>
      <c r="AA882" s="25" t="str">
        <f t="shared" si="97"/>
        <v>是</v>
      </c>
      <c r="AB882" t="s">
        <v>148</v>
      </c>
      <c r="AC882" t="e">
        <f>VLOOKUP(C882,[1]Sheet1!$C:$O,13,FALSE)</f>
        <v>#N/A</v>
      </c>
      <c r="AD882" t="str">
        <f>VLOOKUP($H882,'[3]0509人员排班情况 副本'!$G:$U,12,FALSE)</f>
        <v>王晓丹 Jasmine（Xiaodan Wang）,周延舒Isabel（Yanshu Zhou）</v>
      </c>
      <c r="AE882" t="str">
        <f>VLOOKUP($H882,'[3]0509人员排班情况 副本'!$G:$U,13,FALSE)</f>
        <v>张骥Ji Zhang (Ji Zhang)</v>
      </c>
      <c r="AF882" t="str">
        <f>VLOOKUP($H882,'[3]0509人员排班情况 副本'!$G:$U,14,FALSE)</f>
        <v>易至聪Zac (Zhicong Yi),尚青蓓 Suki （Qingbei Shang）</v>
      </c>
      <c r="AG882">
        <f>VLOOKUP($H882,'[3]0509人员排班情况 副本'!$G:$U,15,FALSE)</f>
        <v>0</v>
      </c>
    </row>
    <row r="883" customHeight="1" spans="1:33">
      <c r="A883" t="s">
        <v>202</v>
      </c>
      <c r="B883" t="s">
        <v>2637</v>
      </c>
      <c r="C883" t="s">
        <v>2638</v>
      </c>
      <c r="D883" t="s">
        <v>68</v>
      </c>
      <c r="E883" t="s">
        <v>45</v>
      </c>
      <c r="F883" t="s">
        <v>744</v>
      </c>
      <c r="H883" t="str">
        <f t="shared" si="91"/>
        <v>NE 东北大区揽收部揽收调度组</v>
      </c>
      <c r="I883" t="s">
        <v>608</v>
      </c>
      <c r="J883" t="s">
        <v>211</v>
      </c>
      <c r="K883" s="15">
        <v>0.333333333333333</v>
      </c>
      <c r="L883" s="15" t="s">
        <v>212</v>
      </c>
      <c r="M883" s="15">
        <v>0.330555555555556</v>
      </c>
      <c r="N883" t="s">
        <v>212</v>
      </c>
      <c r="O883" s="20" t="str">
        <f t="shared" si="92"/>
        <v>正确</v>
      </c>
      <c r="P883" s="21">
        <v>0</v>
      </c>
      <c r="Q883" s="21">
        <v>8.07</v>
      </c>
      <c r="R883" s="21">
        <v>0</v>
      </c>
      <c r="S883" s="21">
        <f t="shared" si="93"/>
        <v>8.07</v>
      </c>
      <c r="T883" s="21">
        <f t="shared" si="94"/>
        <v>0.0700000000000003</v>
      </c>
      <c r="U883" s="21" t="str">
        <f t="shared" si="95"/>
        <v>是</v>
      </c>
      <c r="V883" s="21">
        <f>VLOOKUP($C883,[4]Sheet1!$B:$AN,39,FALSE)</f>
        <v>20.97</v>
      </c>
      <c r="W883" s="21">
        <v>0</v>
      </c>
      <c r="X883" s="23">
        <v>4</v>
      </c>
      <c r="Y883" s="23">
        <v>4</v>
      </c>
      <c r="Z883" s="25">
        <f t="shared" si="96"/>
        <v>0</v>
      </c>
      <c r="AA883" s="25" t="str">
        <f t="shared" si="97"/>
        <v>是</v>
      </c>
      <c r="AB883" t="s">
        <v>148</v>
      </c>
      <c r="AC883" t="e">
        <f>VLOOKUP(C883,[1]Sheet1!$C:$O,13,FALSE)</f>
        <v>#N/A</v>
      </c>
      <c r="AD883" t="str">
        <f>VLOOKUP($H883,'[3]0509人员排班情况 副本'!$G:$U,12,FALSE)</f>
        <v>孙可君Monica（Kejun Sun）</v>
      </c>
      <c r="AE883" t="str">
        <f>VLOOKUP($H883,'[3]0509人员排班情况 副本'!$G:$U,13,FALSE)</f>
        <v>马聪Cong (Cong Ma)</v>
      </c>
      <c r="AF883">
        <f>VLOOKUP($H883,'[3]0509人员排班情况 副本'!$G:$U,14,FALSE)</f>
        <v>0</v>
      </c>
      <c r="AG883">
        <f>VLOOKUP($H883,'[3]0509人员排班情况 副本'!$G:$U,15,FALSE)</f>
        <v>0</v>
      </c>
    </row>
    <row r="884" customHeight="1" spans="1:33">
      <c r="A884" t="s">
        <v>202</v>
      </c>
      <c r="B884" t="s">
        <v>2639</v>
      </c>
      <c r="C884" t="s">
        <v>2640</v>
      </c>
      <c r="D884" t="s">
        <v>15</v>
      </c>
      <c r="E884" t="s">
        <v>21</v>
      </c>
      <c r="F884" t="s">
        <v>148</v>
      </c>
      <c r="H884" t="str">
        <f t="shared" si="91"/>
        <v>FL 佛州大区MIA01</v>
      </c>
      <c r="I884" t="s">
        <v>177</v>
      </c>
      <c r="J884" t="s">
        <v>229</v>
      </c>
      <c r="K884" s="15">
        <v>0.270833333333333</v>
      </c>
      <c r="L884" s="15" t="s">
        <v>230</v>
      </c>
      <c r="M884" s="15">
        <v>0.2875</v>
      </c>
      <c r="N884" t="s">
        <v>976</v>
      </c>
      <c r="O884" s="20" t="str">
        <f t="shared" si="92"/>
        <v>正确</v>
      </c>
      <c r="P884" s="21">
        <v>0</v>
      </c>
      <c r="Q884" s="21">
        <v>8.6</v>
      </c>
      <c r="R884" s="21">
        <v>0</v>
      </c>
      <c r="S884" s="21">
        <f t="shared" si="93"/>
        <v>8.6</v>
      </c>
      <c r="T884" s="21">
        <f t="shared" si="94"/>
        <v>0.6</v>
      </c>
      <c r="U884" s="21" t="str">
        <f t="shared" si="95"/>
        <v>是</v>
      </c>
      <c r="V884" s="21">
        <f>VLOOKUP($C884,[4]Sheet1!$B:$AN,39,FALSE)</f>
        <v>8.6</v>
      </c>
      <c r="W884" s="21">
        <v>0</v>
      </c>
      <c r="X884" s="23">
        <v>4</v>
      </c>
      <c r="Y884" s="23">
        <v>4</v>
      </c>
      <c r="Z884" s="25">
        <f t="shared" si="96"/>
        <v>0</v>
      </c>
      <c r="AA884" s="25" t="str">
        <f t="shared" si="97"/>
        <v>是</v>
      </c>
      <c r="AB884" t="s">
        <v>148</v>
      </c>
      <c r="AC884" t="e">
        <f>VLOOKUP(C884,[1]Sheet1!$C:$O,13,FALSE)</f>
        <v>#N/A</v>
      </c>
      <c r="AD884" t="str">
        <f>VLOOKUP($H884,'[3]0509人员排班情况 副本'!$G:$U,12,FALSE)</f>
        <v>Natalia (Natalia Padilla),孙婕 Jasmine（Sunjie）</v>
      </c>
      <c r="AE884" t="str">
        <f>VLOOKUP($H884,'[3]0509人员排班情况 副本'!$G:$U,13,FALSE)</f>
        <v>贺子强Jeff (Ziqiang He)</v>
      </c>
      <c r="AF884">
        <f>VLOOKUP($H884,'[3]0509人员排班情况 副本'!$G:$U,14,FALSE)</f>
        <v>0</v>
      </c>
      <c r="AG884">
        <f>VLOOKUP($H884,'[3]0509人员排班情况 副本'!$G:$U,15,FALSE)</f>
        <v>0</v>
      </c>
    </row>
    <row r="885" customHeight="1" spans="1:33">
      <c r="A885" t="s">
        <v>202</v>
      </c>
      <c r="B885" t="s">
        <v>2641</v>
      </c>
      <c r="C885" t="s">
        <v>2642</v>
      </c>
      <c r="D885" t="s">
        <v>100</v>
      </c>
      <c r="E885" t="s">
        <v>101</v>
      </c>
      <c r="F885" t="s">
        <v>210</v>
      </c>
      <c r="G885" t="s">
        <v>112</v>
      </c>
      <c r="H885" t="str">
        <f t="shared" si="91"/>
        <v>WE 美西大区CNO.H操作组</v>
      </c>
      <c r="I885" t="s">
        <v>156</v>
      </c>
      <c r="J885" t="s">
        <v>421</v>
      </c>
      <c r="K885" s="15">
        <v>0.708333333333333</v>
      </c>
      <c r="L885" s="15" t="s">
        <v>422</v>
      </c>
      <c r="M885" s="15">
        <v>0.693055555555556</v>
      </c>
      <c r="N885" t="s">
        <v>2606</v>
      </c>
      <c r="O885" s="20" t="str">
        <f t="shared" si="92"/>
        <v>正确</v>
      </c>
      <c r="P885" s="21">
        <v>0</v>
      </c>
      <c r="Q885" s="21">
        <v>6.25</v>
      </c>
      <c r="R885" s="21">
        <v>0</v>
      </c>
      <c r="S885" s="21">
        <f t="shared" si="93"/>
        <v>6.25</v>
      </c>
      <c r="T885" s="21">
        <f t="shared" si="94"/>
        <v>0</v>
      </c>
      <c r="U885" s="21" t="str">
        <f t="shared" si="95"/>
        <v>否</v>
      </c>
      <c r="V885" s="21">
        <f>VLOOKUP($C885,[4]Sheet1!$B:$AN,39,FALSE)</f>
        <v>17.32</v>
      </c>
      <c r="W885" s="21">
        <v>0</v>
      </c>
      <c r="X885" s="23">
        <v>3</v>
      </c>
      <c r="Y885" s="23">
        <v>4</v>
      </c>
      <c r="Z885" s="25">
        <f t="shared" si="96"/>
        <v>1</v>
      </c>
      <c r="AA885" s="25" t="str">
        <f t="shared" si="97"/>
        <v>是</v>
      </c>
      <c r="AB885" t="s">
        <v>148</v>
      </c>
      <c r="AC885" t="e">
        <f>VLOOKUP(C885,[1]Sheet1!$C:$O,13,FALSE)</f>
        <v>#N/A</v>
      </c>
      <c r="AD885" t="str">
        <f>VLOOKUP($H885,'[3]0509人员排班情况 副本'!$G:$U,12,FALSE)</f>
        <v>王骞Ariel（Qian Wang）,叶秀芳Freya (Xiufang Ye)</v>
      </c>
      <c r="AE885" t="str">
        <f>VLOOKUP($H885,'[3]0509人员排班情况 副本'!$G:$U,13,FALSE)</f>
        <v>常哲</v>
      </c>
      <c r="AF885" t="str">
        <f>VLOOKUP($H885,'[3]0509人员排班情况 副本'!$G:$U,14,FALSE)</f>
        <v>Minqing (Minqing Xu),罗煜雄 Mike (Yuxiong Luo)</v>
      </c>
      <c r="AG885">
        <f>VLOOKUP($H885,'[3]0509人员排班情况 副本'!$G:$U,15,FALSE)</f>
        <v>0</v>
      </c>
    </row>
    <row r="886" customHeight="1" spans="1:33">
      <c r="A886" t="s">
        <v>202</v>
      </c>
      <c r="B886" t="s">
        <v>2643</v>
      </c>
      <c r="C886" t="s">
        <v>2644</v>
      </c>
      <c r="D886" t="s">
        <v>68</v>
      </c>
      <c r="E886" t="s">
        <v>78</v>
      </c>
      <c r="F886" t="s">
        <v>275</v>
      </c>
      <c r="G886" t="s">
        <v>112</v>
      </c>
      <c r="H886" t="str">
        <f t="shared" si="91"/>
        <v>NE 东北大区JFK.H分拣组</v>
      </c>
      <c r="I886" t="s">
        <v>276</v>
      </c>
      <c r="J886" t="s">
        <v>217</v>
      </c>
      <c r="K886" s="15">
        <v>0.395833333333333</v>
      </c>
      <c r="L886" s="15" t="s">
        <v>218</v>
      </c>
      <c r="M886" s="15"/>
      <c r="N886" t="s">
        <v>148</v>
      </c>
      <c r="O886" s="20" t="s">
        <v>116</v>
      </c>
      <c r="P886" s="21">
        <v>0</v>
      </c>
      <c r="Q886" s="21">
        <v>0</v>
      </c>
      <c r="R886" s="21">
        <v>0</v>
      </c>
      <c r="S886" s="21">
        <f t="shared" si="93"/>
        <v>0</v>
      </c>
      <c r="T886" s="21">
        <f t="shared" si="94"/>
        <v>0</v>
      </c>
      <c r="U886" s="21" t="str">
        <f t="shared" si="95"/>
        <v>否</v>
      </c>
      <c r="V886" s="21">
        <f>VLOOKUP($C886,[4]Sheet1!$B:$AN,39,FALSE)</f>
        <v>12.88</v>
      </c>
      <c r="W886" s="21">
        <v>0</v>
      </c>
      <c r="X886" s="23">
        <v>0</v>
      </c>
      <c r="Y886" s="23">
        <v>0</v>
      </c>
      <c r="Z886" s="25">
        <f t="shared" si="96"/>
        <v>0</v>
      </c>
      <c r="AA886" s="25" t="str">
        <f t="shared" si="97"/>
        <v>是</v>
      </c>
      <c r="AB886" t="s">
        <v>148</v>
      </c>
      <c r="AC886" t="e">
        <f>VLOOKUP(C886,[1]Sheet1!$C:$O,13,FALSE)</f>
        <v>#N/A</v>
      </c>
      <c r="AD886" t="str">
        <f>VLOOKUP($H886,'[3]0509人员排班情况 副本'!$G:$U,12,FALSE)</f>
        <v>孙可君Monica（Kejun Sun）</v>
      </c>
      <c r="AE886" t="str">
        <f>VLOOKUP($H886,'[3]0509人员排班情况 副本'!$G:$U,13,FALSE)</f>
        <v>马聪Cong (Cong Ma)</v>
      </c>
      <c r="AF886" t="str">
        <f>VLOOKUP($H886,'[3]0509人员排班情况 副本'!$G:$U,14,FALSE)</f>
        <v>张双甫(Shuangfu Zhang)</v>
      </c>
      <c r="AG886">
        <f>VLOOKUP($H886,'[3]0509人员排班情况 副本'!$G:$U,15,FALSE)</f>
        <v>0</v>
      </c>
    </row>
    <row r="887" customHeight="1" spans="1:33">
      <c r="A887" t="s">
        <v>202</v>
      </c>
      <c r="B887" t="s">
        <v>2645</v>
      </c>
      <c r="C887" t="s">
        <v>2646</v>
      </c>
      <c r="D887" t="s">
        <v>15</v>
      </c>
      <c r="E887" t="s">
        <v>29</v>
      </c>
      <c r="F887" t="s">
        <v>200</v>
      </c>
      <c r="H887" t="str">
        <f t="shared" si="91"/>
        <v>FL 佛州大区运营支持部区域支持组</v>
      </c>
      <c r="I887" t="s">
        <v>201</v>
      </c>
      <c r="J887" t="s">
        <v>343</v>
      </c>
      <c r="K887" s="15">
        <v>0.25</v>
      </c>
      <c r="L887" s="15" t="s">
        <v>344</v>
      </c>
      <c r="M887" s="15">
        <v>0.279861111111111</v>
      </c>
      <c r="N887" t="s">
        <v>2647</v>
      </c>
      <c r="O887" s="20" t="str">
        <f t="shared" si="92"/>
        <v>正确</v>
      </c>
      <c r="P887" s="21">
        <v>0</v>
      </c>
      <c r="Q887" s="21">
        <v>8.08</v>
      </c>
      <c r="R887" s="21">
        <v>0</v>
      </c>
      <c r="S887" s="21">
        <f t="shared" si="93"/>
        <v>8.08</v>
      </c>
      <c r="T887" s="21">
        <f t="shared" si="94"/>
        <v>0.0800000000000001</v>
      </c>
      <c r="U887" s="21" t="str">
        <f t="shared" si="95"/>
        <v>是</v>
      </c>
      <c r="V887" s="21">
        <f>VLOOKUP($C887,[4]Sheet1!$B:$AN,39,FALSE)</f>
        <v>8.08</v>
      </c>
      <c r="W887" s="21">
        <v>0</v>
      </c>
      <c r="X887" s="23">
        <v>4</v>
      </c>
      <c r="Y887" s="23">
        <v>4</v>
      </c>
      <c r="Z887" s="25">
        <f t="shared" si="96"/>
        <v>0</v>
      </c>
      <c r="AA887" s="25" t="str">
        <f t="shared" si="97"/>
        <v>是</v>
      </c>
      <c r="AB887" t="s">
        <v>148</v>
      </c>
      <c r="AC887" t="e">
        <f>VLOOKUP(C887,[1]Sheet1!$C:$O,13,FALSE)</f>
        <v>#N/A</v>
      </c>
      <c r="AD887" t="str">
        <f>VLOOKUP($H887,'[3]0509人员排班情况 副本'!$G:$U,12,FALSE)</f>
        <v>Natalia (Natalia Padilla),孙婕 Jasmine（Sunjie）</v>
      </c>
      <c r="AE887" t="str">
        <f>VLOOKUP($H887,'[3]0509人员排班情况 副本'!$G:$U,13,FALSE)</f>
        <v>贺子强Jeff (Ziqiang He)</v>
      </c>
      <c r="AF887">
        <f>VLOOKUP($H887,'[3]0509人员排班情况 副本'!$G:$U,14,FALSE)</f>
        <v>0</v>
      </c>
      <c r="AG887">
        <f>VLOOKUP($H887,'[3]0509人员排班情况 副本'!$G:$U,15,FALSE)</f>
        <v>0</v>
      </c>
    </row>
    <row r="888" customHeight="1" spans="1:33">
      <c r="A888" t="s">
        <v>202</v>
      </c>
      <c r="B888" t="s">
        <v>2648</v>
      </c>
      <c r="C888" t="s">
        <v>2649</v>
      </c>
      <c r="D888" t="s">
        <v>68</v>
      </c>
      <c r="E888" t="s">
        <v>76</v>
      </c>
      <c r="F888" t="s">
        <v>312</v>
      </c>
      <c r="G888" t="s">
        <v>112</v>
      </c>
      <c r="H888" t="str">
        <f t="shared" si="91"/>
        <v>NE 东北大区EWR.H异常处理组</v>
      </c>
      <c r="I888" t="s">
        <v>313</v>
      </c>
      <c r="J888" t="s">
        <v>295</v>
      </c>
      <c r="K888" s="15">
        <v>0.375</v>
      </c>
      <c r="L888" s="15" t="s">
        <v>296</v>
      </c>
      <c r="M888" s="15">
        <v>0.417361111111111</v>
      </c>
      <c r="N888" t="s">
        <v>1209</v>
      </c>
      <c r="O888" s="20" t="str">
        <f t="shared" si="92"/>
        <v>不正确</v>
      </c>
      <c r="P888" s="21">
        <v>0</v>
      </c>
      <c r="Q888" s="21">
        <v>8.7</v>
      </c>
      <c r="R888" s="21">
        <v>0</v>
      </c>
      <c r="S888" s="21">
        <f t="shared" si="93"/>
        <v>8.7</v>
      </c>
      <c r="T888" s="21">
        <f t="shared" si="94"/>
        <v>0.699999999999999</v>
      </c>
      <c r="U888" s="21" t="str">
        <f t="shared" si="95"/>
        <v>是</v>
      </c>
      <c r="V888" s="21">
        <f>VLOOKUP($C888,[4]Sheet1!$B:$AN,39,FALSE)</f>
        <v>17.08</v>
      </c>
      <c r="W888" s="21">
        <v>0</v>
      </c>
      <c r="X888" s="23">
        <v>2</v>
      </c>
      <c r="Y888" s="23">
        <v>4</v>
      </c>
      <c r="Z888" s="25">
        <f t="shared" si="96"/>
        <v>2</v>
      </c>
      <c r="AA888" s="25" t="str">
        <f t="shared" si="97"/>
        <v>是</v>
      </c>
      <c r="AB888" t="s">
        <v>148</v>
      </c>
      <c r="AC888" t="e">
        <f>VLOOKUP(C888,[1]Sheet1!$C:$O,13,FALSE)</f>
        <v>#N/A</v>
      </c>
      <c r="AD888" t="str">
        <f>VLOOKUP($H888,'[3]0509人员排班情况 副本'!$G:$U,12,FALSE)</f>
        <v>孙可君Monica（Kejun Sun）</v>
      </c>
      <c r="AE888" t="str">
        <f>VLOOKUP($H888,'[3]0509人员排班情况 副本'!$G:$U,13,FALSE)</f>
        <v>马聪Cong (Cong Ma)</v>
      </c>
      <c r="AF888" t="str">
        <f>VLOOKUP($H888,'[3]0509人员排班情况 副本'!$G:$U,14,FALSE)</f>
        <v>Minqing (Minqing Xu),罗煜雄 Mike (Yuxiong Luo)</v>
      </c>
      <c r="AG888">
        <f>VLOOKUP($H888,'[3]0509人员排班情况 副本'!$G:$U,15,FALSE)</f>
        <v>0</v>
      </c>
    </row>
    <row r="889" customHeight="1" spans="1:33">
      <c r="A889" t="s">
        <v>202</v>
      </c>
      <c r="B889" t="s">
        <v>2650</v>
      </c>
      <c r="C889" t="s">
        <v>2651</v>
      </c>
      <c r="D889" t="s">
        <v>91</v>
      </c>
      <c r="E889" t="s">
        <v>991</v>
      </c>
      <c r="F889" t="s">
        <v>148</v>
      </c>
      <c r="H889" t="str">
        <f t="shared" si="91"/>
        <v>SM 站点管理部站点实施组</v>
      </c>
      <c r="I889" t="s">
        <v>2652</v>
      </c>
      <c r="J889" t="s">
        <v>236</v>
      </c>
      <c r="K889" s="15">
        <v>0.395833333333333</v>
      </c>
      <c r="L889" s="15" t="s">
        <v>218</v>
      </c>
      <c r="M889" s="15"/>
      <c r="N889" t="s">
        <v>148</v>
      </c>
      <c r="O889" s="20" t="str">
        <f t="shared" si="92"/>
        <v>不正确</v>
      </c>
      <c r="P889" s="21">
        <v>0</v>
      </c>
      <c r="Q889" s="21">
        <v>0</v>
      </c>
      <c r="R889" s="21">
        <v>0</v>
      </c>
      <c r="S889" s="21">
        <f t="shared" si="93"/>
        <v>0</v>
      </c>
      <c r="T889" s="21">
        <f t="shared" si="94"/>
        <v>0</v>
      </c>
      <c r="U889" s="21" t="str">
        <f t="shared" si="95"/>
        <v>否</v>
      </c>
      <c r="V889" s="21">
        <f>VLOOKUP($C889,[4]Sheet1!$B:$AN,39,FALSE)</f>
        <v>0</v>
      </c>
      <c r="W889" s="21">
        <v>0</v>
      </c>
      <c r="X889" s="23">
        <v>0</v>
      </c>
      <c r="Y889" s="23">
        <v>0</v>
      </c>
      <c r="Z889" s="25">
        <f t="shared" si="96"/>
        <v>0</v>
      </c>
      <c r="AA889" s="25" t="str">
        <f t="shared" si="97"/>
        <v>是</v>
      </c>
      <c r="AB889" t="s">
        <v>495</v>
      </c>
      <c r="AC889" t="e">
        <f>VLOOKUP(C889,[1]Sheet1!$C:$O,13,FALSE)</f>
        <v>#N/A</v>
      </c>
      <c r="AD889" t="str">
        <f>VLOOKUP($H889,'[3]0509人员排班情况 副本'!$G:$U,12,FALSE)</f>
        <v>袁博闻(Bowen Yuan)</v>
      </c>
      <c r="AE889">
        <f>VLOOKUP($H889,'[3]0509人员排班情况 副本'!$G:$U,13,FALSE)</f>
        <v>0</v>
      </c>
      <c r="AF889">
        <f>VLOOKUP($H889,'[3]0509人员排班情况 副本'!$G:$U,14,FALSE)</f>
        <v>0</v>
      </c>
      <c r="AG889">
        <f>VLOOKUP($H889,'[3]0509人员排班情况 副本'!$G:$U,15,FALSE)</f>
        <v>0</v>
      </c>
    </row>
    <row r="890" customHeight="1" spans="1:33">
      <c r="A890" t="s">
        <v>202</v>
      </c>
      <c r="B890" t="s">
        <v>2653</v>
      </c>
      <c r="C890" t="s">
        <v>2654</v>
      </c>
      <c r="D890" t="s">
        <v>14</v>
      </c>
      <c r="E890" t="s">
        <v>1522</v>
      </c>
      <c r="F890" t="s">
        <v>148</v>
      </c>
      <c r="H890" t="str">
        <f t="shared" si="91"/>
        <v>DO 数字运营部美国项目交付组</v>
      </c>
      <c r="I890" t="s">
        <v>1523</v>
      </c>
      <c r="J890" t="s">
        <v>295</v>
      </c>
      <c r="K890" s="15">
        <v>0.375</v>
      </c>
      <c r="L890" s="15" t="s">
        <v>296</v>
      </c>
      <c r="M890" s="15"/>
      <c r="N890" t="s">
        <v>148</v>
      </c>
      <c r="O890" s="20" t="str">
        <f t="shared" si="92"/>
        <v>不正确</v>
      </c>
      <c r="P890" s="21">
        <v>8.5</v>
      </c>
      <c r="Q890" s="21">
        <v>8</v>
      </c>
      <c r="R890" s="21">
        <v>0</v>
      </c>
      <c r="S890" s="21">
        <f t="shared" si="93"/>
        <v>8</v>
      </c>
      <c r="T890" s="21">
        <f t="shared" si="94"/>
        <v>0</v>
      </c>
      <c r="U890" s="21" t="str">
        <f t="shared" si="95"/>
        <v>否</v>
      </c>
      <c r="V890" s="21">
        <f>VLOOKUP($C890,[4]Sheet1!$B:$AN,39,FALSE)</f>
        <v>8</v>
      </c>
      <c r="W890" s="21">
        <v>0</v>
      </c>
      <c r="X890" s="23">
        <v>0</v>
      </c>
      <c r="Y890" s="23">
        <v>0</v>
      </c>
      <c r="Z890" s="25">
        <f t="shared" si="96"/>
        <v>0</v>
      </c>
      <c r="AA890" s="25" t="str">
        <f t="shared" si="97"/>
        <v>是</v>
      </c>
      <c r="AB890" t="s">
        <v>2655</v>
      </c>
      <c r="AC890" t="e">
        <f>VLOOKUP(C890,[1]Sheet1!$C:$O,13,FALSE)</f>
        <v>#N/A</v>
      </c>
      <c r="AD890" t="str">
        <f>VLOOKUP($H890,'[3]0509人员排班情况 副本'!$G:$U,12,FALSE)</f>
        <v>袁博闻(Bowen Yuan)</v>
      </c>
      <c r="AE890">
        <f>VLOOKUP($H890,'[3]0509人员排班情况 副本'!$G:$U,13,FALSE)</f>
        <v>0</v>
      </c>
      <c r="AF890">
        <f>VLOOKUP($H890,'[3]0509人员排班情况 副本'!$G:$U,14,FALSE)</f>
        <v>0</v>
      </c>
      <c r="AG890">
        <f>VLOOKUP($H890,'[3]0509人员排班情况 副本'!$G:$U,15,FALSE)</f>
        <v>0</v>
      </c>
    </row>
    <row r="891" customHeight="1" spans="1:33">
      <c r="A891" t="s">
        <v>202</v>
      </c>
      <c r="B891" t="s">
        <v>2656</v>
      </c>
      <c r="C891" t="s">
        <v>2657</v>
      </c>
      <c r="D891" t="s">
        <v>99</v>
      </c>
      <c r="E891" t="s">
        <v>677</v>
      </c>
      <c r="F891" t="s">
        <v>1155</v>
      </c>
      <c r="H891" t="str">
        <f t="shared" si="91"/>
        <v>US人力资源部美洲HRBP组佛州区HR组</v>
      </c>
      <c r="I891" t="s">
        <v>679</v>
      </c>
      <c r="J891" t="s">
        <v>236</v>
      </c>
      <c r="K891" s="15">
        <v>0.395833333333333</v>
      </c>
      <c r="L891" s="15" t="s">
        <v>218</v>
      </c>
      <c r="M891" s="15"/>
      <c r="N891" t="s">
        <v>148</v>
      </c>
      <c r="O891" s="20" t="str">
        <f t="shared" si="92"/>
        <v>不正确</v>
      </c>
      <c r="P891" s="21">
        <v>8.5</v>
      </c>
      <c r="Q891" s="21">
        <v>8</v>
      </c>
      <c r="R891" s="21">
        <v>0</v>
      </c>
      <c r="S891" s="21">
        <f t="shared" si="93"/>
        <v>8</v>
      </c>
      <c r="T891" s="21">
        <f t="shared" si="94"/>
        <v>0</v>
      </c>
      <c r="U891" s="21" t="str">
        <f t="shared" si="95"/>
        <v>否</v>
      </c>
      <c r="V891" s="21">
        <f>VLOOKUP($C891,[4]Sheet1!$B:$AN,39,FALSE)</f>
        <v>16</v>
      </c>
      <c r="W891" s="21">
        <v>0</v>
      </c>
      <c r="X891" s="23">
        <v>0</v>
      </c>
      <c r="Y891" s="23">
        <v>0</v>
      </c>
      <c r="Z891" s="25">
        <f t="shared" si="96"/>
        <v>0</v>
      </c>
      <c r="AA891" s="25" t="str">
        <f t="shared" si="97"/>
        <v>是</v>
      </c>
      <c r="AB891" t="s">
        <v>2658</v>
      </c>
      <c r="AC891" t="e">
        <f>VLOOKUP(C891,[1]Sheet1!$C:$O,13,FALSE)</f>
        <v>#N/A</v>
      </c>
      <c r="AD891" t="str">
        <f>VLOOKUP($H891,'[3]0509人员排班情况 副本'!$G:$U,12,FALSE)</f>
        <v>袁博闻(Bowen Yuan)</v>
      </c>
      <c r="AE891">
        <f>VLOOKUP($H891,'[3]0509人员排班情况 副本'!$G:$U,13,FALSE)</f>
        <v>0</v>
      </c>
      <c r="AF891">
        <f>VLOOKUP($H891,'[3]0509人员排班情况 副本'!$G:$U,14,FALSE)</f>
        <v>0</v>
      </c>
      <c r="AG891">
        <f>VLOOKUP($H891,'[3]0509人员排班情况 副本'!$G:$U,15,FALSE)</f>
        <v>0</v>
      </c>
    </row>
    <row r="892" customHeight="1" spans="1:33">
      <c r="A892" t="s">
        <v>202</v>
      </c>
      <c r="B892" t="s">
        <v>2659</v>
      </c>
      <c r="C892" t="s">
        <v>2660</v>
      </c>
      <c r="D892" t="s">
        <v>11</v>
      </c>
      <c r="E892" t="s">
        <v>148</v>
      </c>
      <c r="F892" t="s">
        <v>148</v>
      </c>
      <c r="H892" t="str">
        <f t="shared" si="91"/>
        <v>BM 品牌市场部</v>
      </c>
      <c r="I892" t="s">
        <v>1067</v>
      </c>
      <c r="J892" t="s">
        <v>236</v>
      </c>
      <c r="K892" s="15">
        <v>0.395833333333333</v>
      </c>
      <c r="L892" s="15" t="s">
        <v>218</v>
      </c>
      <c r="M892" s="15">
        <v>0.409027777777778</v>
      </c>
      <c r="N892" t="s">
        <v>1167</v>
      </c>
      <c r="O892" s="20" t="str">
        <f t="shared" si="92"/>
        <v>正确</v>
      </c>
      <c r="P892" s="21">
        <v>0</v>
      </c>
      <c r="Q892" s="21">
        <v>8.25</v>
      </c>
      <c r="R892" s="21">
        <v>0</v>
      </c>
      <c r="S892" s="21">
        <f t="shared" si="93"/>
        <v>8.25</v>
      </c>
      <c r="T892" s="21">
        <f t="shared" si="94"/>
        <v>0.25</v>
      </c>
      <c r="U892" s="21" t="str">
        <f t="shared" si="95"/>
        <v>是</v>
      </c>
      <c r="V892" s="21">
        <f>VLOOKUP($C892,[4]Sheet1!$B:$AN,39,FALSE)</f>
        <v>16.48</v>
      </c>
      <c r="W892" s="21">
        <v>0</v>
      </c>
      <c r="X892" s="23">
        <v>2</v>
      </c>
      <c r="Y892" s="23">
        <v>4</v>
      </c>
      <c r="Z892" s="25">
        <f t="shared" si="96"/>
        <v>2</v>
      </c>
      <c r="AA892" s="25" t="str">
        <f t="shared" si="97"/>
        <v>是</v>
      </c>
      <c r="AB892" t="s">
        <v>148</v>
      </c>
      <c r="AC892" t="e">
        <f>VLOOKUP(C892,[1]Sheet1!$C:$O,13,FALSE)</f>
        <v>#N/A</v>
      </c>
      <c r="AD892" t="str">
        <f>VLOOKUP($H892,'[3]0509人员排班情况 副本'!$G:$U,12,FALSE)</f>
        <v>袁博闻(Bowen Yuan)</v>
      </c>
      <c r="AE892">
        <f>VLOOKUP($H892,'[3]0509人员排班情况 副本'!$G:$U,13,FALSE)</f>
        <v>0</v>
      </c>
      <c r="AF892">
        <f>VLOOKUP($H892,'[3]0509人员排班情况 副本'!$G:$U,14,FALSE)</f>
        <v>0</v>
      </c>
      <c r="AG892">
        <f>VLOOKUP($H892,'[3]0509人员排班情况 副本'!$G:$U,15,FALSE)</f>
        <v>0</v>
      </c>
    </row>
    <row r="893" customHeight="1" spans="1:33">
      <c r="A893" t="s">
        <v>202</v>
      </c>
      <c r="B893" t="s">
        <v>2661</v>
      </c>
      <c r="C893" t="s">
        <v>2662</v>
      </c>
      <c r="D893" t="s">
        <v>15</v>
      </c>
      <c r="E893" t="s">
        <v>29</v>
      </c>
      <c r="F893" t="s">
        <v>200</v>
      </c>
      <c r="H893" t="str">
        <f t="shared" si="91"/>
        <v>FL 佛州大区运营支持部区域支持组</v>
      </c>
      <c r="I893" t="s">
        <v>201</v>
      </c>
      <c r="J893" t="s">
        <v>211</v>
      </c>
      <c r="K893" s="15">
        <v>0.333333333333333</v>
      </c>
      <c r="L893" s="15" t="s">
        <v>212</v>
      </c>
      <c r="M893" s="15"/>
      <c r="N893" t="s">
        <v>2507</v>
      </c>
      <c r="O893" s="20" t="str">
        <f t="shared" si="92"/>
        <v>不正确</v>
      </c>
      <c r="P893" s="21">
        <v>0</v>
      </c>
      <c r="Q893" s="21">
        <v>0</v>
      </c>
      <c r="R893" s="21">
        <v>0</v>
      </c>
      <c r="S893" s="21">
        <f t="shared" si="93"/>
        <v>0</v>
      </c>
      <c r="T893" s="21">
        <f t="shared" si="94"/>
        <v>0</v>
      </c>
      <c r="U893" s="21" t="str">
        <f t="shared" si="95"/>
        <v>否</v>
      </c>
      <c r="V893" s="21">
        <f>VLOOKUP($C893,[4]Sheet1!$B:$AN,39,FALSE)</f>
        <v>10.28</v>
      </c>
      <c r="W893" s="21">
        <v>0</v>
      </c>
      <c r="X893" s="23">
        <v>1</v>
      </c>
      <c r="Y893" s="23">
        <v>4</v>
      </c>
      <c r="Z893" s="25">
        <f t="shared" si="96"/>
        <v>3</v>
      </c>
      <c r="AA893" s="25" t="str">
        <f t="shared" si="97"/>
        <v>是</v>
      </c>
      <c r="AB893" t="s">
        <v>148</v>
      </c>
      <c r="AC893" t="e">
        <f>VLOOKUP(C893,[1]Sheet1!$C:$O,13,FALSE)</f>
        <v>#N/A</v>
      </c>
      <c r="AD893" t="str">
        <f>VLOOKUP($H893,'[3]0509人员排班情况 副本'!$G:$U,12,FALSE)</f>
        <v>Natalia (Natalia Padilla),孙婕 Jasmine（Sunjie）</v>
      </c>
      <c r="AE893" t="str">
        <f>VLOOKUP($H893,'[3]0509人员排班情况 副本'!$G:$U,13,FALSE)</f>
        <v>贺子强Jeff (Ziqiang He)</v>
      </c>
      <c r="AF893">
        <f>VLOOKUP($H893,'[3]0509人员排班情况 副本'!$G:$U,14,FALSE)</f>
        <v>0</v>
      </c>
      <c r="AG893">
        <f>VLOOKUP($H893,'[3]0509人员排班情况 副本'!$G:$U,15,FALSE)</f>
        <v>0</v>
      </c>
    </row>
    <row r="894" customHeight="1" spans="1:33">
      <c r="A894" t="s">
        <v>202</v>
      </c>
      <c r="B894" t="s">
        <v>2663</v>
      </c>
      <c r="C894" t="s">
        <v>2664</v>
      </c>
      <c r="D894" t="s">
        <v>58</v>
      </c>
      <c r="E894" t="s">
        <v>61</v>
      </c>
      <c r="F894" t="s">
        <v>243</v>
      </c>
      <c r="G894" t="s">
        <v>112</v>
      </c>
      <c r="H894" t="str">
        <f t="shared" si="91"/>
        <v>MS 中南大区ATL.H调度组</v>
      </c>
      <c r="I894" t="s">
        <v>160</v>
      </c>
      <c r="J894" t="s">
        <v>365</v>
      </c>
      <c r="K894" s="15">
        <v>0.833333333333333</v>
      </c>
      <c r="L894" s="15" t="s">
        <v>366</v>
      </c>
      <c r="M894" s="15">
        <v>0.825694444444444</v>
      </c>
      <c r="N894" t="s">
        <v>148</v>
      </c>
      <c r="O894" s="20" t="str">
        <f t="shared" si="92"/>
        <v>正确</v>
      </c>
      <c r="P894" s="21">
        <v>0</v>
      </c>
      <c r="Q894" s="21">
        <v>0</v>
      </c>
      <c r="R894" s="21">
        <v>0</v>
      </c>
      <c r="S894" s="21">
        <f t="shared" si="93"/>
        <v>0</v>
      </c>
      <c r="T894" s="21">
        <f t="shared" si="94"/>
        <v>0</v>
      </c>
      <c r="U894" s="21" t="str">
        <f t="shared" si="95"/>
        <v>否</v>
      </c>
      <c r="V894" s="21">
        <f>VLOOKUP($C894,[4]Sheet1!$B:$AN,39,FALSE)</f>
        <v>0</v>
      </c>
      <c r="W894" s="21">
        <v>0</v>
      </c>
      <c r="X894" s="23">
        <v>3</v>
      </c>
      <c r="Y894" s="23">
        <v>4</v>
      </c>
      <c r="Z894" s="25">
        <f t="shared" si="96"/>
        <v>1</v>
      </c>
      <c r="AA894" s="25" t="str">
        <f t="shared" si="97"/>
        <v>是</v>
      </c>
      <c r="AB894" t="s">
        <v>148</v>
      </c>
      <c r="AC894" t="e">
        <f>VLOOKUP(C894,[1]Sheet1!$C:$O,13,FALSE)</f>
        <v>#N/A</v>
      </c>
      <c r="AD894" t="str">
        <f>VLOOKUP($H894,'[3]0509人员排班情况 副本'!$G:$U,12,FALSE)</f>
        <v>欧阳迎春Flower（Yingchun Ouyang）</v>
      </c>
      <c r="AE894" t="str">
        <f>VLOOKUP($H894,'[3]0509人员排班情况 副本'!$G:$U,13,FALSE)</f>
        <v>杨云飞</v>
      </c>
      <c r="AF894" t="str">
        <f>VLOOKUP($H894,'[3]0509人员排班情况 副本'!$G:$U,14,FALSE)</f>
        <v>Minqing (Minqing Xu),罗煜雄 Mike (Yuxiong Luo),明杰麟Jennie (Jielin Ming)</v>
      </c>
      <c r="AG894" t="str">
        <f>VLOOKUP($H894,'[3]0509人员排班情况 副本'!$G:$U,15,FALSE)</f>
        <v>文艳平</v>
      </c>
    </row>
    <row r="895" customHeight="1" spans="1:33">
      <c r="A895" t="s">
        <v>202</v>
      </c>
      <c r="B895" t="s">
        <v>2665</v>
      </c>
      <c r="C895" t="s">
        <v>2666</v>
      </c>
      <c r="D895" t="s">
        <v>58</v>
      </c>
      <c r="E895" t="s">
        <v>44</v>
      </c>
      <c r="F895" t="s">
        <v>148</v>
      </c>
      <c r="H895" t="str">
        <f t="shared" si="91"/>
        <v>MS 中南大区车辆管理部</v>
      </c>
      <c r="I895" t="s">
        <v>769</v>
      </c>
      <c r="J895" t="s">
        <v>282</v>
      </c>
      <c r="K895" s="15">
        <v>0.416666666666667</v>
      </c>
      <c r="L895" s="15" t="s">
        <v>283</v>
      </c>
      <c r="M895" s="15">
        <v>0.398611111111111</v>
      </c>
      <c r="N895" t="s">
        <v>1044</v>
      </c>
      <c r="O895" s="20" t="str">
        <f t="shared" si="92"/>
        <v>正确</v>
      </c>
      <c r="P895" s="21">
        <v>0</v>
      </c>
      <c r="Q895" s="21">
        <v>8.45</v>
      </c>
      <c r="R895" s="21">
        <v>0</v>
      </c>
      <c r="S895" s="21">
        <f t="shared" si="93"/>
        <v>8.45</v>
      </c>
      <c r="T895" s="21">
        <f t="shared" si="94"/>
        <v>0.449999999999999</v>
      </c>
      <c r="U895" s="21" t="str">
        <f t="shared" si="95"/>
        <v>是</v>
      </c>
      <c r="V895" s="21">
        <f>VLOOKUP($C895,[4]Sheet1!$B:$AN,39,FALSE)</f>
        <v>17.23</v>
      </c>
      <c r="W895" s="21">
        <v>10.38</v>
      </c>
      <c r="X895" s="23">
        <v>4</v>
      </c>
      <c r="Y895" s="23">
        <v>4</v>
      </c>
      <c r="Z895" s="25">
        <f t="shared" si="96"/>
        <v>0</v>
      </c>
      <c r="AA895" s="25" t="str">
        <f t="shared" si="97"/>
        <v>是</v>
      </c>
      <c r="AB895" t="s">
        <v>148</v>
      </c>
      <c r="AC895" t="e">
        <f>VLOOKUP(C895,[1]Sheet1!$C:$O,13,FALSE)</f>
        <v>#N/A</v>
      </c>
      <c r="AD895" t="str">
        <f>VLOOKUP($H895,'[3]0509人员排班情况 副本'!$G:$U,12,FALSE)</f>
        <v>欧阳迎春Flower（Yingchun Ouyang）</v>
      </c>
      <c r="AE895" t="str">
        <f>VLOOKUP($H895,'[3]0509人员排班情况 副本'!$G:$U,13,FALSE)</f>
        <v>杨云飞</v>
      </c>
      <c r="AF895">
        <f>VLOOKUP($H895,'[3]0509人员排班情况 副本'!$G:$U,14,FALSE)</f>
        <v>0</v>
      </c>
      <c r="AG895">
        <f>VLOOKUP($H895,'[3]0509人员排班情况 副本'!$G:$U,15,FALSE)</f>
        <v>0</v>
      </c>
    </row>
    <row r="896" customHeight="1" spans="1:33">
      <c r="A896" t="s">
        <v>202</v>
      </c>
      <c r="B896" t="s">
        <v>2667</v>
      </c>
      <c r="C896" t="s">
        <v>2668</v>
      </c>
      <c r="D896" t="s">
        <v>48</v>
      </c>
      <c r="E896" t="s">
        <v>49</v>
      </c>
      <c r="F896" t="s">
        <v>525</v>
      </c>
      <c r="G896" t="s">
        <v>112</v>
      </c>
      <c r="H896" t="str">
        <f t="shared" si="91"/>
        <v>Ground项目部OG 美东区EWR.G</v>
      </c>
      <c r="I896" t="s">
        <v>244</v>
      </c>
      <c r="J896" t="s">
        <v>211</v>
      </c>
      <c r="K896" s="15">
        <v>0.333333333333333</v>
      </c>
      <c r="L896" s="15" t="s">
        <v>212</v>
      </c>
      <c r="M896" s="15">
        <v>0.330555555555556</v>
      </c>
      <c r="N896" t="s">
        <v>790</v>
      </c>
      <c r="O896" s="20" t="str">
        <f t="shared" si="92"/>
        <v>正确</v>
      </c>
      <c r="P896" s="21">
        <v>0</v>
      </c>
      <c r="Q896" s="21">
        <v>8.1</v>
      </c>
      <c r="R896" s="21">
        <v>0</v>
      </c>
      <c r="S896" s="21">
        <f t="shared" si="93"/>
        <v>8.1</v>
      </c>
      <c r="T896" s="21">
        <f t="shared" si="94"/>
        <v>0.0999999999999996</v>
      </c>
      <c r="U896" s="21" t="str">
        <f t="shared" si="95"/>
        <v>是</v>
      </c>
      <c r="V896" s="21">
        <f>VLOOKUP($C896,[4]Sheet1!$B:$AN,39,FALSE)</f>
        <v>16.22</v>
      </c>
      <c r="W896" s="21">
        <v>0</v>
      </c>
      <c r="X896" s="23">
        <v>4</v>
      </c>
      <c r="Y896" s="23">
        <v>4</v>
      </c>
      <c r="Z896" s="25">
        <f t="shared" si="96"/>
        <v>0</v>
      </c>
      <c r="AA896" s="25" t="str">
        <f t="shared" si="97"/>
        <v>是</v>
      </c>
      <c r="AB896" t="s">
        <v>148</v>
      </c>
      <c r="AC896" t="e">
        <f>VLOOKUP(C896,[1]Sheet1!$C:$O,13,FALSE)</f>
        <v>#N/A</v>
      </c>
      <c r="AD896" t="str">
        <f>VLOOKUP($H896,'[3]0509人员排班情况 副本'!$G:$U,12,FALSE)</f>
        <v>王安琪 (Anqi Wang),张朱同 Thomson（Zhutong Zhang）</v>
      </c>
      <c r="AE896" t="str">
        <f>VLOOKUP($H896,'[3]0509人员排班情况 副本'!$G:$U,13,FALSE)</f>
        <v>陈锦昭</v>
      </c>
      <c r="AF896" t="str">
        <f>VLOOKUP($H896,'[3]0509人员排班情况 副本'!$G:$U,14,FALSE)</f>
        <v>王兵 Allen (Bing Wang)</v>
      </c>
      <c r="AG896">
        <f>VLOOKUP($H896,'[3]0509人员排班情况 副本'!$G:$U,15,FALSE)</f>
        <v>0</v>
      </c>
    </row>
    <row r="897" customHeight="1" spans="1:33">
      <c r="A897" t="s">
        <v>202</v>
      </c>
      <c r="B897" t="s">
        <v>2669</v>
      </c>
      <c r="C897" t="s">
        <v>2670</v>
      </c>
      <c r="D897" t="s">
        <v>92</v>
      </c>
      <c r="E897" t="s">
        <v>93</v>
      </c>
      <c r="F897" t="s">
        <v>2208</v>
      </c>
      <c r="H897" t="str">
        <f t="shared" si="91"/>
        <v>TX 德州大区CT 中德州片区SAT01</v>
      </c>
      <c r="I897" t="s">
        <v>687</v>
      </c>
      <c r="J897" t="s">
        <v>437</v>
      </c>
      <c r="K897" s="15">
        <v>0.229166666666667</v>
      </c>
      <c r="L897" s="15" t="s">
        <v>438</v>
      </c>
      <c r="M897" s="15">
        <v>0.219444444444444</v>
      </c>
      <c r="N897" t="s">
        <v>1139</v>
      </c>
      <c r="O897" s="20" t="str">
        <f t="shared" si="92"/>
        <v>正确</v>
      </c>
      <c r="P897" s="21">
        <v>0</v>
      </c>
      <c r="Q897" s="21">
        <v>9.18</v>
      </c>
      <c r="R897" s="21">
        <v>0</v>
      </c>
      <c r="S897" s="21">
        <f t="shared" si="93"/>
        <v>9.18</v>
      </c>
      <c r="T897" s="21">
        <f t="shared" si="94"/>
        <v>1.18</v>
      </c>
      <c r="U897" s="21" t="str">
        <f t="shared" si="95"/>
        <v>是</v>
      </c>
      <c r="V897" s="21">
        <f>VLOOKUP($C897,[4]Sheet1!$B:$AN,39,FALSE)</f>
        <v>16.38</v>
      </c>
      <c r="W897" s="21">
        <v>0</v>
      </c>
      <c r="X897" s="23">
        <v>4</v>
      </c>
      <c r="Y897" s="23">
        <v>4</v>
      </c>
      <c r="Z897" s="25">
        <f t="shared" si="96"/>
        <v>0</v>
      </c>
      <c r="AA897" s="25" t="str">
        <f t="shared" si="97"/>
        <v>是</v>
      </c>
      <c r="AB897" t="s">
        <v>148</v>
      </c>
      <c r="AC897" t="e">
        <f>VLOOKUP(C897,[1]Sheet1!$C:$O,13,FALSE)</f>
        <v>#N/A</v>
      </c>
      <c r="AD897" t="str">
        <f>VLOOKUP($H897,'[3]0509人员排班情况 副本'!$G:$U,12,FALSE)</f>
        <v>肖芦莉Lily (Luli Xiao)</v>
      </c>
      <c r="AE897" t="str">
        <f>VLOOKUP($H897,'[3]0509人员排班情况 副本'!$G:$U,13,FALSE)</f>
        <v>张骥Ji Zhang (Ji Zhang)</v>
      </c>
      <c r="AF897" t="str">
        <f>VLOOKUP($H897,'[3]0509人员排班情况 副本'!$G:$U,14,FALSE)</f>
        <v>陈潇剑Echo(Xiaojian Chen)</v>
      </c>
      <c r="AG897">
        <f>VLOOKUP($H897,'[3]0509人员排班情况 副本'!$G:$U,15,FALSE)</f>
        <v>0</v>
      </c>
    </row>
    <row r="898" customHeight="1" spans="1:33">
      <c r="A898" t="s">
        <v>202</v>
      </c>
      <c r="B898" t="s">
        <v>2671</v>
      </c>
      <c r="C898" t="s">
        <v>2672</v>
      </c>
      <c r="D898" t="s">
        <v>31</v>
      </c>
      <c r="E898" t="s">
        <v>37</v>
      </c>
      <c r="F898" t="s">
        <v>148</v>
      </c>
      <c r="H898" t="str">
        <f t="shared" si="91"/>
        <v>GL 大湖大区IND01</v>
      </c>
      <c r="I898" t="s">
        <v>177</v>
      </c>
      <c r="J898" t="s">
        <v>437</v>
      </c>
      <c r="K898" s="15">
        <v>0.229166666666667</v>
      </c>
      <c r="L898" s="15" t="s">
        <v>438</v>
      </c>
      <c r="M898" s="15">
        <v>0.223611111111111</v>
      </c>
      <c r="N898" t="s">
        <v>2673</v>
      </c>
      <c r="O898" s="20" t="str">
        <f t="shared" si="92"/>
        <v>正确</v>
      </c>
      <c r="P898" s="21">
        <v>0</v>
      </c>
      <c r="Q898" s="21">
        <v>9.7</v>
      </c>
      <c r="R898" s="21">
        <v>0</v>
      </c>
      <c r="S898" s="21">
        <f t="shared" si="93"/>
        <v>9.7</v>
      </c>
      <c r="T898" s="21">
        <f t="shared" si="94"/>
        <v>1.7</v>
      </c>
      <c r="U898" s="21" t="str">
        <f t="shared" si="95"/>
        <v>是</v>
      </c>
      <c r="V898" s="21">
        <f>VLOOKUP($C898,[4]Sheet1!$B:$AN,39,FALSE)</f>
        <v>18.18</v>
      </c>
      <c r="W898" s="21">
        <v>0</v>
      </c>
      <c r="X898" s="23">
        <v>4</v>
      </c>
      <c r="Y898" s="23">
        <v>4</v>
      </c>
      <c r="Z898" s="25">
        <f t="shared" si="96"/>
        <v>0</v>
      </c>
      <c r="AA898" s="25" t="str">
        <f t="shared" si="97"/>
        <v>是</v>
      </c>
      <c r="AB898" t="s">
        <v>148</v>
      </c>
      <c r="AC898" t="e">
        <f>VLOOKUP(C898,[1]Sheet1!$C:$O,13,FALSE)</f>
        <v>#N/A</v>
      </c>
      <c r="AD898" t="str">
        <f>VLOOKUP($H898,'[3]0509人员排班情况 副本'!$G:$U,12,FALSE)</f>
        <v>王晓丹 Jasmine（Xiaodan Wang）,周延舒Isabel（Yanshu Zhou）</v>
      </c>
      <c r="AE898" t="str">
        <f>VLOOKUP($H898,'[3]0509人员排班情况 副本'!$G:$U,13,FALSE)</f>
        <v>张骥Ji Zhang (Ji Zhang)</v>
      </c>
      <c r="AF898">
        <f>VLOOKUP($H898,'[3]0509人员排班情况 副本'!$G:$U,14,FALSE)</f>
        <v>0</v>
      </c>
      <c r="AG898">
        <f>VLOOKUP($H898,'[3]0509人员排班情况 副本'!$G:$U,15,FALSE)</f>
        <v>0</v>
      </c>
    </row>
    <row r="899" customHeight="1" spans="1:33">
      <c r="A899" t="s">
        <v>202</v>
      </c>
      <c r="B899" t="s">
        <v>2674</v>
      </c>
      <c r="C899" t="s">
        <v>2675</v>
      </c>
      <c r="D899" t="s">
        <v>15</v>
      </c>
      <c r="E899" t="s">
        <v>20</v>
      </c>
      <c r="F899" t="s">
        <v>243</v>
      </c>
      <c r="G899" t="s">
        <v>112</v>
      </c>
      <c r="H899" t="str">
        <f t="shared" si="91"/>
        <v>FL 佛州大区MIA.H调度组</v>
      </c>
      <c r="I899" t="s">
        <v>160</v>
      </c>
      <c r="J899" t="s">
        <v>330</v>
      </c>
      <c r="K899" s="15">
        <v>0.625</v>
      </c>
      <c r="L899" s="15" t="s">
        <v>331</v>
      </c>
      <c r="M899" s="15">
        <v>0.634027777777778</v>
      </c>
      <c r="N899" t="s">
        <v>535</v>
      </c>
      <c r="O899" s="20" t="str">
        <f t="shared" si="92"/>
        <v>正确</v>
      </c>
      <c r="P899" s="21">
        <v>0</v>
      </c>
      <c r="Q899" s="21">
        <v>8.22</v>
      </c>
      <c r="R899" s="21">
        <v>0</v>
      </c>
      <c r="S899" s="21">
        <f t="shared" si="93"/>
        <v>8.22</v>
      </c>
      <c r="T899" s="21">
        <f t="shared" si="94"/>
        <v>0.220000000000001</v>
      </c>
      <c r="U899" s="21" t="str">
        <f t="shared" si="95"/>
        <v>是</v>
      </c>
      <c r="V899" s="21">
        <f>VLOOKUP($C899,[4]Sheet1!$B:$AN,39,FALSE)</f>
        <v>17</v>
      </c>
      <c r="W899" s="21">
        <v>0</v>
      </c>
      <c r="X899" s="23">
        <v>4</v>
      </c>
      <c r="Y899" s="23">
        <v>4</v>
      </c>
      <c r="Z899" s="25">
        <f t="shared" si="96"/>
        <v>0</v>
      </c>
      <c r="AA899" s="25" t="str">
        <f t="shared" si="97"/>
        <v>是</v>
      </c>
      <c r="AB899" t="s">
        <v>148</v>
      </c>
      <c r="AC899" t="e">
        <f>VLOOKUP(C899,[1]Sheet1!$C:$O,13,FALSE)</f>
        <v>#N/A</v>
      </c>
      <c r="AD899" t="str">
        <f>VLOOKUP($H899,'[3]0509人员排班情况 副本'!$G:$U,12,FALSE)</f>
        <v>Natalia (Natalia Padilla),孙婕 Jasmine（Sunjie）</v>
      </c>
      <c r="AE899" t="str">
        <f>VLOOKUP($H899,'[3]0509人员排班情况 副本'!$G:$U,13,FALSE)</f>
        <v>贺子强Jeff (Ziqiang He)</v>
      </c>
      <c r="AF899" t="str">
        <f>VLOOKUP($H899,'[3]0509人员排班情况 副本'!$G:$U,14,FALSE)</f>
        <v>Minqing (Minqing Xu),罗煜雄 Mike (Yuxiong Luo)</v>
      </c>
      <c r="AG899">
        <f>VLOOKUP($H899,'[3]0509人员排班情况 副本'!$G:$U,15,FALSE)</f>
        <v>0</v>
      </c>
    </row>
    <row r="900" customHeight="1" spans="1:33">
      <c r="A900" t="s">
        <v>202</v>
      </c>
      <c r="B900" t="s">
        <v>2676</v>
      </c>
      <c r="C900" t="s">
        <v>2677</v>
      </c>
      <c r="D900" t="s">
        <v>68</v>
      </c>
      <c r="E900" t="s">
        <v>45</v>
      </c>
      <c r="F900" t="s">
        <v>744</v>
      </c>
      <c r="H900" t="str">
        <f t="shared" ref="H900:H963" si="98">D900&amp;E900&amp;F900</f>
        <v>NE 东北大区揽收部揽收调度组</v>
      </c>
      <c r="I900" t="s">
        <v>608</v>
      </c>
      <c r="J900" t="s">
        <v>282</v>
      </c>
      <c r="K900" s="15">
        <v>0.416666666666667</v>
      </c>
      <c r="L900" s="15" t="s">
        <v>283</v>
      </c>
      <c r="M900" s="15"/>
      <c r="N900" t="s">
        <v>148</v>
      </c>
      <c r="O900" s="20" t="str">
        <f t="shared" ref="O900:O964" si="99">IFERROR(IF(ABS(M900-K900)&lt;=1/24,"正确","不正确"),"/")</f>
        <v>不正确</v>
      </c>
      <c r="P900" s="21">
        <v>0</v>
      </c>
      <c r="Q900" s="21">
        <v>0</v>
      </c>
      <c r="R900" s="21">
        <v>0</v>
      </c>
      <c r="S900" s="21">
        <f t="shared" ref="S900:S963" si="100">Q900+R900</f>
        <v>0</v>
      </c>
      <c r="T900" s="21">
        <f t="shared" ref="T900:T963" si="101">IF(S900-8&gt;0,S900-8,0)</f>
        <v>0</v>
      </c>
      <c r="U900" s="21" t="str">
        <f t="shared" ref="U900:U963" si="102">IF(T900=0,"否","是")</f>
        <v>否</v>
      </c>
      <c r="V900" s="21">
        <f>VLOOKUP($C900,[4]Sheet1!$B:$AN,39,FALSE)</f>
        <v>0</v>
      </c>
      <c r="W900" s="21">
        <v>0</v>
      </c>
      <c r="X900" s="23">
        <v>0</v>
      </c>
      <c r="Y900" s="23">
        <v>4</v>
      </c>
      <c r="Z900" s="25">
        <f t="shared" ref="Z900:Z963" si="103">IF(Y900-X900&gt;=0,Y900-X900,0)</f>
        <v>4</v>
      </c>
      <c r="AA900" s="25" t="str">
        <f t="shared" ref="AA900:AA963" si="104">IF(J900="","否","是")</f>
        <v>是</v>
      </c>
      <c r="AB900" t="s">
        <v>148</v>
      </c>
      <c r="AC900" t="e">
        <f>VLOOKUP(C900,[1]Sheet1!$C:$O,13,FALSE)</f>
        <v>#N/A</v>
      </c>
      <c r="AD900" t="str">
        <f>VLOOKUP($H900,'[3]0509人员排班情况 副本'!$G:$U,12,FALSE)</f>
        <v>孙可君Monica（Kejun Sun）</v>
      </c>
      <c r="AE900" t="str">
        <f>VLOOKUP($H900,'[3]0509人员排班情况 副本'!$G:$U,13,FALSE)</f>
        <v>马聪Cong (Cong Ma)</v>
      </c>
      <c r="AF900">
        <f>VLOOKUP($H900,'[3]0509人员排班情况 副本'!$G:$U,14,FALSE)</f>
        <v>0</v>
      </c>
      <c r="AG900">
        <f>VLOOKUP($H900,'[3]0509人员排班情况 副本'!$G:$U,15,FALSE)</f>
        <v>0</v>
      </c>
    </row>
    <row r="901" customHeight="1" spans="1:33">
      <c r="A901" t="s">
        <v>202</v>
      </c>
      <c r="B901" t="s">
        <v>2678</v>
      </c>
      <c r="C901" t="s">
        <v>2679</v>
      </c>
      <c r="D901" t="s">
        <v>8</v>
      </c>
      <c r="E901" t="s">
        <v>1207</v>
      </c>
      <c r="F901" t="s">
        <v>148</v>
      </c>
      <c r="H901" t="str">
        <f t="shared" si="98"/>
        <v>AD 行政部美东组</v>
      </c>
      <c r="I901" t="s">
        <v>1550</v>
      </c>
      <c r="J901" t="s">
        <v>295</v>
      </c>
      <c r="K901" s="15">
        <v>0.375</v>
      </c>
      <c r="L901" s="15" t="s">
        <v>296</v>
      </c>
      <c r="M901" s="15">
        <v>0.365972222222222</v>
      </c>
      <c r="N901" t="s">
        <v>300</v>
      </c>
      <c r="O901" s="20" t="str">
        <f t="shared" si="99"/>
        <v>正确</v>
      </c>
      <c r="P901" s="21">
        <v>0</v>
      </c>
      <c r="Q901" s="21">
        <v>7.7</v>
      </c>
      <c r="R901" s="21">
        <v>0</v>
      </c>
      <c r="S901" s="21">
        <f t="shared" si="100"/>
        <v>7.7</v>
      </c>
      <c r="T901" s="21">
        <f t="shared" si="101"/>
        <v>0</v>
      </c>
      <c r="U901" s="21" t="str">
        <f t="shared" si="102"/>
        <v>否</v>
      </c>
      <c r="V901" s="21">
        <f>VLOOKUP($C901,[4]Sheet1!$B:$AN,39,FALSE)</f>
        <v>7.7</v>
      </c>
      <c r="W901" s="21">
        <v>0</v>
      </c>
      <c r="X901" s="23">
        <v>2</v>
      </c>
      <c r="Y901" s="23">
        <v>4</v>
      </c>
      <c r="Z901" s="25">
        <f t="shared" si="103"/>
        <v>2</v>
      </c>
      <c r="AA901" s="25" t="str">
        <f t="shared" si="104"/>
        <v>是</v>
      </c>
      <c r="AB901" t="s">
        <v>148</v>
      </c>
      <c r="AC901" t="e">
        <f>VLOOKUP(C901,[1]Sheet1!$C:$O,13,FALSE)</f>
        <v>#N/A</v>
      </c>
      <c r="AD901" t="str">
        <f>VLOOKUP($H901,'[3]0509人员排班情况 副本'!$G:$U,12,FALSE)</f>
        <v>袁博闻(Bowen Yuan)</v>
      </c>
      <c r="AE901">
        <f>VLOOKUP($H901,'[3]0509人员排班情况 副本'!$G:$U,13,FALSE)</f>
        <v>0</v>
      </c>
      <c r="AF901">
        <f>VLOOKUP($H901,'[3]0509人员排班情况 副本'!$G:$U,14,FALSE)</f>
        <v>0</v>
      </c>
      <c r="AG901">
        <f>VLOOKUP($H901,'[3]0509人员排班情况 副本'!$G:$U,15,FALSE)</f>
        <v>0</v>
      </c>
    </row>
    <row r="902" customHeight="1" spans="1:33">
      <c r="A902" t="s">
        <v>202</v>
      </c>
      <c r="B902" t="s">
        <v>2680</v>
      </c>
      <c r="C902" t="s">
        <v>2681</v>
      </c>
      <c r="D902" t="s">
        <v>92</v>
      </c>
      <c r="E902" t="s">
        <v>45</v>
      </c>
      <c r="F902" t="s">
        <v>148</v>
      </c>
      <c r="H902" t="str">
        <f t="shared" si="98"/>
        <v>TX 德州大区揽收部</v>
      </c>
      <c r="I902" t="s">
        <v>928</v>
      </c>
      <c r="J902" t="s">
        <v>236</v>
      </c>
      <c r="K902" s="15">
        <v>0.395833333333333</v>
      </c>
      <c r="L902" s="15" t="s">
        <v>218</v>
      </c>
      <c r="M902" s="15">
        <v>0.413888888888889</v>
      </c>
      <c r="N902" t="s">
        <v>1048</v>
      </c>
      <c r="O902" s="20" t="str">
        <f t="shared" si="99"/>
        <v>正确</v>
      </c>
      <c r="P902" s="21">
        <v>0</v>
      </c>
      <c r="Q902" s="21">
        <v>8.45</v>
      </c>
      <c r="R902" s="21">
        <v>0</v>
      </c>
      <c r="S902" s="21">
        <f t="shared" si="100"/>
        <v>8.45</v>
      </c>
      <c r="T902" s="21">
        <f t="shared" si="101"/>
        <v>0.449999999999999</v>
      </c>
      <c r="U902" s="21" t="str">
        <f t="shared" si="102"/>
        <v>是</v>
      </c>
      <c r="V902" s="21">
        <f>VLOOKUP($C902,[4]Sheet1!$B:$AN,39,FALSE)</f>
        <v>16.5</v>
      </c>
      <c r="W902" s="21">
        <v>0</v>
      </c>
      <c r="X902" s="23">
        <v>2</v>
      </c>
      <c r="Y902" s="23">
        <v>4</v>
      </c>
      <c r="Z902" s="25">
        <f t="shared" si="103"/>
        <v>2</v>
      </c>
      <c r="AA902" s="25" t="str">
        <f t="shared" si="104"/>
        <v>是</v>
      </c>
      <c r="AB902" t="s">
        <v>148</v>
      </c>
      <c r="AC902" t="e">
        <f>VLOOKUP(C902,[1]Sheet1!$C:$O,13,FALSE)</f>
        <v>#N/A</v>
      </c>
      <c r="AD902" t="str">
        <f>VLOOKUP($H902,'[3]0509人员排班情况 副本'!$G:$U,12,FALSE)</f>
        <v>肖芦莉Lily (Luli Xiao)</v>
      </c>
      <c r="AE902" t="str">
        <f>VLOOKUP($H902,'[3]0509人员排班情况 副本'!$G:$U,13,FALSE)</f>
        <v>张骥Ji Zhang (Ji Zhang)</v>
      </c>
      <c r="AF902">
        <f>VLOOKUP($H902,'[3]0509人员排班情况 副本'!$G:$U,14,FALSE)</f>
        <v>0</v>
      </c>
      <c r="AG902">
        <f>VLOOKUP($H902,'[3]0509人员排班情况 副本'!$G:$U,15,FALSE)</f>
        <v>0</v>
      </c>
    </row>
    <row r="903" customHeight="1" spans="1:33">
      <c r="A903" t="s">
        <v>202</v>
      </c>
      <c r="B903" t="s">
        <v>2682</v>
      </c>
      <c r="C903" t="s">
        <v>2683</v>
      </c>
      <c r="D903" t="s">
        <v>68</v>
      </c>
      <c r="E903" t="s">
        <v>78</v>
      </c>
      <c r="F903" t="s">
        <v>148</v>
      </c>
      <c r="G903" t="s">
        <v>112</v>
      </c>
      <c r="H903" t="str">
        <f t="shared" si="98"/>
        <v>NE 东北大区JFK.H</v>
      </c>
      <c r="I903" t="s">
        <v>654</v>
      </c>
      <c r="J903" t="s">
        <v>295</v>
      </c>
      <c r="K903" s="15">
        <v>0.375</v>
      </c>
      <c r="L903" s="15" t="s">
        <v>296</v>
      </c>
      <c r="M903" s="15">
        <v>0.38125</v>
      </c>
      <c r="N903" t="s">
        <v>2684</v>
      </c>
      <c r="O903" s="20" t="str">
        <f t="shared" si="99"/>
        <v>正确</v>
      </c>
      <c r="P903" s="21">
        <v>0</v>
      </c>
      <c r="Q903" s="21">
        <v>13.23</v>
      </c>
      <c r="R903" s="21">
        <v>0</v>
      </c>
      <c r="S903" s="21">
        <f t="shared" si="100"/>
        <v>13.23</v>
      </c>
      <c r="T903" s="21">
        <f t="shared" si="101"/>
        <v>5.23</v>
      </c>
      <c r="U903" s="21" t="str">
        <f t="shared" si="102"/>
        <v>是</v>
      </c>
      <c r="V903" s="21">
        <f>VLOOKUP($C903,[4]Sheet1!$B:$AN,39,FALSE)</f>
        <v>13.23</v>
      </c>
      <c r="W903" s="21">
        <v>0</v>
      </c>
      <c r="X903" s="23">
        <v>2</v>
      </c>
      <c r="Y903" s="23">
        <v>4</v>
      </c>
      <c r="Z903" s="25">
        <f t="shared" si="103"/>
        <v>2</v>
      </c>
      <c r="AA903" s="25" t="str">
        <f t="shared" si="104"/>
        <v>是</v>
      </c>
      <c r="AB903" t="s">
        <v>148</v>
      </c>
      <c r="AC903" t="e">
        <f>VLOOKUP(C903,[1]Sheet1!$C:$O,13,FALSE)</f>
        <v>#N/A</v>
      </c>
      <c r="AD903" t="str">
        <f>VLOOKUP($H903,'[3]0509人员排班情况 副本'!$G:$U,12,FALSE)</f>
        <v>孙可君Monica（Kejun Sun）</v>
      </c>
      <c r="AE903" t="str">
        <f>VLOOKUP($H903,'[3]0509人员排班情况 副本'!$G:$U,13,FALSE)</f>
        <v>马聪Cong (Cong Ma)</v>
      </c>
      <c r="AF903">
        <f>VLOOKUP($H903,'[3]0509人员排班情况 副本'!$G:$U,14,FALSE)</f>
        <v>0</v>
      </c>
      <c r="AG903">
        <f>VLOOKUP($H903,'[3]0509人员排班情况 副本'!$G:$U,15,FALSE)</f>
        <v>0</v>
      </c>
    </row>
    <row r="904" customHeight="1" spans="1:33">
      <c r="A904" t="s">
        <v>202</v>
      </c>
      <c r="B904" t="s">
        <v>2685</v>
      </c>
      <c r="C904" t="s">
        <v>2686</v>
      </c>
      <c r="D904" t="s">
        <v>68</v>
      </c>
      <c r="E904" t="s">
        <v>76</v>
      </c>
      <c r="F904" t="s">
        <v>148</v>
      </c>
      <c r="G904" t="s">
        <v>112</v>
      </c>
      <c r="H904" t="str">
        <f t="shared" si="98"/>
        <v>NE 东北大区EWR.H</v>
      </c>
      <c r="I904" t="s">
        <v>654</v>
      </c>
      <c r="J904" t="s">
        <v>295</v>
      </c>
      <c r="K904" s="15">
        <v>0.375</v>
      </c>
      <c r="L904" s="15" t="s">
        <v>296</v>
      </c>
      <c r="M904" s="15">
        <v>0.383333333333333</v>
      </c>
      <c r="N904" t="s">
        <v>2687</v>
      </c>
      <c r="O904" s="20" t="str">
        <f t="shared" si="99"/>
        <v>正确</v>
      </c>
      <c r="P904" s="21">
        <v>0</v>
      </c>
      <c r="Q904" s="21">
        <v>11.78</v>
      </c>
      <c r="R904" s="21">
        <v>0</v>
      </c>
      <c r="S904" s="21">
        <f t="shared" si="100"/>
        <v>11.78</v>
      </c>
      <c r="T904" s="21">
        <f t="shared" si="101"/>
        <v>3.78</v>
      </c>
      <c r="U904" s="21" t="str">
        <f t="shared" si="102"/>
        <v>是</v>
      </c>
      <c r="V904" s="21">
        <f>VLOOKUP($C904,[4]Sheet1!$B:$AN,39,FALSE)</f>
        <v>21.38</v>
      </c>
      <c r="W904" s="21">
        <v>0</v>
      </c>
      <c r="X904" s="23">
        <v>2</v>
      </c>
      <c r="Y904" s="23">
        <v>4</v>
      </c>
      <c r="Z904" s="25">
        <f t="shared" si="103"/>
        <v>2</v>
      </c>
      <c r="AA904" s="25" t="str">
        <f t="shared" si="104"/>
        <v>是</v>
      </c>
      <c r="AB904" t="s">
        <v>148</v>
      </c>
      <c r="AC904" t="e">
        <f>VLOOKUP(C904,[1]Sheet1!$C:$O,13,FALSE)</f>
        <v>#N/A</v>
      </c>
      <c r="AD904" t="str">
        <f>VLOOKUP($H904,'[3]0509人员排班情况 副本'!$G:$U,12,FALSE)</f>
        <v>孙可君Monica（Kejun Sun）</v>
      </c>
      <c r="AE904" t="str">
        <f>VLOOKUP($H904,'[3]0509人员排班情况 副本'!$G:$U,13,FALSE)</f>
        <v>马聪Cong (Cong Ma)</v>
      </c>
      <c r="AF904">
        <f>VLOOKUP($H904,'[3]0509人员排班情况 副本'!$G:$U,14,FALSE)</f>
        <v>0</v>
      </c>
      <c r="AG904">
        <f>VLOOKUP($H904,'[3]0509人员排班情况 副本'!$G:$U,15,FALSE)</f>
        <v>0</v>
      </c>
    </row>
    <row r="905" customHeight="1" spans="1:33">
      <c r="A905" t="s">
        <v>202</v>
      </c>
      <c r="B905" t="s">
        <v>2688</v>
      </c>
      <c r="C905" t="s">
        <v>2689</v>
      </c>
      <c r="D905" t="s">
        <v>31</v>
      </c>
      <c r="E905" t="s">
        <v>36</v>
      </c>
      <c r="F905" t="s">
        <v>2246</v>
      </c>
      <c r="H905" t="str">
        <f t="shared" si="98"/>
        <v>GL 大湖大区EG 东大湖片区DTW01</v>
      </c>
      <c r="I905" t="s">
        <v>177</v>
      </c>
      <c r="J905" t="s">
        <v>221</v>
      </c>
      <c r="K905" s="15">
        <v>0.208333333333333</v>
      </c>
      <c r="L905" s="15" t="s">
        <v>222</v>
      </c>
      <c r="M905" s="15"/>
      <c r="N905" t="s">
        <v>2690</v>
      </c>
      <c r="O905" s="20" t="str">
        <f t="shared" si="99"/>
        <v>不正确</v>
      </c>
      <c r="P905" s="21">
        <v>0</v>
      </c>
      <c r="Q905" s="21">
        <v>0</v>
      </c>
      <c r="R905" s="21">
        <v>0</v>
      </c>
      <c r="S905" s="21">
        <f t="shared" si="100"/>
        <v>0</v>
      </c>
      <c r="T905" s="21">
        <f t="shared" si="101"/>
        <v>0</v>
      </c>
      <c r="U905" s="21" t="str">
        <f t="shared" si="102"/>
        <v>否</v>
      </c>
      <c r="V905" s="21">
        <f>VLOOKUP($C905,[4]Sheet1!$B:$AN,39,FALSE)</f>
        <v>0</v>
      </c>
      <c r="W905" s="21">
        <v>0</v>
      </c>
      <c r="X905" s="23">
        <v>1</v>
      </c>
      <c r="Y905" s="23">
        <v>4</v>
      </c>
      <c r="Z905" s="25">
        <f t="shared" si="103"/>
        <v>3</v>
      </c>
      <c r="AA905" s="25" t="str">
        <f t="shared" si="104"/>
        <v>是</v>
      </c>
      <c r="AB905" t="s">
        <v>148</v>
      </c>
      <c r="AC905" t="e">
        <f>VLOOKUP(C905,[1]Sheet1!$C:$O,13,FALSE)</f>
        <v>#N/A</v>
      </c>
      <c r="AD905" t="str">
        <f>VLOOKUP($H905,'[3]0509人员排班情况 副本'!$G:$U,12,FALSE)</f>
        <v>王晓丹 Jasmine（Xiaodan Wang）,周延舒Isabel（Yanshu Zhou）</v>
      </c>
      <c r="AE905" t="str">
        <f>VLOOKUP($H905,'[3]0509人员排班情况 副本'!$G:$U,13,FALSE)</f>
        <v>张骥Ji Zhang (Ji Zhang)</v>
      </c>
      <c r="AF905" t="str">
        <f>VLOOKUP($H905,'[3]0509人员排班情况 副本'!$G:$U,14,FALSE)</f>
        <v>肖泓杰 Leo （hongjie Xiao）,尚青蓓 Suki （Qingbei Shang）</v>
      </c>
      <c r="AG905">
        <f>VLOOKUP($H905,'[3]0509人员排班情况 副本'!$G:$U,15,FALSE)</f>
        <v>0</v>
      </c>
    </row>
    <row r="906" customHeight="1" spans="1:33">
      <c r="A906" t="s">
        <v>202</v>
      </c>
      <c r="B906" t="s">
        <v>2691</v>
      </c>
      <c r="C906" t="s">
        <v>2692</v>
      </c>
      <c r="D906" t="s">
        <v>31</v>
      </c>
      <c r="E906" t="s">
        <v>40</v>
      </c>
      <c r="F906" t="s">
        <v>886</v>
      </c>
      <c r="H906" t="str">
        <f t="shared" si="98"/>
        <v>GL 大湖大区NM 中西部北片区OMA01</v>
      </c>
      <c r="I906" t="s">
        <v>177</v>
      </c>
      <c r="J906" t="s">
        <v>217</v>
      </c>
      <c r="K906" s="15">
        <v>0.395833333333333</v>
      </c>
      <c r="L906" s="15" t="s">
        <v>218</v>
      </c>
      <c r="M906" s="15"/>
      <c r="N906" t="s">
        <v>148</v>
      </c>
      <c r="O906" s="20" t="s">
        <v>116</v>
      </c>
      <c r="P906" s="21">
        <v>0</v>
      </c>
      <c r="Q906" s="21">
        <v>0</v>
      </c>
      <c r="R906" s="21">
        <v>0</v>
      </c>
      <c r="S906" s="21">
        <f t="shared" si="100"/>
        <v>0</v>
      </c>
      <c r="T906" s="21">
        <f t="shared" si="101"/>
        <v>0</v>
      </c>
      <c r="U906" s="21" t="str">
        <f t="shared" si="102"/>
        <v>否</v>
      </c>
      <c r="V906" s="21">
        <f>VLOOKUP($C906,[4]Sheet1!$B:$AN,39,FALSE)</f>
        <v>0</v>
      </c>
      <c r="W906" s="21">
        <v>0</v>
      </c>
      <c r="X906" s="23">
        <v>0</v>
      </c>
      <c r="Y906" s="23">
        <v>0</v>
      </c>
      <c r="Z906" s="25">
        <f t="shared" si="103"/>
        <v>0</v>
      </c>
      <c r="AA906" s="25" t="str">
        <f t="shared" si="104"/>
        <v>是</v>
      </c>
      <c r="AB906" t="s">
        <v>148</v>
      </c>
      <c r="AC906" t="e">
        <f>VLOOKUP(C906,[1]Sheet1!$C:$O,13,FALSE)</f>
        <v>#N/A</v>
      </c>
      <c r="AD906" t="str">
        <f>VLOOKUP($H906,'[3]0509人员排班情况 副本'!$G:$U,12,FALSE)</f>
        <v>王晓丹 Jasmine（Xiaodan Wang）,周延舒Isabel（Yanshu Zhou）</v>
      </c>
      <c r="AE906" t="str">
        <f>VLOOKUP($H906,'[3]0509人员排班情况 副本'!$G:$U,13,FALSE)</f>
        <v>张骥Ji Zhang (Ji Zhang)</v>
      </c>
      <c r="AF906">
        <f>VLOOKUP($H906,'[3]0509人员排班情况 副本'!$G:$U,14,FALSE)</f>
        <v>0</v>
      </c>
      <c r="AG906">
        <f>VLOOKUP($H906,'[3]0509人员排班情况 副本'!$G:$U,15,FALSE)</f>
        <v>0</v>
      </c>
    </row>
    <row r="907" customHeight="1" spans="1:33">
      <c r="A907" t="s">
        <v>202</v>
      </c>
      <c r="B907" t="s">
        <v>2693</v>
      </c>
      <c r="C907" t="s">
        <v>2694</v>
      </c>
      <c r="D907" t="s">
        <v>68</v>
      </c>
      <c r="E907" t="s">
        <v>75</v>
      </c>
      <c r="F907" t="s">
        <v>722</v>
      </c>
      <c r="H907" t="str">
        <f t="shared" si="98"/>
        <v>NE 东北大区DC 华盛顿片区DCA01</v>
      </c>
      <c r="I907" t="s">
        <v>177</v>
      </c>
      <c r="J907" t="s">
        <v>746</v>
      </c>
      <c r="K907" s="15">
        <v>0.4375</v>
      </c>
      <c r="L907" s="15" t="s">
        <v>491</v>
      </c>
      <c r="M907" s="15">
        <v>0.432638888888889</v>
      </c>
      <c r="N907" t="s">
        <v>491</v>
      </c>
      <c r="O907" s="20" t="str">
        <f t="shared" si="99"/>
        <v>正确</v>
      </c>
      <c r="P907" s="21">
        <v>0</v>
      </c>
      <c r="Q907" s="21">
        <v>8.12</v>
      </c>
      <c r="R907" s="21">
        <v>0</v>
      </c>
      <c r="S907" s="21">
        <f t="shared" si="100"/>
        <v>8.12</v>
      </c>
      <c r="T907" s="21">
        <f t="shared" si="101"/>
        <v>0.119999999999999</v>
      </c>
      <c r="U907" s="21" t="str">
        <f t="shared" si="102"/>
        <v>是</v>
      </c>
      <c r="V907" s="21">
        <f>VLOOKUP($C907,[4]Sheet1!$B:$AN,39,FALSE)</f>
        <v>8.12</v>
      </c>
      <c r="W907" s="21">
        <v>0</v>
      </c>
      <c r="X907" s="23">
        <v>4</v>
      </c>
      <c r="Y907" s="23">
        <v>4</v>
      </c>
      <c r="Z907" s="25">
        <f t="shared" si="103"/>
        <v>0</v>
      </c>
      <c r="AA907" s="25" t="str">
        <f t="shared" si="104"/>
        <v>是</v>
      </c>
      <c r="AB907" t="s">
        <v>148</v>
      </c>
      <c r="AC907" t="e">
        <f>VLOOKUP(C907,[1]Sheet1!$C:$O,13,FALSE)</f>
        <v>#N/A</v>
      </c>
      <c r="AD907" t="str">
        <f>VLOOKUP($H907,'[3]0509人员排班情况 副本'!$G:$U,12,FALSE)</f>
        <v>孙可君Monica（Kejun Sun）</v>
      </c>
      <c r="AE907" t="str">
        <f>VLOOKUP($H907,'[3]0509人员排班情况 副本'!$G:$U,13,FALSE)</f>
        <v>马聪Cong (Cong Ma)</v>
      </c>
      <c r="AF907" t="str">
        <f>VLOOKUP($H907,'[3]0509人员排班情况 副本'!$G:$U,14,FALSE)</f>
        <v>朱晗宇 Peter (Hanyu Zhu)</v>
      </c>
      <c r="AG907">
        <f>VLOOKUP($H907,'[3]0509人员排班情况 副本'!$G:$U,15,FALSE)</f>
        <v>0</v>
      </c>
    </row>
    <row r="908" customHeight="1" spans="1:33">
      <c r="A908" t="s">
        <v>202</v>
      </c>
      <c r="B908" t="s">
        <v>2695</v>
      </c>
      <c r="C908" t="s">
        <v>2696</v>
      </c>
      <c r="D908" t="s">
        <v>68</v>
      </c>
      <c r="E908" t="s">
        <v>70</v>
      </c>
      <c r="F908" t="s">
        <v>2560</v>
      </c>
      <c r="H908" t="str">
        <f t="shared" si="98"/>
        <v>NE 东北大区BN 布法罗片区ROC01</v>
      </c>
      <c r="I908" t="s">
        <v>177</v>
      </c>
      <c r="J908" t="s">
        <v>343</v>
      </c>
      <c r="K908" s="15">
        <v>0.25</v>
      </c>
      <c r="L908" s="15" t="s">
        <v>344</v>
      </c>
      <c r="M908" s="15"/>
      <c r="N908" t="s">
        <v>148</v>
      </c>
      <c r="O908" s="20" t="str">
        <f t="shared" si="99"/>
        <v>不正确</v>
      </c>
      <c r="P908" s="21">
        <v>0</v>
      </c>
      <c r="Q908" s="21">
        <v>0</v>
      </c>
      <c r="R908" s="21">
        <v>0</v>
      </c>
      <c r="S908" s="21">
        <f t="shared" si="100"/>
        <v>0</v>
      </c>
      <c r="T908" s="21">
        <f t="shared" si="101"/>
        <v>0</v>
      </c>
      <c r="U908" s="21" t="str">
        <f t="shared" si="102"/>
        <v>否</v>
      </c>
      <c r="V908" s="21">
        <f>VLOOKUP($C908,[4]Sheet1!$B:$AN,39,FALSE)</f>
        <v>0</v>
      </c>
      <c r="W908" s="21">
        <v>0</v>
      </c>
      <c r="X908" s="23">
        <v>0</v>
      </c>
      <c r="Y908" s="23">
        <v>4</v>
      </c>
      <c r="Z908" s="25">
        <f t="shared" si="103"/>
        <v>4</v>
      </c>
      <c r="AA908" s="25" t="str">
        <f t="shared" si="104"/>
        <v>是</v>
      </c>
      <c r="AB908" t="s">
        <v>148</v>
      </c>
      <c r="AC908" t="e">
        <f>VLOOKUP(C908,[1]Sheet1!$C:$O,13,FALSE)</f>
        <v>#N/A</v>
      </c>
      <c r="AD908" t="str">
        <f>VLOOKUP($H908,'[3]0509人员排班情况 副本'!$G:$U,12,FALSE)</f>
        <v>孙可君Monica（Kejun Sun）</v>
      </c>
      <c r="AE908" t="str">
        <f>VLOOKUP($H908,'[3]0509人员排班情况 副本'!$G:$U,13,FALSE)</f>
        <v>马聪Cong (Cong Ma)</v>
      </c>
      <c r="AF908" t="str">
        <f>VLOOKUP($H908,'[3]0509人员排班情况 副本'!$G:$U,14,FALSE)</f>
        <v>朱晗宇 Peter (Hanyu Zhu)</v>
      </c>
      <c r="AG908">
        <f>VLOOKUP($H908,'[3]0509人员排班情况 副本'!$G:$U,15,FALSE)</f>
        <v>0</v>
      </c>
    </row>
    <row r="909" customHeight="1" spans="1:33">
      <c r="A909" t="s">
        <v>202</v>
      </c>
      <c r="B909" t="s">
        <v>2697</v>
      </c>
      <c r="C909" t="s">
        <v>2698</v>
      </c>
      <c r="D909" t="s">
        <v>92</v>
      </c>
      <c r="E909" t="s">
        <v>93</v>
      </c>
      <c r="F909" t="s">
        <v>2699</v>
      </c>
      <c r="H909" t="str">
        <f t="shared" si="98"/>
        <v>TX 德州大区CT 中德州片区MEM01</v>
      </c>
      <c r="I909" t="s">
        <v>687</v>
      </c>
      <c r="J909" t="s">
        <v>343</v>
      </c>
      <c r="K909" s="15">
        <v>0.25</v>
      </c>
      <c r="L909" s="15" t="s">
        <v>344</v>
      </c>
      <c r="M909" s="15">
        <v>0.25</v>
      </c>
      <c r="N909" t="s">
        <v>148</v>
      </c>
      <c r="O909" s="20" t="str">
        <f t="shared" si="99"/>
        <v>正确</v>
      </c>
      <c r="P909" s="21">
        <v>0</v>
      </c>
      <c r="Q909" s="21">
        <v>0</v>
      </c>
      <c r="R909" s="21">
        <v>0</v>
      </c>
      <c r="S909" s="21">
        <f t="shared" si="100"/>
        <v>0</v>
      </c>
      <c r="T909" s="21">
        <f t="shared" si="101"/>
        <v>0</v>
      </c>
      <c r="U909" s="21" t="str">
        <f t="shared" si="102"/>
        <v>否</v>
      </c>
      <c r="V909" s="21">
        <f>VLOOKUP($C909,[4]Sheet1!$B:$AN,39,FALSE)</f>
        <v>7.75</v>
      </c>
      <c r="W909" s="21">
        <v>0</v>
      </c>
      <c r="X909" s="23">
        <v>1</v>
      </c>
      <c r="Y909" s="23">
        <v>4</v>
      </c>
      <c r="Z909" s="25">
        <f t="shared" si="103"/>
        <v>3</v>
      </c>
      <c r="AA909" s="25" t="str">
        <f t="shared" si="104"/>
        <v>是</v>
      </c>
      <c r="AB909" t="s">
        <v>148</v>
      </c>
      <c r="AC909" t="e">
        <f>VLOOKUP(C909,[1]Sheet1!$C:$O,13,FALSE)</f>
        <v>#N/A</v>
      </c>
      <c r="AD909" t="str">
        <f>VLOOKUP($H909,'[3]0509人员排班情况 副本'!$G:$U,12,FALSE)</f>
        <v>肖芦莉Lily (Luli Xiao)</v>
      </c>
      <c r="AE909" t="str">
        <f>VLOOKUP($H909,'[3]0509人员排班情况 副本'!$G:$U,13,FALSE)</f>
        <v>张骥Ji Zhang (Ji Zhang)</v>
      </c>
      <c r="AF909" t="str">
        <f>VLOOKUP($H909,'[3]0509人员排班情况 副本'!$G:$U,14,FALSE)</f>
        <v>马铭 Ming (Ming Ma)</v>
      </c>
      <c r="AG909">
        <f>VLOOKUP($H909,'[3]0509人员排班情况 副本'!$G:$U,15,FALSE)</f>
        <v>0</v>
      </c>
    </row>
    <row r="910" customHeight="1" spans="1:33">
      <c r="A910" t="s">
        <v>202</v>
      </c>
      <c r="B910" t="s">
        <v>2700</v>
      </c>
      <c r="C910" t="s">
        <v>2701</v>
      </c>
      <c r="D910" t="s">
        <v>31</v>
      </c>
      <c r="E910" t="s">
        <v>41</v>
      </c>
      <c r="F910" t="s">
        <v>243</v>
      </c>
      <c r="G910" t="s">
        <v>112</v>
      </c>
      <c r="H910" t="str">
        <f t="shared" si="98"/>
        <v>GL 大湖大区ORD.H调度组</v>
      </c>
      <c r="I910" t="s">
        <v>244</v>
      </c>
      <c r="J910" t="s">
        <v>655</v>
      </c>
      <c r="K910" s="15">
        <v>0.583333333333333</v>
      </c>
      <c r="L910" s="15" t="s">
        <v>656</v>
      </c>
      <c r="M910" s="15"/>
      <c r="N910" t="s">
        <v>2702</v>
      </c>
      <c r="O910" s="20" t="str">
        <f t="shared" si="99"/>
        <v>不正确</v>
      </c>
      <c r="P910" s="21">
        <v>0</v>
      </c>
      <c r="Q910" s="21">
        <v>0</v>
      </c>
      <c r="R910" s="21">
        <v>0</v>
      </c>
      <c r="S910" s="21">
        <f t="shared" si="100"/>
        <v>0</v>
      </c>
      <c r="T910" s="21">
        <f t="shared" si="101"/>
        <v>0</v>
      </c>
      <c r="U910" s="21" t="str">
        <f t="shared" si="102"/>
        <v>否</v>
      </c>
      <c r="V910" s="21">
        <f>VLOOKUP($C910,[4]Sheet1!$B:$AN,39,FALSE)</f>
        <v>10.1</v>
      </c>
      <c r="W910" s="21">
        <v>0</v>
      </c>
      <c r="X910" s="23">
        <v>3</v>
      </c>
      <c r="Y910" s="23">
        <v>4</v>
      </c>
      <c r="Z910" s="25">
        <f t="shared" si="103"/>
        <v>1</v>
      </c>
      <c r="AA910" s="25" t="str">
        <f t="shared" si="104"/>
        <v>是</v>
      </c>
      <c r="AB910" t="s">
        <v>148</v>
      </c>
      <c r="AC910" t="e">
        <f>VLOOKUP(C910,[1]Sheet1!$C:$O,13,FALSE)</f>
        <v>#N/A</v>
      </c>
      <c r="AD910" t="str">
        <f>VLOOKUP($H910,'[3]0509人员排班情况 副本'!$G:$U,12,FALSE)</f>
        <v>王晓丹 Jasmine（Xiaodan Wang）,周延舒Isabel（Yanshu Zhou）</v>
      </c>
      <c r="AE910" t="str">
        <f>VLOOKUP($H910,'[3]0509人员排班情况 副本'!$G:$U,13,FALSE)</f>
        <v>张骥Ji Zhang (Ji Zhang)</v>
      </c>
      <c r="AF910" t="str">
        <f>VLOOKUP($H910,'[3]0509人员排班情况 副本'!$G:$U,14,FALSE)</f>
        <v>Minqing (Minqing Xu),罗煜雄 Mike (Yuxiong Luo)</v>
      </c>
      <c r="AG910">
        <f>VLOOKUP($H910,'[3]0509人员排班情况 副本'!$G:$U,15,FALSE)</f>
        <v>0</v>
      </c>
    </row>
    <row r="911" customHeight="1" spans="1:33">
      <c r="A911" t="s">
        <v>202</v>
      </c>
      <c r="B911" t="s">
        <v>2703</v>
      </c>
      <c r="C911" t="s">
        <v>2704</v>
      </c>
      <c r="D911" t="s">
        <v>92</v>
      </c>
      <c r="E911" t="s">
        <v>29</v>
      </c>
      <c r="F911" t="s">
        <v>200</v>
      </c>
      <c r="H911" t="str">
        <f t="shared" si="98"/>
        <v>TX 德州大区运营支持部区域支持组</v>
      </c>
      <c r="I911" t="s">
        <v>201</v>
      </c>
      <c r="J911" t="s">
        <v>295</v>
      </c>
      <c r="K911" s="15">
        <v>0.375</v>
      </c>
      <c r="L911" s="15" t="s">
        <v>296</v>
      </c>
      <c r="M911" s="15">
        <v>0.380555555555556</v>
      </c>
      <c r="N911" t="s">
        <v>2705</v>
      </c>
      <c r="O911" s="20" t="str">
        <f t="shared" si="99"/>
        <v>正确</v>
      </c>
      <c r="P911" s="21">
        <v>0</v>
      </c>
      <c r="Q911" s="21">
        <v>8.43</v>
      </c>
      <c r="R911" s="21">
        <v>0</v>
      </c>
      <c r="S911" s="21">
        <f t="shared" si="100"/>
        <v>8.43</v>
      </c>
      <c r="T911" s="21">
        <f t="shared" si="101"/>
        <v>0.43</v>
      </c>
      <c r="U911" s="21" t="str">
        <f t="shared" si="102"/>
        <v>是</v>
      </c>
      <c r="V911" s="21">
        <f>VLOOKUP($C911,[4]Sheet1!$B:$AN,39,FALSE)</f>
        <v>8.43</v>
      </c>
      <c r="W911" s="21">
        <v>0</v>
      </c>
      <c r="X911" s="23">
        <v>4</v>
      </c>
      <c r="Y911" s="23">
        <v>4</v>
      </c>
      <c r="Z911" s="25">
        <f t="shared" si="103"/>
        <v>0</v>
      </c>
      <c r="AA911" s="25" t="str">
        <f t="shared" si="104"/>
        <v>是</v>
      </c>
      <c r="AB911" t="s">
        <v>148</v>
      </c>
      <c r="AC911" t="e">
        <f>VLOOKUP(C911,[1]Sheet1!$C:$O,13,FALSE)</f>
        <v>#N/A</v>
      </c>
      <c r="AD911" t="str">
        <f>VLOOKUP($H911,'[3]0509人员排班情况 副本'!$G:$U,12,FALSE)</f>
        <v>肖芦莉Lily (Luli Xiao)</v>
      </c>
      <c r="AE911" t="str">
        <f>VLOOKUP($H911,'[3]0509人员排班情况 副本'!$G:$U,13,FALSE)</f>
        <v>张骥Ji Zhang (Ji Zhang)</v>
      </c>
      <c r="AF911">
        <f>VLOOKUP($H911,'[3]0509人员排班情况 副本'!$G:$U,14,FALSE)</f>
        <v>0</v>
      </c>
      <c r="AG911">
        <f>VLOOKUP($H911,'[3]0509人员排班情况 副本'!$G:$U,15,FALSE)</f>
        <v>0</v>
      </c>
    </row>
    <row r="912" customHeight="1" spans="1:33">
      <c r="A912" t="s">
        <v>202</v>
      </c>
      <c r="B912" t="s">
        <v>2706</v>
      </c>
      <c r="C912" t="s">
        <v>2707</v>
      </c>
      <c r="D912" t="s">
        <v>15</v>
      </c>
      <c r="E912" t="s">
        <v>19</v>
      </c>
      <c r="F912" t="s">
        <v>23</v>
      </c>
      <c r="H912" t="str">
        <f t="shared" si="98"/>
        <v>FL 佛州大区MF 中佛片区OCF01</v>
      </c>
      <c r="I912" t="s">
        <v>177</v>
      </c>
      <c r="J912" t="s">
        <v>217</v>
      </c>
      <c r="K912" s="15">
        <v>0.395833333333333</v>
      </c>
      <c r="L912" s="15" t="s">
        <v>218</v>
      </c>
      <c r="M912" s="15">
        <v>0.627083333333333</v>
      </c>
      <c r="N912" t="s">
        <v>148</v>
      </c>
      <c r="O912" s="20" t="str">
        <f t="shared" si="99"/>
        <v>不正确</v>
      </c>
      <c r="P912" s="21">
        <v>0</v>
      </c>
      <c r="Q912" s="21">
        <v>0</v>
      </c>
      <c r="R912" s="21">
        <v>0</v>
      </c>
      <c r="S912" s="21">
        <f t="shared" si="100"/>
        <v>0</v>
      </c>
      <c r="T912" s="21">
        <f t="shared" si="101"/>
        <v>0</v>
      </c>
      <c r="U912" s="21" t="str">
        <f t="shared" si="102"/>
        <v>否</v>
      </c>
      <c r="V912" s="21">
        <f>VLOOKUP($C912,[4]Sheet1!$B:$AN,39,FALSE)</f>
        <v>8.57</v>
      </c>
      <c r="W912" s="21">
        <v>0</v>
      </c>
      <c r="X912" s="23">
        <v>1</v>
      </c>
      <c r="Y912" s="23">
        <v>0</v>
      </c>
      <c r="Z912" s="25">
        <f t="shared" si="103"/>
        <v>0</v>
      </c>
      <c r="AA912" s="25" t="str">
        <f t="shared" si="104"/>
        <v>是</v>
      </c>
      <c r="AB912" t="s">
        <v>148</v>
      </c>
      <c r="AC912" t="e">
        <f>VLOOKUP(C912,[1]Sheet1!$C:$O,13,FALSE)</f>
        <v>#N/A</v>
      </c>
      <c r="AD912" t="str">
        <f>VLOOKUP($H912,'[3]0509人员排班情况 副本'!$G:$U,12,FALSE)</f>
        <v>Natalia (Natalia Padilla),孙婕 Jasmine（Sunjie）</v>
      </c>
      <c r="AE912" t="str">
        <f>VLOOKUP($H912,'[3]0509人员排班情况 副本'!$G:$U,13,FALSE)</f>
        <v>贺子强Jeff (Ziqiang He)</v>
      </c>
      <c r="AF912" t="str">
        <f>VLOOKUP($H912,'[3]0509人员排班情况 副本'!$G:$U,14,FALSE)</f>
        <v>朱家仡Andrew (Jiayi Zhu)</v>
      </c>
      <c r="AG912">
        <f>VLOOKUP($H912,'[3]0509人员排班情况 副本'!$G:$U,15,FALSE)</f>
        <v>0</v>
      </c>
    </row>
    <row r="913" customHeight="1" spans="1:33">
      <c r="A913" t="s">
        <v>202</v>
      </c>
      <c r="B913" t="s">
        <v>2708</v>
      </c>
      <c r="C913" t="s">
        <v>2709</v>
      </c>
      <c r="D913" t="s">
        <v>68</v>
      </c>
      <c r="E913" t="s">
        <v>76</v>
      </c>
      <c r="F913" t="s">
        <v>166</v>
      </c>
      <c r="G913" t="s">
        <v>112</v>
      </c>
      <c r="H913" t="str">
        <f t="shared" si="98"/>
        <v>NE 东北大区EWR.H综办组</v>
      </c>
      <c r="I913" t="s">
        <v>1284</v>
      </c>
      <c r="J913" t="s">
        <v>217</v>
      </c>
      <c r="K913" s="15">
        <v>0.395833333333333</v>
      </c>
      <c r="L913" s="15" t="s">
        <v>218</v>
      </c>
      <c r="M913" s="15"/>
      <c r="N913" t="s">
        <v>148</v>
      </c>
      <c r="O913" s="20" t="s">
        <v>116</v>
      </c>
      <c r="P913" s="21">
        <v>0</v>
      </c>
      <c r="Q913" s="21">
        <v>0</v>
      </c>
      <c r="R913" s="21">
        <v>0</v>
      </c>
      <c r="S913" s="21">
        <f t="shared" si="100"/>
        <v>0</v>
      </c>
      <c r="T913" s="21">
        <f t="shared" si="101"/>
        <v>0</v>
      </c>
      <c r="U913" s="21" t="str">
        <f t="shared" si="102"/>
        <v>否</v>
      </c>
      <c r="V913" s="21">
        <f>VLOOKUP($C913,[4]Sheet1!$B:$AN,39,FALSE)</f>
        <v>7.98</v>
      </c>
      <c r="W913" s="21">
        <v>0</v>
      </c>
      <c r="X913" s="23">
        <v>0</v>
      </c>
      <c r="Y913" s="23">
        <v>0</v>
      </c>
      <c r="Z913" s="25">
        <f t="shared" si="103"/>
        <v>0</v>
      </c>
      <c r="AA913" s="25" t="str">
        <f t="shared" si="104"/>
        <v>是</v>
      </c>
      <c r="AB913" t="s">
        <v>148</v>
      </c>
      <c r="AC913" t="e">
        <f>VLOOKUP(C913,[1]Sheet1!$C:$O,13,FALSE)</f>
        <v>#N/A</v>
      </c>
      <c r="AD913" t="str">
        <f>VLOOKUP($H913,'[3]0509人员排班情况 副本'!$G:$U,12,FALSE)</f>
        <v>孙可君Monica（Kejun Sun）</v>
      </c>
      <c r="AE913" t="str">
        <f>VLOOKUP($H913,'[3]0509人员排班情况 副本'!$G:$U,13,FALSE)</f>
        <v>马聪Cong (Cong Ma)</v>
      </c>
      <c r="AF913" t="str">
        <f>VLOOKUP($H913,'[3]0509人员排班情况 副本'!$G:$U,14,FALSE)</f>
        <v>Minqing (Minqing Xu),罗煜雄 Mike (Yuxiong Luo)</v>
      </c>
      <c r="AG913">
        <f>VLOOKUP($H913,'[3]0509人员排班情况 副本'!$G:$U,15,FALSE)</f>
        <v>0</v>
      </c>
    </row>
    <row r="914" customHeight="1" spans="1:33">
      <c r="A914" t="s">
        <v>202</v>
      </c>
      <c r="B914" t="s">
        <v>2710</v>
      </c>
      <c r="C914" t="s">
        <v>2711</v>
      </c>
      <c r="D914" t="s">
        <v>31</v>
      </c>
      <c r="E914" t="s">
        <v>41</v>
      </c>
      <c r="F914" t="s">
        <v>312</v>
      </c>
      <c r="G914" t="s">
        <v>112</v>
      </c>
      <c r="H914" t="str">
        <f t="shared" si="98"/>
        <v>GL 大湖大区ORD.H异常处理组</v>
      </c>
      <c r="I914" t="s">
        <v>313</v>
      </c>
      <c r="J914" t="s">
        <v>217</v>
      </c>
      <c r="K914" s="15">
        <v>0.395833333333333</v>
      </c>
      <c r="L914" s="15" t="s">
        <v>218</v>
      </c>
      <c r="M914" s="15"/>
      <c r="N914" t="s">
        <v>148</v>
      </c>
      <c r="O914" s="20" t="s">
        <v>116</v>
      </c>
      <c r="P914" s="21">
        <v>0</v>
      </c>
      <c r="Q914" s="21">
        <v>0</v>
      </c>
      <c r="R914" s="21">
        <v>0</v>
      </c>
      <c r="S914" s="21">
        <f t="shared" si="100"/>
        <v>0</v>
      </c>
      <c r="T914" s="21">
        <f t="shared" si="101"/>
        <v>0</v>
      </c>
      <c r="U914" s="21" t="str">
        <f t="shared" si="102"/>
        <v>否</v>
      </c>
      <c r="V914" s="21">
        <f>VLOOKUP($C914,[4]Sheet1!$B:$AN,39,FALSE)</f>
        <v>0</v>
      </c>
      <c r="W914" s="21">
        <v>1.71</v>
      </c>
      <c r="X914" s="23">
        <v>0</v>
      </c>
      <c r="Y914" s="23">
        <v>0</v>
      </c>
      <c r="Z914" s="25">
        <f t="shared" si="103"/>
        <v>0</v>
      </c>
      <c r="AA914" s="25" t="str">
        <f t="shared" si="104"/>
        <v>是</v>
      </c>
      <c r="AB914" t="s">
        <v>148</v>
      </c>
      <c r="AC914" t="e">
        <f>VLOOKUP(C914,[1]Sheet1!$C:$O,13,FALSE)</f>
        <v>#N/A</v>
      </c>
      <c r="AD914" t="str">
        <f>VLOOKUP($H914,'[3]0509人员排班情况 副本'!$G:$U,12,FALSE)</f>
        <v>王晓丹 Jasmine（Xiaodan Wang）,周延舒Isabel（Yanshu Zhou）</v>
      </c>
      <c r="AE914" t="str">
        <f>VLOOKUP($H914,'[3]0509人员排班情况 副本'!$G:$U,13,FALSE)</f>
        <v>张骥Ji Zhang (Ji Zhang)</v>
      </c>
      <c r="AF914" t="str">
        <f>VLOOKUP($H914,'[3]0509人员排班情况 副本'!$G:$U,14,FALSE)</f>
        <v>Minqing (Minqing Xu),罗煜雄 Mike (Yuxiong Luo)</v>
      </c>
      <c r="AG914">
        <f>VLOOKUP($H914,'[3]0509人员排班情况 副本'!$G:$U,15,FALSE)</f>
        <v>0</v>
      </c>
    </row>
    <row r="915" customHeight="1" spans="1:33">
      <c r="A915" t="s">
        <v>202</v>
      </c>
      <c r="B915" t="s">
        <v>2712</v>
      </c>
      <c r="C915" t="s">
        <v>2713</v>
      </c>
      <c r="D915" t="s">
        <v>15</v>
      </c>
      <c r="E915" t="s">
        <v>17</v>
      </c>
      <c r="F915" t="s">
        <v>166</v>
      </c>
      <c r="G915" t="s">
        <v>112</v>
      </c>
      <c r="H915" t="str">
        <f t="shared" si="98"/>
        <v>FL 佛州大区MCO.H综办组</v>
      </c>
      <c r="I915" t="s">
        <v>167</v>
      </c>
      <c r="J915" t="s">
        <v>295</v>
      </c>
      <c r="K915" s="15">
        <v>0.375</v>
      </c>
      <c r="L915" s="15" t="s">
        <v>296</v>
      </c>
      <c r="M915" s="15">
        <v>0.380555555555556</v>
      </c>
      <c r="N915" t="s">
        <v>2714</v>
      </c>
      <c r="O915" s="20" t="str">
        <f t="shared" si="99"/>
        <v>正确</v>
      </c>
      <c r="P915" s="21">
        <v>0</v>
      </c>
      <c r="Q915" s="21">
        <v>7.93</v>
      </c>
      <c r="R915" s="21">
        <v>0</v>
      </c>
      <c r="S915" s="21">
        <f t="shared" si="100"/>
        <v>7.93</v>
      </c>
      <c r="T915" s="21">
        <f t="shared" si="101"/>
        <v>0</v>
      </c>
      <c r="U915" s="21" t="str">
        <f t="shared" si="102"/>
        <v>否</v>
      </c>
      <c r="V915" s="21">
        <f>VLOOKUP($C915,[4]Sheet1!$B:$AN,39,FALSE)</f>
        <v>15.85</v>
      </c>
      <c r="W915" s="21">
        <v>0</v>
      </c>
      <c r="X915" s="23">
        <v>4</v>
      </c>
      <c r="Y915" s="23">
        <v>4</v>
      </c>
      <c r="Z915" s="25">
        <f t="shared" si="103"/>
        <v>0</v>
      </c>
      <c r="AA915" s="25" t="str">
        <f t="shared" si="104"/>
        <v>是</v>
      </c>
      <c r="AB915" t="s">
        <v>148</v>
      </c>
      <c r="AC915" t="e">
        <f>VLOOKUP(C915,[1]Sheet1!$C:$O,13,FALSE)</f>
        <v>#N/A</v>
      </c>
      <c r="AD915" t="str">
        <f>VLOOKUP($H915,'[3]0509人员排班情况 副本'!$G:$U,12,FALSE)</f>
        <v>Natalia (Natalia Padilla),孙婕 Jasmine（Sunjie）</v>
      </c>
      <c r="AE915" t="str">
        <f>VLOOKUP($H915,'[3]0509人员排班情况 副本'!$G:$U,13,FALSE)</f>
        <v>贺子强Jeff (Ziqiang He)</v>
      </c>
      <c r="AF915" t="str">
        <f>VLOOKUP($H915,'[3]0509人员排班情况 副本'!$G:$U,14,FALSE)</f>
        <v>Minqing (Minqing Xu),罗煜雄 Mike (Yuxiong Luo)</v>
      </c>
      <c r="AG915">
        <f>VLOOKUP($H915,'[3]0509人员排班情况 副本'!$G:$U,15,FALSE)</f>
        <v>0</v>
      </c>
    </row>
    <row r="916" customHeight="1" spans="1:33">
      <c r="A916" t="s">
        <v>202</v>
      </c>
      <c r="B916" t="s">
        <v>2715</v>
      </c>
      <c r="C916" t="s">
        <v>2716</v>
      </c>
      <c r="D916" t="s">
        <v>31</v>
      </c>
      <c r="E916" t="s">
        <v>29</v>
      </c>
      <c r="F916" t="s">
        <v>200</v>
      </c>
      <c r="H916" t="str">
        <f t="shared" si="98"/>
        <v>GL 大湖大区运营支持部区域支持组</v>
      </c>
      <c r="I916" t="s">
        <v>201</v>
      </c>
      <c r="J916" t="s">
        <v>347</v>
      </c>
      <c r="K916" s="15">
        <v>0.541666666666667</v>
      </c>
      <c r="L916" s="15" t="s">
        <v>348</v>
      </c>
      <c r="M916" s="15"/>
      <c r="N916" t="s">
        <v>148</v>
      </c>
      <c r="O916" s="20" t="str">
        <f t="shared" si="99"/>
        <v>不正确</v>
      </c>
      <c r="P916" s="21">
        <v>0</v>
      </c>
      <c r="Q916" s="21">
        <v>0</v>
      </c>
      <c r="R916" s="21">
        <v>0</v>
      </c>
      <c r="S916" s="21">
        <f t="shared" si="100"/>
        <v>0</v>
      </c>
      <c r="T916" s="21">
        <f t="shared" si="101"/>
        <v>0</v>
      </c>
      <c r="U916" s="21" t="str">
        <f t="shared" si="102"/>
        <v>否</v>
      </c>
      <c r="V916" s="21">
        <f>VLOOKUP($C916,[4]Sheet1!$B:$AN,39,FALSE)</f>
        <v>0</v>
      </c>
      <c r="W916" s="21">
        <v>0</v>
      </c>
      <c r="X916" s="23">
        <v>0</v>
      </c>
      <c r="Y916" s="23">
        <v>4</v>
      </c>
      <c r="Z916" s="25">
        <f t="shared" si="103"/>
        <v>4</v>
      </c>
      <c r="AA916" s="25" t="str">
        <f t="shared" si="104"/>
        <v>是</v>
      </c>
      <c r="AB916" t="s">
        <v>148</v>
      </c>
      <c r="AC916" t="e">
        <f>VLOOKUP(C916,[1]Sheet1!$C:$O,13,FALSE)</f>
        <v>#N/A</v>
      </c>
      <c r="AD916" t="str">
        <f>VLOOKUP($H916,'[3]0509人员排班情况 副本'!$G:$U,12,FALSE)</f>
        <v>王晓丹 Jasmine（Xiaodan Wang）,周延舒Isabel（Yanshu Zhou）</v>
      </c>
      <c r="AE916" t="str">
        <f>VLOOKUP($H916,'[3]0509人员排班情况 副本'!$G:$U,13,FALSE)</f>
        <v>张骥Ji Zhang (Ji Zhang)</v>
      </c>
      <c r="AF916">
        <f>VLOOKUP($H916,'[3]0509人员排班情况 副本'!$G:$U,14,FALSE)</f>
        <v>0</v>
      </c>
      <c r="AG916">
        <f>VLOOKUP($H916,'[3]0509人员排班情况 副本'!$G:$U,15,FALSE)</f>
        <v>0</v>
      </c>
    </row>
    <row r="917" customHeight="1" spans="1:33">
      <c r="A917" t="s">
        <v>202</v>
      </c>
      <c r="B917" t="s">
        <v>2717</v>
      </c>
      <c r="C917" t="s">
        <v>2718</v>
      </c>
      <c r="D917" t="s">
        <v>12</v>
      </c>
      <c r="E917" t="s">
        <v>1708</v>
      </c>
      <c r="F917" t="s">
        <v>148</v>
      </c>
      <c r="H917" t="str">
        <f t="shared" si="98"/>
        <v>CM 运力管理部自营运力组</v>
      </c>
      <c r="I917" t="s">
        <v>2719</v>
      </c>
      <c r="J917" t="s">
        <v>236</v>
      </c>
      <c r="K917" s="15">
        <v>0.395833333333333</v>
      </c>
      <c r="L917" s="15" t="s">
        <v>218</v>
      </c>
      <c r="M917" s="15">
        <v>0.388888888888889</v>
      </c>
      <c r="N917" t="s">
        <v>2720</v>
      </c>
      <c r="O917" s="20" t="str">
        <f t="shared" si="99"/>
        <v>正确</v>
      </c>
      <c r="P917" s="21">
        <v>0</v>
      </c>
      <c r="Q917" s="21">
        <v>8.03</v>
      </c>
      <c r="R917" s="21">
        <v>0</v>
      </c>
      <c r="S917" s="21">
        <f t="shared" si="100"/>
        <v>8.03</v>
      </c>
      <c r="T917" s="21">
        <f t="shared" si="101"/>
        <v>0.0299999999999994</v>
      </c>
      <c r="U917" s="21" t="str">
        <f t="shared" si="102"/>
        <v>是</v>
      </c>
      <c r="V917" s="21">
        <f>VLOOKUP($C917,[4]Sheet1!$B:$AN,39,FALSE)</f>
        <v>16.15</v>
      </c>
      <c r="W917" s="21">
        <v>0</v>
      </c>
      <c r="X917" s="23">
        <v>2</v>
      </c>
      <c r="Y917" s="23">
        <v>4</v>
      </c>
      <c r="Z917" s="25">
        <f t="shared" si="103"/>
        <v>2</v>
      </c>
      <c r="AA917" s="25" t="str">
        <f t="shared" si="104"/>
        <v>是</v>
      </c>
      <c r="AB917" t="s">
        <v>148</v>
      </c>
      <c r="AC917" t="e">
        <f>VLOOKUP(C917,[1]Sheet1!$C:$O,13,FALSE)</f>
        <v>#N/A</v>
      </c>
      <c r="AD917" t="str">
        <f>VLOOKUP($H917,'[3]0509人员排班情况 副本'!$G:$U,12,FALSE)</f>
        <v>袁博闻(Bowen Yuan)</v>
      </c>
      <c r="AE917">
        <f>VLOOKUP($H917,'[3]0509人员排班情况 副本'!$G:$U,13,FALSE)</f>
        <v>0</v>
      </c>
      <c r="AF917">
        <f>VLOOKUP($H917,'[3]0509人员排班情况 副本'!$G:$U,14,FALSE)</f>
        <v>0</v>
      </c>
      <c r="AG917">
        <f>VLOOKUP($H917,'[3]0509人员排班情况 副本'!$G:$U,15,FALSE)</f>
        <v>0</v>
      </c>
    </row>
    <row r="918" customHeight="1" spans="1:33">
      <c r="A918" t="s">
        <v>202</v>
      </c>
      <c r="B918" t="s">
        <v>2721</v>
      </c>
      <c r="C918" t="s">
        <v>2722</v>
      </c>
      <c r="D918" t="s">
        <v>92</v>
      </c>
      <c r="E918" t="s">
        <v>95</v>
      </c>
      <c r="F918" t="s">
        <v>2723</v>
      </c>
      <c r="H918" t="str">
        <f t="shared" si="98"/>
        <v>TX 德州大区GC 墨湾片区BPT01</v>
      </c>
      <c r="I918" t="s">
        <v>177</v>
      </c>
      <c r="J918" t="s">
        <v>437</v>
      </c>
      <c r="K918" s="15">
        <v>0.229166666666667</v>
      </c>
      <c r="L918" s="15" t="s">
        <v>438</v>
      </c>
      <c r="M918" s="15">
        <v>0.220138888888889</v>
      </c>
      <c r="N918" t="s">
        <v>861</v>
      </c>
      <c r="O918" s="20" t="str">
        <f t="shared" si="99"/>
        <v>正确</v>
      </c>
      <c r="P918" s="21">
        <v>0</v>
      </c>
      <c r="Q918" s="21">
        <v>9.87</v>
      </c>
      <c r="R918" s="21">
        <v>0</v>
      </c>
      <c r="S918" s="21">
        <f t="shared" si="100"/>
        <v>9.87</v>
      </c>
      <c r="T918" s="21">
        <f t="shared" si="101"/>
        <v>1.87</v>
      </c>
      <c r="U918" s="21" t="str">
        <f t="shared" si="102"/>
        <v>是</v>
      </c>
      <c r="V918" s="21">
        <f>VLOOKUP($C918,[4]Sheet1!$B:$AN,39,FALSE)</f>
        <v>17.9</v>
      </c>
      <c r="W918" s="21">
        <v>0</v>
      </c>
      <c r="X918" s="23">
        <v>4</v>
      </c>
      <c r="Y918" s="23">
        <v>4</v>
      </c>
      <c r="Z918" s="25">
        <f t="shared" si="103"/>
        <v>0</v>
      </c>
      <c r="AA918" s="25" t="str">
        <f t="shared" si="104"/>
        <v>是</v>
      </c>
      <c r="AB918" t="s">
        <v>148</v>
      </c>
      <c r="AC918" t="e">
        <f>VLOOKUP(C918,[1]Sheet1!$C:$O,13,FALSE)</f>
        <v>#N/A</v>
      </c>
      <c r="AD918" t="str">
        <f>VLOOKUP($H918,'[3]0509人员排班情况 副本'!$G:$U,12,FALSE)</f>
        <v>肖芦莉Lily (Luli Xiao)</v>
      </c>
      <c r="AE918" t="str">
        <f>VLOOKUP($H918,'[3]0509人员排班情况 副本'!$G:$U,13,FALSE)</f>
        <v>张骥Ji Zhang (Ji Zhang)</v>
      </c>
      <c r="AF918" t="str">
        <f>VLOOKUP($H918,'[3]0509人员排班情况 副本'!$G:$U,14,FALSE)</f>
        <v>金磊Brian（LEI JIN）</v>
      </c>
      <c r="AG918">
        <f>VLOOKUP($H918,'[3]0509人员排班情况 副本'!$G:$U,15,FALSE)</f>
        <v>0</v>
      </c>
    </row>
    <row r="919" customHeight="1" spans="1:33">
      <c r="A919" t="s">
        <v>202</v>
      </c>
      <c r="B919" t="s">
        <v>2724</v>
      </c>
      <c r="C919" t="s">
        <v>2725</v>
      </c>
      <c r="D919" t="s">
        <v>12</v>
      </c>
      <c r="E919" t="s">
        <v>1014</v>
      </c>
      <c r="F919" t="s">
        <v>148</v>
      </c>
      <c r="H919" t="str">
        <f t="shared" si="98"/>
        <v>CM 运力管理部美西运力组</v>
      </c>
      <c r="I919" t="s">
        <v>2726</v>
      </c>
      <c r="J919" t="s">
        <v>236</v>
      </c>
      <c r="K919" s="15">
        <v>0.395833333333333</v>
      </c>
      <c r="L919" s="15" t="s">
        <v>218</v>
      </c>
      <c r="M919" s="15">
        <v>0.426388888888889</v>
      </c>
      <c r="N919" t="s">
        <v>972</v>
      </c>
      <c r="O919" s="20" t="str">
        <f t="shared" si="99"/>
        <v>正确</v>
      </c>
      <c r="P919" s="21">
        <v>0</v>
      </c>
      <c r="Q919" s="21">
        <v>8.23</v>
      </c>
      <c r="R919" s="21">
        <v>0</v>
      </c>
      <c r="S919" s="21">
        <f t="shared" si="100"/>
        <v>8.23</v>
      </c>
      <c r="T919" s="21">
        <f t="shared" si="101"/>
        <v>0.23</v>
      </c>
      <c r="U919" s="21" t="str">
        <f t="shared" si="102"/>
        <v>是</v>
      </c>
      <c r="V919" s="21">
        <f>VLOOKUP($C919,[4]Sheet1!$B:$AN,39,FALSE)</f>
        <v>16.75</v>
      </c>
      <c r="W919" s="21">
        <v>0</v>
      </c>
      <c r="X919" s="23">
        <v>4</v>
      </c>
      <c r="Y919" s="23">
        <v>4</v>
      </c>
      <c r="Z919" s="25">
        <f t="shared" si="103"/>
        <v>0</v>
      </c>
      <c r="AA919" s="25" t="str">
        <f t="shared" si="104"/>
        <v>是</v>
      </c>
      <c r="AB919" t="s">
        <v>148</v>
      </c>
      <c r="AC919" t="e">
        <f>VLOOKUP(C919,[1]Sheet1!$C:$O,13,FALSE)</f>
        <v>#N/A</v>
      </c>
      <c r="AD919" t="str">
        <f>VLOOKUP($H919,'[3]0509人员排班情况 副本'!$G:$U,12,FALSE)</f>
        <v>袁博闻(Bowen Yuan)</v>
      </c>
      <c r="AE919">
        <f>VLOOKUP($H919,'[3]0509人员排班情况 副本'!$G:$U,13,FALSE)</f>
        <v>0</v>
      </c>
      <c r="AF919">
        <f>VLOOKUP($H919,'[3]0509人员排班情况 副本'!$G:$U,14,FALSE)</f>
        <v>0</v>
      </c>
      <c r="AG919">
        <f>VLOOKUP($H919,'[3]0509人员排班情况 副本'!$G:$U,15,FALSE)</f>
        <v>0</v>
      </c>
    </row>
    <row r="920" customHeight="1" spans="1:33">
      <c r="A920" t="s">
        <v>202</v>
      </c>
      <c r="B920" t="s">
        <v>2727</v>
      </c>
      <c r="C920" t="s">
        <v>2728</v>
      </c>
      <c r="D920" t="s">
        <v>15</v>
      </c>
      <c r="E920" t="s">
        <v>24</v>
      </c>
      <c r="F920" t="s">
        <v>21</v>
      </c>
      <c r="H920" t="str">
        <f t="shared" si="98"/>
        <v>FL 佛州大区SF 南佛片区MIA01</v>
      </c>
      <c r="I920" t="s">
        <v>406</v>
      </c>
      <c r="J920" t="s">
        <v>217</v>
      </c>
      <c r="K920" s="15">
        <v>0.395833333333333</v>
      </c>
      <c r="L920" s="15" t="s">
        <v>218</v>
      </c>
      <c r="M920" s="15"/>
      <c r="N920" t="s">
        <v>148</v>
      </c>
      <c r="O920" s="20" t="s">
        <v>116</v>
      </c>
      <c r="P920" s="21">
        <v>0</v>
      </c>
      <c r="Q920" s="21">
        <v>0</v>
      </c>
      <c r="R920" s="21">
        <v>0</v>
      </c>
      <c r="S920" s="21">
        <f t="shared" si="100"/>
        <v>0</v>
      </c>
      <c r="T920" s="21">
        <f t="shared" si="101"/>
        <v>0</v>
      </c>
      <c r="U920" s="21" t="str">
        <f t="shared" si="102"/>
        <v>否</v>
      </c>
      <c r="V920" s="21">
        <f>VLOOKUP($C920,[4]Sheet1!$B:$AN,39,FALSE)</f>
        <v>11.32</v>
      </c>
      <c r="W920" s="21">
        <v>0</v>
      </c>
      <c r="X920" s="23">
        <v>0</v>
      </c>
      <c r="Y920" s="23">
        <v>0</v>
      </c>
      <c r="Z920" s="25">
        <f t="shared" si="103"/>
        <v>0</v>
      </c>
      <c r="AA920" s="25" t="str">
        <f t="shared" si="104"/>
        <v>是</v>
      </c>
      <c r="AB920" t="s">
        <v>148</v>
      </c>
      <c r="AC920" t="e">
        <f>VLOOKUP(C920,[1]Sheet1!$C:$O,13,FALSE)</f>
        <v>#N/A</v>
      </c>
      <c r="AD920" t="str">
        <f>VLOOKUP($H920,'[3]0509人员排班情况 副本'!$G:$U,12,FALSE)</f>
        <v>Natalia (Natalia Padilla),孙婕 Jasmine（Sunjie）</v>
      </c>
      <c r="AE920" t="str">
        <f>VLOOKUP($H920,'[3]0509人员排班情况 副本'!$G:$U,13,FALSE)</f>
        <v>贺子强Jeff (Ziqiang He)</v>
      </c>
      <c r="AF920" t="str">
        <f>VLOOKUP($H920,'[3]0509人员排班情况 副本'!$G:$U,14,FALSE)</f>
        <v>王航 Hang (Hang Wang)</v>
      </c>
      <c r="AG920">
        <f>VLOOKUP($H920,'[3]0509人员排班情况 副本'!$G:$U,15,FALSE)</f>
        <v>0</v>
      </c>
    </row>
    <row r="921" customHeight="1" spans="1:33">
      <c r="A921" t="s">
        <v>202</v>
      </c>
      <c r="B921" t="s">
        <v>2729</v>
      </c>
      <c r="C921" t="s">
        <v>2730</v>
      </c>
      <c r="D921" t="s">
        <v>68</v>
      </c>
      <c r="E921" t="s">
        <v>75</v>
      </c>
      <c r="F921" t="s">
        <v>74</v>
      </c>
      <c r="H921" t="str">
        <f t="shared" si="98"/>
        <v>NE 东北大区DC 华盛顿片区BWI01</v>
      </c>
      <c r="I921" t="s">
        <v>687</v>
      </c>
      <c r="J921" t="s">
        <v>236</v>
      </c>
      <c r="K921" s="15">
        <v>0.395833333333333</v>
      </c>
      <c r="L921" s="15" t="s">
        <v>218</v>
      </c>
      <c r="M921" s="15"/>
      <c r="N921" t="s">
        <v>148</v>
      </c>
      <c r="O921" s="20" t="str">
        <f t="shared" si="99"/>
        <v>不正确</v>
      </c>
      <c r="P921" s="21">
        <v>0</v>
      </c>
      <c r="Q921" s="21">
        <v>0</v>
      </c>
      <c r="R921" s="21">
        <v>0</v>
      </c>
      <c r="S921" s="21">
        <f t="shared" si="100"/>
        <v>0</v>
      </c>
      <c r="T921" s="21">
        <f t="shared" si="101"/>
        <v>0</v>
      </c>
      <c r="U921" s="21" t="str">
        <f t="shared" si="102"/>
        <v>否</v>
      </c>
      <c r="V921" s="21">
        <f>VLOOKUP($C921,[4]Sheet1!$B:$AN,39,FALSE)</f>
        <v>0</v>
      </c>
      <c r="W921" s="21">
        <v>0</v>
      </c>
      <c r="X921" s="23">
        <v>0</v>
      </c>
      <c r="Y921" s="23">
        <v>0</v>
      </c>
      <c r="Z921" s="25">
        <f t="shared" si="103"/>
        <v>0</v>
      </c>
      <c r="AA921" s="25" t="str">
        <f t="shared" si="104"/>
        <v>是</v>
      </c>
      <c r="AB921" t="s">
        <v>339</v>
      </c>
      <c r="AC921" t="e">
        <f>VLOOKUP(C921,[1]Sheet1!$C:$O,13,FALSE)</f>
        <v>#N/A</v>
      </c>
      <c r="AD921" t="str">
        <f>VLOOKUP($H921,'[3]0509人员排班情况 副本'!$G:$U,12,FALSE)</f>
        <v>孙可君Monica（Kejun Sun）</v>
      </c>
      <c r="AE921" t="str">
        <f>VLOOKUP($H921,'[3]0509人员排班情况 副本'!$G:$U,13,FALSE)</f>
        <v>马聪Cong (Cong Ma)</v>
      </c>
      <c r="AF921" t="str">
        <f>VLOOKUP($H921,'[3]0509人员排班情况 副本'!$G:$U,14,FALSE)</f>
        <v>朱晗宇 Peter (Hanyu Zhu)</v>
      </c>
      <c r="AG921">
        <f>VLOOKUP($H921,'[3]0509人员排班情况 副本'!$G:$U,15,FALSE)</f>
        <v>0</v>
      </c>
    </row>
    <row r="922" customHeight="1" spans="1:33">
      <c r="A922" t="s">
        <v>202</v>
      </c>
      <c r="B922" t="s">
        <v>2731</v>
      </c>
      <c r="C922" t="s">
        <v>2732</v>
      </c>
      <c r="D922" t="s">
        <v>68</v>
      </c>
      <c r="E922" t="s">
        <v>76</v>
      </c>
      <c r="F922" t="s">
        <v>275</v>
      </c>
      <c r="G922" t="s">
        <v>112</v>
      </c>
      <c r="H922" t="str">
        <f t="shared" si="98"/>
        <v>NE 东北大区EWR.H分拣组</v>
      </c>
      <c r="I922" t="s">
        <v>303</v>
      </c>
      <c r="J922" t="s">
        <v>211</v>
      </c>
      <c r="K922" s="15">
        <v>0.333333333333333</v>
      </c>
      <c r="L922" s="15" t="s">
        <v>212</v>
      </c>
      <c r="M922" s="15">
        <v>0.3</v>
      </c>
      <c r="N922" t="s">
        <v>2733</v>
      </c>
      <c r="O922" s="20" t="str">
        <f t="shared" si="99"/>
        <v>正确</v>
      </c>
      <c r="P922" s="21">
        <v>0</v>
      </c>
      <c r="Q922" s="21">
        <v>11.73</v>
      </c>
      <c r="R922" s="21">
        <v>0</v>
      </c>
      <c r="S922" s="21">
        <f t="shared" si="100"/>
        <v>11.73</v>
      </c>
      <c r="T922" s="21">
        <f t="shared" si="101"/>
        <v>3.73</v>
      </c>
      <c r="U922" s="21" t="str">
        <f t="shared" si="102"/>
        <v>是</v>
      </c>
      <c r="V922" s="21">
        <f>VLOOKUP($C922,[4]Sheet1!$B:$AN,39,FALSE)</f>
        <v>11.73</v>
      </c>
      <c r="W922" s="21">
        <v>0</v>
      </c>
      <c r="X922" s="23">
        <v>4</v>
      </c>
      <c r="Y922" s="23">
        <v>4</v>
      </c>
      <c r="Z922" s="25">
        <f t="shared" si="103"/>
        <v>0</v>
      </c>
      <c r="AA922" s="25" t="str">
        <f t="shared" si="104"/>
        <v>是</v>
      </c>
      <c r="AB922" t="s">
        <v>148</v>
      </c>
      <c r="AC922" t="e">
        <f>VLOOKUP(C922,[1]Sheet1!$C:$O,13,FALSE)</f>
        <v>#N/A</v>
      </c>
      <c r="AD922" t="str">
        <f>VLOOKUP($H922,'[3]0509人员排班情况 副本'!$G:$U,12,FALSE)</f>
        <v>孙可君Monica（Kejun Sun）</v>
      </c>
      <c r="AE922" t="str">
        <f>VLOOKUP($H922,'[3]0509人员排班情况 副本'!$G:$U,13,FALSE)</f>
        <v>马聪Cong (Cong Ma)</v>
      </c>
      <c r="AF922" t="str">
        <f>VLOOKUP($H922,'[3]0509人员排班情况 副本'!$G:$U,14,FALSE)</f>
        <v>张双甫(Shuangfu Zhang)</v>
      </c>
      <c r="AG922">
        <f>VLOOKUP($H922,'[3]0509人员排班情况 副本'!$G:$U,15,FALSE)</f>
        <v>0</v>
      </c>
    </row>
    <row r="923" customHeight="1" spans="1:33">
      <c r="A923" t="s">
        <v>202</v>
      </c>
      <c r="B923" t="s">
        <v>2734</v>
      </c>
      <c r="C923" t="s">
        <v>2735</v>
      </c>
      <c r="D923" t="s">
        <v>68</v>
      </c>
      <c r="E923" t="s">
        <v>76</v>
      </c>
      <c r="F923" t="s">
        <v>275</v>
      </c>
      <c r="G923" t="s">
        <v>112</v>
      </c>
      <c r="H923" t="str">
        <f t="shared" si="98"/>
        <v>NE 东北大区EWR.H分拣组</v>
      </c>
      <c r="I923" t="s">
        <v>303</v>
      </c>
      <c r="J923" t="s">
        <v>282</v>
      </c>
      <c r="K923" s="15">
        <v>0.416666666666667</v>
      </c>
      <c r="L923" s="15" t="s">
        <v>283</v>
      </c>
      <c r="M923" s="15">
        <v>0.36875</v>
      </c>
      <c r="N923" t="s">
        <v>2736</v>
      </c>
      <c r="O923" s="20" t="str">
        <f t="shared" si="99"/>
        <v>不正确</v>
      </c>
      <c r="P923" s="21">
        <v>0</v>
      </c>
      <c r="Q923" s="21">
        <v>10</v>
      </c>
      <c r="R923" s="21">
        <v>0</v>
      </c>
      <c r="S923" s="21">
        <f t="shared" si="100"/>
        <v>10</v>
      </c>
      <c r="T923" s="21">
        <f t="shared" si="101"/>
        <v>2</v>
      </c>
      <c r="U923" s="21" t="str">
        <f t="shared" si="102"/>
        <v>是</v>
      </c>
      <c r="V923" s="21">
        <f>VLOOKUP($C923,[4]Sheet1!$B:$AN,39,FALSE)</f>
        <v>10</v>
      </c>
      <c r="W923" s="21">
        <v>0</v>
      </c>
      <c r="X923" s="23">
        <v>4</v>
      </c>
      <c r="Y923" s="23">
        <v>4</v>
      </c>
      <c r="Z923" s="25">
        <f t="shared" si="103"/>
        <v>0</v>
      </c>
      <c r="AA923" s="25" t="str">
        <f t="shared" si="104"/>
        <v>是</v>
      </c>
      <c r="AB923" t="s">
        <v>148</v>
      </c>
      <c r="AC923" t="e">
        <f>VLOOKUP(C923,[1]Sheet1!$C:$O,13,FALSE)</f>
        <v>#N/A</v>
      </c>
      <c r="AD923" t="str">
        <f>VLOOKUP($H923,'[3]0509人员排班情况 副本'!$G:$U,12,FALSE)</f>
        <v>孙可君Monica（Kejun Sun）</v>
      </c>
      <c r="AE923" t="str">
        <f>VLOOKUP($H923,'[3]0509人员排班情况 副本'!$G:$U,13,FALSE)</f>
        <v>马聪Cong (Cong Ma)</v>
      </c>
      <c r="AF923" t="str">
        <f>VLOOKUP($H923,'[3]0509人员排班情况 副本'!$G:$U,14,FALSE)</f>
        <v>张双甫(Shuangfu Zhang)</v>
      </c>
      <c r="AG923">
        <f>VLOOKUP($H923,'[3]0509人员排班情况 副本'!$G:$U,15,FALSE)</f>
        <v>0</v>
      </c>
    </row>
    <row r="924" customHeight="1" spans="1:33">
      <c r="A924" t="s">
        <v>202</v>
      </c>
      <c r="B924" t="s">
        <v>2737</v>
      </c>
      <c r="C924" t="s">
        <v>2738</v>
      </c>
      <c r="D924" t="s">
        <v>31</v>
      </c>
      <c r="E924" t="s">
        <v>41</v>
      </c>
      <c r="F924" t="s">
        <v>166</v>
      </c>
      <c r="G924" t="s">
        <v>112</v>
      </c>
      <c r="H924" t="str">
        <f t="shared" si="98"/>
        <v>GL 大湖大区ORD.H综办组</v>
      </c>
      <c r="I924" t="s">
        <v>167</v>
      </c>
      <c r="J924" t="s">
        <v>295</v>
      </c>
      <c r="K924" s="15">
        <v>0.375</v>
      </c>
      <c r="L924" s="15" t="s">
        <v>296</v>
      </c>
      <c r="M924" s="15">
        <v>0.374305555555556</v>
      </c>
      <c r="N924" t="s">
        <v>719</v>
      </c>
      <c r="O924" s="20" t="str">
        <f t="shared" si="99"/>
        <v>正确</v>
      </c>
      <c r="P924" s="21">
        <v>0</v>
      </c>
      <c r="Q924" s="21">
        <v>11.7</v>
      </c>
      <c r="R924" s="21">
        <v>0</v>
      </c>
      <c r="S924" s="21">
        <f t="shared" si="100"/>
        <v>11.7</v>
      </c>
      <c r="T924" s="21">
        <f t="shared" si="101"/>
        <v>3.7</v>
      </c>
      <c r="U924" s="21" t="str">
        <f t="shared" si="102"/>
        <v>是</v>
      </c>
      <c r="V924" s="21">
        <f>VLOOKUP($C924,[4]Sheet1!$B:$AN,39,FALSE)</f>
        <v>21.63</v>
      </c>
      <c r="W924" s="21">
        <v>18.78</v>
      </c>
      <c r="X924" s="23">
        <v>3</v>
      </c>
      <c r="Y924" s="23">
        <v>4</v>
      </c>
      <c r="Z924" s="25">
        <f t="shared" si="103"/>
        <v>1</v>
      </c>
      <c r="AA924" s="25" t="str">
        <f t="shared" si="104"/>
        <v>是</v>
      </c>
      <c r="AB924" t="s">
        <v>148</v>
      </c>
      <c r="AC924" t="e">
        <f>VLOOKUP(C924,[1]Sheet1!$C:$O,13,FALSE)</f>
        <v>#N/A</v>
      </c>
      <c r="AD924" t="str">
        <f>VLOOKUP($H924,'[3]0509人员排班情况 副本'!$G:$U,12,FALSE)</f>
        <v>王晓丹 Jasmine（Xiaodan Wang）,周延舒Isabel（Yanshu Zhou）</v>
      </c>
      <c r="AE924" t="str">
        <f>VLOOKUP($H924,'[3]0509人员排班情况 副本'!$G:$U,13,FALSE)</f>
        <v>张骥Ji Zhang (Ji Zhang)</v>
      </c>
      <c r="AF924" t="str">
        <f>VLOOKUP($H924,'[3]0509人员排班情况 副本'!$G:$U,14,FALSE)</f>
        <v>Minqing (Minqing Xu),罗煜雄 Mike (Yuxiong Luo)</v>
      </c>
      <c r="AG924">
        <f>VLOOKUP($H924,'[3]0509人员排班情况 副本'!$G:$U,15,FALSE)</f>
        <v>0</v>
      </c>
    </row>
    <row r="925" customHeight="1" spans="1:33">
      <c r="A925" t="s">
        <v>202</v>
      </c>
      <c r="B925" t="s">
        <v>2739</v>
      </c>
      <c r="C925" t="s">
        <v>2740</v>
      </c>
      <c r="D925" t="s">
        <v>48</v>
      </c>
      <c r="E925" t="s">
        <v>51</v>
      </c>
      <c r="F925" t="s">
        <v>2590</v>
      </c>
      <c r="H925" t="str">
        <f t="shared" si="98"/>
        <v>Ground项目部OG 美西区ST958</v>
      </c>
      <c r="I925" t="s">
        <v>177</v>
      </c>
      <c r="J925" t="s">
        <v>221</v>
      </c>
      <c r="K925" s="15">
        <v>0.208333333333333</v>
      </c>
      <c r="L925" s="15" t="s">
        <v>222</v>
      </c>
      <c r="M925" s="15">
        <v>0.206944444444444</v>
      </c>
      <c r="N925" t="s">
        <v>1193</v>
      </c>
      <c r="O925" s="20" t="str">
        <f t="shared" si="99"/>
        <v>正确</v>
      </c>
      <c r="P925" s="21">
        <v>0</v>
      </c>
      <c r="Q925" s="21">
        <v>8.15</v>
      </c>
      <c r="R925" s="21">
        <v>0</v>
      </c>
      <c r="S925" s="21">
        <f t="shared" si="100"/>
        <v>8.15</v>
      </c>
      <c r="T925" s="21">
        <f t="shared" si="101"/>
        <v>0.15</v>
      </c>
      <c r="U925" s="21" t="str">
        <f t="shared" si="102"/>
        <v>是</v>
      </c>
      <c r="V925" s="21">
        <f>VLOOKUP($C925,[4]Sheet1!$B:$AN,39,FALSE)</f>
        <v>16.75</v>
      </c>
      <c r="W925" s="21">
        <v>0</v>
      </c>
      <c r="X925" s="23">
        <v>3</v>
      </c>
      <c r="Y925" s="23">
        <v>4</v>
      </c>
      <c r="Z925" s="25">
        <f t="shared" si="103"/>
        <v>1</v>
      </c>
      <c r="AA925" s="25" t="str">
        <f t="shared" si="104"/>
        <v>是</v>
      </c>
      <c r="AB925" t="s">
        <v>148</v>
      </c>
      <c r="AC925" t="e">
        <f>VLOOKUP(C925,[1]Sheet1!$C:$O,13,FALSE)</f>
        <v>#N/A</v>
      </c>
      <c r="AD925" t="str">
        <f>VLOOKUP($H925,'[3]0509人员排班情况 副本'!$G:$U,12,FALSE)</f>
        <v>王安琪 (Anqi Wang),张朱同 Thomson（Zhutong Zhang）</v>
      </c>
      <c r="AE925" t="str">
        <f>VLOOKUP($H925,'[3]0509人员排班情况 副本'!$G:$U,13,FALSE)</f>
        <v>陈锦昭</v>
      </c>
      <c r="AF925" t="str">
        <f>VLOOKUP($H925,'[3]0509人员排班情况 副本'!$G:$U,14,FALSE)</f>
        <v>刘俊甜Verity（Juntian Liu）</v>
      </c>
      <c r="AG925">
        <f>VLOOKUP($H925,'[3]0509人员排班情况 副本'!$G:$U,15,FALSE)</f>
        <v>0</v>
      </c>
    </row>
    <row r="926" customHeight="1" spans="1:33">
      <c r="A926" t="s">
        <v>202</v>
      </c>
      <c r="B926" t="s">
        <v>2741</v>
      </c>
      <c r="C926" t="s">
        <v>2742</v>
      </c>
      <c r="D926" t="s">
        <v>100</v>
      </c>
      <c r="E926" t="s">
        <v>107</v>
      </c>
      <c r="F926" t="s">
        <v>1006</v>
      </c>
      <c r="H926" t="str">
        <f t="shared" si="98"/>
        <v>WE 美西大区SP 西雅图·波特兰片区SEA.H</v>
      </c>
      <c r="I926" t="s">
        <v>160</v>
      </c>
      <c r="J926" t="s">
        <v>384</v>
      </c>
      <c r="K926" s="15">
        <v>0.6875</v>
      </c>
      <c r="L926" s="15" t="s">
        <v>385</v>
      </c>
      <c r="M926" s="15">
        <v>0.679166666666667</v>
      </c>
      <c r="N926" t="s">
        <v>148</v>
      </c>
      <c r="O926" s="20" t="str">
        <f t="shared" si="99"/>
        <v>正确</v>
      </c>
      <c r="P926" s="21">
        <v>0</v>
      </c>
      <c r="Q926" s="21">
        <v>0</v>
      </c>
      <c r="R926" s="21">
        <v>0</v>
      </c>
      <c r="S926" s="21">
        <f t="shared" si="100"/>
        <v>0</v>
      </c>
      <c r="T926" s="21">
        <f t="shared" si="101"/>
        <v>0</v>
      </c>
      <c r="U926" s="21" t="str">
        <f t="shared" si="102"/>
        <v>否</v>
      </c>
      <c r="V926" s="21">
        <f>VLOOKUP($C926,[4]Sheet1!$B:$AN,39,FALSE)</f>
        <v>9.33</v>
      </c>
      <c r="W926" s="21">
        <v>0</v>
      </c>
      <c r="X926" s="23">
        <v>1</v>
      </c>
      <c r="Y926" s="23">
        <v>4</v>
      </c>
      <c r="Z926" s="25">
        <f t="shared" si="103"/>
        <v>3</v>
      </c>
      <c r="AA926" s="25" t="str">
        <f t="shared" si="104"/>
        <v>是</v>
      </c>
      <c r="AB926" t="s">
        <v>148</v>
      </c>
      <c r="AC926" t="e">
        <f>VLOOKUP(C926,[1]Sheet1!$C:$O,13,FALSE)</f>
        <v>#N/A</v>
      </c>
      <c r="AD926" t="str">
        <f>VLOOKUP($H926,'[3]0509人员排班情况 副本'!$G:$U,12,FALSE)</f>
        <v>王骞Ariel（Qian Wang）,叶秀芳Freya (Xiufang Ye)</v>
      </c>
      <c r="AE926" t="str">
        <f>VLOOKUP($H926,'[3]0509人员排班情况 副本'!$G:$U,13,FALSE)</f>
        <v>常哲</v>
      </c>
      <c r="AF926" t="str">
        <f>VLOOKUP($H926,'[3]0509人员排班情况 副本'!$G:$U,14,FALSE)</f>
        <v>尤梦楠Yuko（Mengnan You）</v>
      </c>
      <c r="AG926">
        <f>VLOOKUP($H926,'[3]0509人员排班情况 副本'!$G:$U,15,FALSE)</f>
        <v>0</v>
      </c>
    </row>
    <row r="927" customHeight="1" spans="1:33">
      <c r="A927" t="s">
        <v>202</v>
      </c>
      <c r="B927" t="s">
        <v>2743</v>
      </c>
      <c r="C927" t="s">
        <v>2744</v>
      </c>
      <c r="D927" t="s">
        <v>68</v>
      </c>
      <c r="E927" t="s">
        <v>76</v>
      </c>
      <c r="F927" t="s">
        <v>312</v>
      </c>
      <c r="G927" t="s">
        <v>112</v>
      </c>
      <c r="H927" t="str">
        <f t="shared" si="98"/>
        <v>NE 东北大区EWR.H异常处理组</v>
      </c>
      <c r="I927" t="s">
        <v>778</v>
      </c>
      <c r="J927" t="s">
        <v>295</v>
      </c>
      <c r="K927" s="15">
        <v>0.375</v>
      </c>
      <c r="L927" s="15" t="s">
        <v>296</v>
      </c>
      <c r="M927" s="15">
        <v>0.368055555555556</v>
      </c>
      <c r="N927" t="s">
        <v>2745</v>
      </c>
      <c r="O927" s="20" t="str">
        <f t="shared" si="99"/>
        <v>正确</v>
      </c>
      <c r="P927" s="21">
        <v>0</v>
      </c>
      <c r="Q927" s="21">
        <v>11.25</v>
      </c>
      <c r="R927" s="21">
        <v>0</v>
      </c>
      <c r="S927" s="21">
        <f t="shared" si="100"/>
        <v>11.25</v>
      </c>
      <c r="T927" s="21">
        <f t="shared" si="101"/>
        <v>3.25</v>
      </c>
      <c r="U927" s="21" t="str">
        <f t="shared" si="102"/>
        <v>是</v>
      </c>
      <c r="V927" s="21">
        <f>VLOOKUP($C927,[4]Sheet1!$B:$AN,39,FALSE)</f>
        <v>20.5</v>
      </c>
      <c r="W927" s="21">
        <v>0</v>
      </c>
      <c r="X927" s="23">
        <v>2</v>
      </c>
      <c r="Y927" s="23">
        <v>4</v>
      </c>
      <c r="Z927" s="25">
        <f t="shared" si="103"/>
        <v>2</v>
      </c>
      <c r="AA927" s="25" t="str">
        <f t="shared" si="104"/>
        <v>是</v>
      </c>
      <c r="AB927" t="s">
        <v>148</v>
      </c>
      <c r="AC927" t="e">
        <f>VLOOKUP(C927,[1]Sheet1!$C:$O,13,FALSE)</f>
        <v>#N/A</v>
      </c>
      <c r="AD927" t="str">
        <f>VLOOKUP($H927,'[3]0509人员排班情况 副本'!$G:$U,12,FALSE)</f>
        <v>孙可君Monica（Kejun Sun）</v>
      </c>
      <c r="AE927" t="str">
        <f>VLOOKUP($H927,'[3]0509人员排班情况 副本'!$G:$U,13,FALSE)</f>
        <v>马聪Cong (Cong Ma)</v>
      </c>
      <c r="AF927" t="str">
        <f>VLOOKUP($H927,'[3]0509人员排班情况 副本'!$G:$U,14,FALSE)</f>
        <v>Minqing (Minqing Xu),罗煜雄 Mike (Yuxiong Luo)</v>
      </c>
      <c r="AG927">
        <f>VLOOKUP($H927,'[3]0509人员排班情况 副本'!$G:$U,15,FALSE)</f>
        <v>0</v>
      </c>
    </row>
    <row r="928" customHeight="1" spans="1:33">
      <c r="A928" t="s">
        <v>202</v>
      </c>
      <c r="B928" t="s">
        <v>2746</v>
      </c>
      <c r="C928" t="s">
        <v>2747</v>
      </c>
      <c r="D928" t="s">
        <v>92</v>
      </c>
      <c r="E928" t="s">
        <v>97</v>
      </c>
      <c r="F928" t="s">
        <v>1032</v>
      </c>
      <c r="H928" t="str">
        <f t="shared" si="98"/>
        <v>TX 德州大区NT 北德州片区TUL01</v>
      </c>
      <c r="I928" t="s">
        <v>177</v>
      </c>
      <c r="J928" t="s">
        <v>343</v>
      </c>
      <c r="K928" s="15">
        <v>0.25</v>
      </c>
      <c r="L928" s="15" t="s">
        <v>344</v>
      </c>
      <c r="M928" s="15">
        <v>0.263888888888889</v>
      </c>
      <c r="N928" t="s">
        <v>148</v>
      </c>
      <c r="O928" s="20" t="str">
        <f t="shared" si="99"/>
        <v>正确</v>
      </c>
      <c r="P928" s="21">
        <v>0</v>
      </c>
      <c r="Q928" s="21">
        <v>0</v>
      </c>
      <c r="R928" s="21">
        <v>0</v>
      </c>
      <c r="S928" s="21">
        <f t="shared" si="100"/>
        <v>0</v>
      </c>
      <c r="T928" s="21">
        <f t="shared" si="101"/>
        <v>0</v>
      </c>
      <c r="U928" s="21" t="str">
        <f t="shared" si="102"/>
        <v>否</v>
      </c>
      <c r="V928" s="21">
        <f>VLOOKUP($C928,[4]Sheet1!$B:$AN,39,FALSE)</f>
        <v>0</v>
      </c>
      <c r="W928" s="21">
        <v>0.21</v>
      </c>
      <c r="X928" s="23">
        <v>4</v>
      </c>
      <c r="Y928" s="23">
        <v>4</v>
      </c>
      <c r="Z928" s="25">
        <f t="shared" si="103"/>
        <v>0</v>
      </c>
      <c r="AA928" s="25" t="str">
        <f t="shared" si="104"/>
        <v>是</v>
      </c>
      <c r="AB928" t="s">
        <v>148</v>
      </c>
      <c r="AC928" t="e">
        <f>VLOOKUP(C928,[1]Sheet1!$C:$O,13,FALSE)</f>
        <v>#N/A</v>
      </c>
      <c r="AD928" t="str">
        <f>VLOOKUP($H928,'[3]0509人员排班情况 副本'!$G:$U,12,FALSE)</f>
        <v>肖芦莉Lily (Luli Xiao)</v>
      </c>
      <c r="AE928" t="str">
        <f>VLOOKUP($H928,'[3]0509人员排班情况 副本'!$G:$U,13,FALSE)</f>
        <v>张骥Ji Zhang (Ji Zhang)</v>
      </c>
      <c r="AF928" t="str">
        <f>VLOOKUP($H928,'[3]0509人员排班情况 副本'!$G:$U,14,FALSE)</f>
        <v>何琼joan(Qiong He)</v>
      </c>
      <c r="AG928">
        <f>VLOOKUP($H928,'[3]0509人员排班情况 副本'!$G:$U,15,FALSE)</f>
        <v>0</v>
      </c>
    </row>
    <row r="929" customHeight="1" spans="1:33">
      <c r="A929" t="s">
        <v>202</v>
      </c>
      <c r="B929" t="s">
        <v>2748</v>
      </c>
      <c r="C929" t="s">
        <v>2749</v>
      </c>
      <c r="D929" t="s">
        <v>68</v>
      </c>
      <c r="E929" t="s">
        <v>75</v>
      </c>
      <c r="F929" t="s">
        <v>1640</v>
      </c>
      <c r="H929" t="str">
        <f t="shared" si="98"/>
        <v>NE 东北大区DC 华盛顿片区GED01</v>
      </c>
      <c r="I929" t="s">
        <v>195</v>
      </c>
      <c r="J929" t="s">
        <v>400</v>
      </c>
      <c r="K929" s="15">
        <v>0.5</v>
      </c>
      <c r="L929" s="15" t="s">
        <v>401</v>
      </c>
      <c r="M929" s="15">
        <v>0.60625</v>
      </c>
      <c r="N929" t="s">
        <v>148</v>
      </c>
      <c r="O929" s="20" t="str">
        <f t="shared" si="99"/>
        <v>不正确</v>
      </c>
      <c r="P929" s="21">
        <v>0</v>
      </c>
      <c r="Q929" s="21">
        <v>0</v>
      </c>
      <c r="R929" s="21">
        <v>0</v>
      </c>
      <c r="S929" s="21">
        <f t="shared" si="100"/>
        <v>0</v>
      </c>
      <c r="T929" s="21">
        <f t="shared" si="101"/>
        <v>0</v>
      </c>
      <c r="U929" s="21" t="str">
        <f t="shared" si="102"/>
        <v>否</v>
      </c>
      <c r="V929" s="21">
        <f>VLOOKUP($C929,[4]Sheet1!$B:$AN,39,FALSE)</f>
        <v>0</v>
      </c>
      <c r="W929" s="21">
        <v>0</v>
      </c>
      <c r="X929" s="23">
        <v>1</v>
      </c>
      <c r="Y929" s="23">
        <v>4</v>
      </c>
      <c r="Z929" s="25">
        <f t="shared" si="103"/>
        <v>3</v>
      </c>
      <c r="AA929" s="25" t="str">
        <f t="shared" si="104"/>
        <v>是</v>
      </c>
      <c r="AB929" t="s">
        <v>148</v>
      </c>
      <c r="AC929" t="e">
        <f>VLOOKUP(C929,[1]Sheet1!$C:$O,13,FALSE)</f>
        <v>#N/A</v>
      </c>
      <c r="AD929" t="str">
        <f>VLOOKUP($H929,'[3]0509人员排班情况 副本'!$G:$U,12,FALSE)</f>
        <v>孙可君Monica（Kejun Sun）</v>
      </c>
      <c r="AE929" t="str">
        <f>VLOOKUP($H929,'[3]0509人员排班情况 副本'!$G:$U,13,FALSE)</f>
        <v>马聪Cong (Cong Ma)</v>
      </c>
      <c r="AF929" t="str">
        <f>VLOOKUP($H929,'[3]0509人员排班情况 副本'!$G:$U,14,FALSE)</f>
        <v>朱晗宇 Peter (Hanyu Zhu)</v>
      </c>
      <c r="AG929">
        <f>VLOOKUP($H929,'[3]0509人员排班情况 副本'!$G:$U,15,FALSE)</f>
        <v>0</v>
      </c>
    </row>
    <row r="930" customHeight="1" spans="1:33">
      <c r="A930" t="s">
        <v>202</v>
      </c>
      <c r="B930" t="s">
        <v>2750</v>
      </c>
      <c r="C930" t="s">
        <v>2751</v>
      </c>
      <c r="D930" t="s">
        <v>100</v>
      </c>
      <c r="E930" t="s">
        <v>29</v>
      </c>
      <c r="F930" t="s">
        <v>200</v>
      </c>
      <c r="H930" t="str">
        <f t="shared" si="98"/>
        <v>WE 美西大区运营支持部区域支持组</v>
      </c>
      <c r="I930" t="s">
        <v>201</v>
      </c>
      <c r="J930" t="s">
        <v>236</v>
      </c>
      <c r="K930" s="15">
        <v>0.395833333333333</v>
      </c>
      <c r="L930" s="15" t="s">
        <v>218</v>
      </c>
      <c r="M930" s="15">
        <v>0.355555555555556</v>
      </c>
      <c r="N930" t="s">
        <v>1598</v>
      </c>
      <c r="O930" s="20" t="str">
        <f t="shared" si="99"/>
        <v>正确</v>
      </c>
      <c r="P930" s="21">
        <v>0</v>
      </c>
      <c r="Q930" s="21">
        <v>9.13</v>
      </c>
      <c r="R930" s="21">
        <v>0</v>
      </c>
      <c r="S930" s="21">
        <f t="shared" si="100"/>
        <v>9.13</v>
      </c>
      <c r="T930" s="21">
        <f t="shared" si="101"/>
        <v>1.13</v>
      </c>
      <c r="U930" s="21" t="str">
        <f t="shared" si="102"/>
        <v>是</v>
      </c>
      <c r="V930" s="21">
        <f>VLOOKUP($C930,[4]Sheet1!$B:$AN,39,FALSE)</f>
        <v>18.33</v>
      </c>
      <c r="W930" s="21">
        <v>0</v>
      </c>
      <c r="X930" s="23">
        <v>4</v>
      </c>
      <c r="Y930" s="23">
        <v>4</v>
      </c>
      <c r="Z930" s="25">
        <f t="shared" si="103"/>
        <v>0</v>
      </c>
      <c r="AA930" s="25" t="str">
        <f t="shared" si="104"/>
        <v>是</v>
      </c>
      <c r="AB930" t="s">
        <v>148</v>
      </c>
      <c r="AC930" t="e">
        <f>VLOOKUP(C930,[1]Sheet1!$C:$O,13,FALSE)</f>
        <v>#N/A</v>
      </c>
      <c r="AD930" t="str">
        <f>VLOOKUP($H930,'[3]0509人员排班情况 副本'!$G:$U,12,FALSE)</f>
        <v>王骞Ariel（Qian Wang）,叶秀芳Freya (Xiufang Ye)</v>
      </c>
      <c r="AE930" t="str">
        <f>VLOOKUP($H930,'[3]0509人员排班情况 副本'!$G:$U,13,FALSE)</f>
        <v>常哲</v>
      </c>
      <c r="AF930">
        <f>VLOOKUP($H930,'[3]0509人员排班情况 副本'!$G:$U,14,FALSE)</f>
        <v>0</v>
      </c>
      <c r="AG930">
        <f>VLOOKUP($H930,'[3]0509人员排班情况 副本'!$G:$U,15,FALSE)</f>
        <v>0</v>
      </c>
    </row>
    <row r="931" customHeight="1" spans="1:33">
      <c r="A931" t="s">
        <v>202</v>
      </c>
      <c r="B931" t="s">
        <v>2752</v>
      </c>
      <c r="C931" t="s">
        <v>2753</v>
      </c>
      <c r="D931" t="s">
        <v>99</v>
      </c>
      <c r="E931" t="s">
        <v>677</v>
      </c>
      <c r="F931" t="s">
        <v>1083</v>
      </c>
      <c r="H931" t="str">
        <f t="shared" si="98"/>
        <v>US人力资源部美洲HRBP组东北区HR组</v>
      </c>
      <c r="I931" t="s">
        <v>865</v>
      </c>
      <c r="J931" t="s">
        <v>236</v>
      </c>
      <c r="K931" s="15">
        <v>0.395833333333333</v>
      </c>
      <c r="L931" s="15" t="s">
        <v>218</v>
      </c>
      <c r="M931" s="15">
        <v>0.407638888888889</v>
      </c>
      <c r="N931" t="s">
        <v>1167</v>
      </c>
      <c r="O931" s="20" t="str">
        <f t="shared" si="99"/>
        <v>正确</v>
      </c>
      <c r="P931" s="21">
        <v>0</v>
      </c>
      <c r="Q931" s="21">
        <v>8.28</v>
      </c>
      <c r="R931" s="21">
        <v>0</v>
      </c>
      <c r="S931" s="21">
        <f t="shared" si="100"/>
        <v>8.28</v>
      </c>
      <c r="T931" s="21">
        <f t="shared" si="101"/>
        <v>0.279999999999999</v>
      </c>
      <c r="U931" s="21" t="str">
        <f t="shared" si="102"/>
        <v>是</v>
      </c>
      <c r="V931" s="21">
        <f>VLOOKUP($C931,[4]Sheet1!$B:$AN,39,FALSE)</f>
        <v>16.61</v>
      </c>
      <c r="W931" s="21">
        <v>0</v>
      </c>
      <c r="X931" s="23">
        <v>2</v>
      </c>
      <c r="Y931" s="23">
        <v>4</v>
      </c>
      <c r="Z931" s="25">
        <f t="shared" si="103"/>
        <v>2</v>
      </c>
      <c r="AA931" s="25" t="str">
        <f t="shared" si="104"/>
        <v>是</v>
      </c>
      <c r="AB931" t="s">
        <v>148</v>
      </c>
      <c r="AC931" t="e">
        <f>VLOOKUP(C931,[1]Sheet1!$C:$O,13,FALSE)</f>
        <v>#N/A</v>
      </c>
      <c r="AD931" t="str">
        <f>VLOOKUP($H931,'[3]0509人员排班情况 副本'!$G:$U,12,FALSE)</f>
        <v>袁博闻(Bowen Yuan)</v>
      </c>
      <c r="AE931">
        <f>VLOOKUP($H931,'[3]0509人员排班情况 副本'!$G:$U,13,FALSE)</f>
        <v>0</v>
      </c>
      <c r="AF931">
        <f>VLOOKUP($H931,'[3]0509人员排班情况 副本'!$G:$U,14,FALSE)</f>
        <v>0</v>
      </c>
      <c r="AG931">
        <f>VLOOKUP($H931,'[3]0509人员排班情况 副本'!$G:$U,15,FALSE)</f>
        <v>0</v>
      </c>
    </row>
    <row r="932" customHeight="1" spans="1:33">
      <c r="A932" t="s">
        <v>202</v>
      </c>
      <c r="B932" t="s">
        <v>2754</v>
      </c>
      <c r="C932" t="s">
        <v>2755</v>
      </c>
      <c r="D932" t="s">
        <v>15</v>
      </c>
      <c r="E932" t="s">
        <v>20</v>
      </c>
      <c r="F932" t="s">
        <v>166</v>
      </c>
      <c r="G932" t="s">
        <v>112</v>
      </c>
      <c r="H932" t="str">
        <f t="shared" si="98"/>
        <v>FL 佛州大区MIA.H综办组</v>
      </c>
      <c r="I932" t="s">
        <v>167</v>
      </c>
      <c r="J932" t="s">
        <v>217</v>
      </c>
      <c r="K932" s="15">
        <v>0.395833333333333</v>
      </c>
      <c r="L932" s="15" t="s">
        <v>218</v>
      </c>
      <c r="M932" s="15"/>
      <c r="N932" t="s">
        <v>148</v>
      </c>
      <c r="O932" s="20" t="s">
        <v>116</v>
      </c>
      <c r="P932" s="21">
        <v>0</v>
      </c>
      <c r="Q932" s="21">
        <v>0</v>
      </c>
      <c r="R932" s="21">
        <v>0</v>
      </c>
      <c r="S932" s="21">
        <f t="shared" si="100"/>
        <v>0</v>
      </c>
      <c r="T932" s="21">
        <f t="shared" si="101"/>
        <v>0</v>
      </c>
      <c r="U932" s="21" t="str">
        <f t="shared" si="102"/>
        <v>否</v>
      </c>
      <c r="V932" s="21">
        <f>VLOOKUP($C932,[4]Sheet1!$B:$AN,39,FALSE)</f>
        <v>0</v>
      </c>
      <c r="W932" s="21">
        <v>0</v>
      </c>
      <c r="X932" s="23">
        <v>0</v>
      </c>
      <c r="Y932" s="23">
        <v>0</v>
      </c>
      <c r="Z932" s="25">
        <f t="shared" si="103"/>
        <v>0</v>
      </c>
      <c r="AA932" s="25" t="str">
        <f t="shared" si="104"/>
        <v>是</v>
      </c>
      <c r="AB932" t="s">
        <v>148</v>
      </c>
      <c r="AC932" t="e">
        <f>VLOOKUP(C932,[1]Sheet1!$C:$O,13,FALSE)</f>
        <v>#N/A</v>
      </c>
      <c r="AD932" t="str">
        <f>VLOOKUP($H932,'[3]0509人员排班情况 副本'!$G:$U,12,FALSE)</f>
        <v>Natalia (Natalia Padilla),孙婕 Jasmine（Sunjie）</v>
      </c>
      <c r="AE932" t="str">
        <f>VLOOKUP($H932,'[3]0509人员排班情况 副本'!$G:$U,13,FALSE)</f>
        <v>贺子强Jeff (Ziqiang He)</v>
      </c>
      <c r="AF932" t="str">
        <f>VLOOKUP($H932,'[3]0509人员排班情况 副本'!$G:$U,14,FALSE)</f>
        <v>Minqing (Minqing Xu),罗煜雄 Mike (Yuxiong Luo)</v>
      </c>
      <c r="AG932">
        <f>VLOOKUP($H932,'[3]0509人员排班情况 副本'!$G:$U,15,FALSE)</f>
        <v>0</v>
      </c>
    </row>
    <row r="933" customHeight="1" spans="1:33">
      <c r="A933" t="s">
        <v>202</v>
      </c>
      <c r="B933" t="s">
        <v>2756</v>
      </c>
      <c r="C933" t="s">
        <v>2757</v>
      </c>
      <c r="D933" t="s">
        <v>100</v>
      </c>
      <c r="E933" t="s">
        <v>101</v>
      </c>
      <c r="F933" t="s">
        <v>850</v>
      </c>
      <c r="G933" t="s">
        <v>112</v>
      </c>
      <c r="H933" t="str">
        <f t="shared" si="98"/>
        <v>WE 美西大区CNO.H维保组</v>
      </c>
      <c r="I933" t="s">
        <v>851</v>
      </c>
      <c r="J933" t="s">
        <v>437</v>
      </c>
      <c r="K933" s="15">
        <v>0.229166666666667</v>
      </c>
      <c r="L933" s="15" t="s">
        <v>438</v>
      </c>
      <c r="M933" s="15">
        <v>0.207638888888889</v>
      </c>
      <c r="N933" t="s">
        <v>2758</v>
      </c>
      <c r="O933" s="20" t="str">
        <f t="shared" si="99"/>
        <v>正确</v>
      </c>
      <c r="P933" s="21">
        <v>0</v>
      </c>
      <c r="Q933" s="21">
        <v>8.75</v>
      </c>
      <c r="R933" s="21">
        <v>0</v>
      </c>
      <c r="S933" s="21">
        <f t="shared" si="100"/>
        <v>8.75</v>
      </c>
      <c r="T933" s="21">
        <f t="shared" si="101"/>
        <v>0.75</v>
      </c>
      <c r="U933" s="21" t="str">
        <f t="shared" si="102"/>
        <v>是</v>
      </c>
      <c r="V933" s="21">
        <f>VLOOKUP($C933,[4]Sheet1!$B:$AN,39,FALSE)</f>
        <v>8.75</v>
      </c>
      <c r="W933" s="21">
        <v>0</v>
      </c>
      <c r="X933" s="23">
        <v>4</v>
      </c>
      <c r="Y933" s="23">
        <v>4</v>
      </c>
      <c r="Z933" s="25">
        <f t="shared" si="103"/>
        <v>0</v>
      </c>
      <c r="AA933" s="25" t="str">
        <f t="shared" si="104"/>
        <v>是</v>
      </c>
      <c r="AB933" t="s">
        <v>148</v>
      </c>
      <c r="AC933" t="e">
        <f>VLOOKUP(C933,[1]Sheet1!$C:$O,13,FALSE)</f>
        <v>#N/A</v>
      </c>
      <c r="AD933" t="str">
        <f>VLOOKUP($H933,'[3]0509人员排班情况 副本'!$G:$U,12,FALSE)</f>
        <v>王骞Ariel（Qian Wang）,叶秀芳Freya (Xiufang Ye)</v>
      </c>
      <c r="AE933" t="str">
        <f>VLOOKUP($H933,'[3]0509人员排班情况 副本'!$G:$U,13,FALSE)</f>
        <v>常哲</v>
      </c>
      <c r="AF933" t="str">
        <f>VLOOKUP($H933,'[3]0509人员排班情况 副本'!$G:$U,14,FALSE)</f>
        <v>章峻铭 J (Junming Zhang)</v>
      </c>
      <c r="AG933">
        <f>VLOOKUP($H933,'[3]0509人员排班情况 副本'!$G:$U,15,FALSE)</f>
        <v>0</v>
      </c>
    </row>
    <row r="934" customHeight="1" spans="1:33">
      <c r="A934" t="s">
        <v>202</v>
      </c>
      <c r="B934" t="s">
        <v>2759</v>
      </c>
      <c r="C934" t="s">
        <v>2760</v>
      </c>
      <c r="D934" t="s">
        <v>99</v>
      </c>
      <c r="E934" t="s">
        <v>677</v>
      </c>
      <c r="F934" t="s">
        <v>1083</v>
      </c>
      <c r="H934" t="str">
        <f t="shared" si="98"/>
        <v>US人力资源部美洲HRBP组东北区HR组</v>
      </c>
      <c r="I934" t="s">
        <v>988</v>
      </c>
      <c r="J934" t="s">
        <v>236</v>
      </c>
      <c r="K934" s="15">
        <v>0.395833333333333</v>
      </c>
      <c r="L934" s="15" t="s">
        <v>218</v>
      </c>
      <c r="M934" s="15">
        <v>0.4</v>
      </c>
      <c r="N934" t="s">
        <v>491</v>
      </c>
      <c r="O934" s="20" t="str">
        <f t="shared" si="99"/>
        <v>正确</v>
      </c>
      <c r="P934" s="21">
        <v>0</v>
      </c>
      <c r="Q934" s="21">
        <v>8.9</v>
      </c>
      <c r="R934" s="21">
        <v>0</v>
      </c>
      <c r="S934" s="21">
        <f t="shared" si="100"/>
        <v>8.9</v>
      </c>
      <c r="T934" s="21">
        <f t="shared" si="101"/>
        <v>0.9</v>
      </c>
      <c r="U934" s="21" t="str">
        <f t="shared" si="102"/>
        <v>是</v>
      </c>
      <c r="V934" s="21">
        <f>VLOOKUP($C934,[4]Sheet1!$B:$AN,39,FALSE)</f>
        <v>17.18</v>
      </c>
      <c r="W934" s="21">
        <v>0</v>
      </c>
      <c r="X934" s="23">
        <v>2</v>
      </c>
      <c r="Y934" s="23">
        <v>4</v>
      </c>
      <c r="Z934" s="25">
        <f t="shared" si="103"/>
        <v>2</v>
      </c>
      <c r="AA934" s="25" t="str">
        <f t="shared" si="104"/>
        <v>是</v>
      </c>
      <c r="AB934" t="s">
        <v>148</v>
      </c>
      <c r="AC934" t="e">
        <f>VLOOKUP(C934,[1]Sheet1!$C:$O,13,FALSE)</f>
        <v>#N/A</v>
      </c>
      <c r="AD934" t="str">
        <f>VLOOKUP($H934,'[3]0509人员排班情况 副本'!$G:$U,12,FALSE)</f>
        <v>袁博闻(Bowen Yuan)</v>
      </c>
      <c r="AE934">
        <f>VLOOKUP($H934,'[3]0509人员排班情况 副本'!$G:$U,13,FALSE)</f>
        <v>0</v>
      </c>
      <c r="AF934">
        <f>VLOOKUP($H934,'[3]0509人员排班情况 副本'!$G:$U,14,FALSE)</f>
        <v>0</v>
      </c>
      <c r="AG934">
        <f>VLOOKUP($H934,'[3]0509人员排班情况 副本'!$G:$U,15,FALSE)</f>
        <v>0</v>
      </c>
    </row>
    <row r="935" customHeight="1" spans="1:33">
      <c r="A935" t="s">
        <v>202</v>
      </c>
      <c r="B935" t="s">
        <v>2761</v>
      </c>
      <c r="C935" t="s">
        <v>2762</v>
      </c>
      <c r="D935" t="s">
        <v>14</v>
      </c>
      <c r="E935" t="s">
        <v>645</v>
      </c>
      <c r="F935" t="s">
        <v>148</v>
      </c>
      <c r="H935" t="str">
        <f t="shared" si="98"/>
        <v>DO 数字运营部美国技术支持组</v>
      </c>
      <c r="I935" t="s">
        <v>646</v>
      </c>
      <c r="J935" t="s">
        <v>221</v>
      </c>
      <c r="K935" s="15">
        <v>0.208333333333333</v>
      </c>
      <c r="L935" s="15" t="s">
        <v>222</v>
      </c>
      <c r="M935" s="15">
        <v>0.208333333333333</v>
      </c>
      <c r="N935" t="s">
        <v>2763</v>
      </c>
      <c r="O935" s="20" t="str">
        <f t="shared" si="99"/>
        <v>正确</v>
      </c>
      <c r="P935" s="21">
        <v>0</v>
      </c>
      <c r="Q935" s="21">
        <v>11.1</v>
      </c>
      <c r="R935" s="21">
        <v>0</v>
      </c>
      <c r="S935" s="21">
        <f t="shared" si="100"/>
        <v>11.1</v>
      </c>
      <c r="T935" s="21">
        <f t="shared" si="101"/>
        <v>3.1</v>
      </c>
      <c r="U935" s="21" t="str">
        <f t="shared" si="102"/>
        <v>是</v>
      </c>
      <c r="V935" s="21">
        <f>VLOOKUP($C935,[4]Sheet1!$B:$AN,39,FALSE)</f>
        <v>11.1</v>
      </c>
      <c r="W935" s="21">
        <v>0</v>
      </c>
      <c r="X935" s="23">
        <v>5</v>
      </c>
      <c r="Y935" s="23">
        <v>4</v>
      </c>
      <c r="Z935" s="25">
        <f t="shared" si="103"/>
        <v>0</v>
      </c>
      <c r="AA935" s="25" t="str">
        <f t="shared" si="104"/>
        <v>是</v>
      </c>
      <c r="AB935" t="s">
        <v>148</v>
      </c>
      <c r="AC935" t="e">
        <f>VLOOKUP(C935,[1]Sheet1!$C:$O,13,FALSE)</f>
        <v>#N/A</v>
      </c>
      <c r="AD935" t="str">
        <f>VLOOKUP($H935,'[3]0509人员排班情况 副本'!$G:$U,12,FALSE)</f>
        <v>袁博闻(Bowen Yuan)</v>
      </c>
      <c r="AE935">
        <f>VLOOKUP($H935,'[3]0509人员排班情况 副本'!$G:$U,13,FALSE)</f>
        <v>0</v>
      </c>
      <c r="AF935">
        <f>VLOOKUP($H935,'[3]0509人员排班情况 副本'!$G:$U,14,FALSE)</f>
        <v>0</v>
      </c>
      <c r="AG935">
        <f>VLOOKUP($H935,'[3]0509人员排班情况 副本'!$G:$U,15,FALSE)</f>
        <v>0</v>
      </c>
    </row>
    <row r="936" customHeight="1" spans="1:33">
      <c r="A936" t="s">
        <v>202</v>
      </c>
      <c r="B936" t="s">
        <v>2764</v>
      </c>
      <c r="C936" t="s">
        <v>2765</v>
      </c>
      <c r="D936" t="s">
        <v>100</v>
      </c>
      <c r="E936" t="s">
        <v>103</v>
      </c>
      <c r="F936" t="s">
        <v>850</v>
      </c>
      <c r="G936" t="s">
        <v>112</v>
      </c>
      <c r="H936" t="str">
        <f t="shared" si="98"/>
        <v>WE 美西大区LAV.H维保组</v>
      </c>
      <c r="I936" t="s">
        <v>2496</v>
      </c>
      <c r="J936" t="s">
        <v>1152</v>
      </c>
      <c r="K936" s="15">
        <v>0.375</v>
      </c>
      <c r="L936" s="15" t="s">
        <v>218</v>
      </c>
      <c r="M936" s="15"/>
      <c r="N936" t="s">
        <v>148</v>
      </c>
      <c r="O936" s="20" t="s">
        <v>116</v>
      </c>
      <c r="P936" s="21">
        <v>0</v>
      </c>
      <c r="Q936" s="21">
        <v>0</v>
      </c>
      <c r="R936" s="21">
        <v>0</v>
      </c>
      <c r="S936" s="21">
        <f t="shared" si="100"/>
        <v>0</v>
      </c>
      <c r="T936" s="21">
        <f t="shared" si="101"/>
        <v>0</v>
      </c>
      <c r="U936" s="21" t="str">
        <f t="shared" si="102"/>
        <v>否</v>
      </c>
      <c r="V936" s="21">
        <f>VLOOKUP($C936,[4]Sheet1!$B:$AN,39,FALSE)</f>
        <v>0</v>
      </c>
      <c r="W936" s="21">
        <v>0</v>
      </c>
      <c r="X936" s="23">
        <v>0</v>
      </c>
      <c r="Y936" s="23">
        <v>0</v>
      </c>
      <c r="Z936" s="25">
        <f t="shared" si="103"/>
        <v>0</v>
      </c>
      <c r="AA936" s="25" t="str">
        <f t="shared" si="104"/>
        <v>是</v>
      </c>
      <c r="AB936" t="s">
        <v>148</v>
      </c>
      <c r="AC936" t="e">
        <f>VLOOKUP(C936,[1]Sheet1!$C:$O,13,FALSE)</f>
        <v>#N/A</v>
      </c>
      <c r="AD936" t="str">
        <f>VLOOKUP($H936,'[3]0509人员排班情况 副本'!$G:$U,12,FALSE)</f>
        <v>王骞Ariel（Qian Wang）,叶秀芳Freya (Xiufang Ye)</v>
      </c>
      <c r="AE936" t="str">
        <f>VLOOKUP($H936,'[3]0509人员排班情况 副本'!$G:$U,13,FALSE)</f>
        <v>常哲</v>
      </c>
      <c r="AF936" t="str">
        <f>VLOOKUP($H936,'[3]0509人员排班情况 副本'!$G:$U,14,FALSE)</f>
        <v>章峻铭 J (Junming Zhang)</v>
      </c>
      <c r="AG936">
        <f>VLOOKUP($H936,'[3]0509人员排班情况 副本'!$G:$U,15,FALSE)</f>
        <v>0</v>
      </c>
    </row>
    <row r="937" customHeight="1" spans="1:33">
      <c r="A937" t="s">
        <v>202</v>
      </c>
      <c r="B937" t="s">
        <v>2766</v>
      </c>
      <c r="C937" t="s">
        <v>2767</v>
      </c>
      <c r="D937" t="s">
        <v>100</v>
      </c>
      <c r="E937" t="s">
        <v>44</v>
      </c>
      <c r="F937" t="s">
        <v>148</v>
      </c>
      <c r="H937" t="str">
        <f t="shared" si="98"/>
        <v>WE 美西大区车辆管理部</v>
      </c>
      <c r="I937" t="s">
        <v>769</v>
      </c>
      <c r="J937" t="s">
        <v>236</v>
      </c>
      <c r="K937" s="15">
        <v>0.395833333333333</v>
      </c>
      <c r="L937" s="15" t="s">
        <v>218</v>
      </c>
      <c r="M937" s="15">
        <v>0.386805555555556</v>
      </c>
      <c r="N937" t="s">
        <v>2768</v>
      </c>
      <c r="O937" s="20" t="str">
        <f t="shared" si="99"/>
        <v>正确</v>
      </c>
      <c r="P937" s="21">
        <v>0</v>
      </c>
      <c r="Q937" s="21">
        <v>10.3</v>
      </c>
      <c r="R937" s="21">
        <v>0</v>
      </c>
      <c r="S937" s="21">
        <f t="shared" si="100"/>
        <v>10.3</v>
      </c>
      <c r="T937" s="21">
        <f t="shared" si="101"/>
        <v>2.3</v>
      </c>
      <c r="U937" s="21" t="str">
        <f t="shared" si="102"/>
        <v>是</v>
      </c>
      <c r="V937" s="21">
        <f>VLOOKUP($C937,[4]Sheet1!$B:$AN,39,FALSE)</f>
        <v>21.35</v>
      </c>
      <c r="W937" s="21">
        <v>0</v>
      </c>
      <c r="X937" s="23">
        <v>4</v>
      </c>
      <c r="Y937" s="23">
        <v>4</v>
      </c>
      <c r="Z937" s="25">
        <f t="shared" si="103"/>
        <v>0</v>
      </c>
      <c r="AA937" s="25" t="str">
        <f t="shared" si="104"/>
        <v>是</v>
      </c>
      <c r="AB937" t="s">
        <v>148</v>
      </c>
      <c r="AC937" t="e">
        <f>VLOOKUP(C937,[1]Sheet1!$C:$O,13,FALSE)</f>
        <v>#N/A</v>
      </c>
      <c r="AD937" t="str">
        <f>VLOOKUP($H937,'[3]0509人员排班情况 副本'!$G:$U,12,FALSE)</f>
        <v>王骞Ariel（Qian Wang）,叶秀芳Freya (Xiufang Ye)</v>
      </c>
      <c r="AE937" t="str">
        <f>VLOOKUP($H937,'[3]0509人员排班情况 副本'!$G:$U,13,FALSE)</f>
        <v>常哲</v>
      </c>
      <c r="AF937">
        <f>VLOOKUP($H937,'[3]0509人员排班情况 副本'!$G:$U,14,FALSE)</f>
        <v>0</v>
      </c>
      <c r="AG937">
        <f>VLOOKUP($H937,'[3]0509人员排班情况 副本'!$G:$U,15,FALSE)</f>
        <v>0</v>
      </c>
    </row>
    <row r="938" customHeight="1" spans="1:33">
      <c r="A938" t="s">
        <v>202</v>
      </c>
      <c r="B938" t="s">
        <v>2769</v>
      </c>
      <c r="C938" t="s">
        <v>2770</v>
      </c>
      <c r="D938" t="s">
        <v>48</v>
      </c>
      <c r="E938" t="s">
        <v>51</v>
      </c>
      <c r="F938" t="s">
        <v>806</v>
      </c>
      <c r="H938" t="str">
        <f t="shared" si="98"/>
        <v>Ground项目部OG 美西区LA900</v>
      </c>
      <c r="I938" t="s">
        <v>177</v>
      </c>
      <c r="J938" t="s">
        <v>2488</v>
      </c>
      <c r="K938" s="15">
        <v>0.645833333333333</v>
      </c>
      <c r="L938" s="15" t="s">
        <v>2489</v>
      </c>
      <c r="M938" s="15">
        <v>0.63125</v>
      </c>
      <c r="N938" t="s">
        <v>148</v>
      </c>
      <c r="O938" s="20" t="str">
        <f t="shared" si="99"/>
        <v>正确</v>
      </c>
      <c r="P938" s="21">
        <v>0</v>
      </c>
      <c r="Q938" s="21">
        <v>0</v>
      </c>
      <c r="R938" s="21">
        <v>0</v>
      </c>
      <c r="S938" s="21">
        <f t="shared" si="100"/>
        <v>0</v>
      </c>
      <c r="T938" s="21">
        <f t="shared" si="101"/>
        <v>0</v>
      </c>
      <c r="U938" s="21" t="str">
        <f t="shared" si="102"/>
        <v>否</v>
      </c>
      <c r="V938" s="21">
        <f>VLOOKUP($C938,[4]Sheet1!$B:$AN,39,FALSE)</f>
        <v>0</v>
      </c>
      <c r="W938" s="21">
        <v>0</v>
      </c>
      <c r="X938" s="23">
        <v>3</v>
      </c>
      <c r="Y938" s="23">
        <v>4</v>
      </c>
      <c r="Z938" s="25">
        <f t="shared" si="103"/>
        <v>1</v>
      </c>
      <c r="AA938" s="25" t="str">
        <f t="shared" si="104"/>
        <v>是</v>
      </c>
      <c r="AB938" t="s">
        <v>148</v>
      </c>
      <c r="AC938" t="e">
        <f>VLOOKUP(C938,[1]Sheet1!$C:$O,13,FALSE)</f>
        <v>#N/A</v>
      </c>
      <c r="AD938" t="str">
        <f>VLOOKUP($H938,'[3]0509人员排班情况 副本'!$G:$U,12,FALSE)</f>
        <v>王安琪 (Anqi Wang),张朱同 Thomson（Zhutong Zhang）</v>
      </c>
      <c r="AE938" t="str">
        <f>VLOOKUP($H938,'[3]0509人员排班情况 副本'!$G:$U,13,FALSE)</f>
        <v>陈锦昭</v>
      </c>
      <c r="AF938" t="str">
        <f>VLOOKUP($H938,'[3]0509人员排班情况 副本'!$G:$U,14,FALSE)</f>
        <v>刘俊甜Verity（Juntian Liu）</v>
      </c>
      <c r="AG938">
        <f>VLOOKUP($H938,'[3]0509人员排班情况 副本'!$G:$U,15,FALSE)</f>
        <v>0</v>
      </c>
    </row>
    <row r="939" customHeight="1" spans="1:33">
      <c r="A939" t="s">
        <v>202</v>
      </c>
      <c r="B939" t="s">
        <v>2771</v>
      </c>
      <c r="C939" t="s">
        <v>2772</v>
      </c>
      <c r="D939" t="s">
        <v>31</v>
      </c>
      <c r="E939" t="s">
        <v>38</v>
      </c>
      <c r="F939" t="s">
        <v>148</v>
      </c>
      <c r="H939" t="str">
        <f t="shared" si="98"/>
        <v>GL 大湖大区MCI01</v>
      </c>
      <c r="I939" t="s">
        <v>687</v>
      </c>
      <c r="J939" t="s">
        <v>217</v>
      </c>
      <c r="K939" s="15">
        <v>0.395833333333333</v>
      </c>
      <c r="L939" s="15" t="s">
        <v>218</v>
      </c>
      <c r="M939" s="15"/>
      <c r="N939" t="s">
        <v>148</v>
      </c>
      <c r="O939" s="20" t="s">
        <v>116</v>
      </c>
      <c r="P939" s="21">
        <v>0</v>
      </c>
      <c r="Q939" s="21">
        <v>0</v>
      </c>
      <c r="R939" s="21">
        <v>0</v>
      </c>
      <c r="S939" s="21">
        <f t="shared" si="100"/>
        <v>0</v>
      </c>
      <c r="T939" s="21">
        <f t="shared" si="101"/>
        <v>0</v>
      </c>
      <c r="U939" s="21" t="str">
        <f t="shared" si="102"/>
        <v>否</v>
      </c>
      <c r="V939" s="21">
        <f>VLOOKUP($C939,[4]Sheet1!$B:$AN,39,FALSE)</f>
        <v>0</v>
      </c>
      <c r="W939" s="21">
        <v>0</v>
      </c>
      <c r="X939" s="23">
        <v>0</v>
      </c>
      <c r="Y939" s="23">
        <v>0</v>
      </c>
      <c r="Z939" s="25">
        <f t="shared" si="103"/>
        <v>0</v>
      </c>
      <c r="AA939" s="25" t="str">
        <f t="shared" si="104"/>
        <v>是</v>
      </c>
      <c r="AB939" t="s">
        <v>148</v>
      </c>
      <c r="AC939" t="e">
        <f>VLOOKUP(C939,[1]Sheet1!$C:$O,13,FALSE)</f>
        <v>#N/A</v>
      </c>
      <c r="AD939" t="str">
        <f>VLOOKUP($H939,'[3]0509人员排班情况 副本'!$G:$U,12,FALSE)</f>
        <v>王晓丹 Jasmine（Xiaodan Wang）,周延舒Isabel（Yanshu Zhou）</v>
      </c>
      <c r="AE939" t="str">
        <f>VLOOKUP($H939,'[3]0509人员排班情况 副本'!$G:$U,13,FALSE)</f>
        <v>张骥Ji Zhang (Ji Zhang)</v>
      </c>
      <c r="AF939">
        <f>VLOOKUP($H939,'[3]0509人员排班情况 副本'!$G:$U,14,FALSE)</f>
        <v>0</v>
      </c>
      <c r="AG939">
        <f>VLOOKUP($H939,'[3]0509人员排班情况 副本'!$G:$U,15,FALSE)</f>
        <v>0</v>
      </c>
    </row>
    <row r="940" customHeight="1" spans="1:33">
      <c r="A940" t="s">
        <v>202</v>
      </c>
      <c r="B940" t="s">
        <v>2773</v>
      </c>
      <c r="C940" t="s">
        <v>2774</v>
      </c>
      <c r="D940" t="s">
        <v>100</v>
      </c>
      <c r="E940" t="s">
        <v>103</v>
      </c>
      <c r="F940" t="s">
        <v>574</v>
      </c>
      <c r="G940" t="s">
        <v>112</v>
      </c>
      <c r="H940" t="str">
        <f t="shared" si="98"/>
        <v>WE 美西大区LAV.H合流合包组</v>
      </c>
      <c r="I940" t="s">
        <v>156</v>
      </c>
      <c r="J940" t="s">
        <v>882</v>
      </c>
      <c r="K940" s="15">
        <v>0.5625</v>
      </c>
      <c r="L940" s="15" t="s">
        <v>836</v>
      </c>
      <c r="M940" s="15">
        <v>0.560416666666667</v>
      </c>
      <c r="N940" t="s">
        <v>2775</v>
      </c>
      <c r="O940" s="20" t="str">
        <f t="shared" si="99"/>
        <v>正确</v>
      </c>
      <c r="P940" s="21">
        <v>0</v>
      </c>
      <c r="Q940" s="21">
        <v>8.32</v>
      </c>
      <c r="R940" s="21">
        <v>0</v>
      </c>
      <c r="S940" s="21">
        <f t="shared" si="100"/>
        <v>8.32</v>
      </c>
      <c r="T940" s="21">
        <f t="shared" si="101"/>
        <v>0.32</v>
      </c>
      <c r="U940" s="21" t="str">
        <f t="shared" si="102"/>
        <v>是</v>
      </c>
      <c r="V940" s="21">
        <f>VLOOKUP($C940,[4]Sheet1!$B:$AN,39,FALSE)</f>
        <v>16.85</v>
      </c>
      <c r="W940" s="21">
        <v>8.87</v>
      </c>
      <c r="X940" s="23">
        <v>4</v>
      </c>
      <c r="Y940" s="23">
        <v>4</v>
      </c>
      <c r="Z940" s="25">
        <f t="shared" si="103"/>
        <v>0</v>
      </c>
      <c r="AA940" s="25" t="str">
        <f t="shared" si="104"/>
        <v>是</v>
      </c>
      <c r="AB940" t="s">
        <v>148</v>
      </c>
      <c r="AC940" t="e">
        <f>VLOOKUP(C940,[1]Sheet1!$C:$O,13,FALSE)</f>
        <v>#N/A</v>
      </c>
      <c r="AD940" t="str">
        <f>VLOOKUP($H940,'[3]0509人员排班情况 副本'!$G:$U,12,FALSE)</f>
        <v>王骞Ariel（Qian Wang）,叶秀芳Freya (Xiufang Ye)</v>
      </c>
      <c r="AE940" t="str">
        <f>VLOOKUP($H940,'[3]0509人员排班情况 副本'!$G:$U,13,FALSE)</f>
        <v>常哲</v>
      </c>
      <c r="AF940" t="str">
        <f>VLOOKUP($H940,'[3]0509人员排班情况 副本'!$G:$U,14,FALSE)</f>
        <v>覃超群Jessica（Chaoqun Qin）</v>
      </c>
      <c r="AG940">
        <f>VLOOKUP($H940,'[3]0509人员排班情况 副本'!$G:$U,15,FALSE)</f>
        <v>0</v>
      </c>
    </row>
    <row r="941" customHeight="1" spans="1:33">
      <c r="A941" t="s">
        <v>202</v>
      </c>
      <c r="B941" t="s">
        <v>2776</v>
      </c>
      <c r="C941" t="s">
        <v>2777</v>
      </c>
      <c r="D941" t="s">
        <v>68</v>
      </c>
      <c r="E941" t="s">
        <v>85</v>
      </c>
      <c r="F941" t="s">
        <v>148</v>
      </c>
      <c r="H941" t="str">
        <f t="shared" si="98"/>
        <v>NE 东北大区RIC01</v>
      </c>
      <c r="I941" t="s">
        <v>177</v>
      </c>
      <c r="J941" t="s">
        <v>343</v>
      </c>
      <c r="K941" s="15">
        <v>0.25</v>
      </c>
      <c r="L941" s="15" t="s">
        <v>344</v>
      </c>
      <c r="M941" s="15">
        <v>0.25</v>
      </c>
      <c r="N941" t="s">
        <v>344</v>
      </c>
      <c r="O941" s="20" t="str">
        <f t="shared" si="99"/>
        <v>正确</v>
      </c>
      <c r="P941" s="21">
        <v>0</v>
      </c>
      <c r="Q941" s="21">
        <v>8</v>
      </c>
      <c r="R941" s="21">
        <v>0</v>
      </c>
      <c r="S941" s="21">
        <f t="shared" si="100"/>
        <v>8</v>
      </c>
      <c r="T941" s="21">
        <f t="shared" si="101"/>
        <v>0</v>
      </c>
      <c r="U941" s="21" t="str">
        <f t="shared" si="102"/>
        <v>否</v>
      </c>
      <c r="V941" s="21">
        <f>VLOOKUP($C941,[4]Sheet1!$B:$AN,39,FALSE)</f>
        <v>13.08</v>
      </c>
      <c r="W941" s="21">
        <v>0</v>
      </c>
      <c r="X941" s="23">
        <v>4</v>
      </c>
      <c r="Y941" s="23">
        <v>4</v>
      </c>
      <c r="Z941" s="25">
        <f t="shared" si="103"/>
        <v>0</v>
      </c>
      <c r="AA941" s="25" t="str">
        <f t="shared" si="104"/>
        <v>是</v>
      </c>
      <c r="AB941" t="s">
        <v>148</v>
      </c>
      <c r="AC941" t="e">
        <f>VLOOKUP(C941,[1]Sheet1!$C:$O,13,FALSE)</f>
        <v>#N/A</v>
      </c>
      <c r="AD941" t="str">
        <f>VLOOKUP($H941,'[3]0509人员排班情况 副本'!$G:$U,12,FALSE)</f>
        <v>孙可君Monica（Kejun Sun）</v>
      </c>
      <c r="AE941" t="str">
        <f>VLOOKUP($H941,'[3]0509人员排班情况 副本'!$G:$U,13,FALSE)</f>
        <v>马聪Cong (Cong Ma)</v>
      </c>
      <c r="AF941">
        <f>VLOOKUP($H941,'[3]0509人员排班情况 副本'!$G:$U,14,FALSE)</f>
        <v>0</v>
      </c>
      <c r="AG941">
        <f>VLOOKUP($H941,'[3]0509人员排班情况 副本'!$G:$U,15,FALSE)</f>
        <v>0</v>
      </c>
    </row>
    <row r="942" customHeight="1" spans="1:33">
      <c r="A942" t="s">
        <v>202</v>
      </c>
      <c r="B942" t="s">
        <v>2778</v>
      </c>
      <c r="C942" t="s">
        <v>2779</v>
      </c>
      <c r="D942" t="s">
        <v>31</v>
      </c>
      <c r="E942" t="s">
        <v>33</v>
      </c>
      <c r="F942" t="s">
        <v>34</v>
      </c>
      <c r="H942" t="str">
        <f t="shared" si="98"/>
        <v>GL 大湖大区CM 中西部中心片区CMH01</v>
      </c>
      <c r="I942" t="s">
        <v>406</v>
      </c>
      <c r="J942" t="s">
        <v>217</v>
      </c>
      <c r="K942" s="15">
        <v>0.395833333333333</v>
      </c>
      <c r="L942" s="15" t="s">
        <v>218</v>
      </c>
      <c r="M942" s="15">
        <v>0.449305555555556</v>
      </c>
      <c r="N942" t="s">
        <v>2780</v>
      </c>
      <c r="O942" s="20" t="str">
        <f t="shared" si="99"/>
        <v>不正确</v>
      </c>
      <c r="P942" s="21">
        <v>0</v>
      </c>
      <c r="Q942" s="21">
        <v>3.22</v>
      </c>
      <c r="R942" s="21">
        <v>0</v>
      </c>
      <c r="S942" s="21">
        <f t="shared" si="100"/>
        <v>3.22</v>
      </c>
      <c r="T942" s="21">
        <f t="shared" si="101"/>
        <v>0</v>
      </c>
      <c r="U942" s="21" t="str">
        <f t="shared" si="102"/>
        <v>否</v>
      </c>
      <c r="V942" s="21">
        <f>VLOOKUP($C942,[4]Sheet1!$B:$AN,39,FALSE)</f>
        <v>8.44</v>
      </c>
      <c r="W942" s="21">
        <v>0</v>
      </c>
      <c r="X942" s="23">
        <v>3</v>
      </c>
      <c r="Y942" s="23">
        <v>0</v>
      </c>
      <c r="Z942" s="25">
        <f t="shared" si="103"/>
        <v>0</v>
      </c>
      <c r="AA942" s="25" t="str">
        <f t="shared" si="104"/>
        <v>是</v>
      </c>
      <c r="AB942" t="s">
        <v>148</v>
      </c>
      <c r="AC942" t="e">
        <f>VLOOKUP(C942,[1]Sheet1!$C:$O,13,FALSE)</f>
        <v>#N/A</v>
      </c>
      <c r="AD942" t="str">
        <f>VLOOKUP($H942,'[3]0509人员排班情况 副本'!$G:$U,12,FALSE)</f>
        <v>王晓丹 Jasmine（Xiaodan Wang）,周延舒Isabel（Yanshu Zhou）</v>
      </c>
      <c r="AE942" t="str">
        <f>VLOOKUP($H942,'[3]0509人员排班情况 副本'!$G:$U,13,FALSE)</f>
        <v>张骥Ji Zhang (Ji Zhang)</v>
      </c>
      <c r="AF942" t="str">
        <f>VLOOKUP($H942,'[3]0509人员排班情况 副本'!$G:$U,14,FALSE)</f>
        <v>欧阳溢巍 Nathan (Yiwei Ouyang),尚青蓓 Suki （Qingbei Shang）</v>
      </c>
      <c r="AG942">
        <f>VLOOKUP($H942,'[3]0509人员排班情况 副本'!$G:$U,15,FALSE)</f>
        <v>0</v>
      </c>
    </row>
    <row r="943" customHeight="1" spans="1:33">
      <c r="A943" t="s">
        <v>202</v>
      </c>
      <c r="B943" t="s">
        <v>2781</v>
      </c>
      <c r="C943" t="s">
        <v>2782</v>
      </c>
      <c r="D943" t="s">
        <v>8</v>
      </c>
      <c r="E943" t="s">
        <v>1207</v>
      </c>
      <c r="F943" t="s">
        <v>148</v>
      </c>
      <c r="H943" t="str">
        <f t="shared" si="98"/>
        <v>AD 行政部美东组</v>
      </c>
      <c r="I943" t="s">
        <v>1550</v>
      </c>
      <c r="J943" t="s">
        <v>282</v>
      </c>
      <c r="K943" s="15">
        <v>0.416666666666667</v>
      </c>
      <c r="L943" s="15" t="s">
        <v>283</v>
      </c>
      <c r="M943" s="15"/>
      <c r="N943" t="s">
        <v>148</v>
      </c>
      <c r="O943" s="20" t="str">
        <f t="shared" si="99"/>
        <v>不正确</v>
      </c>
      <c r="P943" s="21">
        <v>0</v>
      </c>
      <c r="Q943" s="21">
        <v>0</v>
      </c>
      <c r="R943" s="21">
        <v>0</v>
      </c>
      <c r="S943" s="21">
        <f t="shared" si="100"/>
        <v>0</v>
      </c>
      <c r="T943" s="21">
        <f t="shared" si="101"/>
        <v>0</v>
      </c>
      <c r="U943" s="21" t="str">
        <f t="shared" si="102"/>
        <v>否</v>
      </c>
      <c r="V943" s="21">
        <f>VLOOKUP($C943,[4]Sheet1!$B:$AN,39,FALSE)</f>
        <v>0</v>
      </c>
      <c r="W943" s="21">
        <v>0</v>
      </c>
      <c r="X943" s="23">
        <v>0</v>
      </c>
      <c r="Y943" s="23">
        <v>4</v>
      </c>
      <c r="Z943" s="25">
        <f t="shared" si="103"/>
        <v>4</v>
      </c>
      <c r="AA943" s="25" t="str">
        <f t="shared" si="104"/>
        <v>是</v>
      </c>
      <c r="AB943" t="s">
        <v>148</v>
      </c>
      <c r="AC943" t="e">
        <f>VLOOKUP(C943,[1]Sheet1!$C:$O,13,FALSE)</f>
        <v>#N/A</v>
      </c>
      <c r="AD943" t="str">
        <f>VLOOKUP($H943,'[3]0509人员排班情况 副本'!$G:$U,12,FALSE)</f>
        <v>袁博闻(Bowen Yuan)</v>
      </c>
      <c r="AE943">
        <f>VLOOKUP($H943,'[3]0509人员排班情况 副本'!$G:$U,13,FALSE)</f>
        <v>0</v>
      </c>
      <c r="AF943">
        <f>VLOOKUP($H943,'[3]0509人员排班情况 副本'!$G:$U,14,FALSE)</f>
        <v>0</v>
      </c>
      <c r="AG943">
        <f>VLOOKUP($H943,'[3]0509人员排班情况 副本'!$G:$U,15,FALSE)</f>
        <v>0</v>
      </c>
    </row>
    <row r="944" customHeight="1" spans="1:33">
      <c r="A944" t="s">
        <v>202</v>
      </c>
      <c r="B944" t="s">
        <v>2783</v>
      </c>
      <c r="C944" t="s">
        <v>2784</v>
      </c>
      <c r="D944" t="s">
        <v>100</v>
      </c>
      <c r="E944" t="s">
        <v>105</v>
      </c>
      <c r="F944" t="s">
        <v>750</v>
      </c>
      <c r="H944" t="str">
        <f t="shared" si="98"/>
        <v>WE 美西大区NC 北加片区SFO.H</v>
      </c>
      <c r="I944" t="s">
        <v>156</v>
      </c>
      <c r="J944" t="s">
        <v>373</v>
      </c>
      <c r="K944" s="15">
        <v>0.291666666666667</v>
      </c>
      <c r="L944" s="15" t="s">
        <v>374</v>
      </c>
      <c r="M944" s="15">
        <v>0.281944444444444</v>
      </c>
      <c r="N944" t="s">
        <v>2785</v>
      </c>
      <c r="O944" s="20" t="str">
        <f t="shared" si="99"/>
        <v>正确</v>
      </c>
      <c r="P944" s="21">
        <v>0</v>
      </c>
      <c r="Q944" s="21">
        <v>8.82</v>
      </c>
      <c r="R944" s="21">
        <v>0</v>
      </c>
      <c r="S944" s="21">
        <f t="shared" si="100"/>
        <v>8.82</v>
      </c>
      <c r="T944" s="21">
        <f t="shared" si="101"/>
        <v>0.82</v>
      </c>
      <c r="U944" s="21" t="str">
        <f t="shared" si="102"/>
        <v>是</v>
      </c>
      <c r="V944" s="21">
        <f>VLOOKUP($C944,[4]Sheet1!$B:$AN,39,FALSE)</f>
        <v>17.57</v>
      </c>
      <c r="W944" s="21">
        <v>0</v>
      </c>
      <c r="X944" s="23">
        <v>4</v>
      </c>
      <c r="Y944" s="23">
        <v>4</v>
      </c>
      <c r="Z944" s="25">
        <f t="shared" si="103"/>
        <v>0</v>
      </c>
      <c r="AA944" s="25" t="str">
        <f t="shared" si="104"/>
        <v>是</v>
      </c>
      <c r="AB944" t="s">
        <v>148</v>
      </c>
      <c r="AC944" t="e">
        <f>VLOOKUP(C944,[1]Sheet1!$C:$O,13,FALSE)</f>
        <v>#N/A</v>
      </c>
      <c r="AD944" t="str">
        <f>VLOOKUP($H944,'[3]0509人员排班情况 副本'!$G:$U,12,FALSE)</f>
        <v>王骞Ariel（Qian Wang）,叶秀芳Freya (Xiufang Ye)</v>
      </c>
      <c r="AE944" t="str">
        <f>VLOOKUP($H944,'[3]0509人员排班情况 副本'!$G:$U,13,FALSE)</f>
        <v>常哲</v>
      </c>
      <c r="AF944" t="str">
        <f>VLOOKUP($H944,'[3]0509人员排班情况 副本'!$G:$U,14,FALSE)</f>
        <v>林美浚（Meijun Lin）</v>
      </c>
      <c r="AG944">
        <f>VLOOKUP($H944,'[3]0509人员排班情况 副本'!$G:$U,15,FALSE)</f>
        <v>0</v>
      </c>
    </row>
    <row r="945" customHeight="1" spans="1:33">
      <c r="A945" t="s">
        <v>202</v>
      </c>
      <c r="B945" t="s">
        <v>2786</v>
      </c>
      <c r="C945" t="s">
        <v>2787</v>
      </c>
      <c r="D945" t="s">
        <v>68</v>
      </c>
      <c r="E945" t="s">
        <v>76</v>
      </c>
      <c r="F945" t="s">
        <v>210</v>
      </c>
      <c r="G945" t="s">
        <v>112</v>
      </c>
      <c r="H945" t="str">
        <f t="shared" si="98"/>
        <v>NE 东北大区EWR.H操作组</v>
      </c>
      <c r="I945" t="s">
        <v>156</v>
      </c>
      <c r="J945" t="s">
        <v>655</v>
      </c>
      <c r="K945" s="15">
        <v>0.583333333333333</v>
      </c>
      <c r="L945" s="15" t="s">
        <v>656</v>
      </c>
      <c r="M945" s="15">
        <v>0.583333333333333</v>
      </c>
      <c r="N945" t="s">
        <v>148</v>
      </c>
      <c r="O945" s="20" t="str">
        <f t="shared" si="99"/>
        <v>正确</v>
      </c>
      <c r="P945" s="21">
        <v>0</v>
      </c>
      <c r="Q945" s="21">
        <v>0</v>
      </c>
      <c r="R945" s="21">
        <v>0</v>
      </c>
      <c r="S945" s="21">
        <f t="shared" si="100"/>
        <v>0</v>
      </c>
      <c r="T945" s="21">
        <f t="shared" si="101"/>
        <v>0</v>
      </c>
      <c r="U945" s="21" t="str">
        <f t="shared" si="102"/>
        <v>否</v>
      </c>
      <c r="V945" s="21">
        <f>VLOOKUP($C945,[4]Sheet1!$B:$AN,39,FALSE)</f>
        <v>11.33</v>
      </c>
      <c r="W945" s="21">
        <v>0</v>
      </c>
      <c r="X945" s="23">
        <v>1</v>
      </c>
      <c r="Y945" s="23">
        <v>4</v>
      </c>
      <c r="Z945" s="25">
        <f t="shared" si="103"/>
        <v>3</v>
      </c>
      <c r="AA945" s="25" t="str">
        <f t="shared" si="104"/>
        <v>是</v>
      </c>
      <c r="AB945" t="s">
        <v>148</v>
      </c>
      <c r="AC945" t="e">
        <f>VLOOKUP(C945,[1]Sheet1!$C:$O,13,FALSE)</f>
        <v>#N/A</v>
      </c>
      <c r="AD945" t="str">
        <f>VLOOKUP($H945,'[3]0509人员排班情况 副本'!$G:$U,12,FALSE)</f>
        <v>孙可君Monica（Kejun Sun）</v>
      </c>
      <c r="AE945" t="str">
        <f>VLOOKUP($H945,'[3]0509人员排班情况 副本'!$G:$U,13,FALSE)</f>
        <v>马聪Cong (Cong Ma)</v>
      </c>
      <c r="AF945" t="str">
        <f>VLOOKUP($H945,'[3]0509人员排班情况 副本'!$G:$U,14,FALSE)</f>
        <v>Minqing (Minqing Xu),罗煜雄 Mike (Yuxiong Luo)</v>
      </c>
      <c r="AG945">
        <f>VLOOKUP($H945,'[3]0509人员排班情况 副本'!$G:$U,15,FALSE)</f>
        <v>0</v>
      </c>
    </row>
    <row r="946" customHeight="1" spans="1:33">
      <c r="A946" t="s">
        <v>202</v>
      </c>
      <c r="B946" t="s">
        <v>2788</v>
      </c>
      <c r="C946" t="s">
        <v>2789</v>
      </c>
      <c r="D946" t="s">
        <v>68</v>
      </c>
      <c r="E946" t="s">
        <v>148</v>
      </c>
      <c r="F946" t="s">
        <v>148</v>
      </c>
      <c r="H946" t="str">
        <f t="shared" si="98"/>
        <v>NE 东北大区</v>
      </c>
      <c r="I946" t="s">
        <v>1424</v>
      </c>
      <c r="J946" t="s">
        <v>236</v>
      </c>
      <c r="K946" s="15">
        <v>0.395833333333333</v>
      </c>
      <c r="L946" s="15" t="s">
        <v>218</v>
      </c>
      <c r="M946" s="15">
        <v>0.395833333333333</v>
      </c>
      <c r="N946" t="s">
        <v>218</v>
      </c>
      <c r="O946" s="20" t="str">
        <f t="shared" si="99"/>
        <v>正确</v>
      </c>
      <c r="P946" s="21">
        <v>0</v>
      </c>
      <c r="Q946" s="21">
        <v>8</v>
      </c>
      <c r="R946" s="21">
        <v>0</v>
      </c>
      <c r="S946" s="21">
        <f t="shared" si="100"/>
        <v>8</v>
      </c>
      <c r="T946" s="21">
        <f t="shared" si="101"/>
        <v>0</v>
      </c>
      <c r="U946" s="21" t="str">
        <f t="shared" si="102"/>
        <v>否</v>
      </c>
      <c r="V946" s="21">
        <f>VLOOKUP($C946,[4]Sheet1!$B:$AN,39,FALSE)</f>
        <v>16</v>
      </c>
      <c r="W946" s="21">
        <v>0</v>
      </c>
      <c r="X946" s="23">
        <v>2</v>
      </c>
      <c r="Y946" s="23">
        <v>4</v>
      </c>
      <c r="Z946" s="25">
        <f t="shared" si="103"/>
        <v>2</v>
      </c>
      <c r="AA946" s="25" t="str">
        <f t="shared" si="104"/>
        <v>是</v>
      </c>
      <c r="AB946" t="s">
        <v>148</v>
      </c>
      <c r="AC946" t="e">
        <f>VLOOKUP(C946,[1]Sheet1!$C:$O,13,FALSE)</f>
        <v>#N/A</v>
      </c>
      <c r="AD946" t="str">
        <f>VLOOKUP($H946,'[3]0509人员排班情况 副本'!$G:$U,12,FALSE)</f>
        <v>孙可君Monica（Kejun Sun）</v>
      </c>
      <c r="AE946" t="str">
        <f>VLOOKUP($H946,'[3]0509人员排班情况 副本'!$G:$U,13,FALSE)</f>
        <v>马聪Cong (Cong Ma)</v>
      </c>
      <c r="AF946">
        <f>VLOOKUP($H946,'[3]0509人员排班情况 副本'!$G:$U,14,FALSE)</f>
        <v>0</v>
      </c>
      <c r="AG946">
        <f>VLOOKUP($H946,'[3]0509人员排班情况 副本'!$G:$U,15,FALSE)</f>
        <v>0</v>
      </c>
    </row>
    <row r="947" customHeight="1" spans="1:33">
      <c r="A947" t="s">
        <v>202</v>
      </c>
      <c r="B947" t="s">
        <v>2790</v>
      </c>
      <c r="C947" t="s">
        <v>2791</v>
      </c>
      <c r="D947" t="s">
        <v>68</v>
      </c>
      <c r="E947" t="s">
        <v>70</v>
      </c>
      <c r="F947" t="s">
        <v>741</v>
      </c>
      <c r="H947" t="str">
        <f t="shared" si="98"/>
        <v>NE 东北大区BN 布法罗片区SYR01</v>
      </c>
      <c r="I947" t="s">
        <v>406</v>
      </c>
      <c r="J947" t="s">
        <v>343</v>
      </c>
      <c r="K947" s="15">
        <v>0.25</v>
      </c>
      <c r="L947" s="15" t="s">
        <v>344</v>
      </c>
      <c r="M947" s="15">
        <v>0.254861111111111</v>
      </c>
      <c r="N947" t="s">
        <v>2792</v>
      </c>
      <c r="O947" s="20" t="str">
        <f t="shared" si="99"/>
        <v>正确</v>
      </c>
      <c r="P947" s="21">
        <v>0</v>
      </c>
      <c r="Q947" s="21">
        <v>12.97</v>
      </c>
      <c r="R947" s="21">
        <v>0</v>
      </c>
      <c r="S947" s="21">
        <f t="shared" si="100"/>
        <v>12.97</v>
      </c>
      <c r="T947" s="21">
        <f t="shared" si="101"/>
        <v>4.97</v>
      </c>
      <c r="U947" s="21" t="str">
        <f t="shared" si="102"/>
        <v>是</v>
      </c>
      <c r="V947" s="21">
        <f>VLOOKUP($C947,[4]Sheet1!$B:$AN,39,FALSE)</f>
        <v>27.74</v>
      </c>
      <c r="W947" s="21">
        <v>37</v>
      </c>
      <c r="X947" s="23">
        <v>4</v>
      </c>
      <c r="Y947" s="23">
        <v>4</v>
      </c>
      <c r="Z947" s="25">
        <f t="shared" si="103"/>
        <v>0</v>
      </c>
      <c r="AA947" s="25" t="str">
        <f t="shared" si="104"/>
        <v>是</v>
      </c>
      <c r="AB947" t="s">
        <v>148</v>
      </c>
      <c r="AC947" t="e">
        <f>VLOOKUP(C947,[1]Sheet1!$C:$O,13,FALSE)</f>
        <v>#N/A</v>
      </c>
      <c r="AD947" t="str">
        <f>VLOOKUP($H947,'[3]0509人员排班情况 副本'!$G:$U,12,FALSE)</f>
        <v>孙可君Monica（Kejun Sun）</v>
      </c>
      <c r="AE947" t="str">
        <f>VLOOKUP($H947,'[3]0509人员排班情况 副本'!$G:$U,13,FALSE)</f>
        <v>马聪Cong (Cong Ma)</v>
      </c>
      <c r="AF947" t="str">
        <f>VLOOKUP($H947,'[3]0509人员排班情况 副本'!$G:$U,14,FALSE)</f>
        <v>朱晗宇 Peter (Hanyu Zhu)</v>
      </c>
      <c r="AG947">
        <f>VLOOKUP($H947,'[3]0509人员排班情况 副本'!$G:$U,15,FALSE)</f>
        <v>0</v>
      </c>
    </row>
    <row r="948" customHeight="1" spans="1:33">
      <c r="A948" t="s">
        <v>202</v>
      </c>
      <c r="B948" t="s">
        <v>2793</v>
      </c>
      <c r="C948" t="s">
        <v>2794</v>
      </c>
      <c r="D948" t="s">
        <v>92</v>
      </c>
      <c r="E948" t="s">
        <v>93</v>
      </c>
      <c r="F948" t="s">
        <v>148</v>
      </c>
      <c r="H948" t="str">
        <f t="shared" si="98"/>
        <v>TX 德州大区CT 中德州片区</v>
      </c>
      <c r="I948" t="s">
        <v>173</v>
      </c>
      <c r="J948" t="s">
        <v>229</v>
      </c>
      <c r="K948" s="15">
        <v>0.270833333333333</v>
      </c>
      <c r="L948" s="15" t="s">
        <v>230</v>
      </c>
      <c r="M948" s="15"/>
      <c r="N948" t="s">
        <v>148</v>
      </c>
      <c r="O948" s="20" t="str">
        <f t="shared" si="99"/>
        <v>不正确</v>
      </c>
      <c r="P948" s="21">
        <v>0</v>
      </c>
      <c r="Q948" s="21">
        <v>0</v>
      </c>
      <c r="R948" s="21">
        <v>0</v>
      </c>
      <c r="S948" s="21">
        <f t="shared" si="100"/>
        <v>0</v>
      </c>
      <c r="T948" s="21">
        <f t="shared" si="101"/>
        <v>0</v>
      </c>
      <c r="U948" s="21" t="str">
        <f t="shared" si="102"/>
        <v>否</v>
      </c>
      <c r="V948" s="21">
        <f>VLOOKUP($C948,[4]Sheet1!$B:$AN,39,FALSE)</f>
        <v>0</v>
      </c>
      <c r="W948" s="21">
        <v>0</v>
      </c>
      <c r="X948" s="23">
        <v>0</v>
      </c>
      <c r="Y948" s="23">
        <v>4</v>
      </c>
      <c r="Z948" s="25">
        <f t="shared" si="103"/>
        <v>4</v>
      </c>
      <c r="AA948" s="25" t="str">
        <f t="shared" si="104"/>
        <v>是</v>
      </c>
      <c r="AB948" t="s">
        <v>148</v>
      </c>
      <c r="AC948" t="e">
        <f>VLOOKUP(C948,[1]Sheet1!$C:$O,13,FALSE)</f>
        <v>#N/A</v>
      </c>
      <c r="AD948" t="str">
        <f>VLOOKUP($H948,'[3]0509人员排班情况 副本'!$G:$U,12,FALSE)</f>
        <v>肖芦莉Lily (Luli Xiao)</v>
      </c>
      <c r="AE948" t="str">
        <f>VLOOKUP($H948,'[3]0509人员排班情况 副本'!$G:$U,13,FALSE)</f>
        <v>张骥Ji Zhang (Ji Zhang)</v>
      </c>
      <c r="AF948">
        <f>VLOOKUP($H948,'[3]0509人员排班情况 副本'!$G:$U,14,FALSE)</f>
        <v>0</v>
      </c>
      <c r="AG948">
        <f>VLOOKUP($H948,'[3]0509人员排班情况 副本'!$G:$U,15,FALSE)</f>
        <v>0</v>
      </c>
    </row>
    <row r="949" customHeight="1" spans="1:33">
      <c r="A949" t="s">
        <v>202</v>
      </c>
      <c r="B949" t="s">
        <v>2795</v>
      </c>
      <c r="C949" t="s">
        <v>2796</v>
      </c>
      <c r="D949" t="s">
        <v>100</v>
      </c>
      <c r="E949" t="s">
        <v>101</v>
      </c>
      <c r="F949" t="s">
        <v>275</v>
      </c>
      <c r="G949" t="s">
        <v>112</v>
      </c>
      <c r="H949" t="str">
        <f t="shared" si="98"/>
        <v>WE 美西大区CNO.H分拣组</v>
      </c>
      <c r="I949" t="s">
        <v>303</v>
      </c>
      <c r="J949" t="s">
        <v>217</v>
      </c>
      <c r="K949" s="15">
        <v>0.395833333333333</v>
      </c>
      <c r="L949" s="15" t="s">
        <v>218</v>
      </c>
      <c r="M949" s="15"/>
      <c r="N949" t="s">
        <v>148</v>
      </c>
      <c r="O949" s="20" t="s">
        <v>116</v>
      </c>
      <c r="P949" s="21">
        <v>0</v>
      </c>
      <c r="Q949" s="21">
        <v>0</v>
      </c>
      <c r="R949" s="21">
        <v>0</v>
      </c>
      <c r="S949" s="21">
        <f t="shared" si="100"/>
        <v>0</v>
      </c>
      <c r="T949" s="21">
        <f t="shared" si="101"/>
        <v>0</v>
      </c>
      <c r="U949" s="21" t="str">
        <f t="shared" si="102"/>
        <v>否</v>
      </c>
      <c r="V949" s="21">
        <f>VLOOKUP($C949,[4]Sheet1!$B:$AN,39,FALSE)</f>
        <v>0</v>
      </c>
      <c r="W949" s="21">
        <v>0</v>
      </c>
      <c r="X949" s="23">
        <v>0</v>
      </c>
      <c r="Y949" s="23">
        <v>0</v>
      </c>
      <c r="Z949" s="25">
        <f t="shared" si="103"/>
        <v>0</v>
      </c>
      <c r="AA949" s="25" t="str">
        <f t="shared" si="104"/>
        <v>是</v>
      </c>
      <c r="AB949" t="s">
        <v>148</v>
      </c>
      <c r="AC949" t="e">
        <f>VLOOKUP(C949,[1]Sheet1!$C:$O,13,FALSE)</f>
        <v>#N/A</v>
      </c>
      <c r="AD949" t="str">
        <f>VLOOKUP($H949,'[3]0509人员排班情况 副本'!$G:$U,12,FALSE)</f>
        <v>王骞Ariel（Qian Wang）,叶秀芳Freya (Xiufang Ye)</v>
      </c>
      <c r="AE949" t="str">
        <f>VLOOKUP($H949,'[3]0509人员排班情况 副本'!$G:$U,13,FALSE)</f>
        <v>常哲</v>
      </c>
      <c r="AF949" t="str">
        <f>VLOOKUP($H949,'[3]0509人员排班情况 副本'!$G:$U,14,FALSE)</f>
        <v>张双甫(Shuangfu Zhang)</v>
      </c>
      <c r="AG949">
        <f>VLOOKUP($H949,'[3]0509人员排班情况 副本'!$G:$U,15,FALSE)</f>
        <v>0</v>
      </c>
    </row>
    <row r="950" customHeight="1" spans="1:33">
      <c r="A950" t="s">
        <v>202</v>
      </c>
      <c r="B950" t="s">
        <v>2797</v>
      </c>
      <c r="C950" t="s">
        <v>2798</v>
      </c>
      <c r="D950" t="s">
        <v>68</v>
      </c>
      <c r="E950" t="s">
        <v>79</v>
      </c>
      <c r="F950" t="s">
        <v>148</v>
      </c>
      <c r="H950" t="str">
        <f t="shared" si="98"/>
        <v>NE 东北大区JFK01</v>
      </c>
      <c r="I950" t="s">
        <v>177</v>
      </c>
      <c r="J950" t="s">
        <v>217</v>
      </c>
      <c r="K950" s="15">
        <v>0.395833333333333</v>
      </c>
      <c r="L950" s="15" t="s">
        <v>218</v>
      </c>
      <c r="M950" s="15">
        <v>0.357638888888889</v>
      </c>
      <c r="N950" t="s">
        <v>2799</v>
      </c>
      <c r="O950" s="20" t="str">
        <f t="shared" si="99"/>
        <v>正确</v>
      </c>
      <c r="P950" s="21">
        <v>0</v>
      </c>
      <c r="Q950" s="21">
        <v>4.53</v>
      </c>
      <c r="R950" s="21">
        <v>0</v>
      </c>
      <c r="S950" s="21">
        <f t="shared" si="100"/>
        <v>4.53</v>
      </c>
      <c r="T950" s="21">
        <f t="shared" si="101"/>
        <v>0</v>
      </c>
      <c r="U950" s="21" t="str">
        <f t="shared" si="102"/>
        <v>否</v>
      </c>
      <c r="V950" s="21">
        <f>VLOOKUP($C950,[4]Sheet1!$B:$AN,39,FALSE)</f>
        <v>9.08</v>
      </c>
      <c r="W950" s="21">
        <v>0</v>
      </c>
      <c r="X950" s="23">
        <v>3</v>
      </c>
      <c r="Y950" s="23">
        <v>0</v>
      </c>
      <c r="Z950" s="25">
        <f t="shared" si="103"/>
        <v>0</v>
      </c>
      <c r="AA950" s="25" t="str">
        <f t="shared" si="104"/>
        <v>是</v>
      </c>
      <c r="AB950" t="s">
        <v>148</v>
      </c>
      <c r="AC950" t="e">
        <f>VLOOKUP(C950,[1]Sheet1!$C:$O,13,FALSE)</f>
        <v>#N/A</v>
      </c>
      <c r="AD950" t="str">
        <f>VLOOKUP($H950,'[3]0509人员排班情况 副本'!$G:$U,12,FALSE)</f>
        <v>孙可君Monica（Kejun Sun）</v>
      </c>
      <c r="AE950" t="str">
        <f>VLOOKUP($H950,'[3]0509人员排班情况 副本'!$G:$U,13,FALSE)</f>
        <v>马聪Cong (Cong Ma)</v>
      </c>
      <c r="AF950">
        <f>VLOOKUP($H950,'[3]0509人员排班情况 副本'!$G:$U,14,FALSE)</f>
        <v>0</v>
      </c>
      <c r="AG950">
        <f>VLOOKUP($H950,'[3]0509人员排班情况 副本'!$G:$U,15,FALSE)</f>
        <v>0</v>
      </c>
    </row>
    <row r="951" customHeight="1" spans="1:33">
      <c r="A951" t="s">
        <v>202</v>
      </c>
      <c r="B951" t="s">
        <v>2800</v>
      </c>
      <c r="C951" t="s">
        <v>2801</v>
      </c>
      <c r="D951" t="s">
        <v>48</v>
      </c>
      <c r="E951" t="s">
        <v>51</v>
      </c>
      <c r="F951" t="s">
        <v>563</v>
      </c>
      <c r="G951" t="s">
        <v>112</v>
      </c>
      <c r="H951" t="str">
        <f t="shared" si="98"/>
        <v>Ground项目部OG 美西区CNO.G</v>
      </c>
      <c r="I951" t="s">
        <v>526</v>
      </c>
      <c r="J951" t="s">
        <v>347</v>
      </c>
      <c r="K951" s="15">
        <v>0.541666666666667</v>
      </c>
      <c r="L951" s="15" t="s">
        <v>348</v>
      </c>
      <c r="M951" s="15">
        <v>0.527083333333333</v>
      </c>
      <c r="N951" t="s">
        <v>583</v>
      </c>
      <c r="O951" s="20" t="str">
        <f t="shared" si="99"/>
        <v>正确</v>
      </c>
      <c r="P951" s="21">
        <v>0</v>
      </c>
      <c r="Q951" s="21">
        <v>8.37</v>
      </c>
      <c r="R951" s="21">
        <v>0</v>
      </c>
      <c r="S951" s="21">
        <f t="shared" si="100"/>
        <v>8.37</v>
      </c>
      <c r="T951" s="21">
        <f t="shared" si="101"/>
        <v>0.369999999999999</v>
      </c>
      <c r="U951" s="21" t="str">
        <f t="shared" si="102"/>
        <v>是</v>
      </c>
      <c r="V951" s="21">
        <f>VLOOKUP($C951,[4]Sheet1!$B:$AN,39,FALSE)</f>
        <v>16.74</v>
      </c>
      <c r="W951" s="21">
        <v>9.92</v>
      </c>
      <c r="X951" s="23">
        <v>4</v>
      </c>
      <c r="Y951" s="23">
        <v>4</v>
      </c>
      <c r="Z951" s="25">
        <f t="shared" si="103"/>
        <v>0</v>
      </c>
      <c r="AA951" s="25" t="str">
        <f t="shared" si="104"/>
        <v>是</v>
      </c>
      <c r="AB951" t="s">
        <v>148</v>
      </c>
      <c r="AC951" t="e">
        <f>VLOOKUP(C951,[1]Sheet1!$C:$O,13,FALSE)</f>
        <v>#N/A</v>
      </c>
      <c r="AD951" t="str">
        <f>VLOOKUP($H951,'[3]0509人员排班情况 副本'!$G:$U,12,FALSE)</f>
        <v>王安琪 (Anqi Wang),张朱同 Thomson（Zhutong Zhang）</v>
      </c>
      <c r="AE951" t="str">
        <f>VLOOKUP($H951,'[3]0509人员排班情况 副本'!$G:$U,13,FALSE)</f>
        <v>陈锦昭</v>
      </c>
      <c r="AF951" t="str">
        <f>VLOOKUP($H951,'[3]0509人员排班情况 副本'!$G:$U,14,FALSE)</f>
        <v>张弘毅 Hongyi （Hongyi Zhang）</v>
      </c>
      <c r="AG951">
        <f>VLOOKUP($H951,'[3]0509人员排班情况 副本'!$G:$U,15,FALSE)</f>
        <v>0</v>
      </c>
    </row>
    <row r="952" customHeight="1" spans="1:33">
      <c r="A952" t="s">
        <v>202</v>
      </c>
      <c r="B952" t="s">
        <v>2802</v>
      </c>
      <c r="C952" t="s">
        <v>2803</v>
      </c>
      <c r="D952" t="s">
        <v>68</v>
      </c>
      <c r="E952" t="s">
        <v>73</v>
      </c>
      <c r="F952" t="s">
        <v>166</v>
      </c>
      <c r="G952" t="s">
        <v>112</v>
      </c>
      <c r="H952" t="str">
        <f t="shared" si="98"/>
        <v>NE 东北大区BWI.H综办组</v>
      </c>
      <c r="I952" t="s">
        <v>167</v>
      </c>
      <c r="J952" t="s">
        <v>295</v>
      </c>
      <c r="K952" s="15">
        <v>0.375</v>
      </c>
      <c r="L952" s="15" t="s">
        <v>296</v>
      </c>
      <c r="M952" s="15"/>
      <c r="N952" t="s">
        <v>148</v>
      </c>
      <c r="O952" s="20" t="str">
        <f t="shared" si="99"/>
        <v>不正确</v>
      </c>
      <c r="P952" s="21">
        <v>0</v>
      </c>
      <c r="Q952" s="21">
        <v>0</v>
      </c>
      <c r="R952" s="21">
        <v>0</v>
      </c>
      <c r="S952" s="21">
        <f t="shared" si="100"/>
        <v>0</v>
      </c>
      <c r="T952" s="21">
        <f t="shared" si="101"/>
        <v>0</v>
      </c>
      <c r="U952" s="21" t="str">
        <f t="shared" si="102"/>
        <v>否</v>
      </c>
      <c r="V952" s="21">
        <f>VLOOKUP($C952,[4]Sheet1!$B:$AN,39,FALSE)</f>
        <v>0</v>
      </c>
      <c r="W952" s="21">
        <v>0</v>
      </c>
      <c r="X952" s="23">
        <v>0</v>
      </c>
      <c r="Y952" s="23">
        <v>4</v>
      </c>
      <c r="Z952" s="25">
        <f t="shared" si="103"/>
        <v>4</v>
      </c>
      <c r="AA952" s="25" t="str">
        <f t="shared" si="104"/>
        <v>是</v>
      </c>
      <c r="AB952" t="s">
        <v>148</v>
      </c>
      <c r="AC952" t="e">
        <f>VLOOKUP(C952,[1]Sheet1!$C:$O,13,FALSE)</f>
        <v>#N/A</v>
      </c>
      <c r="AD952" t="str">
        <f>VLOOKUP($H952,'[3]0509人员排班情况 副本'!$G:$U,12,FALSE)</f>
        <v>孙可君Monica（Kejun Sun）</v>
      </c>
      <c r="AE952" t="str">
        <f>VLOOKUP($H952,'[3]0509人员排班情况 副本'!$G:$U,13,FALSE)</f>
        <v>马聪Cong (Cong Ma)</v>
      </c>
      <c r="AF952" t="str">
        <f>VLOOKUP($H952,'[3]0509人员排班情况 副本'!$G:$U,14,FALSE)</f>
        <v>Minqing (Minqing Xu),罗煜雄 Mike (Yuxiong Luo)</v>
      </c>
      <c r="AG952">
        <f>VLOOKUP($H952,'[3]0509人员排班情况 副本'!$G:$U,15,FALSE)</f>
        <v>0</v>
      </c>
    </row>
    <row r="953" customHeight="1" spans="1:33">
      <c r="A953" t="s">
        <v>202</v>
      </c>
      <c r="B953" t="s">
        <v>2804</v>
      </c>
      <c r="C953" t="s">
        <v>2805</v>
      </c>
      <c r="D953" t="s">
        <v>48</v>
      </c>
      <c r="E953" t="s">
        <v>51</v>
      </c>
      <c r="F953" t="s">
        <v>563</v>
      </c>
      <c r="G953" t="s">
        <v>112</v>
      </c>
      <c r="H953" t="str">
        <f t="shared" si="98"/>
        <v>Ground项目部OG 美西区CNO.G</v>
      </c>
      <c r="I953" t="s">
        <v>276</v>
      </c>
      <c r="J953" t="s">
        <v>330</v>
      </c>
      <c r="K953" s="15">
        <v>0.625</v>
      </c>
      <c r="L953" s="15" t="s">
        <v>331</v>
      </c>
      <c r="M953" s="15">
        <v>0.617361111111111</v>
      </c>
      <c r="N953" t="s">
        <v>148</v>
      </c>
      <c r="O953" s="20" t="str">
        <f t="shared" si="99"/>
        <v>正确</v>
      </c>
      <c r="P953" s="21">
        <v>0</v>
      </c>
      <c r="Q953" s="21">
        <v>0</v>
      </c>
      <c r="R953" s="21">
        <v>0</v>
      </c>
      <c r="S953" s="21">
        <f t="shared" si="100"/>
        <v>0</v>
      </c>
      <c r="T953" s="21">
        <f t="shared" si="101"/>
        <v>0</v>
      </c>
      <c r="U953" s="21" t="str">
        <f t="shared" si="102"/>
        <v>否</v>
      </c>
      <c r="V953" s="21">
        <f>VLOOKUP($C953,[4]Sheet1!$B:$AN,39,FALSE)</f>
        <v>8.27</v>
      </c>
      <c r="W953" s="21">
        <v>1.42</v>
      </c>
      <c r="X953" s="23">
        <v>2</v>
      </c>
      <c r="Y953" s="23">
        <v>4</v>
      </c>
      <c r="Z953" s="25">
        <f t="shared" si="103"/>
        <v>2</v>
      </c>
      <c r="AA953" s="25" t="str">
        <f t="shared" si="104"/>
        <v>是</v>
      </c>
      <c r="AB953" t="s">
        <v>148</v>
      </c>
      <c r="AC953" t="e">
        <f>VLOOKUP(C953,[1]Sheet1!$C:$O,13,FALSE)</f>
        <v>#N/A</v>
      </c>
      <c r="AD953" t="str">
        <f>VLOOKUP($H953,'[3]0509人员排班情况 副本'!$G:$U,12,FALSE)</f>
        <v>王安琪 (Anqi Wang),张朱同 Thomson（Zhutong Zhang）</v>
      </c>
      <c r="AE953" t="str">
        <f>VLOOKUP($H953,'[3]0509人员排班情况 副本'!$G:$U,13,FALSE)</f>
        <v>陈锦昭</v>
      </c>
      <c r="AF953" t="str">
        <f>VLOOKUP($H953,'[3]0509人员排班情况 副本'!$G:$U,14,FALSE)</f>
        <v>张弘毅 Hongyi （Hongyi Zhang）</v>
      </c>
      <c r="AG953">
        <f>VLOOKUP($H953,'[3]0509人员排班情况 副本'!$G:$U,15,FALSE)</f>
        <v>0</v>
      </c>
    </row>
    <row r="954" customHeight="1" spans="1:33">
      <c r="A954" t="s">
        <v>202</v>
      </c>
      <c r="B954" t="s">
        <v>2806</v>
      </c>
      <c r="C954" t="s">
        <v>2807</v>
      </c>
      <c r="D954" t="s">
        <v>92</v>
      </c>
      <c r="E954" t="s">
        <v>45</v>
      </c>
      <c r="F954" t="s">
        <v>148</v>
      </c>
      <c r="H954" t="str">
        <f t="shared" si="98"/>
        <v>TX 德州大区揽收部</v>
      </c>
      <c r="I954" t="s">
        <v>608</v>
      </c>
      <c r="J954" t="s">
        <v>236</v>
      </c>
      <c r="K954" s="15">
        <v>0.395833333333333</v>
      </c>
      <c r="L954" s="15" t="s">
        <v>218</v>
      </c>
      <c r="M954" s="15">
        <v>0.385416666666667</v>
      </c>
      <c r="N954" t="s">
        <v>895</v>
      </c>
      <c r="O954" s="20" t="str">
        <f t="shared" si="99"/>
        <v>正确</v>
      </c>
      <c r="P954" s="21">
        <v>0</v>
      </c>
      <c r="Q954" s="21">
        <v>9</v>
      </c>
      <c r="R954" s="21">
        <v>0</v>
      </c>
      <c r="S954" s="21">
        <f t="shared" si="100"/>
        <v>9</v>
      </c>
      <c r="T954" s="21">
        <f t="shared" si="101"/>
        <v>1</v>
      </c>
      <c r="U954" s="21" t="str">
        <f t="shared" si="102"/>
        <v>是</v>
      </c>
      <c r="V954" s="21">
        <f>VLOOKUP($C954,[4]Sheet1!$B:$AN,39,FALSE)</f>
        <v>17.93</v>
      </c>
      <c r="W954" s="21">
        <v>0</v>
      </c>
      <c r="X954" s="23">
        <v>4</v>
      </c>
      <c r="Y954" s="23">
        <v>4</v>
      </c>
      <c r="Z954" s="25">
        <f t="shared" si="103"/>
        <v>0</v>
      </c>
      <c r="AA954" s="25" t="str">
        <f t="shared" si="104"/>
        <v>是</v>
      </c>
      <c r="AB954" t="s">
        <v>148</v>
      </c>
      <c r="AC954" t="e">
        <f>VLOOKUP(C954,[1]Sheet1!$C:$O,13,FALSE)</f>
        <v>#N/A</v>
      </c>
      <c r="AD954" t="str">
        <f>VLOOKUP($H954,'[3]0509人员排班情况 副本'!$G:$U,12,FALSE)</f>
        <v>肖芦莉Lily (Luli Xiao)</v>
      </c>
      <c r="AE954" t="str">
        <f>VLOOKUP($H954,'[3]0509人员排班情况 副本'!$G:$U,13,FALSE)</f>
        <v>张骥Ji Zhang (Ji Zhang)</v>
      </c>
      <c r="AF954">
        <f>VLOOKUP($H954,'[3]0509人员排班情况 副本'!$G:$U,14,FALSE)</f>
        <v>0</v>
      </c>
      <c r="AG954">
        <f>VLOOKUP($H954,'[3]0509人员排班情况 副本'!$G:$U,15,FALSE)</f>
        <v>0</v>
      </c>
    </row>
    <row r="955" customHeight="1" spans="1:33">
      <c r="A955" t="s">
        <v>202</v>
      </c>
      <c r="B955" t="s">
        <v>2808</v>
      </c>
      <c r="C955" t="s">
        <v>2809</v>
      </c>
      <c r="D955" t="s">
        <v>68</v>
      </c>
      <c r="E955" t="s">
        <v>73</v>
      </c>
      <c r="F955" t="s">
        <v>243</v>
      </c>
      <c r="G955" t="s">
        <v>112</v>
      </c>
      <c r="H955" t="str">
        <f t="shared" si="98"/>
        <v>NE 东北大区BWI.H调度组</v>
      </c>
      <c r="I955" t="s">
        <v>160</v>
      </c>
      <c r="J955" t="s">
        <v>295</v>
      </c>
      <c r="K955" s="15">
        <v>0.375</v>
      </c>
      <c r="L955" s="15" t="s">
        <v>296</v>
      </c>
      <c r="M955" s="15"/>
      <c r="N955" t="s">
        <v>866</v>
      </c>
      <c r="O955" s="20" t="str">
        <f t="shared" si="99"/>
        <v>不正确</v>
      </c>
      <c r="P955" s="21">
        <v>0</v>
      </c>
      <c r="Q955" s="21">
        <v>0</v>
      </c>
      <c r="R955" s="21">
        <v>0</v>
      </c>
      <c r="S955" s="21">
        <f t="shared" si="100"/>
        <v>0</v>
      </c>
      <c r="T955" s="21">
        <f t="shared" si="101"/>
        <v>0</v>
      </c>
      <c r="U955" s="21" t="str">
        <f t="shared" si="102"/>
        <v>否</v>
      </c>
      <c r="V955" s="21">
        <f>VLOOKUP($C955,[4]Sheet1!$B:$AN,39,FALSE)</f>
        <v>6</v>
      </c>
      <c r="W955" s="21">
        <v>0</v>
      </c>
      <c r="X955" s="23">
        <v>3</v>
      </c>
      <c r="Y955" s="23">
        <v>4</v>
      </c>
      <c r="Z955" s="25">
        <f t="shared" si="103"/>
        <v>1</v>
      </c>
      <c r="AA955" s="25" t="str">
        <f t="shared" si="104"/>
        <v>是</v>
      </c>
      <c r="AB955" t="s">
        <v>148</v>
      </c>
      <c r="AC955" t="e">
        <f>VLOOKUP(C955,[1]Sheet1!$C:$O,13,FALSE)</f>
        <v>#N/A</v>
      </c>
      <c r="AD955" t="str">
        <f>VLOOKUP($H955,'[3]0509人员排班情况 副本'!$G:$U,12,FALSE)</f>
        <v>孙可君Monica（Kejun Sun）</v>
      </c>
      <c r="AE955" t="str">
        <f>VLOOKUP($H955,'[3]0509人员排班情况 副本'!$G:$U,13,FALSE)</f>
        <v>马聪Cong (Cong Ma)</v>
      </c>
      <c r="AF955" t="str">
        <f>VLOOKUP($H955,'[3]0509人员排班情况 副本'!$G:$U,14,FALSE)</f>
        <v>Minqing (Minqing Xu),罗煜雄 Mike (Yuxiong Luo)</v>
      </c>
      <c r="AG955">
        <f>VLOOKUP($H955,'[3]0509人员排班情况 副本'!$G:$U,15,FALSE)</f>
        <v>0</v>
      </c>
    </row>
    <row r="956" customHeight="1" spans="1:33">
      <c r="A956" t="s">
        <v>202</v>
      </c>
      <c r="B956" t="s">
        <v>2810</v>
      </c>
      <c r="C956" t="s">
        <v>2811</v>
      </c>
      <c r="D956" t="s">
        <v>31</v>
      </c>
      <c r="E956" t="s">
        <v>33</v>
      </c>
      <c r="F956" t="s">
        <v>1995</v>
      </c>
      <c r="H956" t="str">
        <f t="shared" si="98"/>
        <v>GL 大湖大区CM 中西部中心片区CVG01</v>
      </c>
      <c r="I956" t="s">
        <v>177</v>
      </c>
      <c r="J956" t="s">
        <v>437</v>
      </c>
      <c r="K956" s="15">
        <v>0.229166666666667</v>
      </c>
      <c r="L956" s="15" t="s">
        <v>438</v>
      </c>
      <c r="M956" s="15"/>
      <c r="N956" t="s">
        <v>148</v>
      </c>
      <c r="O956" s="20" t="str">
        <f t="shared" si="99"/>
        <v>不正确</v>
      </c>
      <c r="P956" s="21">
        <v>0</v>
      </c>
      <c r="Q956" s="21">
        <v>0</v>
      </c>
      <c r="R956" s="21">
        <v>0</v>
      </c>
      <c r="S956" s="21">
        <f t="shared" si="100"/>
        <v>0</v>
      </c>
      <c r="T956" s="21">
        <f t="shared" si="101"/>
        <v>0</v>
      </c>
      <c r="U956" s="21" t="str">
        <f t="shared" si="102"/>
        <v>否</v>
      </c>
      <c r="V956" s="21">
        <f>VLOOKUP($C956,[4]Sheet1!$B:$AN,39,FALSE)</f>
        <v>0</v>
      </c>
      <c r="W956" s="21">
        <v>0</v>
      </c>
      <c r="X956" s="23">
        <v>0</v>
      </c>
      <c r="Y956" s="23">
        <v>0</v>
      </c>
      <c r="Z956" s="25">
        <f t="shared" si="103"/>
        <v>0</v>
      </c>
      <c r="AA956" s="25" t="str">
        <f t="shared" si="104"/>
        <v>是</v>
      </c>
      <c r="AB956" t="s">
        <v>1738</v>
      </c>
      <c r="AC956" t="e">
        <f>VLOOKUP(C956,[1]Sheet1!$C:$O,13,FALSE)</f>
        <v>#N/A</v>
      </c>
      <c r="AD956" t="str">
        <f>VLOOKUP($H956,'[3]0509人员排班情况 副本'!$G:$U,12,FALSE)</f>
        <v>王晓丹 Jasmine（Xiaodan Wang）,周延舒Isabel（Yanshu Zhou）</v>
      </c>
      <c r="AE956" t="str">
        <f>VLOOKUP($H956,'[3]0509人员排班情况 副本'!$G:$U,13,FALSE)</f>
        <v>张骥Ji Zhang (Ji Zhang)</v>
      </c>
      <c r="AF956" t="str">
        <f>VLOOKUP($H956,'[3]0509人员排班情况 副本'!$G:$U,14,FALSE)</f>
        <v>欧阳溢巍 Nathan (Yiwei Ouyang),尚青蓓 Suki （Qingbei Shang）</v>
      </c>
      <c r="AG956">
        <f>VLOOKUP($H956,'[3]0509人员排班情况 副本'!$G:$U,15,FALSE)</f>
        <v>0</v>
      </c>
    </row>
    <row r="957" customHeight="1" spans="1:33">
      <c r="A957" t="s">
        <v>202</v>
      </c>
      <c r="B957" t="s">
        <v>2812</v>
      </c>
      <c r="C957" t="s">
        <v>2813</v>
      </c>
      <c r="D957" t="s">
        <v>68</v>
      </c>
      <c r="E957" t="s">
        <v>82</v>
      </c>
      <c r="F957" t="s">
        <v>1105</v>
      </c>
      <c r="H957" t="str">
        <f t="shared" si="98"/>
        <v>NE 东北大区PA 宾州片区TEB01</v>
      </c>
      <c r="I957" t="s">
        <v>687</v>
      </c>
      <c r="J957" t="s">
        <v>221</v>
      </c>
      <c r="K957" s="15">
        <v>0.208333333333333</v>
      </c>
      <c r="L957" s="15" t="s">
        <v>222</v>
      </c>
      <c r="M957" s="15">
        <v>0.246527777777778</v>
      </c>
      <c r="N957" t="s">
        <v>148</v>
      </c>
      <c r="O957" s="20" t="str">
        <f t="shared" si="99"/>
        <v>正确</v>
      </c>
      <c r="P957" s="21">
        <v>0</v>
      </c>
      <c r="Q957" s="21">
        <v>0</v>
      </c>
      <c r="R957" s="21">
        <v>0</v>
      </c>
      <c r="S957" s="21">
        <f t="shared" si="100"/>
        <v>0</v>
      </c>
      <c r="T957" s="21">
        <f t="shared" si="101"/>
        <v>0</v>
      </c>
      <c r="U957" s="21" t="str">
        <f t="shared" si="102"/>
        <v>否</v>
      </c>
      <c r="V957" s="21">
        <f>VLOOKUP($C957,[4]Sheet1!$B:$AN,39,FALSE)</f>
        <v>0</v>
      </c>
      <c r="W957" s="21">
        <v>0</v>
      </c>
      <c r="X957" s="23">
        <v>1</v>
      </c>
      <c r="Y957" s="23">
        <v>0</v>
      </c>
      <c r="Z957" s="25">
        <f t="shared" si="103"/>
        <v>0</v>
      </c>
      <c r="AA957" s="25" t="str">
        <f t="shared" si="104"/>
        <v>是</v>
      </c>
      <c r="AB957" t="s">
        <v>1113</v>
      </c>
      <c r="AC957" t="e">
        <f>VLOOKUP(C957,[1]Sheet1!$C:$O,13,FALSE)</f>
        <v>#N/A</v>
      </c>
      <c r="AD957" t="str">
        <f>VLOOKUP($H957,'[3]0509人员排班情况 副本'!$G:$U,12,FALSE)</f>
        <v>孙可君Monica（Kejun Sun）</v>
      </c>
      <c r="AE957" t="str">
        <f>VLOOKUP($H957,'[3]0509人员排班情况 副本'!$G:$U,13,FALSE)</f>
        <v>马聪Cong (Cong Ma)</v>
      </c>
      <c r="AF957" t="str">
        <f>VLOOKUP($H957,'[3]0509人员排班情况 副本'!$G:$U,14,FALSE)</f>
        <v>朱晗宇 Peter (Hanyu Zhu)</v>
      </c>
      <c r="AG957">
        <f>VLOOKUP($H957,'[3]0509人员排班情况 副本'!$G:$U,15,FALSE)</f>
        <v>0</v>
      </c>
    </row>
    <row r="958" customHeight="1" spans="1:33">
      <c r="A958" t="s">
        <v>202</v>
      </c>
      <c r="B958" t="s">
        <v>2814</v>
      </c>
      <c r="C958" t="s">
        <v>2815</v>
      </c>
      <c r="D958" t="s">
        <v>99</v>
      </c>
      <c r="E958" t="s">
        <v>677</v>
      </c>
      <c r="F958" t="s">
        <v>1155</v>
      </c>
      <c r="H958" t="str">
        <f t="shared" si="98"/>
        <v>US人力资源部美洲HRBP组佛州区HR组</v>
      </c>
      <c r="I958" t="s">
        <v>1084</v>
      </c>
      <c r="J958" t="s">
        <v>236</v>
      </c>
      <c r="K958" s="15">
        <v>0.395833333333333</v>
      </c>
      <c r="L958" s="15" t="s">
        <v>218</v>
      </c>
      <c r="M958" s="15"/>
      <c r="N958" t="s">
        <v>843</v>
      </c>
      <c r="O958" s="20" t="str">
        <f t="shared" si="99"/>
        <v>不正确</v>
      </c>
      <c r="P958" s="21">
        <v>0</v>
      </c>
      <c r="Q958" s="21">
        <v>0</v>
      </c>
      <c r="R958" s="21">
        <v>0</v>
      </c>
      <c r="S958" s="21">
        <f t="shared" si="100"/>
        <v>0</v>
      </c>
      <c r="T958" s="21">
        <f t="shared" si="101"/>
        <v>0</v>
      </c>
      <c r="U958" s="21" t="str">
        <f t="shared" si="102"/>
        <v>否</v>
      </c>
      <c r="V958" s="21">
        <f>VLOOKUP($C958,[4]Sheet1!$B:$AN,39,FALSE)</f>
        <v>0</v>
      </c>
      <c r="W958" s="21">
        <v>0</v>
      </c>
      <c r="X958" s="23">
        <v>2</v>
      </c>
      <c r="Y958" s="23">
        <v>4</v>
      </c>
      <c r="Z958" s="25">
        <f t="shared" si="103"/>
        <v>2</v>
      </c>
      <c r="AA958" s="25" t="str">
        <f t="shared" si="104"/>
        <v>是</v>
      </c>
      <c r="AB958" t="s">
        <v>148</v>
      </c>
      <c r="AC958" t="e">
        <f>VLOOKUP(C958,[1]Sheet1!$C:$O,13,FALSE)</f>
        <v>#N/A</v>
      </c>
      <c r="AD958" t="str">
        <f>VLOOKUP($H958,'[3]0509人员排班情况 副本'!$G:$U,12,FALSE)</f>
        <v>袁博闻(Bowen Yuan)</v>
      </c>
      <c r="AE958">
        <f>VLOOKUP($H958,'[3]0509人员排班情况 副本'!$G:$U,13,FALSE)</f>
        <v>0</v>
      </c>
      <c r="AF958">
        <f>VLOOKUP($H958,'[3]0509人员排班情况 副本'!$G:$U,14,FALSE)</f>
        <v>0</v>
      </c>
      <c r="AG958">
        <f>VLOOKUP($H958,'[3]0509人员排班情况 副本'!$G:$U,15,FALSE)</f>
        <v>0</v>
      </c>
    </row>
    <row r="959" customHeight="1" spans="1:33">
      <c r="A959" t="s">
        <v>202</v>
      </c>
      <c r="B959" t="s">
        <v>2816</v>
      </c>
      <c r="C959" t="s">
        <v>2817</v>
      </c>
      <c r="D959" t="s">
        <v>58</v>
      </c>
      <c r="E959" t="s">
        <v>61</v>
      </c>
      <c r="F959" t="s">
        <v>210</v>
      </c>
      <c r="G959" t="s">
        <v>112</v>
      </c>
      <c r="H959" t="str">
        <f t="shared" si="98"/>
        <v>MS 中南大区ATL.H操作组</v>
      </c>
      <c r="I959" t="s">
        <v>281</v>
      </c>
      <c r="J959" t="s">
        <v>245</v>
      </c>
      <c r="K959" s="15">
        <v>0.75</v>
      </c>
      <c r="L959" s="15" t="s">
        <v>246</v>
      </c>
      <c r="M959" s="15">
        <v>0.740277777777778</v>
      </c>
      <c r="N959" t="s">
        <v>148</v>
      </c>
      <c r="O959" s="20" t="str">
        <f t="shared" si="99"/>
        <v>正确</v>
      </c>
      <c r="P959" s="21">
        <v>0</v>
      </c>
      <c r="Q959" s="21">
        <v>0</v>
      </c>
      <c r="R959" s="21">
        <v>0</v>
      </c>
      <c r="S959" s="21">
        <f t="shared" si="100"/>
        <v>0</v>
      </c>
      <c r="T959" s="21">
        <f t="shared" si="101"/>
        <v>0</v>
      </c>
      <c r="U959" s="21" t="str">
        <f t="shared" si="102"/>
        <v>否</v>
      </c>
      <c r="V959" s="21">
        <f>VLOOKUP($C959,[4]Sheet1!$B:$AN,39,FALSE)</f>
        <v>11.95</v>
      </c>
      <c r="W959" s="21">
        <v>0</v>
      </c>
      <c r="X959" s="23">
        <v>3</v>
      </c>
      <c r="Y959" s="23">
        <v>4</v>
      </c>
      <c r="Z959" s="25">
        <f t="shared" si="103"/>
        <v>1</v>
      </c>
      <c r="AA959" s="25" t="str">
        <f t="shared" si="104"/>
        <v>是</v>
      </c>
      <c r="AB959" t="s">
        <v>148</v>
      </c>
      <c r="AC959" t="e">
        <f>VLOOKUP(C959,[1]Sheet1!$C:$O,13,FALSE)</f>
        <v>#N/A</v>
      </c>
      <c r="AD959" t="str">
        <f>VLOOKUP($H959,'[3]0509人员排班情况 副本'!$G:$U,12,FALSE)</f>
        <v>欧阳迎春Flower（Yingchun Ouyang）</v>
      </c>
      <c r="AE959" t="str">
        <f>VLOOKUP($H959,'[3]0509人员排班情况 副本'!$G:$U,13,FALSE)</f>
        <v>杨云飞</v>
      </c>
      <c r="AF959" t="str">
        <f>VLOOKUP($H959,'[3]0509人员排班情况 副本'!$G:$U,14,FALSE)</f>
        <v>Minqing (Minqing Xu),罗煜雄 Mike (Yuxiong Luo),明杰麟Jennie (Jielin Ming)</v>
      </c>
      <c r="AG959" t="str">
        <f>VLOOKUP($H959,'[3]0509人员排班情况 副本'!$G:$U,15,FALSE)</f>
        <v>文艳平</v>
      </c>
    </row>
    <row r="960" customHeight="1" spans="1:33">
      <c r="A960" t="s">
        <v>202</v>
      </c>
      <c r="B960" t="s">
        <v>2818</v>
      </c>
      <c r="C960" t="s">
        <v>2819</v>
      </c>
      <c r="D960" t="s">
        <v>48</v>
      </c>
      <c r="E960" t="s">
        <v>51</v>
      </c>
      <c r="F960" t="s">
        <v>1811</v>
      </c>
      <c r="H960" t="str">
        <f t="shared" si="98"/>
        <v>Ground项目部OG 美西区SE981</v>
      </c>
      <c r="I960" t="s">
        <v>177</v>
      </c>
      <c r="J960" t="s">
        <v>229</v>
      </c>
      <c r="K960" s="15">
        <v>0.270833333333333</v>
      </c>
      <c r="L960" s="15" t="s">
        <v>230</v>
      </c>
      <c r="M960" s="15">
        <v>0.272916666666667</v>
      </c>
      <c r="N960" t="s">
        <v>2617</v>
      </c>
      <c r="O960" s="20" t="str">
        <f t="shared" si="99"/>
        <v>正确</v>
      </c>
      <c r="P960" s="21">
        <v>0</v>
      </c>
      <c r="Q960" s="21">
        <v>8.03</v>
      </c>
      <c r="R960" s="21">
        <v>0</v>
      </c>
      <c r="S960" s="21">
        <f t="shared" si="100"/>
        <v>8.03</v>
      </c>
      <c r="T960" s="21">
        <f t="shared" si="101"/>
        <v>0.0299999999999994</v>
      </c>
      <c r="U960" s="21" t="str">
        <f t="shared" si="102"/>
        <v>是</v>
      </c>
      <c r="V960" s="21">
        <f>VLOOKUP($C960,[4]Sheet1!$B:$AN,39,FALSE)</f>
        <v>8.03</v>
      </c>
      <c r="W960" s="21">
        <v>0</v>
      </c>
      <c r="X960" s="23">
        <v>4</v>
      </c>
      <c r="Y960" s="23">
        <v>4</v>
      </c>
      <c r="Z960" s="25">
        <f t="shared" si="103"/>
        <v>0</v>
      </c>
      <c r="AA960" s="25" t="str">
        <f t="shared" si="104"/>
        <v>是</v>
      </c>
      <c r="AB960" t="s">
        <v>148</v>
      </c>
      <c r="AC960" t="e">
        <f>VLOOKUP(C960,[1]Sheet1!$C:$O,13,FALSE)</f>
        <v>#N/A</v>
      </c>
      <c r="AD960" t="str">
        <f>VLOOKUP($H960,'[3]0509人员排班情况 副本'!$G:$U,12,FALSE)</f>
        <v>王安琪 (Anqi Wang),张朱同 Thomson（Zhutong Zhang）</v>
      </c>
      <c r="AE960" t="str">
        <f>VLOOKUP($H960,'[3]0509人员排班情况 副本'!$G:$U,13,FALSE)</f>
        <v>陈锦昭</v>
      </c>
      <c r="AF960" t="str">
        <f>VLOOKUP($H960,'[3]0509人员排班情况 副本'!$G:$U,14,FALSE)</f>
        <v>张潇予（Angelia）Xiaoyu Zhang</v>
      </c>
      <c r="AG960">
        <f>VLOOKUP($H960,'[3]0509人员排班情况 副本'!$G:$U,15,FALSE)</f>
        <v>0</v>
      </c>
    </row>
    <row r="961" customHeight="1" spans="1:33">
      <c r="A961" t="s">
        <v>202</v>
      </c>
      <c r="B961" t="s">
        <v>2820</v>
      </c>
      <c r="C961" t="s">
        <v>2821</v>
      </c>
      <c r="D961" t="s">
        <v>68</v>
      </c>
      <c r="E961" t="s">
        <v>71</v>
      </c>
      <c r="F961" t="s">
        <v>148</v>
      </c>
      <c r="H961" t="str">
        <f t="shared" si="98"/>
        <v>NE 东北大区BOS01</v>
      </c>
      <c r="I961" t="s">
        <v>177</v>
      </c>
      <c r="J961" t="s">
        <v>343</v>
      </c>
      <c r="K961" s="15">
        <v>0.25</v>
      </c>
      <c r="L961" s="15" t="s">
        <v>344</v>
      </c>
      <c r="M961" s="15">
        <v>0.256944444444444</v>
      </c>
      <c r="N961" t="s">
        <v>148</v>
      </c>
      <c r="O961" s="20" t="str">
        <f t="shared" si="99"/>
        <v>正确</v>
      </c>
      <c r="P961" s="21">
        <v>0</v>
      </c>
      <c r="Q961" s="21">
        <v>0</v>
      </c>
      <c r="R961" s="21">
        <v>0</v>
      </c>
      <c r="S961" s="21">
        <f t="shared" si="100"/>
        <v>0</v>
      </c>
      <c r="T961" s="21">
        <f t="shared" si="101"/>
        <v>0</v>
      </c>
      <c r="U961" s="21" t="str">
        <f t="shared" si="102"/>
        <v>否</v>
      </c>
      <c r="V961" s="21">
        <f>VLOOKUP($C961,[4]Sheet1!$B:$AN,39,FALSE)</f>
        <v>7.08</v>
      </c>
      <c r="W961" s="21">
        <v>0</v>
      </c>
      <c r="X961" s="23">
        <v>2</v>
      </c>
      <c r="Y961" s="23">
        <v>4</v>
      </c>
      <c r="Z961" s="25">
        <f t="shared" si="103"/>
        <v>2</v>
      </c>
      <c r="AA961" s="25" t="str">
        <f t="shared" si="104"/>
        <v>是</v>
      </c>
      <c r="AB961" t="s">
        <v>148</v>
      </c>
      <c r="AC961" t="e">
        <f>VLOOKUP(C961,[1]Sheet1!$C:$O,13,FALSE)</f>
        <v>#N/A</v>
      </c>
      <c r="AD961" t="str">
        <f>VLOOKUP($H961,'[3]0509人员排班情况 副本'!$G:$U,12,FALSE)</f>
        <v>孙可君Monica（Kejun Sun）</v>
      </c>
      <c r="AE961" t="str">
        <f>VLOOKUP($H961,'[3]0509人员排班情况 副本'!$G:$U,13,FALSE)</f>
        <v>马聪Cong (Cong Ma)</v>
      </c>
      <c r="AF961">
        <f>VLOOKUP($H961,'[3]0509人员排班情况 副本'!$G:$U,14,FALSE)</f>
        <v>0</v>
      </c>
      <c r="AG961">
        <f>VLOOKUP($H961,'[3]0509人员排班情况 副本'!$G:$U,15,FALSE)</f>
        <v>0</v>
      </c>
    </row>
    <row r="962" customHeight="1" spans="1:33">
      <c r="A962" t="s">
        <v>202</v>
      </c>
      <c r="B962" t="s">
        <v>2822</v>
      </c>
      <c r="C962" t="s">
        <v>2823</v>
      </c>
      <c r="D962" t="s">
        <v>100</v>
      </c>
      <c r="E962" t="s">
        <v>105</v>
      </c>
      <c r="F962" t="s">
        <v>760</v>
      </c>
      <c r="H962" t="str">
        <f t="shared" si="98"/>
        <v>WE 美西大区NC 北加片区SFO01</v>
      </c>
      <c r="I962" t="s">
        <v>177</v>
      </c>
      <c r="J962" t="s">
        <v>258</v>
      </c>
      <c r="K962" s="15">
        <v>0.1875</v>
      </c>
      <c r="L962" s="15" t="s">
        <v>259</v>
      </c>
      <c r="M962" s="15"/>
      <c r="N962" t="s">
        <v>148</v>
      </c>
      <c r="O962" s="20" t="str">
        <f t="shared" si="99"/>
        <v>不正确</v>
      </c>
      <c r="P962" s="21">
        <v>0</v>
      </c>
      <c r="Q962" s="21">
        <v>0</v>
      </c>
      <c r="R962" s="21">
        <v>0</v>
      </c>
      <c r="S962" s="21">
        <f t="shared" si="100"/>
        <v>0</v>
      </c>
      <c r="T962" s="21">
        <f t="shared" si="101"/>
        <v>0</v>
      </c>
      <c r="U962" s="21" t="str">
        <f t="shared" si="102"/>
        <v>否</v>
      </c>
      <c r="V962" s="21">
        <f>VLOOKUP($C962,[4]Sheet1!$B:$AN,39,FALSE)</f>
        <v>0</v>
      </c>
      <c r="W962" s="21">
        <v>0</v>
      </c>
      <c r="X962" s="23">
        <v>0</v>
      </c>
      <c r="Y962" s="23">
        <v>4</v>
      </c>
      <c r="Z962" s="25">
        <f t="shared" si="103"/>
        <v>4</v>
      </c>
      <c r="AA962" s="25" t="str">
        <f t="shared" si="104"/>
        <v>是</v>
      </c>
      <c r="AB962" t="s">
        <v>148</v>
      </c>
      <c r="AC962" t="e">
        <f>VLOOKUP(C962,[1]Sheet1!$C:$O,13,FALSE)</f>
        <v>#N/A</v>
      </c>
      <c r="AD962" t="str">
        <f>VLOOKUP($H962,'[3]0509人员排班情况 副本'!$G:$U,12,FALSE)</f>
        <v>王骞Ariel（Qian Wang）,叶秀芳Freya (Xiufang Ye)</v>
      </c>
      <c r="AE962" t="str">
        <f>VLOOKUP($H962,'[3]0509人员排班情况 副本'!$G:$U,13,FALSE)</f>
        <v>常哲</v>
      </c>
      <c r="AF962" t="str">
        <f>VLOOKUP($H962,'[3]0509人员排班情况 副本'!$G:$U,14,FALSE)</f>
        <v>林美浚（Meijun Lin）</v>
      </c>
      <c r="AG962">
        <f>VLOOKUP($H962,'[3]0509人员排班情况 副本'!$G:$U,15,FALSE)</f>
        <v>0</v>
      </c>
    </row>
    <row r="963" customHeight="1" spans="1:33">
      <c r="A963" t="s">
        <v>202</v>
      </c>
      <c r="B963" t="s">
        <v>2824</v>
      </c>
      <c r="C963" t="s">
        <v>2825</v>
      </c>
      <c r="D963" t="s">
        <v>100</v>
      </c>
      <c r="E963" t="s">
        <v>105</v>
      </c>
      <c r="F963" t="s">
        <v>750</v>
      </c>
      <c r="H963" t="str">
        <f t="shared" si="98"/>
        <v>WE 美西大区NC 北加片区SFO.H</v>
      </c>
      <c r="I963" t="s">
        <v>156</v>
      </c>
      <c r="J963" t="s">
        <v>655</v>
      </c>
      <c r="K963" s="15">
        <v>0.583333333333333</v>
      </c>
      <c r="L963" s="15" t="s">
        <v>656</v>
      </c>
      <c r="M963" s="15">
        <v>0.582638888888889</v>
      </c>
      <c r="N963" t="s">
        <v>148</v>
      </c>
      <c r="O963" s="20" t="str">
        <f t="shared" si="99"/>
        <v>正确</v>
      </c>
      <c r="P963" s="21">
        <v>0</v>
      </c>
      <c r="Q963" s="21">
        <v>0</v>
      </c>
      <c r="R963" s="21">
        <v>0</v>
      </c>
      <c r="S963" s="21">
        <f t="shared" si="100"/>
        <v>0</v>
      </c>
      <c r="T963" s="21">
        <f t="shared" si="101"/>
        <v>0</v>
      </c>
      <c r="U963" s="21" t="str">
        <f t="shared" si="102"/>
        <v>否</v>
      </c>
      <c r="V963" s="21">
        <f>VLOOKUP($C963,[4]Sheet1!$B:$AN,39,FALSE)</f>
        <v>12.78</v>
      </c>
      <c r="W963" s="21">
        <v>33.19</v>
      </c>
      <c r="X963" s="23">
        <v>3</v>
      </c>
      <c r="Y963" s="23">
        <v>4</v>
      </c>
      <c r="Z963" s="25">
        <f t="shared" si="103"/>
        <v>1</v>
      </c>
      <c r="AA963" s="25" t="str">
        <f t="shared" si="104"/>
        <v>是</v>
      </c>
      <c r="AB963" t="s">
        <v>148</v>
      </c>
      <c r="AC963" t="e">
        <f>VLOOKUP(C963,[1]Sheet1!$C:$O,13,FALSE)</f>
        <v>#N/A</v>
      </c>
      <c r="AD963" t="str">
        <f>VLOOKUP($H963,'[3]0509人员排班情况 副本'!$G:$U,12,FALSE)</f>
        <v>王骞Ariel（Qian Wang）,叶秀芳Freya (Xiufang Ye)</v>
      </c>
      <c r="AE963" t="str">
        <f>VLOOKUP($H963,'[3]0509人员排班情况 副本'!$G:$U,13,FALSE)</f>
        <v>常哲</v>
      </c>
      <c r="AF963" t="str">
        <f>VLOOKUP($H963,'[3]0509人员排班情况 副本'!$G:$U,14,FALSE)</f>
        <v>林美浚（Meijun Lin）</v>
      </c>
      <c r="AG963">
        <f>VLOOKUP($H963,'[3]0509人员排班情况 副本'!$G:$U,15,FALSE)</f>
        <v>0</v>
      </c>
    </row>
    <row r="964" customHeight="1" spans="1:33">
      <c r="A964" t="s">
        <v>202</v>
      </c>
      <c r="B964" t="s">
        <v>2826</v>
      </c>
      <c r="C964" t="s">
        <v>2827</v>
      </c>
      <c r="D964" t="s">
        <v>48</v>
      </c>
      <c r="E964" t="s">
        <v>51</v>
      </c>
      <c r="F964" t="s">
        <v>563</v>
      </c>
      <c r="G964" t="s">
        <v>112</v>
      </c>
      <c r="H964" t="str">
        <f t="shared" ref="H964:H992" si="105">D964&amp;E964&amp;F964</f>
        <v>Ground项目部OG 美西区CNO.G</v>
      </c>
      <c r="I964" t="s">
        <v>160</v>
      </c>
      <c r="J964" t="s">
        <v>295</v>
      </c>
      <c r="K964" s="15">
        <v>0.375</v>
      </c>
      <c r="L964" s="15" t="s">
        <v>296</v>
      </c>
      <c r="M964" s="15">
        <v>0.302777777777778</v>
      </c>
      <c r="N964" t="s">
        <v>2622</v>
      </c>
      <c r="O964" s="20" t="str">
        <f t="shared" si="99"/>
        <v>不正确</v>
      </c>
      <c r="P964" s="21">
        <v>0</v>
      </c>
      <c r="Q964" s="21">
        <v>9.07</v>
      </c>
      <c r="R964" s="21">
        <v>0</v>
      </c>
      <c r="S964" s="21">
        <f t="shared" ref="S964:S992" si="106">Q964+R964</f>
        <v>9.07</v>
      </c>
      <c r="T964" s="21">
        <f t="shared" ref="T964:T992" si="107">IF(S964-8&gt;0,S964-8,0)</f>
        <v>1.07</v>
      </c>
      <c r="U964" s="21" t="str">
        <f t="shared" ref="U964:U992" si="108">IF(T964=0,"否","是")</f>
        <v>是</v>
      </c>
      <c r="V964" s="21">
        <f>VLOOKUP($C964,[4]Sheet1!$B:$AN,39,FALSE)</f>
        <v>17.1</v>
      </c>
      <c r="W964" s="21">
        <v>0</v>
      </c>
      <c r="X964" s="23">
        <v>2</v>
      </c>
      <c r="Y964" s="23">
        <v>4</v>
      </c>
      <c r="Z964" s="25">
        <f t="shared" ref="Z964:Z992" si="109">IF(Y964-X964&gt;=0,Y964-X964,0)</f>
        <v>2</v>
      </c>
      <c r="AA964" s="25" t="str">
        <f t="shared" ref="AA964:AA992" si="110">IF(J964="","否","是")</f>
        <v>是</v>
      </c>
      <c r="AB964" t="s">
        <v>148</v>
      </c>
      <c r="AC964" t="e">
        <f>VLOOKUP(C964,[1]Sheet1!$C:$O,13,FALSE)</f>
        <v>#N/A</v>
      </c>
      <c r="AD964" t="str">
        <f>VLOOKUP($H964,'[3]0509人员排班情况 副本'!$G:$U,12,FALSE)</f>
        <v>王安琪 (Anqi Wang),张朱同 Thomson（Zhutong Zhang）</v>
      </c>
      <c r="AE964" t="str">
        <f>VLOOKUP($H964,'[3]0509人员排班情况 副本'!$G:$U,13,FALSE)</f>
        <v>陈锦昭</v>
      </c>
      <c r="AF964" t="str">
        <f>VLOOKUP($H964,'[3]0509人员排班情况 副本'!$G:$U,14,FALSE)</f>
        <v>张弘毅 Hongyi （Hongyi Zhang）</v>
      </c>
      <c r="AG964">
        <f>VLOOKUP($H964,'[3]0509人员排班情况 副本'!$G:$U,15,FALSE)</f>
        <v>0</v>
      </c>
    </row>
    <row r="965" customHeight="1" spans="1:33">
      <c r="A965" t="s">
        <v>202</v>
      </c>
      <c r="B965" t="s">
        <v>2828</v>
      </c>
      <c r="C965" t="s">
        <v>2829</v>
      </c>
      <c r="D965" t="s">
        <v>58</v>
      </c>
      <c r="E965" t="s">
        <v>63</v>
      </c>
      <c r="F965" t="s">
        <v>243</v>
      </c>
      <c r="G965" t="s">
        <v>112</v>
      </c>
      <c r="H965" t="str">
        <f t="shared" si="105"/>
        <v>MS 中南大区CLT.H调度组</v>
      </c>
      <c r="I965" t="s">
        <v>244</v>
      </c>
      <c r="J965" t="s">
        <v>217</v>
      </c>
      <c r="K965" s="15">
        <v>0.395833333333333</v>
      </c>
      <c r="L965" s="15" t="s">
        <v>218</v>
      </c>
      <c r="M965" s="15"/>
      <c r="N965" t="s">
        <v>148</v>
      </c>
      <c r="O965" s="20" t="s">
        <v>116</v>
      </c>
      <c r="P965" s="21">
        <v>0</v>
      </c>
      <c r="Q965" s="21">
        <v>0</v>
      </c>
      <c r="R965" s="21">
        <v>0</v>
      </c>
      <c r="S965" s="21">
        <f t="shared" si="106"/>
        <v>0</v>
      </c>
      <c r="T965" s="21">
        <f t="shared" si="107"/>
        <v>0</v>
      </c>
      <c r="U965" s="21" t="str">
        <f t="shared" si="108"/>
        <v>否</v>
      </c>
      <c r="V965" s="21">
        <f>VLOOKUP($C965,[4]Sheet1!$B:$AN,39,FALSE)</f>
        <v>0</v>
      </c>
      <c r="W965" s="21">
        <v>0</v>
      </c>
      <c r="X965" s="23">
        <v>0</v>
      </c>
      <c r="Y965" s="23">
        <v>0</v>
      </c>
      <c r="Z965" s="25">
        <f t="shared" si="109"/>
        <v>0</v>
      </c>
      <c r="AA965" s="25" t="str">
        <f t="shared" si="110"/>
        <v>是</v>
      </c>
      <c r="AB965" t="s">
        <v>148</v>
      </c>
      <c r="AC965" t="e">
        <f>VLOOKUP(C965,[1]Sheet1!$C:$O,13,FALSE)</f>
        <v>#N/A</v>
      </c>
      <c r="AD965" t="str">
        <f>VLOOKUP($H965,'[3]0509人员排班情况 副本'!$G:$U,12,FALSE)</f>
        <v>欧阳迎春Flower（Yingchun Ouyang）</v>
      </c>
      <c r="AE965" t="str">
        <f>VLOOKUP($H965,'[3]0509人员排班情况 副本'!$G:$U,13,FALSE)</f>
        <v>杨云飞</v>
      </c>
      <c r="AF965" t="str">
        <f>VLOOKUP($H965,'[3]0509人员排班情况 副本'!$G:$U,14,FALSE)</f>
        <v>Minqing (Minqing Xu),罗煜雄 Mike (Yuxiong Luo)</v>
      </c>
      <c r="AG965">
        <f>VLOOKUP($H965,'[3]0509人员排班情况 副本'!$G:$U,15,FALSE)</f>
        <v>0</v>
      </c>
    </row>
    <row r="966" customHeight="1" spans="1:33">
      <c r="A966" t="s">
        <v>202</v>
      </c>
      <c r="B966" t="s">
        <v>2830</v>
      </c>
      <c r="C966" t="s">
        <v>2831</v>
      </c>
      <c r="D966" t="s">
        <v>100</v>
      </c>
      <c r="E966" t="s">
        <v>105</v>
      </c>
      <c r="F966" t="s">
        <v>750</v>
      </c>
      <c r="H966" t="str">
        <f t="shared" si="105"/>
        <v>WE 美西大区NC 北加片区SFO.H</v>
      </c>
      <c r="I966" t="s">
        <v>160</v>
      </c>
      <c r="J966" t="s">
        <v>655</v>
      </c>
      <c r="K966" s="15">
        <v>0.583333333333333</v>
      </c>
      <c r="L966" s="15" t="s">
        <v>656</v>
      </c>
      <c r="M966" s="15"/>
      <c r="N966" t="s">
        <v>148</v>
      </c>
      <c r="O966" s="20" t="str">
        <f t="shared" ref="O966:O990" si="111">IFERROR(IF(ABS(M966-K966)&lt;=1/24,"正确","不正确"),"/")</f>
        <v>不正确</v>
      </c>
      <c r="P966" s="21">
        <v>0</v>
      </c>
      <c r="Q966" s="21">
        <v>0</v>
      </c>
      <c r="R966" s="21">
        <v>0</v>
      </c>
      <c r="S966" s="21">
        <f t="shared" si="106"/>
        <v>0</v>
      </c>
      <c r="T966" s="21">
        <f t="shared" si="107"/>
        <v>0</v>
      </c>
      <c r="U966" s="21" t="str">
        <f t="shared" si="108"/>
        <v>否</v>
      </c>
      <c r="V966" s="21">
        <f>VLOOKUP($C966,[4]Sheet1!$B:$AN,39,FALSE)</f>
        <v>0</v>
      </c>
      <c r="W966" s="21">
        <v>0</v>
      </c>
      <c r="X966" s="23">
        <v>0</v>
      </c>
      <c r="Y966" s="23">
        <v>4</v>
      </c>
      <c r="Z966" s="25">
        <f t="shared" si="109"/>
        <v>4</v>
      </c>
      <c r="AA966" s="25" t="str">
        <f t="shared" si="110"/>
        <v>是</v>
      </c>
      <c r="AB966" t="s">
        <v>148</v>
      </c>
      <c r="AC966" t="e">
        <f>VLOOKUP(C966,[1]Sheet1!$C:$O,13,FALSE)</f>
        <v>#N/A</v>
      </c>
      <c r="AD966" t="str">
        <f>VLOOKUP($H966,'[3]0509人员排班情况 副本'!$G:$U,12,FALSE)</f>
        <v>王骞Ariel（Qian Wang）,叶秀芳Freya (Xiufang Ye)</v>
      </c>
      <c r="AE966" t="str">
        <f>VLOOKUP($H966,'[3]0509人员排班情况 副本'!$G:$U,13,FALSE)</f>
        <v>常哲</v>
      </c>
      <c r="AF966" t="str">
        <f>VLOOKUP($H966,'[3]0509人员排班情况 副本'!$G:$U,14,FALSE)</f>
        <v>林美浚（Meijun Lin）</v>
      </c>
      <c r="AG966">
        <f>VLOOKUP($H966,'[3]0509人员排班情况 副本'!$G:$U,15,FALSE)</f>
        <v>0</v>
      </c>
    </row>
    <row r="967" customHeight="1" spans="1:33">
      <c r="A967" t="s">
        <v>202</v>
      </c>
      <c r="B967" t="s">
        <v>2832</v>
      </c>
      <c r="C967" t="s">
        <v>2833</v>
      </c>
      <c r="D967" t="s">
        <v>100</v>
      </c>
      <c r="E967" t="s">
        <v>101</v>
      </c>
      <c r="F967" t="s">
        <v>210</v>
      </c>
      <c r="G967" t="s">
        <v>112</v>
      </c>
      <c r="H967" t="str">
        <f t="shared" si="105"/>
        <v>WE 美西大区CNO.H操作组</v>
      </c>
      <c r="I967" t="s">
        <v>281</v>
      </c>
      <c r="J967" t="s">
        <v>407</v>
      </c>
      <c r="K967" s="15">
        <v>0.354166666666667</v>
      </c>
      <c r="L967" s="15" t="s">
        <v>254</v>
      </c>
      <c r="M967" s="15">
        <v>0.275</v>
      </c>
      <c r="N967" t="s">
        <v>661</v>
      </c>
      <c r="O967" s="20" t="str">
        <f t="shared" si="111"/>
        <v>不正确</v>
      </c>
      <c r="P967" s="21">
        <v>0</v>
      </c>
      <c r="Q967" s="21">
        <v>12</v>
      </c>
      <c r="R967" s="21">
        <v>0</v>
      </c>
      <c r="S967" s="21">
        <f t="shared" si="106"/>
        <v>12</v>
      </c>
      <c r="T967" s="21">
        <f t="shared" si="107"/>
        <v>4</v>
      </c>
      <c r="U967" s="21" t="str">
        <f t="shared" si="108"/>
        <v>是</v>
      </c>
      <c r="V967" s="21">
        <f>VLOOKUP($C967,[4]Sheet1!$B:$AN,39,FALSE)</f>
        <v>24</v>
      </c>
      <c r="W967" s="21">
        <v>0</v>
      </c>
      <c r="X967" s="23">
        <v>4</v>
      </c>
      <c r="Y967" s="23">
        <v>4</v>
      </c>
      <c r="Z967" s="25">
        <f t="shared" si="109"/>
        <v>0</v>
      </c>
      <c r="AA967" s="25" t="str">
        <f t="shared" si="110"/>
        <v>是</v>
      </c>
      <c r="AB967" t="s">
        <v>148</v>
      </c>
      <c r="AC967" t="e">
        <f>VLOOKUP(C967,[1]Sheet1!$C:$O,13,FALSE)</f>
        <v>#N/A</v>
      </c>
      <c r="AD967" t="str">
        <f>VLOOKUP($H967,'[3]0509人员排班情况 副本'!$G:$U,12,FALSE)</f>
        <v>王骞Ariel（Qian Wang）,叶秀芳Freya (Xiufang Ye)</v>
      </c>
      <c r="AE967" t="str">
        <f>VLOOKUP($H967,'[3]0509人员排班情况 副本'!$G:$U,13,FALSE)</f>
        <v>常哲</v>
      </c>
      <c r="AF967" t="str">
        <f>VLOOKUP($H967,'[3]0509人员排班情况 副本'!$G:$U,14,FALSE)</f>
        <v>Minqing (Minqing Xu),罗煜雄 Mike (Yuxiong Luo)</v>
      </c>
      <c r="AG967">
        <f>VLOOKUP($H967,'[3]0509人员排班情况 副本'!$G:$U,15,FALSE)</f>
        <v>0</v>
      </c>
    </row>
    <row r="968" customHeight="1" spans="1:33">
      <c r="A968" t="s">
        <v>202</v>
      </c>
      <c r="B968" t="s">
        <v>2834</v>
      </c>
      <c r="C968" t="s">
        <v>2835</v>
      </c>
      <c r="D968" t="s">
        <v>89</v>
      </c>
      <c r="E968" t="s">
        <v>2836</v>
      </c>
      <c r="F968" t="s">
        <v>148</v>
      </c>
      <c r="H968" t="str">
        <f t="shared" si="105"/>
        <v>QC 质量控制部全链路组</v>
      </c>
      <c r="I968" t="s">
        <v>2837</v>
      </c>
      <c r="J968" t="s">
        <v>236</v>
      </c>
      <c r="K968" s="15">
        <v>0.395833333333333</v>
      </c>
      <c r="L968" s="15" t="s">
        <v>218</v>
      </c>
      <c r="M968" s="15">
        <v>0.384027777777778</v>
      </c>
      <c r="N968" t="s">
        <v>2838</v>
      </c>
      <c r="O968" s="20" t="str">
        <f t="shared" si="111"/>
        <v>正确</v>
      </c>
      <c r="P968" s="21">
        <v>0</v>
      </c>
      <c r="Q968" s="21">
        <v>7.43</v>
      </c>
      <c r="R968" s="21">
        <v>0</v>
      </c>
      <c r="S968" s="21">
        <f t="shared" si="106"/>
        <v>7.43</v>
      </c>
      <c r="T968" s="21">
        <f t="shared" si="107"/>
        <v>0</v>
      </c>
      <c r="U968" s="21" t="str">
        <f t="shared" si="108"/>
        <v>否</v>
      </c>
      <c r="V968" s="21">
        <f>VLOOKUP($C968,[4]Sheet1!$B:$AN,39,FALSE)</f>
        <v>15.68</v>
      </c>
      <c r="W968" s="21">
        <v>0</v>
      </c>
      <c r="X968" s="23">
        <v>2</v>
      </c>
      <c r="Y968" s="23">
        <v>4</v>
      </c>
      <c r="Z968" s="25">
        <f t="shared" si="109"/>
        <v>2</v>
      </c>
      <c r="AA968" s="25" t="str">
        <f t="shared" si="110"/>
        <v>是</v>
      </c>
      <c r="AB968" t="s">
        <v>148</v>
      </c>
      <c r="AC968" t="e">
        <f>VLOOKUP(C968,[1]Sheet1!$C:$O,13,FALSE)</f>
        <v>#N/A</v>
      </c>
      <c r="AD968" t="str">
        <f>VLOOKUP($H968,'[3]0509人员排班情况 副本'!$G:$U,12,FALSE)</f>
        <v>袁博闻(Bowen Yuan)</v>
      </c>
      <c r="AE968">
        <f>VLOOKUP($H968,'[3]0509人员排班情况 副本'!$G:$U,13,FALSE)</f>
        <v>0</v>
      </c>
      <c r="AF968">
        <f>VLOOKUP($H968,'[3]0509人员排班情况 副本'!$G:$U,14,FALSE)</f>
        <v>0</v>
      </c>
      <c r="AG968">
        <f>VLOOKUP($H968,'[3]0509人员排班情况 副本'!$G:$U,15,FALSE)</f>
        <v>0</v>
      </c>
    </row>
    <row r="969" customHeight="1" spans="1:33">
      <c r="A969" t="s">
        <v>202</v>
      </c>
      <c r="B969" t="s">
        <v>2839</v>
      </c>
      <c r="C969" t="s">
        <v>2840</v>
      </c>
      <c r="D969" t="s">
        <v>68</v>
      </c>
      <c r="E969" t="s">
        <v>76</v>
      </c>
      <c r="F969" t="s">
        <v>275</v>
      </c>
      <c r="G969" t="s">
        <v>112</v>
      </c>
      <c r="H969" t="str">
        <f t="shared" si="105"/>
        <v>NE 东北大区EWR.H分拣组</v>
      </c>
      <c r="I969" t="s">
        <v>303</v>
      </c>
      <c r="J969" t="s">
        <v>245</v>
      </c>
      <c r="K969" s="15">
        <v>0.75</v>
      </c>
      <c r="L969" s="15" t="s">
        <v>246</v>
      </c>
      <c r="M969" s="15">
        <v>0.752083333333333</v>
      </c>
      <c r="N969" t="s">
        <v>148</v>
      </c>
      <c r="O969" s="20" t="str">
        <f t="shared" si="111"/>
        <v>正确</v>
      </c>
      <c r="P969" s="21">
        <v>0</v>
      </c>
      <c r="Q969" s="21">
        <v>0</v>
      </c>
      <c r="R969" s="21">
        <v>0</v>
      </c>
      <c r="S969" s="21">
        <f t="shared" si="106"/>
        <v>0</v>
      </c>
      <c r="T969" s="21">
        <f t="shared" si="107"/>
        <v>0</v>
      </c>
      <c r="U969" s="21" t="str">
        <f t="shared" si="108"/>
        <v>否</v>
      </c>
      <c r="V969" s="21">
        <f>VLOOKUP($C969,[4]Sheet1!$B:$AN,39,FALSE)</f>
        <v>13.38</v>
      </c>
      <c r="W969" s="21">
        <v>0</v>
      </c>
      <c r="X969" s="23">
        <v>1</v>
      </c>
      <c r="Y969" s="23">
        <v>4</v>
      </c>
      <c r="Z969" s="25">
        <f t="shared" si="109"/>
        <v>3</v>
      </c>
      <c r="AA969" s="25" t="str">
        <f t="shared" si="110"/>
        <v>是</v>
      </c>
      <c r="AB969" t="s">
        <v>148</v>
      </c>
      <c r="AC969" t="e">
        <f>VLOOKUP(C969,[1]Sheet1!$C:$O,13,FALSE)</f>
        <v>#N/A</v>
      </c>
      <c r="AD969" t="str">
        <f>VLOOKUP($H969,'[3]0509人员排班情况 副本'!$G:$U,12,FALSE)</f>
        <v>孙可君Monica（Kejun Sun）</v>
      </c>
      <c r="AE969" t="str">
        <f>VLOOKUP($H969,'[3]0509人员排班情况 副本'!$G:$U,13,FALSE)</f>
        <v>马聪Cong (Cong Ma)</v>
      </c>
      <c r="AF969" t="str">
        <f>VLOOKUP($H969,'[3]0509人员排班情况 副本'!$G:$U,14,FALSE)</f>
        <v>张双甫(Shuangfu Zhang)</v>
      </c>
      <c r="AG969">
        <f>VLOOKUP($H969,'[3]0509人员排班情况 副本'!$G:$U,15,FALSE)</f>
        <v>0</v>
      </c>
    </row>
    <row r="970" customHeight="1" spans="1:33">
      <c r="A970" t="s">
        <v>202</v>
      </c>
      <c r="B970" t="s">
        <v>2841</v>
      </c>
      <c r="C970" t="s">
        <v>2842</v>
      </c>
      <c r="D970" t="s">
        <v>68</v>
      </c>
      <c r="E970" t="s">
        <v>45</v>
      </c>
      <c r="F970" t="s">
        <v>744</v>
      </c>
      <c r="H970" t="str">
        <f t="shared" si="105"/>
        <v>NE 东北大区揽收部揽收调度组</v>
      </c>
      <c r="I970" t="s">
        <v>608</v>
      </c>
      <c r="J970" t="s">
        <v>295</v>
      </c>
      <c r="K970" s="15">
        <v>0.375</v>
      </c>
      <c r="L970" s="15" t="s">
        <v>296</v>
      </c>
      <c r="M970" s="15">
        <v>0.379861111111111</v>
      </c>
      <c r="N970" t="s">
        <v>2843</v>
      </c>
      <c r="O970" s="20" t="str">
        <f t="shared" si="111"/>
        <v>正确</v>
      </c>
      <c r="P970" s="21">
        <v>0</v>
      </c>
      <c r="Q970" s="21">
        <v>11.15</v>
      </c>
      <c r="R970" s="21">
        <v>0</v>
      </c>
      <c r="S970" s="21">
        <f t="shared" si="106"/>
        <v>11.15</v>
      </c>
      <c r="T970" s="21">
        <f t="shared" si="107"/>
        <v>3.15</v>
      </c>
      <c r="U970" s="21" t="str">
        <f t="shared" si="108"/>
        <v>是</v>
      </c>
      <c r="V970" s="21">
        <f>VLOOKUP($C970,[4]Sheet1!$B:$AN,39,FALSE)</f>
        <v>20.15</v>
      </c>
      <c r="W970" s="21">
        <v>0</v>
      </c>
      <c r="X970" s="23">
        <v>2</v>
      </c>
      <c r="Y970" s="23">
        <v>4</v>
      </c>
      <c r="Z970" s="25">
        <f t="shared" si="109"/>
        <v>2</v>
      </c>
      <c r="AA970" s="25" t="str">
        <f t="shared" si="110"/>
        <v>是</v>
      </c>
      <c r="AB970" t="s">
        <v>148</v>
      </c>
      <c r="AC970" t="e">
        <f>VLOOKUP(C970,[1]Sheet1!$C:$O,13,FALSE)</f>
        <v>#N/A</v>
      </c>
      <c r="AD970" t="str">
        <f>VLOOKUP($H970,'[3]0509人员排班情况 副本'!$G:$U,12,FALSE)</f>
        <v>孙可君Monica（Kejun Sun）</v>
      </c>
      <c r="AE970" t="str">
        <f>VLOOKUP($H970,'[3]0509人员排班情况 副本'!$G:$U,13,FALSE)</f>
        <v>马聪Cong (Cong Ma)</v>
      </c>
      <c r="AF970">
        <f>VLOOKUP($H970,'[3]0509人员排班情况 副本'!$G:$U,14,FALSE)</f>
        <v>0</v>
      </c>
      <c r="AG970">
        <f>VLOOKUP($H970,'[3]0509人员排班情况 副本'!$G:$U,15,FALSE)</f>
        <v>0</v>
      </c>
    </row>
    <row r="971" customHeight="1" spans="1:33">
      <c r="A971" t="s">
        <v>202</v>
      </c>
      <c r="B971" t="s">
        <v>2844</v>
      </c>
      <c r="C971" t="s">
        <v>2845</v>
      </c>
      <c r="D971" t="s">
        <v>31</v>
      </c>
      <c r="E971" t="s">
        <v>36</v>
      </c>
      <c r="F971" t="s">
        <v>2246</v>
      </c>
      <c r="H971" t="str">
        <f t="shared" si="105"/>
        <v>GL 大湖大区EG 东大湖片区DTW01</v>
      </c>
      <c r="I971" t="s">
        <v>177</v>
      </c>
      <c r="J971" t="s">
        <v>221</v>
      </c>
      <c r="K971" s="15">
        <v>0.208333333333333</v>
      </c>
      <c r="L971" s="15" t="s">
        <v>222</v>
      </c>
      <c r="M971" s="15">
        <v>0.216666666666667</v>
      </c>
      <c r="N971" t="s">
        <v>2846</v>
      </c>
      <c r="O971" s="20" t="str">
        <f t="shared" si="111"/>
        <v>正确</v>
      </c>
      <c r="P971" s="21">
        <v>0</v>
      </c>
      <c r="Q971" s="21">
        <v>7.85</v>
      </c>
      <c r="R971" s="21">
        <v>0</v>
      </c>
      <c r="S971" s="21">
        <f t="shared" si="106"/>
        <v>7.85</v>
      </c>
      <c r="T971" s="21">
        <f t="shared" si="107"/>
        <v>0</v>
      </c>
      <c r="U971" s="21" t="str">
        <f t="shared" si="108"/>
        <v>否</v>
      </c>
      <c r="V971" s="21">
        <f>VLOOKUP($C971,[4]Sheet1!$B:$AN,39,FALSE)</f>
        <v>15.92</v>
      </c>
      <c r="W971" s="21">
        <v>0</v>
      </c>
      <c r="X971" s="23">
        <v>4</v>
      </c>
      <c r="Y971" s="23">
        <v>4</v>
      </c>
      <c r="Z971" s="25">
        <f t="shared" si="109"/>
        <v>0</v>
      </c>
      <c r="AA971" s="25" t="str">
        <f t="shared" si="110"/>
        <v>是</v>
      </c>
      <c r="AB971" t="s">
        <v>148</v>
      </c>
      <c r="AC971" t="e">
        <f>VLOOKUP(C971,[1]Sheet1!$C:$O,13,FALSE)</f>
        <v>#N/A</v>
      </c>
      <c r="AD971" t="str">
        <f>VLOOKUP($H971,'[3]0509人员排班情况 副本'!$G:$U,12,FALSE)</f>
        <v>王晓丹 Jasmine（Xiaodan Wang）,周延舒Isabel（Yanshu Zhou）</v>
      </c>
      <c r="AE971" t="str">
        <f>VLOOKUP($H971,'[3]0509人员排班情况 副本'!$G:$U,13,FALSE)</f>
        <v>张骥Ji Zhang (Ji Zhang)</v>
      </c>
      <c r="AF971" t="str">
        <f>VLOOKUP($H971,'[3]0509人员排班情况 副本'!$G:$U,14,FALSE)</f>
        <v>肖泓杰 Leo （hongjie Xiao）,尚青蓓 Suki （Qingbei Shang）</v>
      </c>
      <c r="AG971">
        <f>VLOOKUP($H971,'[3]0509人员排班情况 副本'!$G:$U,15,FALSE)</f>
        <v>0</v>
      </c>
    </row>
    <row r="972" customHeight="1" spans="1:33">
      <c r="A972" t="s">
        <v>202</v>
      </c>
      <c r="B972" t="s">
        <v>2847</v>
      </c>
      <c r="C972" t="s">
        <v>2848</v>
      </c>
      <c r="D972" t="s">
        <v>92</v>
      </c>
      <c r="E972" t="s">
        <v>96</v>
      </c>
      <c r="F972" t="s">
        <v>312</v>
      </c>
      <c r="G972" t="s">
        <v>112</v>
      </c>
      <c r="H972" t="str">
        <f t="shared" si="105"/>
        <v>TX 德州大区IAH.H异常处理组</v>
      </c>
      <c r="I972" t="s">
        <v>313</v>
      </c>
      <c r="J972" t="s">
        <v>211</v>
      </c>
      <c r="K972" s="15">
        <v>0.333333333333333</v>
      </c>
      <c r="L972" s="15" t="s">
        <v>212</v>
      </c>
      <c r="M972" s="15">
        <v>0.33125</v>
      </c>
      <c r="N972" t="s">
        <v>218</v>
      </c>
      <c r="O972" s="20" t="str">
        <f t="shared" si="111"/>
        <v>正确</v>
      </c>
      <c r="P972" s="21">
        <v>0</v>
      </c>
      <c r="Q972" s="21">
        <v>9.55</v>
      </c>
      <c r="R972" s="21">
        <v>0</v>
      </c>
      <c r="S972" s="21">
        <f t="shared" si="106"/>
        <v>9.55</v>
      </c>
      <c r="T972" s="21">
        <f t="shared" si="107"/>
        <v>1.55</v>
      </c>
      <c r="U972" s="21" t="str">
        <f t="shared" si="108"/>
        <v>是</v>
      </c>
      <c r="V972" s="21">
        <f>VLOOKUP($C972,[4]Sheet1!$B:$AN,39,FALSE)</f>
        <v>19.4</v>
      </c>
      <c r="W972" s="21">
        <v>0</v>
      </c>
      <c r="X972" s="23">
        <v>4</v>
      </c>
      <c r="Y972" s="23">
        <v>4</v>
      </c>
      <c r="Z972" s="25">
        <f t="shared" si="109"/>
        <v>0</v>
      </c>
      <c r="AA972" s="25" t="str">
        <f t="shared" si="110"/>
        <v>是</v>
      </c>
      <c r="AB972" t="s">
        <v>148</v>
      </c>
      <c r="AC972" t="e">
        <f>VLOOKUP(C972,[1]Sheet1!$C:$O,13,FALSE)</f>
        <v>#N/A</v>
      </c>
      <c r="AD972" t="str">
        <f>VLOOKUP($H972,'[3]0509人员排班情况 副本'!$G:$U,12,FALSE)</f>
        <v>肖芦莉Lily (Luli Xiao)</v>
      </c>
      <c r="AE972" t="str">
        <f>VLOOKUP($H972,'[3]0509人员排班情况 副本'!$G:$U,13,FALSE)</f>
        <v>张骥Ji Zhang (Ji Zhang)</v>
      </c>
      <c r="AF972" t="str">
        <f>VLOOKUP($H972,'[3]0509人员排班情况 副本'!$G:$U,14,FALSE)</f>
        <v>Minqing (Minqing Xu),罗煜雄 Mike (Yuxiong Luo)</v>
      </c>
      <c r="AG972">
        <f>VLOOKUP($H972,'[3]0509人员排班情况 副本'!$G:$U,15,FALSE)</f>
        <v>0</v>
      </c>
    </row>
    <row r="973" customHeight="1" spans="1:33">
      <c r="A973" t="s">
        <v>202</v>
      </c>
      <c r="B973" t="s">
        <v>2849</v>
      </c>
      <c r="C973" t="s">
        <v>2850</v>
      </c>
      <c r="D973" t="s">
        <v>68</v>
      </c>
      <c r="E973" t="s">
        <v>76</v>
      </c>
      <c r="F973" t="s">
        <v>166</v>
      </c>
      <c r="G973" t="s">
        <v>112</v>
      </c>
      <c r="H973" t="str">
        <f t="shared" si="105"/>
        <v>NE 东北大区EWR.H综办组</v>
      </c>
      <c r="I973" t="s">
        <v>167</v>
      </c>
      <c r="J973" t="s">
        <v>1847</v>
      </c>
      <c r="K973" s="15">
        <v>0.479166666666667</v>
      </c>
      <c r="L973" s="15" t="s">
        <v>1848</v>
      </c>
      <c r="M973" s="15">
        <v>0.426388888888889</v>
      </c>
      <c r="N973" t="s">
        <v>2851</v>
      </c>
      <c r="O973" s="20" t="str">
        <f t="shared" si="111"/>
        <v>不正确</v>
      </c>
      <c r="P973" s="21">
        <v>0</v>
      </c>
      <c r="Q973" s="21">
        <v>9.25</v>
      </c>
      <c r="R973" s="21">
        <v>0</v>
      </c>
      <c r="S973" s="21">
        <f t="shared" si="106"/>
        <v>9.25</v>
      </c>
      <c r="T973" s="21">
        <f t="shared" si="107"/>
        <v>1.25</v>
      </c>
      <c r="U973" s="21" t="str">
        <f t="shared" si="108"/>
        <v>是</v>
      </c>
      <c r="V973" s="21">
        <f>VLOOKUP($C973,[4]Sheet1!$B:$AN,39,FALSE)</f>
        <v>9.25</v>
      </c>
      <c r="W973" s="21">
        <v>0</v>
      </c>
      <c r="X973" s="23">
        <v>4</v>
      </c>
      <c r="Y973" s="23">
        <v>4</v>
      </c>
      <c r="Z973" s="25">
        <f t="shared" si="109"/>
        <v>0</v>
      </c>
      <c r="AA973" s="25" t="str">
        <f t="shared" si="110"/>
        <v>是</v>
      </c>
      <c r="AB973" t="s">
        <v>148</v>
      </c>
      <c r="AC973" t="e">
        <f>VLOOKUP(C973,[1]Sheet1!$C:$O,13,FALSE)</f>
        <v>#N/A</v>
      </c>
      <c r="AD973" t="str">
        <f>VLOOKUP($H973,'[3]0509人员排班情况 副本'!$G:$U,12,FALSE)</f>
        <v>孙可君Monica（Kejun Sun）</v>
      </c>
      <c r="AE973" t="str">
        <f>VLOOKUP($H973,'[3]0509人员排班情况 副本'!$G:$U,13,FALSE)</f>
        <v>马聪Cong (Cong Ma)</v>
      </c>
      <c r="AF973" t="str">
        <f>VLOOKUP($H973,'[3]0509人员排班情况 副本'!$G:$U,14,FALSE)</f>
        <v>Minqing (Minqing Xu),罗煜雄 Mike (Yuxiong Luo)</v>
      </c>
      <c r="AG973">
        <f>VLOOKUP($H973,'[3]0509人员排班情况 副本'!$G:$U,15,FALSE)</f>
        <v>0</v>
      </c>
    </row>
    <row r="974" customHeight="1" spans="1:33">
      <c r="A974" t="s">
        <v>202</v>
      </c>
      <c r="B974" t="s">
        <v>2852</v>
      </c>
      <c r="C974" t="s">
        <v>2853</v>
      </c>
      <c r="D974" t="s">
        <v>92</v>
      </c>
      <c r="E974" t="s">
        <v>93</v>
      </c>
      <c r="F974" t="s">
        <v>1489</v>
      </c>
      <c r="H974" t="str">
        <f t="shared" si="105"/>
        <v>TX 德州大区CT 中德州片区AUS01</v>
      </c>
      <c r="I974" t="s">
        <v>177</v>
      </c>
      <c r="J974" t="s">
        <v>229</v>
      </c>
      <c r="K974" s="15">
        <v>0.270833333333333</v>
      </c>
      <c r="L974" s="15" t="s">
        <v>230</v>
      </c>
      <c r="M974" s="15">
        <v>0.238194444444444</v>
      </c>
      <c r="N974" t="s">
        <v>148</v>
      </c>
      <c r="O974" s="20" t="str">
        <f t="shared" si="111"/>
        <v>正确</v>
      </c>
      <c r="P974" s="21">
        <v>4</v>
      </c>
      <c r="Q974" s="21">
        <v>0</v>
      </c>
      <c r="R974" s="21">
        <v>4</v>
      </c>
      <c r="S974" s="21">
        <f t="shared" si="106"/>
        <v>4</v>
      </c>
      <c r="T974" s="21">
        <f t="shared" si="107"/>
        <v>0</v>
      </c>
      <c r="U974" s="21" t="str">
        <f t="shared" si="108"/>
        <v>否</v>
      </c>
      <c r="V974" s="21">
        <f>VLOOKUP($C974,[4]Sheet1!$B:$AN,39,FALSE)</f>
        <v>0</v>
      </c>
      <c r="W974" s="21">
        <v>0</v>
      </c>
      <c r="X974" s="23">
        <v>3</v>
      </c>
      <c r="Y974" s="23">
        <v>4</v>
      </c>
      <c r="Z974" s="25">
        <f t="shared" si="109"/>
        <v>1</v>
      </c>
      <c r="AA974" s="25" t="str">
        <f t="shared" si="110"/>
        <v>是</v>
      </c>
      <c r="AB974" t="s">
        <v>2854</v>
      </c>
      <c r="AC974" t="e">
        <f>VLOOKUP(C974,[1]Sheet1!$C:$O,13,FALSE)</f>
        <v>#N/A</v>
      </c>
      <c r="AD974" t="str">
        <f>VLOOKUP($H974,'[3]0509人员排班情况 副本'!$G:$U,12,FALSE)</f>
        <v>肖芦莉Lily (Luli Xiao)</v>
      </c>
      <c r="AE974" t="str">
        <f>VLOOKUP($H974,'[3]0509人员排班情况 副本'!$G:$U,13,FALSE)</f>
        <v>张骥Ji Zhang (Ji Zhang)</v>
      </c>
      <c r="AF974" t="str">
        <f>VLOOKUP($H974,'[3]0509人员排班情况 副本'!$G:$U,14,FALSE)</f>
        <v>马铭 Ming (Ming Ma)</v>
      </c>
      <c r="AG974">
        <f>VLOOKUP($H974,'[3]0509人员排班情况 副本'!$G:$U,15,FALSE)</f>
        <v>0</v>
      </c>
    </row>
    <row r="975" customHeight="1" spans="1:33">
      <c r="A975" t="s">
        <v>202</v>
      </c>
      <c r="B975" t="s">
        <v>2855</v>
      </c>
      <c r="C975" t="s">
        <v>2856</v>
      </c>
      <c r="D975" t="s">
        <v>68</v>
      </c>
      <c r="E975" t="s">
        <v>75</v>
      </c>
      <c r="F975" t="s">
        <v>1825</v>
      </c>
      <c r="H975" t="str">
        <f t="shared" si="105"/>
        <v>NE 东北大区DC 华盛顿片区PNE01</v>
      </c>
      <c r="I975" t="s">
        <v>177</v>
      </c>
      <c r="J975" t="s">
        <v>343</v>
      </c>
      <c r="K975" s="15">
        <v>0.25</v>
      </c>
      <c r="L975" s="15" t="s">
        <v>344</v>
      </c>
      <c r="M975" s="15">
        <v>0.245138888888889</v>
      </c>
      <c r="N975" t="s">
        <v>2857</v>
      </c>
      <c r="O975" s="20" t="str">
        <f t="shared" si="111"/>
        <v>正确</v>
      </c>
      <c r="P975" s="21">
        <v>0</v>
      </c>
      <c r="Q975" s="21">
        <v>9.45</v>
      </c>
      <c r="R975" s="21">
        <v>0</v>
      </c>
      <c r="S975" s="21">
        <f t="shared" si="106"/>
        <v>9.45</v>
      </c>
      <c r="T975" s="21">
        <f t="shared" si="107"/>
        <v>1.45</v>
      </c>
      <c r="U975" s="21" t="str">
        <f t="shared" si="108"/>
        <v>是</v>
      </c>
      <c r="V975" s="21">
        <f>VLOOKUP($C975,[4]Sheet1!$B:$AN,39,FALSE)</f>
        <v>19.05</v>
      </c>
      <c r="W975" s="21">
        <v>0</v>
      </c>
      <c r="X975" s="23">
        <v>4</v>
      </c>
      <c r="Y975" s="23">
        <v>4</v>
      </c>
      <c r="Z975" s="25">
        <f t="shared" si="109"/>
        <v>0</v>
      </c>
      <c r="AA975" s="25" t="str">
        <f t="shared" si="110"/>
        <v>是</v>
      </c>
      <c r="AB975" t="s">
        <v>148</v>
      </c>
      <c r="AC975" t="e">
        <f>VLOOKUP(C975,[1]Sheet1!$C:$O,13,FALSE)</f>
        <v>#N/A</v>
      </c>
      <c r="AD975" t="str">
        <f>VLOOKUP($H975,'[3]0509人员排班情况 副本'!$G:$U,12,FALSE)</f>
        <v>孙可君Monica（Kejun Sun）</v>
      </c>
      <c r="AE975" t="str">
        <f>VLOOKUP($H975,'[3]0509人员排班情况 副本'!$G:$U,13,FALSE)</f>
        <v>马聪Cong (Cong Ma)</v>
      </c>
      <c r="AF975" t="str">
        <f>VLOOKUP($H975,'[3]0509人员排班情况 副本'!$G:$U,14,FALSE)</f>
        <v>朱晗宇 Peter (Hanyu Zhu)</v>
      </c>
      <c r="AG975">
        <f>VLOOKUP($H975,'[3]0509人员排班情况 副本'!$G:$U,15,FALSE)</f>
        <v>0</v>
      </c>
    </row>
    <row r="976" customHeight="1" spans="1:33">
      <c r="A976" t="s">
        <v>202</v>
      </c>
      <c r="B976" t="s">
        <v>2858</v>
      </c>
      <c r="C976" t="s">
        <v>2859</v>
      </c>
      <c r="D976" t="s">
        <v>92</v>
      </c>
      <c r="E976" t="s">
        <v>29</v>
      </c>
      <c r="F976" t="s">
        <v>200</v>
      </c>
      <c r="H976" t="str">
        <f t="shared" si="105"/>
        <v>TX 德州大区运营支持部区域支持组</v>
      </c>
      <c r="I976" t="s">
        <v>201</v>
      </c>
      <c r="J976" t="s">
        <v>295</v>
      </c>
      <c r="K976" s="15">
        <v>0.375</v>
      </c>
      <c r="L976" s="15" t="s">
        <v>296</v>
      </c>
      <c r="M976" s="15">
        <v>0.365277777777778</v>
      </c>
      <c r="N976" t="s">
        <v>218</v>
      </c>
      <c r="O976" s="20" t="str">
        <f t="shared" si="111"/>
        <v>正确</v>
      </c>
      <c r="P976" s="21">
        <v>0</v>
      </c>
      <c r="Q976" s="21">
        <v>8.73</v>
      </c>
      <c r="R976" s="21">
        <v>0</v>
      </c>
      <c r="S976" s="21">
        <f t="shared" si="106"/>
        <v>8.73</v>
      </c>
      <c r="T976" s="21">
        <f t="shared" si="107"/>
        <v>0.73</v>
      </c>
      <c r="U976" s="21" t="str">
        <f t="shared" si="108"/>
        <v>是</v>
      </c>
      <c r="V976" s="21">
        <f>VLOOKUP($C976,[4]Sheet1!$B:$AN,39,FALSE)</f>
        <v>16.83</v>
      </c>
      <c r="W976" s="21">
        <v>9.9</v>
      </c>
      <c r="X976" s="23">
        <v>4</v>
      </c>
      <c r="Y976" s="23">
        <v>4</v>
      </c>
      <c r="Z976" s="25">
        <f t="shared" si="109"/>
        <v>0</v>
      </c>
      <c r="AA976" s="25" t="str">
        <f t="shared" si="110"/>
        <v>是</v>
      </c>
      <c r="AB976" t="s">
        <v>148</v>
      </c>
      <c r="AC976" t="e">
        <f>VLOOKUP(C976,[1]Sheet1!$C:$O,13,FALSE)</f>
        <v>#N/A</v>
      </c>
      <c r="AD976" t="str">
        <f>VLOOKUP($H976,'[3]0509人员排班情况 副本'!$G:$U,12,FALSE)</f>
        <v>肖芦莉Lily (Luli Xiao)</v>
      </c>
      <c r="AE976" t="str">
        <f>VLOOKUP($H976,'[3]0509人员排班情况 副本'!$G:$U,13,FALSE)</f>
        <v>张骥Ji Zhang (Ji Zhang)</v>
      </c>
      <c r="AF976">
        <f>VLOOKUP($H976,'[3]0509人员排班情况 副本'!$G:$U,14,FALSE)</f>
        <v>0</v>
      </c>
      <c r="AG976">
        <f>VLOOKUP($H976,'[3]0509人员排班情况 副本'!$G:$U,15,FALSE)</f>
        <v>0</v>
      </c>
    </row>
    <row r="977" customHeight="1" spans="1:33">
      <c r="A977" t="s">
        <v>202</v>
      </c>
      <c r="B977" t="s">
        <v>2860</v>
      </c>
      <c r="C977" t="s">
        <v>2861</v>
      </c>
      <c r="D977" t="s">
        <v>48</v>
      </c>
      <c r="E977" t="s">
        <v>52</v>
      </c>
      <c r="F977" t="s">
        <v>329</v>
      </c>
      <c r="H977" t="str">
        <f t="shared" si="105"/>
        <v>Ground项目部OG 美中区ORD.G</v>
      </c>
      <c r="I977" t="s">
        <v>167</v>
      </c>
      <c r="J977" t="s">
        <v>407</v>
      </c>
      <c r="K977" s="15">
        <v>0.354166666666667</v>
      </c>
      <c r="L977" s="15" t="s">
        <v>254</v>
      </c>
      <c r="M977" s="15">
        <v>0.359722222222222</v>
      </c>
      <c r="N977" t="s">
        <v>1172</v>
      </c>
      <c r="O977" s="20" t="str">
        <f t="shared" si="111"/>
        <v>正确</v>
      </c>
      <c r="P977" s="21">
        <v>0</v>
      </c>
      <c r="Q977" s="21">
        <v>7.93</v>
      </c>
      <c r="R977" s="21">
        <v>0</v>
      </c>
      <c r="S977" s="21">
        <f t="shared" si="106"/>
        <v>7.93</v>
      </c>
      <c r="T977" s="21">
        <f t="shared" si="107"/>
        <v>0</v>
      </c>
      <c r="U977" s="21" t="str">
        <f t="shared" si="108"/>
        <v>否</v>
      </c>
      <c r="V977" s="21">
        <f>VLOOKUP($C977,[4]Sheet1!$B:$AN,39,FALSE)</f>
        <v>15.96</v>
      </c>
      <c r="W977" s="21">
        <v>0</v>
      </c>
      <c r="X977" s="23">
        <v>4</v>
      </c>
      <c r="Y977" s="23">
        <v>4</v>
      </c>
      <c r="Z977" s="25">
        <f t="shared" si="109"/>
        <v>0</v>
      </c>
      <c r="AA977" s="25" t="str">
        <f t="shared" si="110"/>
        <v>是</v>
      </c>
      <c r="AB977" t="s">
        <v>148</v>
      </c>
      <c r="AC977" t="e">
        <f>VLOOKUP(C977,[1]Sheet1!$C:$O,13,FALSE)</f>
        <v>#N/A</v>
      </c>
      <c r="AD977" t="str">
        <f>VLOOKUP($H977,'[3]0509人员排班情况 副本'!$G:$U,12,FALSE)</f>
        <v>王安琪 (Anqi Wang),张朱同 Thomson（Zhutong Zhang）</v>
      </c>
      <c r="AE977" t="str">
        <f>VLOOKUP($H977,'[3]0509人员排班情况 副本'!$G:$U,13,FALSE)</f>
        <v>陈锦昭</v>
      </c>
      <c r="AF977">
        <f>VLOOKUP($H977,'[3]0509人员排班情况 副本'!$G:$U,14,FALSE)</f>
        <v>0</v>
      </c>
      <c r="AG977">
        <f>VLOOKUP($H977,'[3]0509人员排班情况 副本'!$G:$U,15,FALSE)</f>
        <v>0</v>
      </c>
    </row>
    <row r="978" customHeight="1" spans="1:33">
      <c r="A978" t="s">
        <v>202</v>
      </c>
      <c r="B978" t="s">
        <v>2862</v>
      </c>
      <c r="C978" t="s">
        <v>2863</v>
      </c>
      <c r="D978" t="s">
        <v>100</v>
      </c>
      <c r="E978" t="s">
        <v>105</v>
      </c>
      <c r="F978" t="s">
        <v>750</v>
      </c>
      <c r="H978" t="str">
        <f t="shared" si="105"/>
        <v>WE 美西大区NC 北加片区SFO.H</v>
      </c>
      <c r="I978" t="s">
        <v>303</v>
      </c>
      <c r="J978" t="s">
        <v>330</v>
      </c>
      <c r="K978" s="15">
        <v>0.625</v>
      </c>
      <c r="L978" s="15" t="s">
        <v>331</v>
      </c>
      <c r="M978" s="15">
        <v>0.623611111111111</v>
      </c>
      <c r="N978" t="s">
        <v>148</v>
      </c>
      <c r="O978" s="20" t="str">
        <f t="shared" si="111"/>
        <v>正确</v>
      </c>
      <c r="P978" s="21">
        <v>0</v>
      </c>
      <c r="Q978" s="21">
        <v>0</v>
      </c>
      <c r="R978" s="21">
        <v>0</v>
      </c>
      <c r="S978" s="21">
        <f t="shared" si="106"/>
        <v>0</v>
      </c>
      <c r="T978" s="21">
        <f t="shared" si="107"/>
        <v>0</v>
      </c>
      <c r="U978" s="21" t="str">
        <f t="shared" si="108"/>
        <v>否</v>
      </c>
      <c r="V978" s="21">
        <f>VLOOKUP($C978,[4]Sheet1!$B:$AN,39,FALSE)</f>
        <v>0</v>
      </c>
      <c r="W978" s="21">
        <v>0</v>
      </c>
      <c r="X978" s="23">
        <v>3</v>
      </c>
      <c r="Y978" s="23">
        <v>4</v>
      </c>
      <c r="Z978" s="25">
        <f t="shared" si="109"/>
        <v>1</v>
      </c>
      <c r="AA978" s="25" t="str">
        <f t="shared" si="110"/>
        <v>是</v>
      </c>
      <c r="AB978" t="s">
        <v>148</v>
      </c>
      <c r="AC978" t="e">
        <f>VLOOKUP(C978,[1]Sheet1!$C:$O,13,FALSE)</f>
        <v>#N/A</v>
      </c>
      <c r="AD978" t="str">
        <f>VLOOKUP($H978,'[3]0509人员排班情况 副本'!$G:$U,12,FALSE)</f>
        <v>王骞Ariel（Qian Wang）,叶秀芳Freya (Xiufang Ye)</v>
      </c>
      <c r="AE978" t="str">
        <f>VLOOKUP($H978,'[3]0509人员排班情况 副本'!$G:$U,13,FALSE)</f>
        <v>常哲</v>
      </c>
      <c r="AF978" t="str">
        <f>VLOOKUP($H978,'[3]0509人员排班情况 副本'!$G:$U,14,FALSE)</f>
        <v>林美浚（Meijun Lin）</v>
      </c>
      <c r="AG978">
        <f>VLOOKUP($H978,'[3]0509人员排班情况 副本'!$G:$U,15,FALSE)</f>
        <v>0</v>
      </c>
    </row>
    <row r="979" customHeight="1" spans="1:33">
      <c r="A979" t="s">
        <v>202</v>
      </c>
      <c r="B979" t="s">
        <v>2864</v>
      </c>
      <c r="C979" t="s">
        <v>2865</v>
      </c>
      <c r="D979" t="s">
        <v>68</v>
      </c>
      <c r="E979" t="s">
        <v>75</v>
      </c>
      <c r="F979" t="s">
        <v>85</v>
      </c>
      <c r="H979" t="str">
        <f t="shared" si="105"/>
        <v>NE 东北大区DC 华盛顿片区RIC01</v>
      </c>
      <c r="I979" t="s">
        <v>177</v>
      </c>
      <c r="J979" t="s">
        <v>343</v>
      </c>
      <c r="K979" s="15">
        <v>0.25</v>
      </c>
      <c r="L979" s="15" t="s">
        <v>344</v>
      </c>
      <c r="M979" s="15">
        <v>0.255555555555556</v>
      </c>
      <c r="N979" t="s">
        <v>344</v>
      </c>
      <c r="O979" s="20" t="str">
        <f t="shared" si="111"/>
        <v>正确</v>
      </c>
      <c r="P979" s="21">
        <v>0</v>
      </c>
      <c r="Q979" s="21">
        <v>7.87</v>
      </c>
      <c r="R979" s="21">
        <v>0</v>
      </c>
      <c r="S979" s="21">
        <f t="shared" si="106"/>
        <v>7.87</v>
      </c>
      <c r="T979" s="21">
        <f t="shared" si="107"/>
        <v>0</v>
      </c>
      <c r="U979" s="21" t="str">
        <f t="shared" si="108"/>
        <v>否</v>
      </c>
      <c r="V979" s="21">
        <f>VLOOKUP($C979,[4]Sheet1!$B:$AN,39,FALSE)</f>
        <v>7.87</v>
      </c>
      <c r="W979" s="21">
        <v>0</v>
      </c>
      <c r="X979" s="23">
        <v>4</v>
      </c>
      <c r="Y979" s="23">
        <v>4</v>
      </c>
      <c r="Z979" s="25">
        <f t="shared" si="109"/>
        <v>0</v>
      </c>
      <c r="AA979" s="25" t="str">
        <f t="shared" si="110"/>
        <v>是</v>
      </c>
      <c r="AB979" t="s">
        <v>148</v>
      </c>
      <c r="AC979" t="s">
        <v>2866</v>
      </c>
      <c r="AD979" t="s">
        <v>1142</v>
      </c>
      <c r="AE979" t="s">
        <v>2788</v>
      </c>
      <c r="AF979" t="e">
        <f>VLOOKUP($H979,'[3]0509人员排班情况 副本'!$G:$U,14,FALSE)</f>
        <v>#N/A</v>
      </c>
      <c r="AG979" t="e">
        <f>VLOOKUP($H979,'[3]0509人员排班情况 副本'!$G:$U,15,FALSE)</f>
        <v>#N/A</v>
      </c>
    </row>
    <row r="980" customHeight="1" spans="1:33">
      <c r="A980" t="s">
        <v>202</v>
      </c>
      <c r="B980" t="s">
        <v>2867</v>
      </c>
      <c r="C980" t="s">
        <v>2868</v>
      </c>
      <c r="D980" t="s">
        <v>100</v>
      </c>
      <c r="E980" t="s">
        <v>105</v>
      </c>
      <c r="F980" t="s">
        <v>763</v>
      </c>
      <c r="H980" t="str">
        <f t="shared" si="105"/>
        <v>WE 美西大区NC 北加片区SMF01</v>
      </c>
      <c r="I980" t="s">
        <v>2869</v>
      </c>
      <c r="J980" t="s">
        <v>221</v>
      </c>
      <c r="K980" s="15">
        <v>0.208333333333333</v>
      </c>
      <c r="L980" s="15" t="s">
        <v>222</v>
      </c>
      <c r="M980" s="15">
        <v>0.206944444444444</v>
      </c>
      <c r="N980" t="s">
        <v>1193</v>
      </c>
      <c r="O980" s="20" t="str">
        <f t="shared" si="111"/>
        <v>正确</v>
      </c>
      <c r="P980" s="21">
        <v>0</v>
      </c>
      <c r="Q980" s="21">
        <v>8.15</v>
      </c>
      <c r="R980" s="21">
        <v>0</v>
      </c>
      <c r="S980" s="21">
        <f t="shared" si="106"/>
        <v>8.15</v>
      </c>
      <c r="T980" s="21">
        <f t="shared" si="107"/>
        <v>0.15</v>
      </c>
      <c r="U980" s="21" t="str">
        <f t="shared" si="108"/>
        <v>是</v>
      </c>
      <c r="V980" s="21">
        <f>VLOOKUP($C980,[4]Sheet1!$B:$AN,39,FALSE)</f>
        <v>16.77</v>
      </c>
      <c r="W980" s="21">
        <v>0</v>
      </c>
      <c r="X980" s="23">
        <v>3</v>
      </c>
      <c r="Y980" s="23">
        <v>4</v>
      </c>
      <c r="Z980" s="25">
        <f t="shared" si="109"/>
        <v>1</v>
      </c>
      <c r="AA980" s="25" t="str">
        <f t="shared" si="110"/>
        <v>是</v>
      </c>
      <c r="AB980" t="s">
        <v>148</v>
      </c>
      <c r="AC980" t="e">
        <f>VLOOKUP(C980,[1]Sheet1!$C:$O,13,FALSE)</f>
        <v>#N/A</v>
      </c>
      <c r="AD980" t="str">
        <f>VLOOKUP($H980,'[3]0509人员排班情况 副本'!$G:$U,12,FALSE)</f>
        <v>王骞Ariel（Qian Wang）,叶秀芳Freya (Xiufang Ye)</v>
      </c>
      <c r="AE980" t="str">
        <f>VLOOKUP($H980,'[3]0509人员排班情况 副本'!$G:$U,13,FALSE)</f>
        <v>常哲</v>
      </c>
      <c r="AF980" t="str">
        <f>VLOOKUP($H980,'[3]0509人员排班情况 副本'!$G:$U,14,FALSE)</f>
        <v>林美浚（Meijun Lin）</v>
      </c>
      <c r="AG980">
        <f>VLOOKUP($H980,'[3]0509人员排班情况 副本'!$G:$U,15,FALSE)</f>
        <v>0</v>
      </c>
    </row>
    <row r="981" customHeight="1" spans="1:33">
      <c r="A981" t="s">
        <v>202</v>
      </c>
      <c r="B981" t="s">
        <v>2870</v>
      </c>
      <c r="C981" t="s">
        <v>2871</v>
      </c>
      <c r="D981" t="s">
        <v>15</v>
      </c>
      <c r="E981" t="s">
        <v>22</v>
      </c>
      <c r="F981" t="s">
        <v>811</v>
      </c>
      <c r="H981" t="str">
        <f t="shared" si="105"/>
        <v>FL 佛州大区NF 北佛片区JAX01</v>
      </c>
      <c r="I981" t="s">
        <v>687</v>
      </c>
      <c r="J981" t="s">
        <v>221</v>
      </c>
      <c r="K981" s="15">
        <v>0.208333333333333</v>
      </c>
      <c r="L981" s="15" t="s">
        <v>222</v>
      </c>
      <c r="M981" s="15"/>
      <c r="N981" t="s">
        <v>148</v>
      </c>
      <c r="O981" s="20" t="str">
        <f t="shared" si="111"/>
        <v>不正确</v>
      </c>
      <c r="P981" s="21">
        <v>0</v>
      </c>
      <c r="Q981" s="21">
        <v>0</v>
      </c>
      <c r="R981" s="21">
        <v>0</v>
      </c>
      <c r="S981" s="21">
        <f t="shared" si="106"/>
        <v>0</v>
      </c>
      <c r="T981" s="21">
        <f t="shared" si="107"/>
        <v>0</v>
      </c>
      <c r="U981" s="21" t="str">
        <f t="shared" si="108"/>
        <v>否</v>
      </c>
      <c r="V981" s="21">
        <f>VLOOKUP($C981,[4]Sheet1!$B:$AN,39,FALSE)</f>
        <v>0</v>
      </c>
      <c r="W981" s="21">
        <v>0</v>
      </c>
      <c r="X981" s="23">
        <v>0</v>
      </c>
      <c r="Y981" s="23">
        <v>0</v>
      </c>
      <c r="Z981" s="25">
        <f t="shared" si="109"/>
        <v>0</v>
      </c>
      <c r="AA981" s="25" t="str">
        <f t="shared" si="110"/>
        <v>是</v>
      </c>
      <c r="AB981" t="s">
        <v>1113</v>
      </c>
      <c r="AC981" t="e">
        <f>VLOOKUP(C981,[1]Sheet1!$C:$O,13,FALSE)</f>
        <v>#N/A</v>
      </c>
      <c r="AD981" t="str">
        <f>VLOOKUP($H981,'[3]0509人员排班情况 副本'!$G:$U,12,FALSE)</f>
        <v>Natalia (Natalia Padilla),孙婕 Jasmine（Sunjie）</v>
      </c>
      <c r="AE981" t="str">
        <f>VLOOKUP($H981,'[3]0509人员排班情况 副本'!$G:$U,13,FALSE)</f>
        <v>贺子强Jeff (Ziqiang He)</v>
      </c>
      <c r="AF981" t="str">
        <f>VLOOKUP($H981,'[3]0509人员排班情况 副本'!$G:$U,14,FALSE)</f>
        <v>黄燕娜 Nana (Yanna Huang)</v>
      </c>
      <c r="AG981">
        <f>VLOOKUP($H981,'[3]0509人员排班情况 副本'!$G:$U,15,FALSE)</f>
        <v>0</v>
      </c>
    </row>
    <row r="982" customHeight="1" spans="1:33">
      <c r="A982" t="s">
        <v>202</v>
      </c>
      <c r="B982" t="s">
        <v>2872</v>
      </c>
      <c r="C982" t="s">
        <v>2873</v>
      </c>
      <c r="D982" t="s">
        <v>31</v>
      </c>
      <c r="E982" t="s">
        <v>33</v>
      </c>
      <c r="F982" t="s">
        <v>1995</v>
      </c>
      <c r="H982" t="str">
        <f t="shared" si="105"/>
        <v>GL 大湖大区CM 中西部中心片区CVG01</v>
      </c>
      <c r="I982" t="s">
        <v>177</v>
      </c>
      <c r="J982" t="s">
        <v>437</v>
      </c>
      <c r="K982" s="15">
        <v>0.229166666666667</v>
      </c>
      <c r="L982" s="15" t="s">
        <v>438</v>
      </c>
      <c r="M982" s="15">
        <v>0.226388888888889</v>
      </c>
      <c r="N982" t="s">
        <v>2874</v>
      </c>
      <c r="O982" s="20" t="str">
        <f t="shared" si="111"/>
        <v>正确</v>
      </c>
      <c r="P982" s="21">
        <v>0</v>
      </c>
      <c r="Q982" s="21">
        <v>8.08</v>
      </c>
      <c r="R982" s="21">
        <v>0</v>
      </c>
      <c r="S982" s="21">
        <f t="shared" si="106"/>
        <v>8.08</v>
      </c>
      <c r="T982" s="21">
        <f t="shared" si="107"/>
        <v>0.0800000000000001</v>
      </c>
      <c r="U982" s="21" t="str">
        <f t="shared" si="108"/>
        <v>是</v>
      </c>
      <c r="V982" s="21">
        <f>VLOOKUP($C982,[4]Sheet1!$B:$AN,39,FALSE)</f>
        <v>8.08</v>
      </c>
      <c r="W982" s="21">
        <v>0</v>
      </c>
      <c r="X982" s="23">
        <v>4</v>
      </c>
      <c r="Y982" s="23">
        <v>4</v>
      </c>
      <c r="Z982" s="25">
        <f t="shared" si="109"/>
        <v>0</v>
      </c>
      <c r="AA982" s="25" t="str">
        <f t="shared" si="110"/>
        <v>是</v>
      </c>
      <c r="AB982" t="s">
        <v>148</v>
      </c>
      <c r="AC982" t="e">
        <f>VLOOKUP(C982,[1]Sheet1!$C:$O,13,FALSE)</f>
        <v>#N/A</v>
      </c>
      <c r="AD982" t="str">
        <f>VLOOKUP($H982,'[3]0509人员排班情况 副本'!$G:$U,12,FALSE)</f>
        <v>王晓丹 Jasmine（Xiaodan Wang）,周延舒Isabel（Yanshu Zhou）</v>
      </c>
      <c r="AE982" t="str">
        <f>VLOOKUP($H982,'[3]0509人员排班情况 副本'!$G:$U,13,FALSE)</f>
        <v>张骥Ji Zhang (Ji Zhang)</v>
      </c>
      <c r="AF982" t="str">
        <f>VLOOKUP($H982,'[3]0509人员排班情况 副本'!$G:$U,14,FALSE)</f>
        <v>欧阳溢巍 Nathan (Yiwei Ouyang),尚青蓓 Suki （Qingbei Shang）</v>
      </c>
      <c r="AG982">
        <f>VLOOKUP($H982,'[3]0509人员排班情况 副本'!$G:$U,15,FALSE)</f>
        <v>0</v>
      </c>
    </row>
    <row r="983" customHeight="1" spans="1:33">
      <c r="A983" t="s">
        <v>202</v>
      </c>
      <c r="B983" t="s">
        <v>2875</v>
      </c>
      <c r="C983" t="s">
        <v>2876</v>
      </c>
      <c r="D983" t="s">
        <v>100</v>
      </c>
      <c r="E983" t="s">
        <v>101</v>
      </c>
      <c r="F983" t="s">
        <v>210</v>
      </c>
      <c r="G983" t="s">
        <v>112</v>
      </c>
      <c r="H983" t="str">
        <f t="shared" si="105"/>
        <v>WE 美西大区CNO.H操作组</v>
      </c>
      <c r="I983" t="s">
        <v>156</v>
      </c>
      <c r="J983" t="s">
        <v>400</v>
      </c>
      <c r="K983" s="15">
        <v>0.5</v>
      </c>
      <c r="L983" s="15" t="s">
        <v>401</v>
      </c>
      <c r="M983" s="15">
        <v>0.415972222222222</v>
      </c>
      <c r="N983" t="s">
        <v>969</v>
      </c>
      <c r="O983" s="20" t="str">
        <f t="shared" si="111"/>
        <v>不正确</v>
      </c>
      <c r="P983" s="21">
        <v>0</v>
      </c>
      <c r="Q983" s="21">
        <v>11.92</v>
      </c>
      <c r="R983" s="21">
        <v>0</v>
      </c>
      <c r="S983" s="21">
        <f t="shared" si="106"/>
        <v>11.92</v>
      </c>
      <c r="T983" s="21">
        <f t="shared" si="107"/>
        <v>3.92</v>
      </c>
      <c r="U983" s="21" t="str">
        <f t="shared" si="108"/>
        <v>是</v>
      </c>
      <c r="V983" s="21">
        <f>VLOOKUP($C983,[4]Sheet1!$B:$AN,39,FALSE)</f>
        <v>23.94</v>
      </c>
      <c r="W983" s="21">
        <v>0</v>
      </c>
      <c r="X983" s="23">
        <v>5</v>
      </c>
      <c r="Y983" s="23">
        <v>4</v>
      </c>
      <c r="Z983" s="25">
        <f t="shared" si="109"/>
        <v>0</v>
      </c>
      <c r="AA983" s="25" t="str">
        <f t="shared" si="110"/>
        <v>是</v>
      </c>
      <c r="AB983" t="s">
        <v>148</v>
      </c>
      <c r="AC983" t="e">
        <f>VLOOKUP(C983,[1]Sheet1!$C:$O,13,FALSE)</f>
        <v>#N/A</v>
      </c>
      <c r="AD983" t="str">
        <f>VLOOKUP($H983,'[3]0509人员排班情况 副本'!$G:$U,12,FALSE)</f>
        <v>王骞Ariel（Qian Wang）,叶秀芳Freya (Xiufang Ye)</v>
      </c>
      <c r="AE983" t="str">
        <f>VLOOKUP($H983,'[3]0509人员排班情况 副本'!$G:$U,13,FALSE)</f>
        <v>常哲</v>
      </c>
      <c r="AF983" t="str">
        <f>VLOOKUP($H983,'[3]0509人员排班情况 副本'!$G:$U,14,FALSE)</f>
        <v>Minqing (Minqing Xu),罗煜雄 Mike (Yuxiong Luo)</v>
      </c>
      <c r="AG983">
        <f>VLOOKUP($H983,'[3]0509人员排班情况 副本'!$G:$U,15,FALSE)</f>
        <v>0</v>
      </c>
    </row>
    <row r="984" customHeight="1" spans="1:33">
      <c r="A984" t="s">
        <v>202</v>
      </c>
      <c r="B984" t="s">
        <v>2877</v>
      </c>
      <c r="C984" t="s">
        <v>2878</v>
      </c>
      <c r="D984" t="s">
        <v>31</v>
      </c>
      <c r="E984" t="s">
        <v>39</v>
      </c>
      <c r="F984" t="s">
        <v>148</v>
      </c>
      <c r="H984" t="str">
        <f t="shared" si="105"/>
        <v>GL 大湖大区MKE01</v>
      </c>
      <c r="I984" t="s">
        <v>687</v>
      </c>
      <c r="J984" t="s">
        <v>221</v>
      </c>
      <c r="K984" s="15">
        <v>0.208333333333333</v>
      </c>
      <c r="L984" s="15" t="s">
        <v>222</v>
      </c>
      <c r="M984" s="15"/>
      <c r="N984" t="s">
        <v>2879</v>
      </c>
      <c r="O984" s="20" t="str">
        <f t="shared" si="111"/>
        <v>不正确</v>
      </c>
      <c r="P984" s="21">
        <v>0</v>
      </c>
      <c r="Q984" s="21">
        <v>0</v>
      </c>
      <c r="R984" s="21">
        <v>0</v>
      </c>
      <c r="S984" s="21">
        <f t="shared" si="106"/>
        <v>0</v>
      </c>
      <c r="T984" s="21">
        <f t="shared" si="107"/>
        <v>0</v>
      </c>
      <c r="U984" s="21" t="str">
        <f t="shared" si="108"/>
        <v>否</v>
      </c>
      <c r="V984" s="21">
        <f>VLOOKUP($C984,[4]Sheet1!$B:$AN,39,FALSE)</f>
        <v>0</v>
      </c>
      <c r="W984" s="21">
        <v>0</v>
      </c>
      <c r="X984" s="23">
        <v>2</v>
      </c>
      <c r="Y984" s="23">
        <v>4</v>
      </c>
      <c r="Z984" s="25">
        <f t="shared" si="109"/>
        <v>2</v>
      </c>
      <c r="AA984" s="25" t="str">
        <f t="shared" si="110"/>
        <v>是</v>
      </c>
      <c r="AB984" t="s">
        <v>148</v>
      </c>
      <c r="AC984" t="e">
        <f>VLOOKUP(C984,[1]Sheet1!$C:$O,13,FALSE)</f>
        <v>#N/A</v>
      </c>
      <c r="AD984" t="str">
        <f>VLOOKUP($H984,'[3]0509人员排班情况 副本'!$G:$U,12,FALSE)</f>
        <v>王晓丹 Jasmine（Xiaodan Wang）,周延舒Isabel（Yanshu Zhou）</v>
      </c>
      <c r="AE984" t="str">
        <f>VLOOKUP($H984,'[3]0509人员排班情况 副本'!$G:$U,13,FALSE)</f>
        <v>张骥Ji Zhang (Ji Zhang)</v>
      </c>
      <c r="AF984">
        <f>VLOOKUP($H984,'[3]0509人员排班情况 副本'!$G:$U,14,FALSE)</f>
        <v>0</v>
      </c>
      <c r="AG984">
        <f>VLOOKUP($H984,'[3]0509人员排班情况 副本'!$G:$U,15,FALSE)</f>
        <v>0</v>
      </c>
    </row>
    <row r="985" customHeight="1" spans="1:33">
      <c r="A985" t="s">
        <v>202</v>
      </c>
      <c r="B985" t="s">
        <v>2880</v>
      </c>
      <c r="C985" t="s">
        <v>2881</v>
      </c>
      <c r="D985" t="s">
        <v>99</v>
      </c>
      <c r="E985" t="s">
        <v>677</v>
      </c>
      <c r="F985" t="s">
        <v>1083</v>
      </c>
      <c r="H985" t="str">
        <f t="shared" si="105"/>
        <v>US人力资源部美洲HRBP组东北区HR组</v>
      </c>
      <c r="I985" t="s">
        <v>1084</v>
      </c>
      <c r="J985" t="s">
        <v>236</v>
      </c>
      <c r="K985" s="15">
        <v>0.395833333333333</v>
      </c>
      <c r="L985" s="15" t="s">
        <v>218</v>
      </c>
      <c r="M985" s="15">
        <v>0.351388888888889</v>
      </c>
      <c r="N985" t="s">
        <v>491</v>
      </c>
      <c r="O985" s="20" t="str">
        <f t="shared" si="111"/>
        <v>不正确</v>
      </c>
      <c r="P985" s="21">
        <v>0</v>
      </c>
      <c r="Q985" s="21">
        <v>10.07</v>
      </c>
      <c r="R985" s="21">
        <v>0</v>
      </c>
      <c r="S985" s="21">
        <f t="shared" si="106"/>
        <v>10.07</v>
      </c>
      <c r="T985" s="21">
        <f t="shared" si="107"/>
        <v>2.07</v>
      </c>
      <c r="U985" s="21" t="str">
        <f t="shared" si="108"/>
        <v>是</v>
      </c>
      <c r="V985" s="21">
        <f>VLOOKUP($C985,[4]Sheet1!$B:$AN,39,FALSE)</f>
        <v>20.2</v>
      </c>
      <c r="W985" s="21">
        <v>0</v>
      </c>
      <c r="X985" s="23">
        <v>2</v>
      </c>
      <c r="Y985" s="23">
        <v>4</v>
      </c>
      <c r="Z985" s="25">
        <f t="shared" si="109"/>
        <v>2</v>
      </c>
      <c r="AA985" s="25" t="str">
        <f t="shared" si="110"/>
        <v>是</v>
      </c>
      <c r="AB985" t="s">
        <v>148</v>
      </c>
      <c r="AC985" t="e">
        <f>VLOOKUP(C985,[1]Sheet1!$C:$O,13,FALSE)</f>
        <v>#N/A</v>
      </c>
      <c r="AD985" t="str">
        <f>VLOOKUP($H985,'[3]0509人员排班情况 副本'!$G:$U,12,FALSE)</f>
        <v>袁博闻(Bowen Yuan)</v>
      </c>
      <c r="AE985">
        <f>VLOOKUP($H985,'[3]0509人员排班情况 副本'!$G:$U,13,FALSE)</f>
        <v>0</v>
      </c>
      <c r="AF985">
        <f>VLOOKUP($H985,'[3]0509人员排班情况 副本'!$G:$U,14,FALSE)</f>
        <v>0</v>
      </c>
      <c r="AG985">
        <f>VLOOKUP($H985,'[3]0509人员排班情况 副本'!$G:$U,15,FALSE)</f>
        <v>0</v>
      </c>
    </row>
    <row r="986" customHeight="1" spans="1:33">
      <c r="A986" t="s">
        <v>202</v>
      </c>
      <c r="B986" t="s">
        <v>2882</v>
      </c>
      <c r="C986" t="s">
        <v>2883</v>
      </c>
      <c r="D986" t="s">
        <v>58</v>
      </c>
      <c r="E986" t="s">
        <v>64</v>
      </c>
      <c r="F986" t="s">
        <v>2884</v>
      </c>
      <c r="H986" t="str">
        <f t="shared" si="105"/>
        <v>MS 中南大区CS 夏洛特及周边片区TRI01</v>
      </c>
      <c r="I986" t="s">
        <v>177</v>
      </c>
      <c r="J986" t="s">
        <v>343</v>
      </c>
      <c r="K986" s="15">
        <v>0.25</v>
      </c>
      <c r="L986" s="15" t="s">
        <v>344</v>
      </c>
      <c r="M986" s="15">
        <v>0.256944444444444</v>
      </c>
      <c r="N986" t="s">
        <v>148</v>
      </c>
      <c r="O986" s="20" t="str">
        <f t="shared" si="111"/>
        <v>正确</v>
      </c>
      <c r="P986" s="21">
        <v>0</v>
      </c>
      <c r="Q986" s="21">
        <v>0</v>
      </c>
      <c r="R986" s="21">
        <v>0</v>
      </c>
      <c r="S986" s="21">
        <f t="shared" si="106"/>
        <v>0</v>
      </c>
      <c r="T986" s="21">
        <f t="shared" si="107"/>
        <v>0</v>
      </c>
      <c r="U986" s="21" t="str">
        <f t="shared" si="108"/>
        <v>否</v>
      </c>
      <c r="V986" s="21">
        <f>VLOOKUP($C986,[4]Sheet1!$B:$AN,39,FALSE)</f>
        <v>0</v>
      </c>
      <c r="W986" s="21">
        <v>0</v>
      </c>
      <c r="X986" s="23">
        <v>2</v>
      </c>
      <c r="Y986" s="23">
        <v>4</v>
      </c>
      <c r="Z986" s="25">
        <f t="shared" si="109"/>
        <v>2</v>
      </c>
      <c r="AA986" s="25" t="str">
        <f t="shared" si="110"/>
        <v>是</v>
      </c>
      <c r="AB986" t="s">
        <v>148</v>
      </c>
      <c r="AC986" t="e">
        <f>VLOOKUP(C986,[1]Sheet1!$C:$O,13,FALSE)</f>
        <v>#N/A</v>
      </c>
      <c r="AD986" t="str">
        <f>VLOOKUP($H986,'[3]0509人员排班情况 副本'!$G:$U,12,FALSE)</f>
        <v>欧阳迎春Flower（Yingchun Ouyang）</v>
      </c>
      <c r="AE986" t="str">
        <f>VLOOKUP($H986,'[3]0509人员排班情况 副本'!$G:$U,13,FALSE)</f>
        <v>杨云飞</v>
      </c>
      <c r="AF986" t="str">
        <f>VLOOKUP($H986,'[3]0509人员排班情况 副本'!$G:$U,14,FALSE)</f>
        <v>唐浩Thomas(Hao Tang)</v>
      </c>
      <c r="AG986">
        <f>VLOOKUP($H986,'[3]0509人员排班情况 副本'!$G:$U,15,FALSE)</f>
        <v>0</v>
      </c>
    </row>
    <row r="987" customHeight="1" spans="1:33">
      <c r="A987" t="s">
        <v>202</v>
      </c>
      <c r="B987" t="s">
        <v>2885</v>
      </c>
      <c r="C987" t="s">
        <v>2886</v>
      </c>
      <c r="D987" t="s">
        <v>92</v>
      </c>
      <c r="E987" t="s">
        <v>96</v>
      </c>
      <c r="F987" t="s">
        <v>275</v>
      </c>
      <c r="G987" t="s">
        <v>112</v>
      </c>
      <c r="H987" t="str">
        <f t="shared" si="105"/>
        <v>TX 德州大区IAH.H分拣组</v>
      </c>
      <c r="I987" t="s">
        <v>303</v>
      </c>
      <c r="J987" t="s">
        <v>295</v>
      </c>
      <c r="K987" s="15">
        <v>0.375</v>
      </c>
      <c r="L987" s="15" t="s">
        <v>296</v>
      </c>
      <c r="M987" s="15">
        <v>0.372222222222222</v>
      </c>
      <c r="N987" t="s">
        <v>2887</v>
      </c>
      <c r="O987" s="20" t="str">
        <f t="shared" si="111"/>
        <v>正确</v>
      </c>
      <c r="P987" s="21">
        <v>0</v>
      </c>
      <c r="Q987" s="21">
        <v>8.82</v>
      </c>
      <c r="R987" s="21">
        <v>0</v>
      </c>
      <c r="S987" s="21">
        <f t="shared" si="106"/>
        <v>8.82</v>
      </c>
      <c r="T987" s="21">
        <f t="shared" si="107"/>
        <v>0.82</v>
      </c>
      <c r="U987" s="21" t="str">
        <f t="shared" si="108"/>
        <v>是</v>
      </c>
      <c r="V987" s="21">
        <f>VLOOKUP($C987,[4]Sheet1!$B:$AN,39,FALSE)</f>
        <v>17.67</v>
      </c>
      <c r="W987" s="21">
        <v>0</v>
      </c>
      <c r="X987" s="23">
        <v>4</v>
      </c>
      <c r="Y987" s="23">
        <v>4</v>
      </c>
      <c r="Z987" s="25">
        <f t="shared" si="109"/>
        <v>0</v>
      </c>
      <c r="AA987" s="25" t="str">
        <f t="shared" si="110"/>
        <v>是</v>
      </c>
      <c r="AB987" t="s">
        <v>148</v>
      </c>
      <c r="AC987" t="e">
        <f>VLOOKUP(C987,[1]Sheet1!$C:$O,13,FALSE)</f>
        <v>#N/A</v>
      </c>
      <c r="AD987" t="str">
        <f>VLOOKUP($H987,'[3]0509人员排班情况 副本'!$G:$U,12,FALSE)</f>
        <v>肖芦莉Lily (Luli Xiao)</v>
      </c>
      <c r="AE987" t="str">
        <f>VLOOKUP($H987,'[3]0509人员排班情况 副本'!$G:$U,13,FALSE)</f>
        <v>张骥Ji Zhang (Ji Zhang)</v>
      </c>
      <c r="AF987" t="str">
        <f>VLOOKUP($H987,'[3]0509人员排班情况 副本'!$G:$U,14,FALSE)</f>
        <v>张双甫(Shuangfu Zhang)</v>
      </c>
      <c r="AG987">
        <f>VLOOKUP($H987,'[3]0509人员排班情况 副本'!$G:$U,15,FALSE)</f>
        <v>0</v>
      </c>
    </row>
    <row r="988" customHeight="1" spans="1:33">
      <c r="A988" t="s">
        <v>202</v>
      </c>
      <c r="B988" t="s">
        <v>2888</v>
      </c>
      <c r="C988" t="s">
        <v>2889</v>
      </c>
      <c r="D988" t="s">
        <v>100</v>
      </c>
      <c r="E988" t="s">
        <v>106</v>
      </c>
      <c r="F988" t="s">
        <v>104</v>
      </c>
      <c r="H988" t="str">
        <f t="shared" si="105"/>
        <v>WE 美西大区SC 南加片区LA揽收部</v>
      </c>
      <c r="I988" t="s">
        <v>608</v>
      </c>
      <c r="J988" t="s">
        <v>746</v>
      </c>
      <c r="K988" s="15">
        <v>0.4375</v>
      </c>
      <c r="L988" s="15" t="s">
        <v>491</v>
      </c>
      <c r="M988" s="15"/>
      <c r="N988" t="s">
        <v>148</v>
      </c>
      <c r="O988" s="20" t="str">
        <f t="shared" si="111"/>
        <v>不正确</v>
      </c>
      <c r="P988" s="21">
        <v>0</v>
      </c>
      <c r="Q988" s="21">
        <v>0</v>
      </c>
      <c r="R988" s="21">
        <v>0</v>
      </c>
      <c r="S988" s="21">
        <f t="shared" si="106"/>
        <v>0</v>
      </c>
      <c r="T988" s="21">
        <f t="shared" si="107"/>
        <v>0</v>
      </c>
      <c r="U988" s="21" t="str">
        <f t="shared" si="108"/>
        <v>否</v>
      </c>
      <c r="V988" s="21">
        <f>VLOOKUP($C988,[4]Sheet1!$B:$AN,39,FALSE)</f>
        <v>9.73</v>
      </c>
      <c r="W988" s="21">
        <v>0</v>
      </c>
      <c r="X988" s="23">
        <v>0</v>
      </c>
      <c r="Y988" s="23">
        <v>0</v>
      </c>
      <c r="Z988" s="25">
        <f t="shared" si="109"/>
        <v>0</v>
      </c>
      <c r="AA988" s="25" t="str">
        <f t="shared" si="110"/>
        <v>是</v>
      </c>
      <c r="AB988" t="s">
        <v>2890</v>
      </c>
      <c r="AC988" t="e">
        <f>VLOOKUP(C988,[1]Sheet1!$C:$O,13,FALSE)</f>
        <v>#N/A</v>
      </c>
      <c r="AD988" t="str">
        <f>VLOOKUP($H988,'[3]0509人员排班情况 副本'!$G:$U,12,FALSE)</f>
        <v>王骞Ariel（Qian Wang）,叶秀芳Freya (Xiufang Ye)</v>
      </c>
      <c r="AE988" t="str">
        <f>VLOOKUP($H988,'[3]0509人员排班情况 副本'!$G:$U,13,FALSE)</f>
        <v>常哲</v>
      </c>
      <c r="AF988" t="str">
        <f>VLOOKUP($H988,'[3]0509人员排班情况 副本'!$G:$U,14,FALSE)</f>
        <v>尤梦楠Yuko（Mengnan You）</v>
      </c>
      <c r="AG988">
        <f>VLOOKUP($H988,'[3]0509人员排班情况 副本'!$G:$U,15,FALSE)</f>
        <v>0</v>
      </c>
    </row>
    <row r="989" customHeight="1" spans="1:33">
      <c r="A989" t="s">
        <v>202</v>
      </c>
      <c r="B989" t="s">
        <v>2891</v>
      </c>
      <c r="C989" t="s">
        <v>2892</v>
      </c>
      <c r="D989" t="s">
        <v>100</v>
      </c>
      <c r="E989" t="s">
        <v>105</v>
      </c>
      <c r="F989" t="s">
        <v>750</v>
      </c>
      <c r="H989" t="str">
        <f t="shared" si="105"/>
        <v>WE 美西大区NC 北加片区SFO.H</v>
      </c>
      <c r="I989" t="s">
        <v>281</v>
      </c>
      <c r="J989" t="s">
        <v>295</v>
      </c>
      <c r="K989" s="15">
        <v>0.375</v>
      </c>
      <c r="L989" s="15" t="s">
        <v>296</v>
      </c>
      <c r="M989" s="15">
        <v>0.403472222222222</v>
      </c>
      <c r="N989" t="s">
        <v>747</v>
      </c>
      <c r="O989" s="20" t="str">
        <f t="shared" si="111"/>
        <v>正确</v>
      </c>
      <c r="P989" s="21">
        <v>0</v>
      </c>
      <c r="Q989" s="21">
        <v>10.62</v>
      </c>
      <c r="R989" s="21">
        <v>0</v>
      </c>
      <c r="S989" s="21">
        <f t="shared" si="106"/>
        <v>10.62</v>
      </c>
      <c r="T989" s="21">
        <f t="shared" si="107"/>
        <v>2.62</v>
      </c>
      <c r="U989" s="21" t="str">
        <f t="shared" si="108"/>
        <v>是</v>
      </c>
      <c r="V989" s="21">
        <f>VLOOKUP($C989,[4]Sheet1!$B:$AN,39,FALSE)</f>
        <v>21.54</v>
      </c>
      <c r="W989" s="21">
        <v>0</v>
      </c>
      <c r="X989" s="23">
        <v>4</v>
      </c>
      <c r="Y989" s="23">
        <v>4</v>
      </c>
      <c r="Z989" s="25">
        <f t="shared" si="109"/>
        <v>0</v>
      </c>
      <c r="AA989" s="25" t="str">
        <f t="shared" si="110"/>
        <v>是</v>
      </c>
      <c r="AB989" t="s">
        <v>148</v>
      </c>
      <c r="AC989" t="e">
        <f>VLOOKUP(C989,[1]Sheet1!$C:$O,13,FALSE)</f>
        <v>#N/A</v>
      </c>
      <c r="AD989" t="str">
        <f>VLOOKUP($H989,'[3]0509人员排班情况 副本'!$G:$U,12,FALSE)</f>
        <v>王骞Ariel（Qian Wang）,叶秀芳Freya (Xiufang Ye)</v>
      </c>
      <c r="AE989" t="str">
        <f>VLOOKUP($H989,'[3]0509人员排班情况 副本'!$G:$U,13,FALSE)</f>
        <v>常哲</v>
      </c>
      <c r="AF989" t="str">
        <f>VLOOKUP($H989,'[3]0509人员排班情况 副本'!$G:$U,14,FALSE)</f>
        <v>林美浚（Meijun Lin）</v>
      </c>
      <c r="AG989">
        <f>VLOOKUP($H989,'[3]0509人员排班情况 副本'!$G:$U,15,FALSE)</f>
        <v>0</v>
      </c>
    </row>
    <row r="990" customHeight="1" spans="1:33">
      <c r="A990" t="s">
        <v>202</v>
      </c>
      <c r="B990" t="s">
        <v>2893</v>
      </c>
      <c r="C990" t="s">
        <v>2894</v>
      </c>
      <c r="D990" t="s">
        <v>100</v>
      </c>
      <c r="E990" t="s">
        <v>29</v>
      </c>
      <c r="F990" t="s">
        <v>200</v>
      </c>
      <c r="H990" t="str">
        <f t="shared" si="105"/>
        <v>WE 美西大区运营支持部区域支持组</v>
      </c>
      <c r="I990" t="s">
        <v>201</v>
      </c>
      <c r="J990" t="s">
        <v>236</v>
      </c>
      <c r="K990" s="15">
        <v>0.395833333333333</v>
      </c>
      <c r="L990" s="15" t="s">
        <v>218</v>
      </c>
      <c r="M990" s="15">
        <v>0.4</v>
      </c>
      <c r="N990" t="s">
        <v>1216</v>
      </c>
      <c r="O990" s="20" t="str">
        <f t="shared" si="111"/>
        <v>正确</v>
      </c>
      <c r="P990" s="21">
        <v>0</v>
      </c>
      <c r="Q990" s="21">
        <v>8.2</v>
      </c>
      <c r="R990" s="21">
        <v>0</v>
      </c>
      <c r="S990" s="21">
        <f t="shared" si="106"/>
        <v>8.2</v>
      </c>
      <c r="T990" s="21">
        <f t="shared" si="107"/>
        <v>0.199999999999999</v>
      </c>
      <c r="U990" s="21" t="str">
        <f t="shared" si="108"/>
        <v>是</v>
      </c>
      <c r="V990" s="21">
        <f>VLOOKUP($C990,[4]Sheet1!$B:$AN,39,FALSE)</f>
        <v>16.17</v>
      </c>
      <c r="W990" s="21">
        <v>0</v>
      </c>
      <c r="X990" s="23">
        <v>4</v>
      </c>
      <c r="Y990" s="23">
        <v>4</v>
      </c>
      <c r="Z990" s="25">
        <f t="shared" si="109"/>
        <v>0</v>
      </c>
      <c r="AA990" s="25" t="str">
        <f t="shared" si="110"/>
        <v>是</v>
      </c>
      <c r="AB990" t="s">
        <v>148</v>
      </c>
      <c r="AC990" t="e">
        <f>VLOOKUP(C990,[1]Sheet1!$C:$O,13,FALSE)</f>
        <v>#N/A</v>
      </c>
      <c r="AD990" t="str">
        <f>VLOOKUP($H990,'[3]0509人员排班情况 副本'!$G:$U,12,FALSE)</f>
        <v>王骞Ariel（Qian Wang）,叶秀芳Freya (Xiufang Ye)</v>
      </c>
      <c r="AE990" t="str">
        <f>VLOOKUP($H990,'[3]0509人员排班情况 副本'!$G:$U,13,FALSE)</f>
        <v>常哲</v>
      </c>
      <c r="AF990">
        <f>VLOOKUP($H990,'[3]0509人员排班情况 副本'!$G:$U,14,FALSE)</f>
        <v>0</v>
      </c>
      <c r="AG990">
        <f>VLOOKUP($H990,'[3]0509人员排班情况 副本'!$G:$U,15,FALSE)</f>
        <v>0</v>
      </c>
    </row>
    <row r="991" customHeight="1" spans="1:33">
      <c r="A991" t="s">
        <v>202</v>
      </c>
      <c r="B991" t="s">
        <v>2895</v>
      </c>
      <c r="C991" t="s">
        <v>2896</v>
      </c>
      <c r="D991" t="s">
        <v>58</v>
      </c>
      <c r="E991" t="s">
        <v>64</v>
      </c>
      <c r="F991" t="s">
        <v>2255</v>
      </c>
      <c r="H991" t="str">
        <f t="shared" si="105"/>
        <v>MS 中南大区CS 夏洛特及周边片区BNA01</v>
      </c>
      <c r="I991" t="s">
        <v>177</v>
      </c>
      <c r="J991" t="s">
        <v>217</v>
      </c>
      <c r="K991" s="15">
        <v>0.395833333333333</v>
      </c>
      <c r="L991" s="15" t="s">
        <v>218</v>
      </c>
      <c r="M991" s="15"/>
      <c r="N991" t="s">
        <v>148</v>
      </c>
      <c r="O991" s="20" t="s">
        <v>116</v>
      </c>
      <c r="P991" s="21">
        <v>0</v>
      </c>
      <c r="Q991" s="21">
        <v>0</v>
      </c>
      <c r="R991" s="21">
        <v>0</v>
      </c>
      <c r="S991" s="21">
        <f t="shared" si="106"/>
        <v>0</v>
      </c>
      <c r="T991" s="21">
        <f t="shared" si="107"/>
        <v>0</v>
      </c>
      <c r="U991" s="21" t="str">
        <f t="shared" si="108"/>
        <v>否</v>
      </c>
      <c r="V991" s="21">
        <f>VLOOKUP($C991,[4]Sheet1!$B:$AN,39,FALSE)</f>
        <v>13.08</v>
      </c>
      <c r="W991" s="21">
        <v>0</v>
      </c>
      <c r="X991" s="23">
        <v>0</v>
      </c>
      <c r="Y991" s="23">
        <v>0</v>
      </c>
      <c r="Z991" s="25">
        <f t="shared" si="109"/>
        <v>0</v>
      </c>
      <c r="AA991" s="25" t="str">
        <f t="shared" si="110"/>
        <v>是</v>
      </c>
      <c r="AB991" t="s">
        <v>148</v>
      </c>
      <c r="AC991" t="e">
        <f>VLOOKUP(C991,[1]Sheet1!$C:$O,13,FALSE)</f>
        <v>#N/A</v>
      </c>
      <c r="AD991" t="str">
        <f>VLOOKUP($H991,'[3]0509人员排班情况 副本'!$G:$U,12,FALSE)</f>
        <v>欧阳迎春Flower（Yingchun Ouyang）</v>
      </c>
      <c r="AE991" t="str">
        <f>VLOOKUP($H991,'[3]0509人员排班情况 副本'!$G:$U,13,FALSE)</f>
        <v>杨云飞</v>
      </c>
      <c r="AF991" t="str">
        <f>VLOOKUP($H991,'[3]0509人员排班情况 副本'!$G:$U,14,FALSE)</f>
        <v>苏盈如Sophie(Yingru Su)</v>
      </c>
      <c r="AG991">
        <f>VLOOKUP($H991,'[3]0509人员排班情况 副本'!$G:$U,15,FALSE)</f>
        <v>0</v>
      </c>
    </row>
    <row r="992" customHeight="1" spans="1:33">
      <c r="A992" t="s">
        <v>202</v>
      </c>
      <c r="B992" t="s">
        <v>2897</v>
      </c>
      <c r="C992" t="s">
        <v>2898</v>
      </c>
      <c r="D992" t="s">
        <v>14</v>
      </c>
      <c r="E992" t="s">
        <v>645</v>
      </c>
      <c r="F992" t="s">
        <v>148</v>
      </c>
      <c r="H992" t="str">
        <f t="shared" si="105"/>
        <v>DO 数字运营部美国技术支持组</v>
      </c>
      <c r="I992" t="s">
        <v>2899</v>
      </c>
      <c r="J992" t="s">
        <v>217</v>
      </c>
      <c r="K992" s="15">
        <v>0.395833333333333</v>
      </c>
      <c r="L992" s="15" t="s">
        <v>218</v>
      </c>
      <c r="M992" s="15"/>
      <c r="N992" t="s">
        <v>148</v>
      </c>
      <c r="O992" s="20" t="s">
        <v>116</v>
      </c>
      <c r="P992" s="21">
        <v>0</v>
      </c>
      <c r="Q992" s="21">
        <v>0</v>
      </c>
      <c r="R992" s="21">
        <v>0</v>
      </c>
      <c r="S992" s="21">
        <f t="shared" si="106"/>
        <v>0</v>
      </c>
      <c r="T992" s="21">
        <f t="shared" si="107"/>
        <v>0</v>
      </c>
      <c r="U992" s="21" t="str">
        <f t="shared" si="108"/>
        <v>否</v>
      </c>
      <c r="V992" s="21">
        <f>VLOOKUP($C992,[4]Sheet1!$B:$AN,39,FALSE)</f>
        <v>0</v>
      </c>
      <c r="W992" s="21">
        <v>0</v>
      </c>
      <c r="X992" s="23">
        <v>0</v>
      </c>
      <c r="Y992" s="23">
        <v>0</v>
      </c>
      <c r="Z992" s="25">
        <f t="shared" si="109"/>
        <v>0</v>
      </c>
      <c r="AA992" s="25" t="str">
        <f t="shared" si="110"/>
        <v>是</v>
      </c>
      <c r="AB992" t="s">
        <v>148</v>
      </c>
      <c r="AC992" t="e">
        <f>VLOOKUP(C992,[1]Sheet1!$C:$O,13,FALSE)</f>
        <v>#N/A</v>
      </c>
      <c r="AD992" t="str">
        <f>VLOOKUP($H992,'[3]0509人员排班情况 副本'!$G:$U,12,FALSE)</f>
        <v>袁博闻(Bowen Yuan)</v>
      </c>
      <c r="AE992">
        <f>VLOOKUP($H992,'[3]0509人员排班情况 副本'!$G:$U,13,FALSE)</f>
        <v>0</v>
      </c>
      <c r="AF992">
        <f>VLOOKUP($H992,'[3]0509人员排班情况 副本'!$G:$U,14,FALSE)</f>
        <v>0</v>
      </c>
      <c r="AG992">
        <f>VLOOKUP($H992,'[3]0509人员排班情况 副本'!$G:$U,15,FALSE)</f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13"/>
  <sheetViews>
    <sheetView workbookViewId="0">
      <selection activeCell="A116" sqref="A116"/>
    </sheetView>
  </sheetViews>
  <sheetFormatPr defaultColWidth="16.1111111111111" defaultRowHeight="13.2"/>
  <cols>
    <col min="1" max="2" width="16.1111111111111" style="2" customWidth="1"/>
    <col min="3" max="3" width="17.7777777777778" style="2" hidden="1" customWidth="1"/>
    <col min="4" max="10" width="13.3333333333333" style="2" customWidth="1"/>
    <col min="11" max="12" width="13.3333333333333" style="2" hidden="1" customWidth="1"/>
    <col min="13" max="14" width="13.3333333333333" style="2" customWidth="1"/>
    <col min="15" max="16384" width="16.1111111111111" style="2" customWidth="1"/>
  </cols>
  <sheetData>
    <row r="1" s="1" customFormat="1" ht="26" customHeight="1" spans="1:14">
      <c r="A1" s="3" t="s">
        <v>2900</v>
      </c>
      <c r="B1" s="3" t="s">
        <v>2901</v>
      </c>
      <c r="C1" s="3" t="s">
        <v>2900</v>
      </c>
      <c r="D1" s="3" t="s">
        <v>2902</v>
      </c>
      <c r="E1" s="3"/>
      <c r="F1" s="3"/>
      <c r="G1" s="3"/>
      <c r="H1" s="3"/>
      <c r="I1" s="3"/>
      <c r="J1" s="3"/>
      <c r="K1" s="8" t="s">
        <v>2903</v>
      </c>
      <c r="L1" s="8"/>
      <c r="M1" s="9" t="s">
        <v>2904</v>
      </c>
      <c r="N1" s="9"/>
    </row>
    <row r="2" s="1" customFormat="1" ht="26" customHeight="1" spans="1:14">
      <c r="A2" s="3"/>
      <c r="B2" s="3"/>
      <c r="C2" s="3"/>
      <c r="D2" s="3" t="s">
        <v>2905</v>
      </c>
      <c r="E2" s="3" t="s">
        <v>2906</v>
      </c>
      <c r="F2" s="3" t="s">
        <v>2907</v>
      </c>
      <c r="G2" s="3" t="s">
        <v>110</v>
      </c>
      <c r="H2" s="3" t="s">
        <v>2908</v>
      </c>
      <c r="I2" s="3" t="s">
        <v>2909</v>
      </c>
      <c r="J2" s="3" t="s">
        <v>2910</v>
      </c>
      <c r="K2" s="8" t="s">
        <v>110</v>
      </c>
      <c r="L2" s="8" t="s">
        <v>2910</v>
      </c>
      <c r="M2" s="9" t="s">
        <v>110</v>
      </c>
      <c r="N2" s="9" t="s">
        <v>2910</v>
      </c>
    </row>
    <row r="3" hidden="1" spans="1:14">
      <c r="A3" s="5" t="s">
        <v>15</v>
      </c>
      <c r="B3" s="5" t="s">
        <v>24</v>
      </c>
      <c r="C3" s="4" t="str">
        <f t="shared" ref="C3:C66" si="0">A3&amp;""&amp;B3</f>
        <v>FL 佛州大区SF 南佛片区</v>
      </c>
      <c r="D3" s="5">
        <f>VLOOKUP($C3,是否排班!$I:$L,4,FALSE)</f>
        <v>10</v>
      </c>
      <c r="E3" s="5">
        <f>VLOOKUP($C3,日超8H!$I:$L,2,FALSE)</f>
        <v>4</v>
      </c>
      <c r="F3" s="5">
        <f>VLOOKUP($C3,是否排班!$I:$L,3,FALSE)</f>
        <v>1</v>
      </c>
      <c r="G3" s="6">
        <f>VLOOKUP($C3,是否排班!$I:$M,5,FALSE)</f>
        <v>0.9</v>
      </c>
      <c r="H3" s="7" t="str">
        <f>IFERROR(VLOOKUP($C3,排班正确!$J:$O,6,FALSE),"/")</f>
        <v>/</v>
      </c>
      <c r="I3" s="4">
        <f>VLOOKUP($C3,缺卡!$H:$K,2,FALSE)</f>
        <v>6</v>
      </c>
      <c r="J3" s="7">
        <f>VLOOKUP($C3,缺卡!$H:$K,4,FALSE)</f>
        <v>0.25</v>
      </c>
      <c r="K3" s="10">
        <f>VLOOKUP($C3,[2]汇总!$C:$J,5,FALSE)</f>
        <v>0.9</v>
      </c>
      <c r="L3" s="10">
        <f>VLOOKUP($C3,[2]汇总!$C:$J,8,FALSE)</f>
        <v>0.4</v>
      </c>
      <c r="M3" s="11">
        <f t="shared" ref="M3:M51" si="1">G3-K3</f>
        <v>0</v>
      </c>
      <c r="N3" s="12">
        <f t="shared" ref="N3:N51" si="2">J3-L3</f>
        <v>-0.15</v>
      </c>
    </row>
    <row r="4" hidden="1" spans="1:14">
      <c r="A4" s="5" t="s">
        <v>15</v>
      </c>
      <c r="B4" s="5" t="s">
        <v>20</v>
      </c>
      <c r="C4" s="4" t="str">
        <f t="shared" si="0"/>
        <v>FL 佛州大区MIA.H</v>
      </c>
      <c r="D4" s="5">
        <f>VLOOKUP($C4,是否排班!$I:$L,4,FALSE)</f>
        <v>34</v>
      </c>
      <c r="E4" s="5">
        <f>VLOOKUP($C4,日超8H!$I:$L,2,FALSE)</f>
        <v>17</v>
      </c>
      <c r="F4" s="5">
        <f>VLOOKUP($C4,是否排班!$I:$L,3,FALSE)</f>
        <v>1</v>
      </c>
      <c r="G4" s="6">
        <f>VLOOKUP($C4,是否排班!$I:$M,5,FALSE)</f>
        <v>0.970588235294118</v>
      </c>
      <c r="H4" s="7">
        <f>IFERROR(VLOOKUP($C4,排班正确!$J:$O,6,FALSE),"/")</f>
        <v>0.764705882352941</v>
      </c>
      <c r="I4" s="4">
        <f>VLOOKUP($C4,缺卡!$H:$K,2,FALSE)</f>
        <v>38</v>
      </c>
      <c r="J4" s="7">
        <f>VLOOKUP($C4,缺卡!$H:$K,4,FALSE)</f>
        <v>0.339285714285714</v>
      </c>
      <c r="K4" s="10">
        <f>VLOOKUP($C4,[2]汇总!$C:$J,5,FALSE)</f>
        <v>0.971428571428571</v>
      </c>
      <c r="L4" s="10">
        <f>VLOOKUP($C4,[2]汇总!$C:$J,8,FALSE)</f>
        <v>0.59375</v>
      </c>
      <c r="M4" s="11">
        <f t="shared" si="1"/>
        <v>-0.000840336134453334</v>
      </c>
      <c r="N4" s="12">
        <f t="shared" si="2"/>
        <v>-0.254464285714286</v>
      </c>
    </row>
    <row r="5" hidden="1" spans="1:14">
      <c r="A5" s="5" t="s">
        <v>15</v>
      </c>
      <c r="B5" s="5"/>
      <c r="C5" s="4" t="str">
        <f t="shared" si="0"/>
        <v>FL 佛州大区</v>
      </c>
      <c r="D5" s="5">
        <f>VLOOKUP($C5,是否排班!$I:$L,4,FALSE)</f>
        <v>1</v>
      </c>
      <c r="E5" s="5">
        <f>VLOOKUP($C5,日超8H!$I:$L,2,FALSE)</f>
        <v>0</v>
      </c>
      <c r="F5" s="5">
        <f>VLOOKUP($C5,是否排班!$I:$L,3,FALSE)</f>
        <v>0</v>
      </c>
      <c r="G5" s="6">
        <f>VLOOKUP($C5,是否排班!$I:$M,5,FALSE)</f>
        <v>1</v>
      </c>
      <c r="H5" s="7" t="str">
        <f>IFERROR(VLOOKUP($C5,排班正确!$J:$O,6,FALSE),"/")</f>
        <v>/</v>
      </c>
      <c r="I5" s="4">
        <f>VLOOKUP($C5,缺卡!$H:$K,2,FALSE)</f>
        <v>2</v>
      </c>
      <c r="J5" s="7">
        <f>VLOOKUP($C5,缺卡!$H:$K,4,FALSE)</f>
        <v>0.5</v>
      </c>
      <c r="K5" s="10">
        <f>VLOOKUP($C5,[2]汇总!$C:$J,5,FALSE)</f>
        <v>1</v>
      </c>
      <c r="L5" s="10">
        <f>VLOOKUP($C5,[2]汇总!$C:$J,8,FALSE)</f>
        <v>0.5</v>
      </c>
      <c r="M5" s="11">
        <f t="shared" si="1"/>
        <v>0</v>
      </c>
      <c r="N5" s="12">
        <f t="shared" si="2"/>
        <v>0</v>
      </c>
    </row>
    <row r="6" hidden="1" spans="1:14">
      <c r="A6" s="5" t="s">
        <v>15</v>
      </c>
      <c r="B6" s="5" t="s">
        <v>16</v>
      </c>
      <c r="C6" s="4" t="str">
        <f t="shared" si="0"/>
        <v>FL 佛州大区FTM01</v>
      </c>
      <c r="D6" s="5">
        <f>VLOOKUP($C6,是否排班!$I:$L,4,FALSE)</f>
        <v>3</v>
      </c>
      <c r="E6" s="5">
        <f>VLOOKUP($C6,日超8H!$I:$L,2,FALSE)</f>
        <v>0</v>
      </c>
      <c r="F6" s="5">
        <f>VLOOKUP($C6,是否排班!$I:$L,3,FALSE)</f>
        <v>0</v>
      </c>
      <c r="G6" s="6">
        <f>VLOOKUP($C6,是否排班!$I:$M,5,FALSE)</f>
        <v>1</v>
      </c>
      <c r="H6" s="7" t="str">
        <f>IFERROR(VLOOKUP($C6,排班正确!$J:$O,6,FALSE),"/")</f>
        <v>/</v>
      </c>
      <c r="I6" s="4">
        <f>VLOOKUP($C6,缺卡!$H:$K,2,FALSE)</f>
        <v>6</v>
      </c>
      <c r="J6" s="7">
        <f>VLOOKUP($C6,缺卡!$H:$K,4,FALSE)</f>
        <v>0.5</v>
      </c>
      <c r="K6" s="10">
        <f>VLOOKUP($C6,[2]汇总!$C:$J,5,FALSE)</f>
        <v>1</v>
      </c>
      <c r="L6" s="10">
        <f>VLOOKUP($C6,[2]汇总!$C:$J,8,FALSE)</f>
        <v>0.666666666666667</v>
      </c>
      <c r="M6" s="11">
        <f t="shared" si="1"/>
        <v>0</v>
      </c>
      <c r="N6" s="12">
        <f t="shared" si="2"/>
        <v>-0.166666666666667</v>
      </c>
    </row>
    <row r="7" hidden="1" spans="1:14">
      <c r="A7" s="5" t="s">
        <v>15</v>
      </c>
      <c r="B7" s="5" t="s">
        <v>17</v>
      </c>
      <c r="C7" s="4" t="str">
        <f t="shared" si="0"/>
        <v>FL 佛州大区MCO.H</v>
      </c>
      <c r="D7" s="5">
        <f>VLOOKUP($C7,是否排班!$I:$L,4,FALSE)</f>
        <v>28</v>
      </c>
      <c r="E7" s="5">
        <f>VLOOKUP($C7,日超8H!$I:$L,2,FALSE)</f>
        <v>15</v>
      </c>
      <c r="F7" s="5">
        <f>VLOOKUP($C7,是否排班!$I:$L,3,FALSE)</f>
        <v>0</v>
      </c>
      <c r="G7" s="6">
        <f>VLOOKUP($C7,是否排班!$I:$M,5,FALSE)</f>
        <v>1</v>
      </c>
      <c r="H7" s="7">
        <f>IFERROR(VLOOKUP($C7,排班正确!$J:$O,6,FALSE),"/")</f>
        <v>0.892857142857143</v>
      </c>
      <c r="I7" s="4">
        <f>VLOOKUP($C7,缺卡!$H:$K,2,FALSE)</f>
        <v>5</v>
      </c>
      <c r="J7" s="7">
        <f>VLOOKUP($C7,缺卡!$H:$K,4,FALSE)</f>
        <v>0.0735294117647059</v>
      </c>
      <c r="K7" s="10">
        <f>VLOOKUP($C7,[2]汇总!$C:$J,5,FALSE)</f>
        <v>1</v>
      </c>
      <c r="L7" s="10">
        <f>VLOOKUP($C7,[2]汇总!$C:$J,8,FALSE)</f>
        <v>0.359375</v>
      </c>
      <c r="M7" s="11">
        <f t="shared" si="1"/>
        <v>0</v>
      </c>
      <c r="N7" s="12">
        <f t="shared" si="2"/>
        <v>-0.285845588235294</v>
      </c>
    </row>
    <row r="8" hidden="1" spans="1:14">
      <c r="A8" s="5" t="s">
        <v>15</v>
      </c>
      <c r="B8" s="5" t="s">
        <v>18</v>
      </c>
      <c r="C8" s="4" t="str">
        <f t="shared" si="0"/>
        <v>FL 佛州大区MCO01</v>
      </c>
      <c r="D8" s="5">
        <f>VLOOKUP($C8,是否排班!$I:$L,4,FALSE)</f>
        <v>2</v>
      </c>
      <c r="E8" s="5">
        <f>VLOOKUP($C8,日超8H!$I:$L,2,FALSE)</f>
        <v>2</v>
      </c>
      <c r="F8" s="5">
        <f>VLOOKUP($C8,是否排班!$I:$L,3,FALSE)</f>
        <v>0</v>
      </c>
      <c r="G8" s="6">
        <f>VLOOKUP($C8,是否排班!$I:$M,5,FALSE)</f>
        <v>1</v>
      </c>
      <c r="H8" s="7" t="str">
        <f>IFERROR(VLOOKUP($C8,排班正确!$J:$O,6,FALSE),"/")</f>
        <v>/</v>
      </c>
      <c r="I8" s="4">
        <f>VLOOKUP($C8,缺卡!$H:$K,2,FALSE)</f>
        <v>0</v>
      </c>
      <c r="J8" s="7">
        <f>VLOOKUP($C8,缺卡!$H:$K,4,FALSE)</f>
        <v>0</v>
      </c>
      <c r="K8" s="10">
        <f>VLOOKUP($C8,[2]汇总!$C:$J,5,FALSE)</f>
        <v>1</v>
      </c>
      <c r="L8" s="10">
        <f>VLOOKUP($C8,[2]汇总!$C:$J,8,FALSE)</f>
        <v>0</v>
      </c>
      <c r="M8" s="11">
        <f t="shared" si="1"/>
        <v>0</v>
      </c>
      <c r="N8" s="12">
        <f t="shared" si="2"/>
        <v>0</v>
      </c>
    </row>
    <row r="9" hidden="1" spans="1:14">
      <c r="A9" s="5" t="s">
        <v>15</v>
      </c>
      <c r="B9" s="5" t="s">
        <v>19</v>
      </c>
      <c r="C9" s="4" t="str">
        <f t="shared" si="0"/>
        <v>FL 佛州大区MF 中佛片区</v>
      </c>
      <c r="D9" s="5">
        <f>VLOOKUP($C9,是否排班!$I:$L,4,FALSE)</f>
        <v>7</v>
      </c>
      <c r="E9" s="5">
        <f>VLOOKUP($C9,日超8H!$I:$L,2,FALSE)</f>
        <v>3</v>
      </c>
      <c r="F9" s="5">
        <f>VLOOKUP($C9,是否排班!$I:$L,3,FALSE)</f>
        <v>0</v>
      </c>
      <c r="G9" s="6">
        <f>VLOOKUP($C9,是否排班!$I:$M,5,FALSE)</f>
        <v>1</v>
      </c>
      <c r="H9" s="7" t="str">
        <f>IFERROR(VLOOKUP($C9,排班正确!$J:$O,6,FALSE),"/")</f>
        <v>/</v>
      </c>
      <c r="I9" s="4">
        <f>VLOOKUP($C9,缺卡!$H:$K,2,FALSE)</f>
        <v>10</v>
      </c>
      <c r="J9" s="7">
        <f>VLOOKUP($C9,缺卡!$H:$K,4,FALSE)</f>
        <v>0.625</v>
      </c>
      <c r="K9" s="10">
        <f>VLOOKUP($C9,[2]汇总!$C:$J,5,FALSE)</f>
        <v>0.875</v>
      </c>
      <c r="L9" s="10">
        <f>VLOOKUP($C9,[2]汇总!$C:$J,8,FALSE)</f>
        <v>0.571428571428571</v>
      </c>
      <c r="M9" s="11">
        <f t="shared" si="1"/>
        <v>0.125</v>
      </c>
      <c r="N9" s="12">
        <f t="shared" si="2"/>
        <v>0.053571428571429</v>
      </c>
    </row>
    <row r="10" hidden="1" spans="1:14">
      <c r="A10" s="5" t="s">
        <v>15</v>
      </c>
      <c r="B10" s="5" t="s">
        <v>21</v>
      </c>
      <c r="C10" s="4" t="str">
        <f t="shared" si="0"/>
        <v>FL 佛州大区MIA01</v>
      </c>
      <c r="D10" s="5">
        <f>VLOOKUP($C10,是否排班!$I:$L,4,FALSE)</f>
        <v>3</v>
      </c>
      <c r="E10" s="5">
        <f>VLOOKUP($C10,日超8H!$I:$L,2,FALSE)</f>
        <v>2</v>
      </c>
      <c r="F10" s="5">
        <f>VLOOKUP($C10,是否排班!$I:$L,3,FALSE)</f>
        <v>0</v>
      </c>
      <c r="G10" s="6">
        <f>VLOOKUP($C10,是否排班!$I:$M,5,FALSE)</f>
        <v>1</v>
      </c>
      <c r="H10" s="7" t="str">
        <f>IFERROR(VLOOKUP($C10,排班正确!$J:$O,6,FALSE),"/")</f>
        <v>/</v>
      </c>
      <c r="I10" s="4">
        <f>VLOOKUP($C10,缺卡!$H:$K,2,FALSE)</f>
        <v>1</v>
      </c>
      <c r="J10" s="7">
        <f>VLOOKUP($C10,缺卡!$H:$K,4,FALSE)</f>
        <v>0.0833333333333333</v>
      </c>
      <c r="K10" s="10">
        <f>VLOOKUP($C10,[2]汇总!$C:$J,5,FALSE)</f>
        <v>1</v>
      </c>
      <c r="L10" s="10">
        <f>VLOOKUP($C10,[2]汇总!$C:$J,8,FALSE)</f>
        <v>0</v>
      </c>
      <c r="M10" s="11">
        <f t="shared" si="1"/>
        <v>0</v>
      </c>
      <c r="N10" s="12">
        <f t="shared" si="2"/>
        <v>0.0833333333333333</v>
      </c>
    </row>
    <row r="11" hidden="1" spans="1:14">
      <c r="A11" s="5" t="s">
        <v>15</v>
      </c>
      <c r="B11" s="5" t="s">
        <v>22</v>
      </c>
      <c r="C11" s="4" t="str">
        <f t="shared" si="0"/>
        <v>FL 佛州大区NF 北佛片区</v>
      </c>
      <c r="D11" s="5">
        <f>VLOOKUP($C11,是否排班!$I:$L,4,FALSE)</f>
        <v>7</v>
      </c>
      <c r="E11" s="5">
        <f>VLOOKUP($C11,日超8H!$I:$L,2,FALSE)</f>
        <v>1</v>
      </c>
      <c r="F11" s="5">
        <f>VLOOKUP($C11,是否排班!$I:$L,3,FALSE)</f>
        <v>0</v>
      </c>
      <c r="G11" s="6">
        <f>VLOOKUP($C11,是否排班!$I:$M,5,FALSE)</f>
        <v>1</v>
      </c>
      <c r="H11" s="7" t="str">
        <f>IFERROR(VLOOKUP($C11,排班正确!$J:$O,6,FALSE),"/")</f>
        <v>/</v>
      </c>
      <c r="I11" s="4">
        <f>VLOOKUP($C11,缺卡!$H:$K,2,FALSE)</f>
        <v>6</v>
      </c>
      <c r="J11" s="7">
        <f>VLOOKUP($C11,缺卡!$H:$K,4,FALSE)</f>
        <v>0.25</v>
      </c>
      <c r="K11" s="10">
        <f>VLOOKUP($C11,[2]汇总!$C:$J,5,FALSE)</f>
        <v>1</v>
      </c>
      <c r="L11" s="10">
        <f>VLOOKUP($C11,[2]汇总!$C:$J,8,FALSE)</f>
        <v>0.5</v>
      </c>
      <c r="M11" s="11">
        <f t="shared" si="1"/>
        <v>0</v>
      </c>
      <c r="N11" s="12">
        <f t="shared" si="2"/>
        <v>-0.25</v>
      </c>
    </row>
    <row r="12" hidden="1" spans="1:14">
      <c r="A12" s="5" t="s">
        <v>15</v>
      </c>
      <c r="B12" s="5" t="s">
        <v>23</v>
      </c>
      <c r="C12" s="4" t="str">
        <f t="shared" si="0"/>
        <v>FL 佛州大区OCF01</v>
      </c>
      <c r="D12" s="5">
        <f>VLOOKUP($C12,是否排班!$I:$L,4,FALSE)</f>
        <v>1</v>
      </c>
      <c r="E12" s="5">
        <f>VLOOKUP($C12,日超8H!$I:$L,2,FALSE)</f>
        <v>1</v>
      </c>
      <c r="F12" s="5">
        <f>VLOOKUP($C12,是否排班!$I:$L,3,FALSE)</f>
        <v>0</v>
      </c>
      <c r="G12" s="6">
        <f>VLOOKUP($C12,是否排班!$I:$M,5,FALSE)</f>
        <v>1</v>
      </c>
      <c r="H12" s="7" t="str">
        <f>IFERROR(VLOOKUP($C12,排班正确!$J:$O,6,FALSE),"/")</f>
        <v>/</v>
      </c>
      <c r="I12" s="4">
        <f>VLOOKUP($C12,缺卡!$H:$K,2,FALSE)</f>
        <v>2</v>
      </c>
      <c r="J12" s="7">
        <f>VLOOKUP($C12,缺卡!$H:$K,4,FALSE)</f>
        <v>0.5</v>
      </c>
      <c r="K12" s="10">
        <f>VLOOKUP($C12,[2]汇总!$C:$J,5,FALSE)</f>
        <v>1</v>
      </c>
      <c r="L12" s="10">
        <f>VLOOKUP($C12,[2]汇总!$C:$J,8,FALSE)</f>
        <v>0.5</v>
      </c>
      <c r="M12" s="11">
        <f t="shared" si="1"/>
        <v>0</v>
      </c>
      <c r="N12" s="12">
        <f t="shared" si="2"/>
        <v>0</v>
      </c>
    </row>
    <row r="13" hidden="1" spans="1:14">
      <c r="A13" s="5" t="s">
        <v>15</v>
      </c>
      <c r="B13" s="5" t="s">
        <v>25</v>
      </c>
      <c r="C13" s="4" t="str">
        <f t="shared" si="0"/>
        <v>FL 佛州大区SRQ01</v>
      </c>
      <c r="D13" s="5">
        <f>VLOOKUP($C13,是否排班!$I:$L,4,FALSE)</f>
        <v>1</v>
      </c>
      <c r="E13" s="5">
        <f>VLOOKUP($C13,日超8H!$I:$L,2,FALSE)</f>
        <v>1</v>
      </c>
      <c r="F13" s="5">
        <f>VLOOKUP($C13,是否排班!$I:$L,3,FALSE)</f>
        <v>0</v>
      </c>
      <c r="G13" s="6">
        <f>VLOOKUP($C13,是否排班!$I:$M,5,FALSE)</f>
        <v>1</v>
      </c>
      <c r="H13" s="7" t="str">
        <f>IFERROR(VLOOKUP($C13,排班正确!$J:$O,6,FALSE),"/")</f>
        <v>/</v>
      </c>
      <c r="I13" s="4">
        <f>VLOOKUP($C13,缺卡!$H:$K,2,FALSE)</f>
        <v>0</v>
      </c>
      <c r="J13" s="7">
        <f>VLOOKUP($C13,缺卡!$H:$K,4,FALSE)</f>
        <v>0</v>
      </c>
      <c r="K13" s="10">
        <f>VLOOKUP($C13,[2]汇总!$C:$J,5,FALSE)</f>
        <v>1</v>
      </c>
      <c r="L13" s="10">
        <f>VLOOKUP($C13,[2]汇总!$C:$J,8,FALSE)</f>
        <v>0</v>
      </c>
      <c r="M13" s="11">
        <f t="shared" si="1"/>
        <v>0</v>
      </c>
      <c r="N13" s="12">
        <f t="shared" si="2"/>
        <v>0</v>
      </c>
    </row>
    <row r="14" hidden="1" spans="1:14">
      <c r="A14" s="5" t="s">
        <v>15</v>
      </c>
      <c r="B14" s="5" t="s">
        <v>26</v>
      </c>
      <c r="C14" s="4" t="str">
        <f t="shared" si="0"/>
        <v>FL 佛州大区TPA01</v>
      </c>
      <c r="D14" s="5">
        <f>VLOOKUP($C14,是否排班!$I:$L,4,FALSE)</f>
        <v>2</v>
      </c>
      <c r="E14" s="5">
        <f>VLOOKUP($C14,日超8H!$I:$L,2,FALSE)</f>
        <v>0</v>
      </c>
      <c r="F14" s="5">
        <f>VLOOKUP($C14,是否排班!$I:$L,3,FALSE)</f>
        <v>0</v>
      </c>
      <c r="G14" s="6">
        <f>VLOOKUP($C14,是否排班!$I:$M,5,FALSE)</f>
        <v>1</v>
      </c>
      <c r="H14" s="7" t="str">
        <f>IFERROR(VLOOKUP($C14,排班正确!$J:$O,6,FALSE),"/")</f>
        <v>/</v>
      </c>
      <c r="I14" s="4">
        <f>VLOOKUP($C14,缺卡!$H:$K,2,FALSE)</f>
        <v>5</v>
      </c>
      <c r="J14" s="7">
        <f>VLOOKUP($C14,缺卡!$H:$K,4,FALSE)</f>
        <v>0.625</v>
      </c>
      <c r="K14" s="10">
        <f>VLOOKUP($C14,[2]汇总!$C:$J,5,FALSE)</f>
        <v>1</v>
      </c>
      <c r="L14" s="10">
        <f>VLOOKUP($C14,[2]汇总!$C:$J,8,FALSE)</f>
        <v>1</v>
      </c>
      <c r="M14" s="11">
        <f t="shared" si="1"/>
        <v>0</v>
      </c>
      <c r="N14" s="12">
        <f t="shared" si="2"/>
        <v>-0.375</v>
      </c>
    </row>
    <row r="15" hidden="1" spans="1:14">
      <c r="A15" s="5" t="s">
        <v>15</v>
      </c>
      <c r="B15" s="5" t="s">
        <v>27</v>
      </c>
      <c r="C15" s="4" t="str">
        <f t="shared" si="0"/>
        <v>FL 佛州大区WF 西佛片区</v>
      </c>
      <c r="D15" s="5">
        <f>VLOOKUP($C15,是否排班!$I:$L,4,FALSE)</f>
        <v>6</v>
      </c>
      <c r="E15" s="5">
        <f>VLOOKUP($C15,日超8H!$I:$L,2,FALSE)</f>
        <v>1</v>
      </c>
      <c r="F15" s="5">
        <f>VLOOKUP($C15,是否排班!$I:$L,3,FALSE)</f>
        <v>0</v>
      </c>
      <c r="G15" s="6">
        <f>VLOOKUP($C15,是否排班!$I:$M,5,FALSE)</f>
        <v>1</v>
      </c>
      <c r="H15" s="7" t="str">
        <f>IFERROR(VLOOKUP($C15,排班正确!$J:$O,6,FALSE),"/")</f>
        <v>/</v>
      </c>
      <c r="I15" s="4">
        <f>VLOOKUP($C15,缺卡!$H:$K,2,FALSE)</f>
        <v>7</v>
      </c>
      <c r="J15" s="7">
        <f>VLOOKUP($C15,缺卡!$H:$K,4,FALSE)</f>
        <v>0.4375</v>
      </c>
      <c r="K15" s="10">
        <f>VLOOKUP($C15,[2]汇总!$C:$J,5,FALSE)</f>
        <v>1</v>
      </c>
      <c r="L15" s="10">
        <f>VLOOKUP($C15,[2]汇总!$C:$J,8,FALSE)</f>
        <v>0.6</v>
      </c>
      <c r="M15" s="11">
        <f t="shared" si="1"/>
        <v>0</v>
      </c>
      <c r="N15" s="12">
        <f t="shared" si="2"/>
        <v>-0.1625</v>
      </c>
    </row>
    <row r="16" hidden="1" spans="1:14">
      <c r="A16" s="5" t="s">
        <v>15</v>
      </c>
      <c r="B16" s="5" t="s">
        <v>28</v>
      </c>
      <c r="C16" s="4" t="str">
        <f t="shared" si="0"/>
        <v>FL 佛州大区WPB01</v>
      </c>
      <c r="D16" s="5">
        <f>VLOOKUP($C16,是否排班!$I:$L,4,FALSE)</f>
        <v>1</v>
      </c>
      <c r="E16" s="5">
        <f>VLOOKUP($C16,日超8H!$I:$L,2,FALSE)</f>
        <v>0</v>
      </c>
      <c r="F16" s="5">
        <f>VLOOKUP($C16,是否排班!$I:$L,3,FALSE)</f>
        <v>0</v>
      </c>
      <c r="G16" s="6">
        <f>VLOOKUP($C16,是否排班!$I:$M,5,FALSE)</f>
        <v>1</v>
      </c>
      <c r="H16" s="7" t="str">
        <f>IFERROR(VLOOKUP($C16,排班正确!$J:$O,6,FALSE),"/")</f>
        <v>/</v>
      </c>
      <c r="I16" s="4">
        <f>VLOOKUP($C16,缺卡!$H:$K,2,FALSE)</f>
        <v>0</v>
      </c>
      <c r="J16" s="7">
        <v>0</v>
      </c>
      <c r="K16" s="10">
        <f>VLOOKUP($C16,[2]汇总!$C:$J,5,FALSE)</f>
        <v>1</v>
      </c>
      <c r="L16" s="13">
        <v>0</v>
      </c>
      <c r="M16" s="11">
        <f t="shared" si="1"/>
        <v>0</v>
      </c>
      <c r="N16" s="12">
        <f t="shared" si="2"/>
        <v>0</v>
      </c>
    </row>
    <row r="17" hidden="1" spans="1:14">
      <c r="A17" s="5" t="s">
        <v>15</v>
      </c>
      <c r="B17" s="5" t="s">
        <v>29</v>
      </c>
      <c r="C17" s="4" t="str">
        <f t="shared" si="0"/>
        <v>FL 佛州大区运营支持部</v>
      </c>
      <c r="D17" s="5">
        <f>VLOOKUP($C17,是否排班!$I:$L,4,FALSE)</f>
        <v>4</v>
      </c>
      <c r="E17" s="5">
        <f>VLOOKUP($C17,日超8H!$I:$L,2,FALSE)</f>
        <v>3</v>
      </c>
      <c r="F17" s="5">
        <f>VLOOKUP($C17,是否排班!$I:$L,3,FALSE)</f>
        <v>0</v>
      </c>
      <c r="G17" s="6">
        <f>VLOOKUP($C17,是否排班!$I:$M,5,FALSE)</f>
        <v>1</v>
      </c>
      <c r="H17" s="7" t="str">
        <f>IFERROR(VLOOKUP($C17,排班正确!$J:$O,6,FALSE),"/")</f>
        <v>/</v>
      </c>
      <c r="I17" s="4">
        <f>VLOOKUP($C17,缺卡!$H:$K,2,FALSE)</f>
        <v>3</v>
      </c>
      <c r="J17" s="7">
        <f>VLOOKUP($C17,缺卡!$H:$K,4,FALSE)</f>
        <v>0.1875</v>
      </c>
      <c r="K17" s="10">
        <f>VLOOKUP($C17,[2]汇总!$C:$J,5,FALSE)</f>
        <v>0.25</v>
      </c>
      <c r="L17" s="10">
        <f>VLOOKUP($C17,[2]汇总!$C:$J,8,FALSE)</f>
        <v>0.9375</v>
      </c>
      <c r="M17" s="11">
        <f t="shared" si="1"/>
        <v>0.75</v>
      </c>
      <c r="N17" s="12">
        <f t="shared" si="2"/>
        <v>-0.75</v>
      </c>
    </row>
    <row r="18" hidden="1" spans="1:14">
      <c r="A18" s="5" t="s">
        <v>30</v>
      </c>
      <c r="B18" s="5"/>
      <c r="C18" s="4" t="str">
        <f t="shared" si="0"/>
        <v>FL 佛州大区 汇总</v>
      </c>
      <c r="D18" s="5">
        <f>VLOOKUP($C18,是否排班!$I:$L,4,FALSE)</f>
        <v>110</v>
      </c>
      <c r="E18" s="5">
        <f>VLOOKUP($C18,日超8H!$I:$L,2,FALSE)</f>
        <v>50</v>
      </c>
      <c r="F18" s="5">
        <f>VLOOKUP($C18,是否排班!$I:$L,3,FALSE)</f>
        <v>2</v>
      </c>
      <c r="G18" s="6">
        <f>VLOOKUP($C18,是否排班!$I:$M,5,FALSE)</f>
        <v>0.981818181818182</v>
      </c>
      <c r="H18" s="7">
        <f>IFERROR(VLOOKUP($C18,排班正确!$J:$O,6,FALSE),"/")</f>
        <v>0.82258064516129</v>
      </c>
      <c r="I18" s="4">
        <f>VLOOKUP($C18,缺卡!$H:$K,2,FALSE)</f>
        <v>91</v>
      </c>
      <c r="J18" s="7">
        <f>VLOOKUP($C18,缺卡!$H:$K,4,FALSE)</f>
        <v>0.277439024390244</v>
      </c>
      <c r="K18" s="10">
        <f>VLOOKUP($C18,[2]汇总!$C:$J,5,FALSE)</f>
        <v>0.946428571428571</v>
      </c>
      <c r="L18" s="10">
        <f>VLOOKUP($C18,[2]汇总!$C:$J,8,FALSE)</f>
        <v>0.521341463414634</v>
      </c>
      <c r="M18" s="11">
        <f t="shared" si="1"/>
        <v>0.0353896103896109</v>
      </c>
      <c r="N18" s="12">
        <f t="shared" si="2"/>
        <v>-0.24390243902439</v>
      </c>
    </row>
    <row r="19" hidden="1" spans="1:14">
      <c r="A19" s="5" t="s">
        <v>31</v>
      </c>
      <c r="B19" s="5" t="s">
        <v>44</v>
      </c>
      <c r="C19" s="4" t="str">
        <f t="shared" si="0"/>
        <v>GL 大湖大区车辆管理部</v>
      </c>
      <c r="D19" s="5">
        <f>VLOOKUP($C19,是否排班!$I:$L,4,FALSE)</f>
        <v>1</v>
      </c>
      <c r="E19" s="5">
        <f>VLOOKUP($C19,日超8H!$I:$L,2,FALSE)</f>
        <v>0</v>
      </c>
      <c r="F19" s="5">
        <f>VLOOKUP($C19,是否排班!$I:$L,3,FALSE)</f>
        <v>1</v>
      </c>
      <c r="G19" s="6">
        <f>VLOOKUP($C19,是否排班!$I:$M,5,FALSE)</f>
        <v>0</v>
      </c>
      <c r="H19" s="7" t="str">
        <f>IFERROR(VLOOKUP($C19,排班正确!$J:$O,6,FALSE),"/")</f>
        <v>/</v>
      </c>
      <c r="I19" s="4">
        <f>VLOOKUP($C19,缺卡!$H:$K,2,FALSE)</f>
        <v>0</v>
      </c>
      <c r="J19" s="7">
        <v>0</v>
      </c>
      <c r="K19" s="10">
        <f>VLOOKUP($C19,[2]汇总!$C:$J,5,FALSE)</f>
        <v>0</v>
      </c>
      <c r="L19" s="10">
        <f>VLOOKUP($C19,[2]汇总!$C:$J,8,FALSE)</f>
        <v>1</v>
      </c>
      <c r="M19" s="11">
        <f t="shared" si="1"/>
        <v>0</v>
      </c>
      <c r="N19" s="12">
        <f t="shared" si="2"/>
        <v>-1</v>
      </c>
    </row>
    <row r="20" hidden="1" spans="1:14">
      <c r="A20" s="5" t="s">
        <v>31</v>
      </c>
      <c r="B20" s="5" t="s">
        <v>41</v>
      </c>
      <c r="C20" s="4" t="str">
        <f t="shared" si="0"/>
        <v>GL 大湖大区ORD.H</v>
      </c>
      <c r="D20" s="5">
        <f>VLOOKUP($C20,是否排班!$I:$L,4,FALSE)</f>
        <v>29</v>
      </c>
      <c r="E20" s="5">
        <f>VLOOKUP($C20,日超8H!$I:$L,2,FALSE)</f>
        <v>15</v>
      </c>
      <c r="F20" s="5">
        <f>VLOOKUP($C20,是否排班!$I:$L,3,FALSE)</f>
        <v>1</v>
      </c>
      <c r="G20" s="6">
        <f>VLOOKUP($C20,是否排班!$I:$M,5,FALSE)</f>
        <v>0.96551724137931</v>
      </c>
      <c r="H20" s="7">
        <f>IFERROR(VLOOKUP($C20,排班正确!$J:$O,6,FALSE),"/")</f>
        <v>0.758620689655172</v>
      </c>
      <c r="I20" s="4">
        <f>VLOOKUP($C20,缺卡!$H:$K,2,FALSE)</f>
        <v>29</v>
      </c>
      <c r="J20" s="7">
        <f>VLOOKUP($C20,缺卡!$H:$K,4,FALSE)</f>
        <v>0.329545454545455</v>
      </c>
      <c r="K20" s="10">
        <f>VLOOKUP($C20,[2]汇总!$C:$J,5,FALSE)</f>
        <v>0.896551724137931</v>
      </c>
      <c r="L20" s="10">
        <f>VLOOKUP($C20,[2]汇总!$C:$J,8,FALSE)</f>
        <v>0.69047619047619</v>
      </c>
      <c r="M20" s="11">
        <f t="shared" si="1"/>
        <v>0.0689655172413793</v>
      </c>
      <c r="N20" s="12">
        <f t="shared" si="2"/>
        <v>-0.360930735930735</v>
      </c>
    </row>
    <row r="21" hidden="1" spans="1:14">
      <c r="A21" s="5" t="s">
        <v>31</v>
      </c>
      <c r="B21" s="5"/>
      <c r="C21" s="4" t="str">
        <f t="shared" si="0"/>
        <v>GL 大湖大区</v>
      </c>
      <c r="D21" s="5">
        <f>VLOOKUP($C21,是否排班!$I:$L,4,FALSE)</f>
        <v>2</v>
      </c>
      <c r="E21" s="5">
        <f>VLOOKUP($C21,日超8H!$I:$L,2,FALSE)</f>
        <v>1</v>
      </c>
      <c r="F21" s="5">
        <f>VLOOKUP($C21,是否排班!$I:$L,3,FALSE)</f>
        <v>0</v>
      </c>
      <c r="G21" s="6">
        <f>VLOOKUP($C21,是否排班!$I:$M,5,FALSE)</f>
        <v>1</v>
      </c>
      <c r="H21" s="7" t="str">
        <f>IFERROR(VLOOKUP($C21,排班正确!$J:$O,6,FALSE),"/")</f>
        <v>/</v>
      </c>
      <c r="I21" s="4">
        <f>VLOOKUP($C21,缺卡!$H:$K,2,FALSE)</f>
        <v>2</v>
      </c>
      <c r="J21" s="7">
        <f>VLOOKUP($C21,缺卡!$H:$K,4,FALSE)</f>
        <v>0.5</v>
      </c>
      <c r="K21" s="10">
        <f>VLOOKUP($C21,[2]汇总!$C:$J,5,FALSE)</f>
        <v>1</v>
      </c>
      <c r="L21" s="10">
        <f>VLOOKUP($C21,[2]汇总!$C:$J,8,FALSE)</f>
        <v>0.75</v>
      </c>
      <c r="M21" s="11">
        <f t="shared" si="1"/>
        <v>0</v>
      </c>
      <c r="N21" s="12">
        <f t="shared" si="2"/>
        <v>-0.25</v>
      </c>
    </row>
    <row r="22" hidden="1" spans="1:14">
      <c r="A22" s="5" t="s">
        <v>31</v>
      </c>
      <c r="B22" s="5" t="s">
        <v>32</v>
      </c>
      <c r="C22" s="4" t="str">
        <f t="shared" si="0"/>
        <v>GL 大湖大区CLE01</v>
      </c>
      <c r="D22" s="5">
        <f>VLOOKUP($C22,是否排班!$I:$L,4,FALSE)</f>
        <v>1</v>
      </c>
      <c r="E22" s="5">
        <f>VLOOKUP($C22,日超8H!$I:$L,2,FALSE)</f>
        <v>1</v>
      </c>
      <c r="F22" s="5">
        <f>VLOOKUP($C22,是否排班!$I:$L,3,FALSE)</f>
        <v>0</v>
      </c>
      <c r="G22" s="6">
        <f>VLOOKUP($C22,是否排班!$I:$M,5,FALSE)</f>
        <v>1</v>
      </c>
      <c r="H22" s="7" t="str">
        <f>IFERROR(VLOOKUP($C22,排班正确!$J:$O,6,FALSE),"/")</f>
        <v>/</v>
      </c>
      <c r="I22" s="4">
        <f>VLOOKUP($C22,缺卡!$H:$K,2,FALSE)</f>
        <v>0</v>
      </c>
      <c r="J22" s="7">
        <f>VLOOKUP($C22,缺卡!$H:$K,4,FALSE)</f>
        <v>0</v>
      </c>
      <c r="K22" s="10">
        <f>VLOOKUP($C22,[2]汇总!$C:$J,5,FALSE)</f>
        <v>1</v>
      </c>
      <c r="L22" s="13">
        <v>0</v>
      </c>
      <c r="M22" s="11">
        <f t="shared" si="1"/>
        <v>0</v>
      </c>
      <c r="N22" s="12">
        <f t="shared" si="2"/>
        <v>0</v>
      </c>
    </row>
    <row r="23" hidden="1" spans="1:14">
      <c r="A23" s="5" t="s">
        <v>31</v>
      </c>
      <c r="B23" s="5" t="s">
        <v>33</v>
      </c>
      <c r="C23" s="4" t="str">
        <f t="shared" si="0"/>
        <v>GL 大湖大区CM 中西部中心片区</v>
      </c>
      <c r="D23" s="5">
        <f>VLOOKUP($C23,是否排班!$I:$L,4,FALSE)</f>
        <v>6</v>
      </c>
      <c r="E23" s="5">
        <f>VLOOKUP($C23,日超8H!$I:$L,2,FALSE)</f>
        <v>2</v>
      </c>
      <c r="F23" s="5">
        <f>VLOOKUP($C23,是否排班!$I:$L,3,FALSE)</f>
        <v>0</v>
      </c>
      <c r="G23" s="6">
        <f>VLOOKUP($C23,是否排班!$I:$M,5,FALSE)</f>
        <v>1</v>
      </c>
      <c r="H23" s="7" t="str">
        <f>IFERROR(VLOOKUP($C23,排班正确!$J:$O,6,FALSE),"/")</f>
        <v>/</v>
      </c>
      <c r="I23" s="4">
        <f>VLOOKUP($C23,缺卡!$H:$K,2,FALSE)</f>
        <v>4</v>
      </c>
      <c r="J23" s="7">
        <f>VLOOKUP($C23,缺卡!$H:$K,4,FALSE)</f>
        <v>0.333333333333333</v>
      </c>
      <c r="K23" s="10">
        <f>VLOOKUP($C23,[2]汇总!$C:$J,5,FALSE)</f>
        <v>1</v>
      </c>
      <c r="L23" s="10">
        <f>VLOOKUP($C23,[2]汇总!$C:$J,8,FALSE)</f>
        <v>0.35</v>
      </c>
      <c r="M23" s="11">
        <f t="shared" si="1"/>
        <v>0</v>
      </c>
      <c r="N23" s="12">
        <f t="shared" si="2"/>
        <v>-0.0166666666666667</v>
      </c>
    </row>
    <row r="24" hidden="1" spans="1:14">
      <c r="A24" s="5" t="s">
        <v>31</v>
      </c>
      <c r="B24" s="5" t="s">
        <v>34</v>
      </c>
      <c r="C24" s="4" t="str">
        <f t="shared" si="0"/>
        <v>GL 大湖大区CMH01</v>
      </c>
      <c r="D24" s="5">
        <f>VLOOKUP($C24,是否排班!$I:$L,4,FALSE)</f>
        <v>1</v>
      </c>
      <c r="E24" s="5">
        <f>VLOOKUP($C24,日超8H!$I:$L,2,FALSE)</f>
        <v>0</v>
      </c>
      <c r="F24" s="5">
        <f>VLOOKUP($C24,是否排班!$I:$L,3,FALSE)</f>
        <v>0</v>
      </c>
      <c r="G24" s="6">
        <f>VLOOKUP($C24,是否排班!$I:$M,5,FALSE)</f>
        <v>1</v>
      </c>
      <c r="H24" s="7" t="str">
        <f>IFERROR(VLOOKUP($C24,排班正确!$J:$O,6,FALSE),"/")</f>
        <v>/</v>
      </c>
      <c r="I24" s="4">
        <f>VLOOKUP($C24,缺卡!$H:$K,2,FALSE)</f>
        <v>4</v>
      </c>
      <c r="J24" s="7">
        <f>VLOOKUP($C24,缺卡!$H:$K,4,FALSE)</f>
        <v>1</v>
      </c>
      <c r="K24" s="10">
        <f>VLOOKUP($C24,[2]汇总!$C:$J,5,FALSE)</f>
        <v>1</v>
      </c>
      <c r="L24" s="13">
        <v>0</v>
      </c>
      <c r="M24" s="11">
        <f t="shared" si="1"/>
        <v>0</v>
      </c>
      <c r="N24" s="12">
        <f t="shared" si="2"/>
        <v>1</v>
      </c>
    </row>
    <row r="25" hidden="1" spans="1:14">
      <c r="A25" s="5" t="s">
        <v>31</v>
      </c>
      <c r="B25" s="5" t="s">
        <v>35</v>
      </c>
      <c r="C25" s="4" t="str">
        <f t="shared" si="0"/>
        <v>GL 大湖大区CVG.H</v>
      </c>
      <c r="D25" s="5">
        <f>VLOOKUP($C25,是否排班!$I:$L,4,FALSE)</f>
        <v>2</v>
      </c>
      <c r="E25" s="5">
        <f>VLOOKUP($C25,日超8H!$I:$L,2,FALSE)</f>
        <v>1</v>
      </c>
      <c r="F25" s="5">
        <f>VLOOKUP($C25,是否排班!$I:$L,3,FALSE)</f>
        <v>0</v>
      </c>
      <c r="G25" s="6">
        <f>VLOOKUP($C25,是否排班!$I:$M,5,FALSE)</f>
        <v>1</v>
      </c>
      <c r="H25" s="7">
        <f>IFERROR(VLOOKUP($C25,排班正确!$J:$O,6,FALSE),"/")</f>
        <v>0.5</v>
      </c>
      <c r="I25" s="4">
        <f>VLOOKUP($C25,缺卡!$H:$K,2,FALSE)</f>
        <v>2</v>
      </c>
      <c r="J25" s="7">
        <f>VLOOKUP($C25,缺卡!$H:$K,4,FALSE)</f>
        <v>0.5</v>
      </c>
      <c r="K25" s="10">
        <f>VLOOKUP($C25,[2]汇总!$C:$J,5,FALSE)</f>
        <v>1</v>
      </c>
      <c r="L25" s="10">
        <f>VLOOKUP($C25,[2]汇总!$C:$J,8,FALSE)</f>
        <v>0.625</v>
      </c>
      <c r="M25" s="11">
        <f t="shared" si="1"/>
        <v>0</v>
      </c>
      <c r="N25" s="12">
        <f t="shared" si="2"/>
        <v>-0.125</v>
      </c>
    </row>
    <row r="26" hidden="1" spans="1:14">
      <c r="A26" s="5" t="s">
        <v>31</v>
      </c>
      <c r="B26" s="5" t="s">
        <v>36</v>
      </c>
      <c r="C26" s="4" t="str">
        <f t="shared" si="0"/>
        <v>GL 大湖大区EG 东大湖片区</v>
      </c>
      <c r="D26" s="5">
        <f>VLOOKUP($C26,是否排班!$I:$L,4,FALSE)</f>
        <v>5</v>
      </c>
      <c r="E26" s="5">
        <f>VLOOKUP($C26,日超8H!$I:$L,2,FALSE)</f>
        <v>1</v>
      </c>
      <c r="F26" s="5">
        <f>VLOOKUP($C26,是否排班!$I:$L,3,FALSE)</f>
        <v>0</v>
      </c>
      <c r="G26" s="6">
        <f>VLOOKUP($C26,是否排班!$I:$M,5,FALSE)</f>
        <v>1</v>
      </c>
      <c r="H26" s="7" t="str">
        <f>IFERROR(VLOOKUP($C26,排班正确!$J:$O,6,FALSE),"/")</f>
        <v>/</v>
      </c>
      <c r="I26" s="4">
        <f>VLOOKUP($C26,缺卡!$H:$K,2,FALSE)</f>
        <v>3</v>
      </c>
      <c r="J26" s="7">
        <f>VLOOKUP($C26,缺卡!$H:$K,4,FALSE)</f>
        <v>0.25</v>
      </c>
      <c r="K26" s="10">
        <f>VLOOKUP($C26,[2]汇总!$C:$J,5,FALSE)</f>
        <v>1</v>
      </c>
      <c r="L26" s="10">
        <f>VLOOKUP($C26,[2]汇总!$C:$J,8,FALSE)</f>
        <v>0</v>
      </c>
      <c r="M26" s="11">
        <f t="shared" si="1"/>
        <v>0</v>
      </c>
      <c r="N26" s="12">
        <f t="shared" si="2"/>
        <v>0.25</v>
      </c>
    </row>
    <row r="27" hidden="1" spans="1:14">
      <c r="A27" s="5" t="s">
        <v>31</v>
      </c>
      <c r="B27" s="5" t="s">
        <v>37</v>
      </c>
      <c r="C27" s="4" t="str">
        <f t="shared" si="0"/>
        <v>GL 大湖大区IND01</v>
      </c>
      <c r="D27" s="5">
        <f>VLOOKUP($C27,是否排班!$I:$L,4,FALSE)</f>
        <v>3</v>
      </c>
      <c r="E27" s="5">
        <f>VLOOKUP($C27,日超8H!$I:$L,2,FALSE)</f>
        <v>1</v>
      </c>
      <c r="F27" s="5">
        <f>VLOOKUP($C27,是否排班!$I:$L,3,FALSE)</f>
        <v>0</v>
      </c>
      <c r="G27" s="6">
        <f>VLOOKUP($C27,是否排班!$I:$M,5,FALSE)</f>
        <v>1</v>
      </c>
      <c r="H27" s="7" t="str">
        <f>IFERROR(VLOOKUP($C27,排班正确!$J:$O,6,FALSE),"/")</f>
        <v>/</v>
      </c>
      <c r="I27" s="4">
        <f>VLOOKUP($C27,缺卡!$H:$K,2,FALSE)</f>
        <v>0</v>
      </c>
      <c r="J27" s="7">
        <f>VLOOKUP($C27,缺卡!$H:$K,4,FALSE)</f>
        <v>0</v>
      </c>
      <c r="K27" s="10">
        <f>VLOOKUP($C27,[2]汇总!$C:$J,5,FALSE)</f>
        <v>1</v>
      </c>
      <c r="L27" s="10">
        <f>VLOOKUP($C27,[2]汇总!$C:$J,8,FALSE)</f>
        <v>0</v>
      </c>
      <c r="M27" s="11">
        <f t="shared" si="1"/>
        <v>0</v>
      </c>
      <c r="N27" s="12">
        <f t="shared" si="2"/>
        <v>0</v>
      </c>
    </row>
    <row r="28" hidden="1" spans="1:14">
      <c r="A28" s="5" t="s">
        <v>31</v>
      </c>
      <c r="B28" s="5" t="s">
        <v>38</v>
      </c>
      <c r="C28" s="4" t="str">
        <f t="shared" si="0"/>
        <v>GL 大湖大区MCI01</v>
      </c>
      <c r="D28" s="5">
        <f>VLOOKUP($C28,是否排班!$I:$L,4,FALSE)</f>
        <v>2</v>
      </c>
      <c r="E28" s="5">
        <f>VLOOKUP($C28,日超8H!$I:$L,2,FALSE)</f>
        <v>1</v>
      </c>
      <c r="F28" s="5">
        <f>VLOOKUP($C28,是否排班!$I:$L,3,FALSE)</f>
        <v>0</v>
      </c>
      <c r="G28" s="6">
        <f>VLOOKUP($C28,是否排班!$I:$M,5,FALSE)</f>
        <v>1</v>
      </c>
      <c r="H28" s="7" t="str">
        <f>IFERROR(VLOOKUP($C28,排班正确!$J:$O,6,FALSE),"/")</f>
        <v>/</v>
      </c>
      <c r="I28" s="4">
        <f>VLOOKUP($C28,缺卡!$H:$K,2,FALSE)</f>
        <v>0</v>
      </c>
      <c r="J28" s="7">
        <f>VLOOKUP($C28,缺卡!$H:$K,4,FALSE)</f>
        <v>0</v>
      </c>
      <c r="K28" s="10">
        <f>VLOOKUP($C28,[2]汇总!$C:$J,5,FALSE)</f>
        <v>1</v>
      </c>
      <c r="L28" s="10">
        <f>VLOOKUP($C28,[2]汇总!$C:$J,8,FALSE)</f>
        <v>0.25</v>
      </c>
      <c r="M28" s="11">
        <f t="shared" si="1"/>
        <v>0</v>
      </c>
      <c r="N28" s="12">
        <f t="shared" si="2"/>
        <v>-0.25</v>
      </c>
    </row>
    <row r="29" hidden="1" spans="1:14">
      <c r="A29" s="5" t="s">
        <v>31</v>
      </c>
      <c r="B29" s="5" t="s">
        <v>39</v>
      </c>
      <c r="C29" s="4" t="str">
        <f t="shared" si="0"/>
        <v>GL 大湖大区MKE01</v>
      </c>
      <c r="D29" s="5">
        <f>VLOOKUP($C29,是否排班!$I:$L,4,FALSE)</f>
        <v>2</v>
      </c>
      <c r="E29" s="5">
        <f>VLOOKUP($C29,日超8H!$I:$L,2,FALSE)</f>
        <v>0</v>
      </c>
      <c r="F29" s="5">
        <f>VLOOKUP($C29,是否排班!$I:$L,3,FALSE)</f>
        <v>0</v>
      </c>
      <c r="G29" s="6">
        <f>VLOOKUP($C29,是否排班!$I:$M,5,FALSE)</f>
        <v>1</v>
      </c>
      <c r="H29" s="7" t="str">
        <f>IFERROR(VLOOKUP($C29,排班正确!$J:$O,6,FALSE),"/")</f>
        <v>/</v>
      </c>
      <c r="I29" s="4">
        <f>VLOOKUP($C29,缺卡!$H:$K,2,FALSE)</f>
        <v>6</v>
      </c>
      <c r="J29" s="7">
        <f>VLOOKUP($C29,缺卡!$H:$K,4,FALSE)</f>
        <v>0.75</v>
      </c>
      <c r="K29" s="10">
        <f>VLOOKUP($C29,[2]汇总!$C:$J,5,FALSE)</f>
        <v>1</v>
      </c>
      <c r="L29" s="10">
        <f>VLOOKUP($C29,[2]汇总!$C:$J,8,FALSE)</f>
        <v>1</v>
      </c>
      <c r="M29" s="11">
        <f t="shared" si="1"/>
        <v>0</v>
      </c>
      <c r="N29" s="12">
        <f t="shared" si="2"/>
        <v>-0.25</v>
      </c>
    </row>
    <row r="30" hidden="1" spans="1:14">
      <c r="A30" s="5" t="s">
        <v>31</v>
      </c>
      <c r="B30" s="5" t="s">
        <v>40</v>
      </c>
      <c r="C30" s="4" t="str">
        <f t="shared" si="0"/>
        <v>GL 大湖大区NM 中西部北片区</v>
      </c>
      <c r="D30" s="5">
        <f>VLOOKUP($C30,是否排班!$I:$L,4,FALSE)</f>
        <v>6</v>
      </c>
      <c r="E30" s="5">
        <f>VLOOKUP($C30,日超8H!$I:$L,2,FALSE)</f>
        <v>2</v>
      </c>
      <c r="F30" s="5">
        <f>VLOOKUP($C30,是否排班!$I:$L,3,FALSE)</f>
        <v>0</v>
      </c>
      <c r="G30" s="6">
        <f>VLOOKUP($C30,是否排班!$I:$M,5,FALSE)</f>
        <v>1</v>
      </c>
      <c r="H30" s="7" t="str">
        <f>IFERROR(VLOOKUP($C30,排班正确!$J:$O,6,FALSE),"/")</f>
        <v>/</v>
      </c>
      <c r="I30" s="4">
        <f>VLOOKUP($C30,缺卡!$H:$K,2,FALSE)</f>
        <v>9</v>
      </c>
      <c r="J30" s="7">
        <f>VLOOKUP($C30,缺卡!$H:$K,4,FALSE)</f>
        <v>0.45</v>
      </c>
      <c r="K30" s="10">
        <f>VLOOKUP($C30,[2]汇总!$C:$J,5,FALSE)</f>
        <v>1</v>
      </c>
      <c r="L30" s="10">
        <f>VLOOKUP($C30,[2]汇总!$C:$J,8,FALSE)</f>
        <v>0.5625</v>
      </c>
      <c r="M30" s="11">
        <f t="shared" si="1"/>
        <v>0</v>
      </c>
      <c r="N30" s="12">
        <f t="shared" si="2"/>
        <v>-0.1125</v>
      </c>
    </row>
    <row r="31" hidden="1" spans="1:14">
      <c r="A31" s="5" t="s">
        <v>31</v>
      </c>
      <c r="B31" s="5" t="s">
        <v>42</v>
      </c>
      <c r="C31" s="4" t="str">
        <f t="shared" si="0"/>
        <v>GL 大湖大区ORD01</v>
      </c>
      <c r="D31" s="5">
        <f>VLOOKUP($C31,是否排班!$I:$L,4,FALSE)</f>
        <v>2</v>
      </c>
      <c r="E31" s="5">
        <f>VLOOKUP($C31,日超8H!$I:$L,2,FALSE)</f>
        <v>0</v>
      </c>
      <c r="F31" s="5">
        <f>VLOOKUP($C31,是否排班!$I:$L,3,FALSE)</f>
        <v>0</v>
      </c>
      <c r="G31" s="6">
        <f>VLOOKUP($C31,是否排班!$I:$M,5,FALSE)</f>
        <v>1</v>
      </c>
      <c r="H31" s="7" t="str">
        <f>IFERROR(VLOOKUP($C31,排班正确!$J:$O,6,FALSE),"/")</f>
        <v>/</v>
      </c>
      <c r="I31" s="4">
        <f>VLOOKUP($C31,缺卡!$H:$K,2,FALSE)</f>
        <v>4</v>
      </c>
      <c r="J31" s="7">
        <f>VLOOKUP($C31,缺卡!$H:$K,4,FALSE)</f>
        <v>1</v>
      </c>
      <c r="K31" s="10">
        <f>VLOOKUP($C31,[2]汇总!$C:$J,5,FALSE)</f>
        <v>1</v>
      </c>
      <c r="L31" s="10">
        <f>VLOOKUP($C31,[2]汇总!$C:$J,8,FALSE)</f>
        <v>1</v>
      </c>
      <c r="M31" s="11">
        <f t="shared" si="1"/>
        <v>0</v>
      </c>
      <c r="N31" s="12">
        <f t="shared" si="2"/>
        <v>0</v>
      </c>
    </row>
    <row r="32" hidden="1" spans="1:14">
      <c r="A32" s="5" t="s">
        <v>31</v>
      </c>
      <c r="B32" s="5" t="s">
        <v>43</v>
      </c>
      <c r="C32" s="4" t="str">
        <f t="shared" si="0"/>
        <v>GL 大湖大区WG 西大湖片区</v>
      </c>
      <c r="D32" s="5">
        <f>VLOOKUP($C32,是否排班!$I:$L,4,FALSE)</f>
        <v>10</v>
      </c>
      <c r="E32" s="5">
        <f>VLOOKUP($C32,日超8H!$I:$L,2,FALSE)</f>
        <v>3</v>
      </c>
      <c r="F32" s="5">
        <f>VLOOKUP($C32,是否排班!$I:$L,3,FALSE)</f>
        <v>0</v>
      </c>
      <c r="G32" s="6">
        <f>VLOOKUP($C32,是否排班!$I:$M,5,FALSE)</f>
        <v>1</v>
      </c>
      <c r="H32" s="7" t="str">
        <f>IFERROR(VLOOKUP($C32,排班正确!$J:$O,6,FALSE),"/")</f>
        <v>/</v>
      </c>
      <c r="I32" s="4">
        <f>VLOOKUP($C32,缺卡!$H:$K,2,FALSE)</f>
        <v>19</v>
      </c>
      <c r="J32" s="7">
        <f>VLOOKUP($C32,缺卡!$H:$K,4,FALSE)</f>
        <v>0.59375</v>
      </c>
      <c r="K32" s="10">
        <f>VLOOKUP($C32,[2]汇总!$C:$J,5,FALSE)</f>
        <v>1</v>
      </c>
      <c r="L32" s="10">
        <f>VLOOKUP($C32,[2]汇总!$C:$J,8,FALSE)</f>
        <v>0.583333333333333</v>
      </c>
      <c r="M32" s="11">
        <f t="shared" si="1"/>
        <v>0</v>
      </c>
      <c r="N32" s="12">
        <f t="shared" si="2"/>
        <v>0.010416666666667</v>
      </c>
    </row>
    <row r="33" hidden="1" spans="1:14">
      <c r="A33" s="5" t="s">
        <v>31</v>
      </c>
      <c r="B33" s="5" t="s">
        <v>45</v>
      </c>
      <c r="C33" s="4" t="str">
        <f t="shared" si="0"/>
        <v>GL 大湖大区揽收部</v>
      </c>
      <c r="D33" s="5">
        <f>VLOOKUP($C33,是否排班!$I:$L,4,FALSE)</f>
        <v>5</v>
      </c>
      <c r="E33" s="5">
        <f>VLOOKUP($C33,日超8H!$I:$L,2,FALSE)</f>
        <v>4</v>
      </c>
      <c r="F33" s="5">
        <f>VLOOKUP($C33,是否排班!$I:$L,3,FALSE)</f>
        <v>0</v>
      </c>
      <c r="G33" s="6">
        <f>VLOOKUP($C33,是否排班!$I:$M,5,FALSE)</f>
        <v>1</v>
      </c>
      <c r="H33" s="7" t="str">
        <f>IFERROR(VLOOKUP($C33,排班正确!$J:$O,6,FALSE),"/")</f>
        <v>/</v>
      </c>
      <c r="I33" s="4">
        <f>VLOOKUP($C33,缺卡!$H:$K,2,FALSE)</f>
        <v>6</v>
      </c>
      <c r="J33" s="7">
        <f>VLOOKUP($C33,缺卡!$H:$K,4,FALSE)</f>
        <v>0.3</v>
      </c>
      <c r="K33" s="10">
        <f>VLOOKUP($C33,[2]汇总!$C:$J,5,FALSE)</f>
        <v>1</v>
      </c>
      <c r="L33" s="10">
        <f>VLOOKUP($C33,[2]汇总!$C:$J,8,FALSE)</f>
        <v>0.55</v>
      </c>
      <c r="M33" s="11">
        <f t="shared" si="1"/>
        <v>0</v>
      </c>
      <c r="N33" s="12">
        <f t="shared" si="2"/>
        <v>-0.25</v>
      </c>
    </row>
    <row r="34" hidden="1" spans="1:14">
      <c r="A34" s="5" t="s">
        <v>31</v>
      </c>
      <c r="B34" s="5" t="s">
        <v>29</v>
      </c>
      <c r="C34" s="4" t="str">
        <f t="shared" si="0"/>
        <v>GL 大湖大区运营支持部</v>
      </c>
      <c r="D34" s="5">
        <f>VLOOKUP($C34,是否排班!$I:$L,4,FALSE)</f>
        <v>8</v>
      </c>
      <c r="E34" s="5">
        <f>VLOOKUP($C34,日超8H!$I:$L,2,FALSE)</f>
        <v>5</v>
      </c>
      <c r="F34" s="5">
        <f>VLOOKUP($C34,是否排班!$I:$L,3,FALSE)</f>
        <v>0</v>
      </c>
      <c r="G34" s="6">
        <f>VLOOKUP($C34,是否排班!$I:$M,5,FALSE)</f>
        <v>1</v>
      </c>
      <c r="H34" s="7" t="str">
        <f>IFERROR(VLOOKUP($C34,排班正确!$J:$O,6,FALSE),"/")</f>
        <v>/</v>
      </c>
      <c r="I34" s="4">
        <f>VLOOKUP($C34,缺卡!$H:$K,2,FALSE)</f>
        <v>12</v>
      </c>
      <c r="J34" s="7">
        <f>VLOOKUP($C34,缺卡!$H:$K,4,FALSE)</f>
        <v>0.428571428571429</v>
      </c>
      <c r="K34" s="10">
        <f>VLOOKUP($C34,[2]汇总!$C:$J,5,FALSE)</f>
        <v>1</v>
      </c>
      <c r="L34" s="10">
        <f>VLOOKUP($C34,[2]汇总!$C:$J,8,FALSE)</f>
        <v>0.7</v>
      </c>
      <c r="M34" s="11">
        <f t="shared" si="1"/>
        <v>0</v>
      </c>
      <c r="N34" s="12">
        <f t="shared" si="2"/>
        <v>-0.271428571428571</v>
      </c>
    </row>
    <row r="35" hidden="1" spans="1:14">
      <c r="A35" s="5" t="s">
        <v>46</v>
      </c>
      <c r="B35" s="5"/>
      <c r="C35" s="4" t="str">
        <f t="shared" si="0"/>
        <v>GL 大湖大区 汇总</v>
      </c>
      <c r="D35" s="5">
        <f>VLOOKUP($C35,是否排班!$I:$L,4,FALSE)</f>
        <v>85</v>
      </c>
      <c r="E35" s="5">
        <f>VLOOKUP($C35,日超8H!$I:$L,2,FALSE)</f>
        <v>37</v>
      </c>
      <c r="F35" s="5">
        <f>VLOOKUP($C35,是否排班!$I:$L,3,FALSE)</f>
        <v>2</v>
      </c>
      <c r="G35" s="6">
        <f>VLOOKUP($C35,是否排班!$I:$M,5,FALSE)</f>
        <v>0.976470588235294</v>
      </c>
      <c r="H35" s="7">
        <f>IFERROR(VLOOKUP($C35,排班正确!$J:$O,6,FALSE),"/")</f>
        <v>0.741935483870968</v>
      </c>
      <c r="I35" s="4">
        <f>VLOOKUP($C35,缺卡!$H:$K,2,FALSE)</f>
        <v>100</v>
      </c>
      <c r="J35" s="7">
        <f>VLOOKUP($C35,缺卡!$H:$K,4,FALSE)</f>
        <v>0.403225806451613</v>
      </c>
      <c r="K35" s="10">
        <f>VLOOKUP($C35,[2]汇总!$C:$J,5,FALSE)</f>
        <v>0.951807228915663</v>
      </c>
      <c r="L35" s="10">
        <f>VLOOKUP($C35,[2]汇总!$C:$J,8,FALSE)</f>
        <v>0.5875</v>
      </c>
      <c r="M35" s="11">
        <f t="shared" si="1"/>
        <v>0.024663359319631</v>
      </c>
      <c r="N35" s="12">
        <f t="shared" si="2"/>
        <v>-0.184274193548387</v>
      </c>
    </row>
    <row r="36" hidden="1" spans="1:14">
      <c r="A36" s="5" t="s">
        <v>48</v>
      </c>
      <c r="B36" s="5" t="s">
        <v>50</v>
      </c>
      <c r="C36" s="4" t="str">
        <f t="shared" si="0"/>
        <v>Ground项目部OG 美南区</v>
      </c>
      <c r="D36" s="5">
        <f>VLOOKUP($C36,是否排班!$I:$L,4,FALSE)</f>
        <v>10</v>
      </c>
      <c r="E36" s="5">
        <f>VLOOKUP($C36,日超8H!$I:$L,2,FALSE)</f>
        <v>4</v>
      </c>
      <c r="F36" s="5">
        <f>VLOOKUP($C36,是否排班!$I:$L,3,FALSE)</f>
        <v>2</v>
      </c>
      <c r="G36" s="6">
        <f>VLOOKUP($C36,是否排班!$I:$M,5,FALSE)</f>
        <v>0.8</v>
      </c>
      <c r="H36" s="7" t="str">
        <f>IFERROR(VLOOKUP($C36,排班正确!$J:$O,6,FALSE),"/")</f>
        <v>/</v>
      </c>
      <c r="I36" s="4">
        <f>VLOOKUP($C36,缺卡!$H:$K,2,FALSE)</f>
        <v>8</v>
      </c>
      <c r="J36" s="7">
        <f>VLOOKUP($C36,缺卡!$H:$K,4,FALSE)</f>
        <v>0.333333333333333</v>
      </c>
      <c r="K36" s="10">
        <f>VLOOKUP($C36,[2]汇总!$C:$J,5,FALSE)</f>
        <v>0</v>
      </c>
      <c r="L36" s="10">
        <f>VLOOKUP($C36,[2]汇总!$C:$J,8,FALSE)</f>
        <v>1</v>
      </c>
      <c r="M36" s="11">
        <f t="shared" si="1"/>
        <v>0.8</v>
      </c>
      <c r="N36" s="12">
        <f t="shared" si="2"/>
        <v>-0.666666666666667</v>
      </c>
    </row>
    <row r="37" hidden="1" spans="1:14">
      <c r="A37" s="5" t="s">
        <v>48</v>
      </c>
      <c r="B37" s="5" t="s">
        <v>49</v>
      </c>
      <c r="C37" s="4" t="str">
        <f t="shared" si="0"/>
        <v>Ground项目部OG 美东区</v>
      </c>
      <c r="D37" s="5">
        <f>VLOOKUP($C37,是否排班!$I:$L,4,FALSE)</f>
        <v>18</v>
      </c>
      <c r="E37" s="5">
        <f>VLOOKUP($C37,日超8H!$I:$L,2,FALSE)</f>
        <v>12</v>
      </c>
      <c r="F37" s="5">
        <f>VLOOKUP($C37,是否排班!$I:$L,3,FALSE)</f>
        <v>0</v>
      </c>
      <c r="G37" s="6">
        <f>VLOOKUP($C37,是否排班!$I:$M,5,FALSE)</f>
        <v>1</v>
      </c>
      <c r="H37" s="7">
        <f>IFERROR(VLOOKUP($C37,排班正确!$J:$O,6,FALSE),"/")</f>
        <v>0.833333333333333</v>
      </c>
      <c r="I37" s="4">
        <f>VLOOKUP($C37,缺卡!$H:$K,2,FALSE)</f>
        <v>13</v>
      </c>
      <c r="J37" s="7">
        <f>VLOOKUP($C37,缺卡!$H:$K,4,FALSE)</f>
        <v>0.191176470588235</v>
      </c>
      <c r="K37" s="10">
        <f>VLOOKUP($C37,[2]汇总!$C:$J,5,FALSE)</f>
        <v>1</v>
      </c>
      <c r="L37" s="10">
        <f>VLOOKUP($C37,[2]汇总!$C:$J,8,FALSE)</f>
        <v>0.230769230769231</v>
      </c>
      <c r="M37" s="11">
        <f t="shared" si="1"/>
        <v>0</v>
      </c>
      <c r="N37" s="12">
        <f t="shared" si="2"/>
        <v>-0.0395927601809957</v>
      </c>
    </row>
    <row r="38" hidden="1" spans="1:14">
      <c r="A38" s="5" t="s">
        <v>48</v>
      </c>
      <c r="B38" s="5" t="s">
        <v>51</v>
      </c>
      <c r="C38" s="4" t="str">
        <f t="shared" si="0"/>
        <v>Ground项目部OG 美西区</v>
      </c>
      <c r="D38" s="5">
        <f>VLOOKUP($C38,是否排班!$I:$L,4,FALSE)</f>
        <v>42</v>
      </c>
      <c r="E38" s="5">
        <f>VLOOKUP($C38,日超8H!$I:$L,2,FALSE)</f>
        <v>19</v>
      </c>
      <c r="F38" s="5">
        <f>VLOOKUP($C38,是否排班!$I:$L,3,FALSE)</f>
        <v>0</v>
      </c>
      <c r="G38" s="6">
        <f>VLOOKUP($C38,是否排班!$I:$M,5,FALSE)</f>
        <v>1</v>
      </c>
      <c r="H38" s="7">
        <f>IFERROR(VLOOKUP($C38,排班正确!$J:$O,6,FALSE),"/")</f>
        <v>0.5625</v>
      </c>
      <c r="I38" s="4">
        <f>VLOOKUP($C38,缺卡!$H:$K,2,FALSE)</f>
        <v>41</v>
      </c>
      <c r="J38" s="7">
        <f>VLOOKUP($C38,缺卡!$H:$K,4,FALSE)</f>
        <v>0.301470588235294</v>
      </c>
      <c r="K38" s="10">
        <f>VLOOKUP($C38,[2]汇总!$C:$J,5,FALSE)</f>
        <v>0.952380952380952</v>
      </c>
      <c r="L38" s="10">
        <f>VLOOKUP($C38,[2]汇总!$C:$J,8,FALSE)</f>
        <v>0.621212121212121</v>
      </c>
      <c r="M38" s="11">
        <f t="shared" si="1"/>
        <v>0.047619047619048</v>
      </c>
      <c r="N38" s="12">
        <f t="shared" si="2"/>
        <v>-0.319741532976827</v>
      </c>
    </row>
    <row r="39" hidden="1" spans="1:14">
      <c r="A39" s="5" t="s">
        <v>48</v>
      </c>
      <c r="B39" s="5" t="s">
        <v>52</v>
      </c>
      <c r="C39" s="4" t="str">
        <f t="shared" si="0"/>
        <v>Ground项目部OG 美中区</v>
      </c>
      <c r="D39" s="5">
        <f>VLOOKUP($C39,是否排班!$I:$L,4,FALSE)</f>
        <v>7</v>
      </c>
      <c r="E39" s="5">
        <f>VLOOKUP($C39,日超8H!$I:$L,2,FALSE)</f>
        <v>2</v>
      </c>
      <c r="F39" s="5">
        <f>VLOOKUP($C39,是否排班!$I:$L,3,FALSE)</f>
        <v>0</v>
      </c>
      <c r="G39" s="6">
        <f>VLOOKUP($C39,是否排班!$I:$M,5,FALSE)</f>
        <v>1</v>
      </c>
      <c r="H39" s="7" t="str">
        <f>IFERROR(VLOOKUP($C39,排班正确!$J:$O,6,FALSE),"/")</f>
        <v>/</v>
      </c>
      <c r="I39" s="4">
        <f>VLOOKUP($C39,缺卡!$H:$K,2,FALSE)</f>
        <v>17</v>
      </c>
      <c r="J39" s="7">
        <f>VLOOKUP($C39,缺卡!$H:$K,4,FALSE)</f>
        <v>0.607142857142857</v>
      </c>
      <c r="K39" s="10">
        <f>VLOOKUP($C39,[2]汇总!$C:$J,5,FALSE)</f>
        <v>1</v>
      </c>
      <c r="L39" s="10">
        <f>VLOOKUP($C39,[2]汇总!$C:$J,8,FALSE)</f>
        <v>0.642857142857143</v>
      </c>
      <c r="M39" s="11">
        <f t="shared" si="1"/>
        <v>0</v>
      </c>
      <c r="N39" s="12">
        <f t="shared" si="2"/>
        <v>-0.0357142857142859</v>
      </c>
    </row>
    <row r="40" hidden="1" spans="1:14">
      <c r="A40" s="5" t="s">
        <v>48</v>
      </c>
      <c r="B40" s="5" t="s">
        <v>53</v>
      </c>
      <c r="C40" s="4" t="str">
        <f t="shared" si="0"/>
        <v>Ground项目部派送管理部</v>
      </c>
      <c r="D40" s="5">
        <f>VLOOKUP($C40,是否排班!$I:$L,4,FALSE)</f>
        <v>8</v>
      </c>
      <c r="E40" s="5">
        <f>VLOOKUP($C40,日超8H!$I:$L,2,FALSE)</f>
        <v>2</v>
      </c>
      <c r="F40" s="5">
        <f>VLOOKUP($C40,是否排班!$I:$L,3,FALSE)</f>
        <v>0</v>
      </c>
      <c r="G40" s="6">
        <f>VLOOKUP($C40,是否排班!$I:$M,5,FALSE)</f>
        <v>1</v>
      </c>
      <c r="H40" s="7" t="str">
        <f>IFERROR(VLOOKUP($C40,排班正确!$J:$O,6,FALSE),"/")</f>
        <v>/</v>
      </c>
      <c r="I40" s="4">
        <f>VLOOKUP($C40,缺卡!$H:$K,2,FALSE)</f>
        <v>6</v>
      </c>
      <c r="J40" s="7">
        <f>VLOOKUP($C40,缺卡!$H:$K,4,FALSE)</f>
        <v>0.375</v>
      </c>
      <c r="K40" s="10">
        <f>VLOOKUP($C40,[2]汇总!$C:$J,5,FALSE)</f>
        <v>0.875</v>
      </c>
      <c r="L40" s="10">
        <f>VLOOKUP($C40,[2]汇总!$C:$J,8,FALSE)</f>
        <v>0.65</v>
      </c>
      <c r="M40" s="11">
        <f t="shared" si="1"/>
        <v>0.125</v>
      </c>
      <c r="N40" s="12">
        <f t="shared" si="2"/>
        <v>-0.275</v>
      </c>
    </row>
    <row r="41" hidden="1" spans="1:14">
      <c r="A41" s="5" t="s">
        <v>48</v>
      </c>
      <c r="B41" s="5" t="s">
        <v>54</v>
      </c>
      <c r="C41" s="4" t="str">
        <f t="shared" si="0"/>
        <v>Ground项目部运营管理部</v>
      </c>
      <c r="D41" s="5">
        <f>VLOOKUP($C41,是否排班!$I:$L,4,FALSE)</f>
        <v>3</v>
      </c>
      <c r="E41" s="5">
        <f>VLOOKUP($C41,日超8H!$I:$L,2,FALSE)</f>
        <v>2</v>
      </c>
      <c r="F41" s="5">
        <f>VLOOKUP($C41,是否排班!$I:$L,3,FALSE)</f>
        <v>0</v>
      </c>
      <c r="G41" s="6">
        <f>VLOOKUP($C41,是否排班!$I:$M,5,FALSE)</f>
        <v>1</v>
      </c>
      <c r="H41" s="7" t="str">
        <f>IFERROR(VLOOKUP($C41,排班正确!$J:$O,6,FALSE),"/")</f>
        <v>/</v>
      </c>
      <c r="I41" s="4">
        <f>VLOOKUP($C41,缺卡!$H:$K,2,FALSE)</f>
        <v>2</v>
      </c>
      <c r="J41" s="7">
        <f>VLOOKUP($C41,缺卡!$H:$K,4,FALSE)</f>
        <v>0.5</v>
      </c>
      <c r="K41" s="10">
        <f>VLOOKUP($C41,[2]汇总!$C:$J,5,FALSE)</f>
        <v>0.666666666666667</v>
      </c>
      <c r="L41" s="10">
        <f>VLOOKUP($C41,[2]汇总!$C:$J,8,FALSE)</f>
        <v>1</v>
      </c>
      <c r="M41" s="11">
        <f t="shared" si="1"/>
        <v>0.333333333333333</v>
      </c>
      <c r="N41" s="12">
        <f t="shared" si="2"/>
        <v>-0.5</v>
      </c>
    </row>
    <row r="42" hidden="1" spans="1:14">
      <c r="A42" s="5" t="s">
        <v>55</v>
      </c>
      <c r="B42" s="5"/>
      <c r="C42" s="4" t="str">
        <f t="shared" si="0"/>
        <v>Ground项目部 汇总</v>
      </c>
      <c r="D42" s="5">
        <f>VLOOKUP($C42,是否排班!$I:$L,4,FALSE)</f>
        <v>88</v>
      </c>
      <c r="E42" s="5">
        <f>VLOOKUP($C42,日超8H!$I:$L,2,FALSE)</f>
        <v>41</v>
      </c>
      <c r="F42" s="5">
        <f>VLOOKUP($C42,是否排班!$I:$L,3,FALSE)</f>
        <v>2</v>
      </c>
      <c r="G42" s="6">
        <f>VLOOKUP($C42,是否排班!$I:$M,5,FALSE)</f>
        <v>0.977272727272727</v>
      </c>
      <c r="H42" s="7">
        <f>IFERROR(VLOOKUP($C42,排班正确!$J:$O,6,FALSE),"/")</f>
        <v>0.636363636363636</v>
      </c>
      <c r="I42" s="4">
        <f>VLOOKUP($C42,缺卡!$H:$K,2,FALSE)</f>
        <v>87</v>
      </c>
      <c r="J42" s="7">
        <f>VLOOKUP($C42,缺卡!$H:$K,4,FALSE)</f>
        <v>0.315217391304348</v>
      </c>
      <c r="K42" s="10">
        <f>VLOOKUP($C42,[2]汇总!$C:$J,5,FALSE)</f>
        <v>0.840909090909091</v>
      </c>
      <c r="L42" s="10">
        <f>VLOOKUP($C42,[2]汇总!$C:$J,8,FALSE)</f>
        <v>0.61231884057971</v>
      </c>
      <c r="M42" s="11">
        <f t="shared" si="1"/>
        <v>0.136363636363636</v>
      </c>
      <c r="N42" s="12">
        <f t="shared" si="2"/>
        <v>-0.297101449275362</v>
      </c>
    </row>
    <row r="43" hidden="1" spans="1:14">
      <c r="A43" s="5" t="s">
        <v>58</v>
      </c>
      <c r="B43" s="5" t="s">
        <v>29</v>
      </c>
      <c r="C43" s="4" t="str">
        <f t="shared" si="0"/>
        <v>MS 中南大区运营支持部</v>
      </c>
      <c r="D43" s="5">
        <f>VLOOKUP($C43,是否排班!$I:$L,4,FALSE)</f>
        <v>3</v>
      </c>
      <c r="E43" s="5">
        <f>VLOOKUP($C43,日超8H!$I:$L,2,FALSE)</f>
        <v>0</v>
      </c>
      <c r="F43" s="5">
        <f>VLOOKUP($C43,是否排班!$I:$L,3,FALSE)</f>
        <v>1</v>
      </c>
      <c r="G43" s="6">
        <f>VLOOKUP($C43,是否排班!$I:$M,5,FALSE)</f>
        <v>0.666666666666667</v>
      </c>
      <c r="H43" s="7" t="str">
        <f>IFERROR(VLOOKUP($C43,排班正确!$J:$O,6,FALSE),"/")</f>
        <v>/</v>
      </c>
      <c r="I43" s="4">
        <f>VLOOKUP($C43,缺卡!$H:$K,2,FALSE)</f>
        <v>0</v>
      </c>
      <c r="J43" s="7">
        <v>0</v>
      </c>
      <c r="K43" s="10">
        <f>VLOOKUP($C43,[2]汇总!$C:$J,5,FALSE)</f>
        <v>1</v>
      </c>
      <c r="L43" s="13">
        <v>0</v>
      </c>
      <c r="M43" s="11">
        <f t="shared" si="1"/>
        <v>-0.333333333333333</v>
      </c>
      <c r="N43" s="12">
        <f t="shared" si="2"/>
        <v>0</v>
      </c>
    </row>
    <row r="44" hidden="1" spans="1:14">
      <c r="A44" s="5" t="s">
        <v>58</v>
      </c>
      <c r="B44" s="5" t="s">
        <v>64</v>
      </c>
      <c r="C44" s="4" t="str">
        <f t="shared" si="0"/>
        <v>MS 中南大区CS 夏洛特及周边片区</v>
      </c>
      <c r="D44" s="5">
        <f>VLOOKUP($C44,是否排班!$I:$L,4,FALSE)</f>
        <v>13</v>
      </c>
      <c r="E44" s="5">
        <f>VLOOKUP($C44,日超8H!$I:$L,2,FALSE)</f>
        <v>2</v>
      </c>
      <c r="F44" s="5">
        <f>VLOOKUP($C44,是否排班!$I:$L,3,FALSE)</f>
        <v>4</v>
      </c>
      <c r="G44" s="6">
        <f>VLOOKUP($C44,是否排班!$I:$M,5,FALSE)</f>
        <v>0.692307692307692</v>
      </c>
      <c r="H44" s="7" t="str">
        <f>IFERROR(VLOOKUP($C44,排班正确!$J:$O,6,FALSE),"/")</f>
        <v>/</v>
      </c>
      <c r="I44" s="4">
        <f>VLOOKUP($C44,缺卡!$H:$K,2,FALSE)</f>
        <v>14</v>
      </c>
      <c r="J44" s="7">
        <f>VLOOKUP($C44,缺卡!$H:$K,4,FALSE)</f>
        <v>0.5</v>
      </c>
      <c r="K44" s="10">
        <f>VLOOKUP($C44,[2]汇总!$C:$J,5,FALSE)</f>
        <v>0.75</v>
      </c>
      <c r="L44" s="10">
        <f>VLOOKUP($C44,[2]汇总!$C:$J,8,FALSE)</f>
        <v>0.613636363636364</v>
      </c>
      <c r="M44" s="11">
        <f t="shared" si="1"/>
        <v>-0.0576923076923077</v>
      </c>
      <c r="N44" s="12">
        <f t="shared" si="2"/>
        <v>-0.113636363636364</v>
      </c>
    </row>
    <row r="45" hidden="1" spans="1:14">
      <c r="A45" s="5" t="s">
        <v>58</v>
      </c>
      <c r="B45" s="5" t="s">
        <v>66</v>
      </c>
      <c r="C45" s="4" t="str">
        <f t="shared" si="0"/>
        <v>MS 中南大区RE 北卡和东南海岸片区</v>
      </c>
      <c r="D45" s="5">
        <f>VLOOKUP($C45,是否排班!$I:$L,4,FALSE)</f>
        <v>8</v>
      </c>
      <c r="E45" s="5">
        <f>VLOOKUP($C45,日超8H!$I:$L,2,FALSE)</f>
        <v>0</v>
      </c>
      <c r="F45" s="5">
        <f>VLOOKUP($C45,是否排班!$I:$L,3,FALSE)</f>
        <v>2</v>
      </c>
      <c r="G45" s="6">
        <f>VLOOKUP($C45,是否排班!$I:$M,5,FALSE)</f>
        <v>0.75</v>
      </c>
      <c r="H45" s="7" t="str">
        <f>IFERROR(VLOOKUP($C45,排班正确!$J:$O,6,FALSE),"/")</f>
        <v>/</v>
      </c>
      <c r="I45" s="4">
        <f>VLOOKUP($C45,缺卡!$H:$K,2,FALSE)</f>
        <v>8</v>
      </c>
      <c r="J45" s="7">
        <f>VLOOKUP($C45,缺卡!$H:$K,4,FALSE)</f>
        <v>0.5</v>
      </c>
      <c r="K45" s="10">
        <f>VLOOKUP($C45,[2]汇总!$C:$J,5,FALSE)</f>
        <v>0.666666666666667</v>
      </c>
      <c r="L45" s="10">
        <f>VLOOKUP($C45,[2]汇总!$C:$J,8,FALSE)</f>
        <v>0.59375</v>
      </c>
      <c r="M45" s="11">
        <f t="shared" si="1"/>
        <v>0.083333333333333</v>
      </c>
      <c r="N45" s="12">
        <f t="shared" si="2"/>
        <v>-0.09375</v>
      </c>
    </row>
    <row r="46" hidden="1" spans="1:14">
      <c r="A46" s="5" t="s">
        <v>58</v>
      </c>
      <c r="B46" s="5" t="s">
        <v>60</v>
      </c>
      <c r="C46" s="4" t="str">
        <f t="shared" si="0"/>
        <v>MS 中南大区AS 亚特兰大和南阿拉巴马片区</v>
      </c>
      <c r="D46" s="5">
        <f>VLOOKUP($C46,是否排班!$I:$L,4,FALSE)</f>
        <v>12</v>
      </c>
      <c r="E46" s="5">
        <f>VLOOKUP($C46,日超8H!$I:$L,2,FALSE)</f>
        <v>3</v>
      </c>
      <c r="F46" s="5">
        <f>VLOOKUP($C46,是否排班!$I:$L,3,FALSE)</f>
        <v>1</v>
      </c>
      <c r="G46" s="6">
        <f>VLOOKUP($C46,是否排班!$I:$M,5,FALSE)</f>
        <v>0.916666666666667</v>
      </c>
      <c r="H46" s="7" t="str">
        <f>IFERROR(VLOOKUP($C46,排班正确!$J:$O,6,FALSE),"/")</f>
        <v>/</v>
      </c>
      <c r="I46" s="4">
        <f>VLOOKUP($C46,缺卡!$H:$K,2,FALSE)</f>
        <v>9</v>
      </c>
      <c r="J46" s="7">
        <f>VLOOKUP($C46,缺卡!$H:$K,4,FALSE)</f>
        <v>0.25</v>
      </c>
      <c r="K46" s="10">
        <f>VLOOKUP($C46,[2]汇总!$C:$J,5,FALSE)</f>
        <v>0.923076923076923</v>
      </c>
      <c r="L46" s="10">
        <f>VLOOKUP($C46,[2]汇总!$C:$J,8,FALSE)</f>
        <v>0.409090909090909</v>
      </c>
      <c r="M46" s="11">
        <f t="shared" si="1"/>
        <v>-0.00641025641025639</v>
      </c>
      <c r="N46" s="12">
        <f t="shared" si="2"/>
        <v>-0.159090909090909</v>
      </c>
    </row>
    <row r="47" hidden="1" spans="1:14">
      <c r="A47" s="5" t="s">
        <v>58</v>
      </c>
      <c r="B47" s="5"/>
      <c r="C47" s="4" t="str">
        <f t="shared" si="0"/>
        <v>MS 中南大区</v>
      </c>
      <c r="D47" s="5">
        <f>VLOOKUP($C47,是否排班!$I:$L,4,FALSE)</f>
        <v>1</v>
      </c>
      <c r="E47" s="5">
        <f>VLOOKUP($C47,日超8H!$I:$L,2,FALSE)</f>
        <v>0</v>
      </c>
      <c r="F47" s="5">
        <f>VLOOKUP($C47,是否排班!$I:$L,3,FALSE)</f>
        <v>0</v>
      </c>
      <c r="G47" s="6">
        <f>VLOOKUP($C47,是否排班!$I:$M,5,FALSE)</f>
        <v>1</v>
      </c>
      <c r="H47" s="7" t="str">
        <f>IFERROR(VLOOKUP($C47,排班正确!$J:$O,6,FALSE),"/")</f>
        <v>/</v>
      </c>
      <c r="I47" s="4">
        <f>VLOOKUP($C47,缺卡!$H:$K,2,FALSE)</f>
        <v>2</v>
      </c>
      <c r="J47" s="7">
        <f>VLOOKUP($C47,缺卡!$H:$K,4,FALSE)</f>
        <v>0.5</v>
      </c>
      <c r="K47" s="13">
        <v>0</v>
      </c>
      <c r="L47" s="13">
        <v>0</v>
      </c>
      <c r="M47" s="11">
        <f t="shared" si="1"/>
        <v>1</v>
      </c>
      <c r="N47" s="12">
        <f t="shared" si="2"/>
        <v>0.5</v>
      </c>
    </row>
    <row r="48" hidden="1" spans="1:14">
      <c r="A48" s="5" t="s">
        <v>58</v>
      </c>
      <c r="B48" s="5" t="s">
        <v>59</v>
      </c>
      <c r="C48" s="4" t="str">
        <f t="shared" si="0"/>
        <v>MS 中南大区AS 奥萨查沿海片区</v>
      </c>
      <c r="D48" s="5">
        <f>VLOOKUP($C48,是否排班!$I:$L,4,FALSE)</f>
        <v>3</v>
      </c>
      <c r="E48" s="5">
        <f>VLOOKUP($C48,日超8H!$I:$L,2,FALSE)</f>
        <v>3</v>
      </c>
      <c r="F48" s="5">
        <f>VLOOKUP($C48,是否排班!$I:$L,3,FALSE)</f>
        <v>0</v>
      </c>
      <c r="G48" s="6">
        <f>VLOOKUP($C48,是否排班!$I:$M,5,FALSE)</f>
        <v>1</v>
      </c>
      <c r="H48" s="7" t="str">
        <f>IFERROR(VLOOKUP($C48,排班正确!$J:$O,6,FALSE),"/")</f>
        <v>/</v>
      </c>
      <c r="I48" s="4">
        <f>VLOOKUP($C48,缺卡!$H:$K,2,FALSE)</f>
        <v>0</v>
      </c>
      <c r="J48" s="7">
        <f>VLOOKUP($C48,缺卡!$H:$K,4,FALSE)</f>
        <v>0</v>
      </c>
      <c r="K48" s="10">
        <f>VLOOKUP($C48,[2]汇总!$C:$J,5,FALSE)</f>
        <v>1</v>
      </c>
      <c r="L48" s="10">
        <f>VLOOKUP($C48,[2]汇总!$C:$J,8,FALSE)</f>
        <v>0.0833333333333333</v>
      </c>
      <c r="M48" s="11">
        <f t="shared" si="1"/>
        <v>0</v>
      </c>
      <c r="N48" s="12">
        <f t="shared" si="2"/>
        <v>-0.0833333333333333</v>
      </c>
    </row>
    <row r="49" hidden="1" spans="1:14">
      <c r="A49" s="5" t="s">
        <v>58</v>
      </c>
      <c r="B49" s="5" t="s">
        <v>61</v>
      </c>
      <c r="C49" s="4" t="str">
        <f t="shared" si="0"/>
        <v>MS 中南大区ATL.H</v>
      </c>
      <c r="D49" s="5">
        <f>VLOOKUP($C49,是否排班!$I:$L,4,FALSE)</f>
        <v>19</v>
      </c>
      <c r="E49" s="5">
        <f>VLOOKUP($C49,日超8H!$I:$L,2,FALSE)</f>
        <v>11</v>
      </c>
      <c r="F49" s="5">
        <f>VLOOKUP($C49,是否排班!$I:$L,3,FALSE)</f>
        <v>0</v>
      </c>
      <c r="G49" s="6">
        <f>VLOOKUP($C49,是否排班!$I:$M,5,FALSE)</f>
        <v>1</v>
      </c>
      <c r="H49" s="7">
        <f>IFERROR(VLOOKUP($C49,排班正确!$J:$O,6,FALSE),"/")</f>
        <v>0.842105263157895</v>
      </c>
      <c r="I49" s="4">
        <f>VLOOKUP($C49,缺卡!$H:$K,2,FALSE)</f>
        <v>15</v>
      </c>
      <c r="J49" s="7">
        <f>VLOOKUP($C49,缺卡!$H:$K,4,FALSE)</f>
        <v>0.220588235294118</v>
      </c>
      <c r="K49" s="10">
        <f>VLOOKUP($C49,[2]汇总!$C:$J,5,FALSE)</f>
        <v>1</v>
      </c>
      <c r="L49" s="10">
        <f>VLOOKUP($C49,[2]汇总!$C:$J,8,FALSE)</f>
        <v>0.652777777777778</v>
      </c>
      <c r="M49" s="11">
        <f t="shared" si="1"/>
        <v>0</v>
      </c>
      <c r="N49" s="12">
        <f t="shared" si="2"/>
        <v>-0.43218954248366</v>
      </c>
    </row>
    <row r="50" hidden="1" spans="1:14">
      <c r="A50" s="5" t="s">
        <v>58</v>
      </c>
      <c r="B50" s="5" t="s">
        <v>62</v>
      </c>
      <c r="C50" s="4" t="str">
        <f t="shared" si="0"/>
        <v>MS 中南大区BN 田纳西和北阿拉巴马片区</v>
      </c>
      <c r="D50" s="5">
        <f>VLOOKUP($C50,是否排班!$I:$L,4,FALSE)</f>
        <v>6</v>
      </c>
      <c r="E50" s="5">
        <f>VLOOKUP($C50,日超8H!$I:$L,2,FALSE)</f>
        <v>2</v>
      </c>
      <c r="F50" s="5">
        <f>VLOOKUP($C50,是否排班!$I:$L,3,FALSE)</f>
        <v>0</v>
      </c>
      <c r="G50" s="6">
        <f>VLOOKUP($C50,是否排班!$I:$M,5,FALSE)</f>
        <v>1</v>
      </c>
      <c r="H50" s="7" t="str">
        <f>IFERROR(VLOOKUP($C50,排班正确!$J:$O,6,FALSE),"/")</f>
        <v>/</v>
      </c>
      <c r="I50" s="4">
        <f>VLOOKUP($C50,缺卡!$H:$K,2,FALSE)</f>
        <v>0</v>
      </c>
      <c r="J50" s="7">
        <f>VLOOKUP($C50,缺卡!$H:$K,4,FALSE)</f>
        <v>0</v>
      </c>
      <c r="K50" s="10">
        <f>VLOOKUP($C50,[2]汇总!$C:$J,5,FALSE)</f>
        <v>1</v>
      </c>
      <c r="L50" s="10">
        <f>VLOOKUP($C50,[2]汇总!$C:$J,8,FALSE)</f>
        <v>0</v>
      </c>
      <c r="M50" s="11">
        <f t="shared" si="1"/>
        <v>0</v>
      </c>
      <c r="N50" s="12">
        <f t="shared" si="2"/>
        <v>0</v>
      </c>
    </row>
    <row r="51" hidden="1" spans="1:14">
      <c r="A51" s="5" t="s">
        <v>58</v>
      </c>
      <c r="B51" s="5" t="s">
        <v>63</v>
      </c>
      <c r="C51" s="4" t="str">
        <f t="shared" si="0"/>
        <v>MS 中南大区CLT.H</v>
      </c>
      <c r="D51" s="5">
        <f>VLOOKUP($C51,是否排班!$I:$L,4,FALSE)</f>
        <v>11</v>
      </c>
      <c r="E51" s="5">
        <f>VLOOKUP($C51,日超8H!$I:$L,2,FALSE)</f>
        <v>7</v>
      </c>
      <c r="F51" s="5">
        <f>VLOOKUP($C51,是否排班!$I:$L,3,FALSE)</f>
        <v>0</v>
      </c>
      <c r="G51" s="6">
        <f>VLOOKUP($C51,是否排班!$I:$M,5,FALSE)</f>
        <v>1</v>
      </c>
      <c r="H51" s="7">
        <f>IFERROR(VLOOKUP($C51,排班正确!$J:$O,6,FALSE),"/")</f>
        <v>0.727272727272727</v>
      </c>
      <c r="I51" s="4">
        <f>VLOOKUP($C51,缺卡!$H:$K,2,FALSE)</f>
        <v>4</v>
      </c>
      <c r="J51" s="7">
        <f>VLOOKUP($C51,缺卡!$H:$K,4,FALSE)</f>
        <v>0.125</v>
      </c>
      <c r="K51" s="10">
        <f>VLOOKUP($C51,[2]汇总!$C:$J,5,FALSE)</f>
        <v>1</v>
      </c>
      <c r="L51" s="10">
        <f>VLOOKUP($C51,[2]汇总!$C:$J,8,FALSE)</f>
        <v>0.361111111111111</v>
      </c>
      <c r="M51" s="11">
        <f t="shared" si="1"/>
        <v>0</v>
      </c>
      <c r="N51" s="12">
        <f t="shared" si="2"/>
        <v>-0.236111111111111</v>
      </c>
    </row>
    <row r="52" hidden="1" spans="1:14">
      <c r="A52" s="5" t="s">
        <v>58</v>
      </c>
      <c r="B52" s="5" t="s">
        <v>65</v>
      </c>
      <c r="C52" s="4" t="str">
        <f t="shared" si="0"/>
        <v>MS 中南大区PDK.H</v>
      </c>
      <c r="D52" s="5">
        <f>VLOOKUP($C52,是否排班!$I:$L,4,FALSE)</f>
        <v>1</v>
      </c>
      <c r="E52" s="5">
        <f>VLOOKUP($C52,日超8H!$I:$L,2,FALSE)</f>
        <v>0</v>
      </c>
      <c r="F52" s="5">
        <f>VLOOKUP($C52,是否排班!$I:$L,3,FALSE)</f>
        <v>0</v>
      </c>
      <c r="G52" s="6">
        <f>VLOOKUP($C52,是否排班!$I:$M,5,FALSE)</f>
        <v>1</v>
      </c>
      <c r="H52" s="7">
        <f>IFERROR(VLOOKUP($C52,排班正确!$J:$O,6,FALSE),"/")</f>
        <v>1</v>
      </c>
      <c r="I52" s="4">
        <f>VLOOKUP($C52,缺卡!$H:$K,2,FALSE)</f>
        <v>3</v>
      </c>
      <c r="J52" s="7">
        <f>VLOOKUP($C52,缺卡!$H:$K,4,FALSE)</f>
        <v>0.75</v>
      </c>
      <c r="K52" s="13" t="s">
        <v>114</v>
      </c>
      <c r="L52" s="13" t="s">
        <v>114</v>
      </c>
      <c r="M52" s="12" t="s">
        <v>114</v>
      </c>
      <c r="N52" s="12" t="s">
        <v>114</v>
      </c>
    </row>
    <row r="53" hidden="1" spans="1:14">
      <c r="A53" s="5" t="s">
        <v>58</v>
      </c>
      <c r="B53" s="5" t="s">
        <v>44</v>
      </c>
      <c r="C53" s="4" t="str">
        <f t="shared" si="0"/>
        <v>MS 中南大区车辆管理部</v>
      </c>
      <c r="D53" s="5">
        <f>VLOOKUP($C53,是否排班!$I:$L,4,FALSE)</f>
        <v>2</v>
      </c>
      <c r="E53" s="5">
        <f>VLOOKUP($C53,日超8H!$I:$L,2,FALSE)</f>
        <v>1</v>
      </c>
      <c r="F53" s="5">
        <f>VLOOKUP($C53,是否排班!$I:$L,3,FALSE)</f>
        <v>0</v>
      </c>
      <c r="G53" s="6">
        <f>VLOOKUP($C53,是否排班!$I:$M,5,FALSE)</f>
        <v>1</v>
      </c>
      <c r="H53" s="7" t="str">
        <f>IFERROR(VLOOKUP($C53,排班正确!$J:$O,6,FALSE),"/")</f>
        <v>/</v>
      </c>
      <c r="I53" s="4">
        <f>VLOOKUP($C53,缺卡!$H:$K,2,FALSE)</f>
        <v>3</v>
      </c>
      <c r="J53" s="7">
        <f>VLOOKUP($C53,缺卡!$H:$K,4,FALSE)</f>
        <v>0.375</v>
      </c>
      <c r="K53" s="10">
        <f>VLOOKUP($C53,[2]汇总!$C:$J,5,FALSE)</f>
        <v>1</v>
      </c>
      <c r="L53" s="10">
        <f>VLOOKUP($C53,[2]汇总!$C:$J,8,FALSE)</f>
        <v>0.375</v>
      </c>
      <c r="M53" s="11">
        <f t="shared" ref="M53:M113" si="3">G53-K53</f>
        <v>0</v>
      </c>
      <c r="N53" s="12">
        <f t="shared" ref="N53:N113" si="4">J53-L53</f>
        <v>0</v>
      </c>
    </row>
    <row r="54" hidden="1" spans="1:14">
      <c r="A54" s="5" t="s">
        <v>58</v>
      </c>
      <c r="B54" s="5" t="s">
        <v>45</v>
      </c>
      <c r="C54" s="4" t="str">
        <f t="shared" si="0"/>
        <v>MS 中南大区揽收部</v>
      </c>
      <c r="D54" s="5">
        <f>VLOOKUP($C54,是否排班!$I:$L,4,FALSE)</f>
        <v>3</v>
      </c>
      <c r="E54" s="5">
        <f>VLOOKUP($C54,日超8H!$I:$L,2,FALSE)</f>
        <v>2</v>
      </c>
      <c r="F54" s="5">
        <f>VLOOKUP($C54,是否排班!$I:$L,3,FALSE)</f>
        <v>0</v>
      </c>
      <c r="G54" s="6">
        <f>VLOOKUP($C54,是否排班!$I:$M,5,FALSE)</f>
        <v>1</v>
      </c>
      <c r="H54" s="7" t="str">
        <f>IFERROR(VLOOKUP($C54,排班正确!$J:$O,6,FALSE),"/")</f>
        <v>/</v>
      </c>
      <c r="I54" s="4">
        <f>VLOOKUP($C54,缺卡!$H:$K,2,FALSE)</f>
        <v>0</v>
      </c>
      <c r="J54" s="7">
        <f>VLOOKUP($C54,缺卡!$H:$K,4,FALSE)</f>
        <v>0</v>
      </c>
      <c r="K54" s="10">
        <f>VLOOKUP($C54,[2]汇总!$C:$J,5,FALSE)</f>
        <v>1</v>
      </c>
      <c r="L54" s="10">
        <f>VLOOKUP($C54,[2]汇总!$C:$J,8,FALSE)</f>
        <v>0.416666666666667</v>
      </c>
      <c r="M54" s="11">
        <f t="shared" si="3"/>
        <v>0</v>
      </c>
      <c r="N54" s="12">
        <f t="shared" si="4"/>
        <v>-0.416666666666667</v>
      </c>
    </row>
    <row r="55" hidden="1" spans="1:14">
      <c r="A55" s="5" t="s">
        <v>67</v>
      </c>
      <c r="B55" s="5"/>
      <c r="C55" s="4" t="str">
        <f t="shared" si="0"/>
        <v>MS 中南大区 汇总</v>
      </c>
      <c r="D55" s="5">
        <f>VLOOKUP($C55,是否排班!$I:$L,4,FALSE)</f>
        <v>82</v>
      </c>
      <c r="E55" s="5">
        <f>VLOOKUP($C55,日超8H!$I:$L,2,FALSE)</f>
        <v>31</v>
      </c>
      <c r="F55" s="5">
        <f>VLOOKUP($C55,是否排班!$I:$L,3,FALSE)</f>
        <v>8</v>
      </c>
      <c r="G55" s="6">
        <f>VLOOKUP($C55,是否排班!$I:$M,5,FALSE)</f>
        <v>0.902439024390244</v>
      </c>
      <c r="H55" s="7">
        <f>IFERROR(VLOOKUP($C55,排班正确!$J:$O,6,FALSE),"/")</f>
        <v>0.806451612903226</v>
      </c>
      <c r="I55" s="4">
        <f>VLOOKUP($C55,缺卡!$H:$K,2,FALSE)</f>
        <v>58</v>
      </c>
      <c r="J55" s="7">
        <f>VLOOKUP($C55,缺卡!$H:$K,4,FALSE)</f>
        <v>0.245762711864407</v>
      </c>
      <c r="K55" s="10">
        <f>VLOOKUP($C55,[2]汇总!$C:$J,5,FALSE)</f>
        <v>0.91358024691358</v>
      </c>
      <c r="L55" s="10">
        <f>VLOOKUP($C55,[2]汇总!$C:$J,8,FALSE)</f>
        <v>0.481884057971014</v>
      </c>
      <c r="M55" s="11">
        <f t="shared" si="3"/>
        <v>-0.011141222523336</v>
      </c>
      <c r="N55" s="12">
        <f t="shared" si="4"/>
        <v>-0.236121346106607</v>
      </c>
    </row>
    <row r="56" spans="1:14">
      <c r="A56" s="5" t="s">
        <v>68</v>
      </c>
      <c r="B56" s="5" t="s">
        <v>81</v>
      </c>
      <c r="C56" s="4" t="str">
        <f t="shared" si="0"/>
        <v>NE 东北大区NY 纽约片区</v>
      </c>
      <c r="D56" s="5">
        <f>VLOOKUP($C56,是否排班!$I:$L,4,FALSE)</f>
        <v>16</v>
      </c>
      <c r="E56" s="5">
        <f>VLOOKUP($C56,日超8H!$I:$L,2,FALSE)</f>
        <v>5</v>
      </c>
      <c r="F56" s="5">
        <f>VLOOKUP($C56,是否排班!$I:$L,3,FALSE)</f>
        <v>1</v>
      </c>
      <c r="G56" s="6">
        <f>VLOOKUP($C56,是否排班!$I:$M,5,FALSE)</f>
        <v>0.9375</v>
      </c>
      <c r="H56" s="7" t="str">
        <f>IFERROR(VLOOKUP($C56,排班正确!$J:$O,6,FALSE),"/")</f>
        <v>/</v>
      </c>
      <c r="I56" s="4">
        <f>VLOOKUP($C56,缺卡!$H:$K,2,FALSE)</f>
        <v>2</v>
      </c>
      <c r="J56" s="7">
        <f>VLOOKUP($C56,缺卡!$H:$K,4,FALSE)</f>
        <v>0.0714285714285714</v>
      </c>
      <c r="K56" s="10">
        <f>VLOOKUP($C56,[2]汇总!$C:$J,5,FALSE)</f>
        <v>0.9375</v>
      </c>
      <c r="L56" s="10">
        <f>VLOOKUP($C56,[2]汇总!$C:$J,8,FALSE)</f>
        <v>0.3125</v>
      </c>
      <c r="M56" s="11">
        <f t="shared" si="3"/>
        <v>0</v>
      </c>
      <c r="N56" s="12">
        <f t="shared" si="4"/>
        <v>-0.241071428571429</v>
      </c>
    </row>
    <row r="57" spans="1:14">
      <c r="A57" s="5" t="s">
        <v>68</v>
      </c>
      <c r="B57" s="5"/>
      <c r="C57" s="4" t="str">
        <f t="shared" si="0"/>
        <v>NE 东北大区</v>
      </c>
      <c r="D57" s="5">
        <f>VLOOKUP($C57,是否排班!$I:$L,4,FALSE)</f>
        <v>1</v>
      </c>
      <c r="E57" s="5">
        <f>VLOOKUP($C57,日超8H!$I:$L,2,FALSE)</f>
        <v>0</v>
      </c>
      <c r="F57" s="5">
        <f>VLOOKUP($C57,是否排班!$I:$L,3,FALSE)</f>
        <v>0</v>
      </c>
      <c r="G57" s="6">
        <f>VLOOKUP($C57,是否排班!$I:$M,5,FALSE)</f>
        <v>1</v>
      </c>
      <c r="H57" s="7" t="str">
        <f>IFERROR(VLOOKUP($C57,排班正确!$J:$O,6,FALSE),"/")</f>
        <v>/</v>
      </c>
      <c r="I57" s="4">
        <f>VLOOKUP($C57,缺卡!$H:$K,2,FALSE)</f>
        <v>2</v>
      </c>
      <c r="J57" s="7">
        <f>VLOOKUP($C57,缺卡!$H:$K,4,FALSE)</f>
        <v>0.5</v>
      </c>
      <c r="K57" s="10">
        <f>VLOOKUP($C57,[2]汇总!$C:$J,5,FALSE)</f>
        <v>1</v>
      </c>
      <c r="L57" s="10">
        <f>VLOOKUP($C57,[2]汇总!$C:$J,8,FALSE)</f>
        <v>0.5</v>
      </c>
      <c r="M57" s="11">
        <f t="shared" si="3"/>
        <v>0</v>
      </c>
      <c r="N57" s="12">
        <f t="shared" si="4"/>
        <v>0</v>
      </c>
    </row>
    <row r="58" spans="1:14">
      <c r="A58" s="5" t="s">
        <v>68</v>
      </c>
      <c r="B58" s="5" t="s">
        <v>69</v>
      </c>
      <c r="C58" s="4" t="str">
        <f t="shared" si="0"/>
        <v>NE 东北大区BDL01</v>
      </c>
      <c r="D58" s="5">
        <f>VLOOKUP($C58,是否排班!$I:$L,4,FALSE)</f>
        <v>3</v>
      </c>
      <c r="E58" s="5">
        <f>VLOOKUP($C58,日超8H!$I:$L,2,FALSE)</f>
        <v>2</v>
      </c>
      <c r="F58" s="5">
        <f>VLOOKUP($C58,是否排班!$I:$L,3,FALSE)</f>
        <v>0</v>
      </c>
      <c r="G58" s="6">
        <f>VLOOKUP($C58,是否排班!$I:$M,5,FALSE)</f>
        <v>1</v>
      </c>
      <c r="H58" s="7" t="str">
        <f>IFERROR(VLOOKUP($C58,排班正确!$J:$O,6,FALSE),"/")</f>
        <v>/</v>
      </c>
      <c r="I58" s="4">
        <f>VLOOKUP($C58,缺卡!$H:$K,2,FALSE)</f>
        <v>0</v>
      </c>
      <c r="J58" s="7">
        <f>VLOOKUP($C58,缺卡!$H:$K,4,FALSE)</f>
        <v>0</v>
      </c>
      <c r="K58" s="10">
        <f>VLOOKUP($C58,[2]汇总!$C:$J,5,FALSE)</f>
        <v>1</v>
      </c>
      <c r="L58" s="10">
        <f>VLOOKUP($C58,[2]汇总!$C:$J,8,FALSE)</f>
        <v>0</v>
      </c>
      <c r="M58" s="11">
        <f t="shared" si="3"/>
        <v>0</v>
      </c>
      <c r="N58" s="12">
        <f t="shared" si="4"/>
        <v>0</v>
      </c>
    </row>
    <row r="59" spans="1:14">
      <c r="A59" s="5" t="s">
        <v>68</v>
      </c>
      <c r="B59" s="5" t="s">
        <v>70</v>
      </c>
      <c r="C59" s="4" t="str">
        <f t="shared" si="0"/>
        <v>NE 东北大区BN 布法罗片区</v>
      </c>
      <c r="D59" s="5">
        <f>VLOOKUP($C59,是否排班!$I:$L,4,FALSE)</f>
        <v>6</v>
      </c>
      <c r="E59" s="5">
        <f>VLOOKUP($C59,日超8H!$I:$L,2,FALSE)</f>
        <v>3</v>
      </c>
      <c r="F59" s="5">
        <f>VLOOKUP($C59,是否排班!$I:$L,3,FALSE)</f>
        <v>0</v>
      </c>
      <c r="G59" s="6">
        <f>VLOOKUP($C59,是否排班!$I:$M,5,FALSE)</f>
        <v>1</v>
      </c>
      <c r="H59" s="7" t="str">
        <f>IFERROR(VLOOKUP($C59,排班正确!$J:$O,6,FALSE),"/")</f>
        <v>/</v>
      </c>
      <c r="I59" s="4">
        <f>VLOOKUP($C59,缺卡!$H:$K,2,FALSE)</f>
        <v>5</v>
      </c>
      <c r="J59" s="7">
        <f>VLOOKUP($C59,缺卡!$H:$K,4,FALSE)</f>
        <v>0.3125</v>
      </c>
      <c r="K59" s="10">
        <f>VLOOKUP($C59,[2]汇总!$C:$J,5,FALSE)</f>
        <v>1</v>
      </c>
      <c r="L59" s="10">
        <f>VLOOKUP($C59,[2]汇总!$C:$J,8,FALSE)</f>
        <v>0.375</v>
      </c>
      <c r="M59" s="11">
        <f t="shared" si="3"/>
        <v>0</v>
      </c>
      <c r="N59" s="12">
        <f t="shared" si="4"/>
        <v>-0.0625</v>
      </c>
    </row>
    <row r="60" spans="1:14">
      <c r="A60" s="5" t="s">
        <v>68</v>
      </c>
      <c r="B60" s="5" t="s">
        <v>71</v>
      </c>
      <c r="C60" s="4" t="str">
        <f t="shared" si="0"/>
        <v>NE 东北大区BOS01</v>
      </c>
      <c r="D60" s="5">
        <f>VLOOKUP($C60,是否排班!$I:$L,4,FALSE)</f>
        <v>2</v>
      </c>
      <c r="E60" s="5">
        <f>VLOOKUP($C60,日超8H!$I:$L,2,FALSE)</f>
        <v>0</v>
      </c>
      <c r="F60" s="5">
        <f>VLOOKUP($C60,是否排班!$I:$L,3,FALSE)</f>
        <v>0</v>
      </c>
      <c r="G60" s="6">
        <f>VLOOKUP($C60,是否排班!$I:$M,5,FALSE)</f>
        <v>1</v>
      </c>
      <c r="H60" s="7" t="str">
        <f>IFERROR(VLOOKUP($C60,排班正确!$J:$O,6,FALSE),"/")</f>
        <v>/</v>
      </c>
      <c r="I60" s="4">
        <f>VLOOKUP($C60,缺卡!$H:$K,2,FALSE)</f>
        <v>2</v>
      </c>
      <c r="J60" s="7">
        <f>VLOOKUP($C60,缺卡!$H:$K,4,FALSE)</f>
        <v>0.5</v>
      </c>
      <c r="K60" s="10">
        <f>VLOOKUP($C60,[2]汇总!$C:$J,5,FALSE)</f>
        <v>1</v>
      </c>
      <c r="L60" s="10">
        <f>VLOOKUP($C60,[2]汇总!$C:$J,8,FALSE)</f>
        <v>0.125</v>
      </c>
      <c r="M60" s="11">
        <f t="shared" si="3"/>
        <v>0</v>
      </c>
      <c r="N60" s="12">
        <f t="shared" si="4"/>
        <v>0.375</v>
      </c>
    </row>
    <row r="61" spans="1:14">
      <c r="A61" s="5" t="s">
        <v>68</v>
      </c>
      <c r="B61" s="5" t="s">
        <v>72</v>
      </c>
      <c r="C61" s="4" t="str">
        <f t="shared" si="0"/>
        <v>NE 东北大区BUF01</v>
      </c>
      <c r="D61" s="5">
        <f>VLOOKUP($C61,是否排班!$I:$L,4,FALSE)</f>
        <v>2</v>
      </c>
      <c r="E61" s="5">
        <f>VLOOKUP($C61,日超8H!$I:$L,2,FALSE)</f>
        <v>0</v>
      </c>
      <c r="F61" s="5">
        <f>VLOOKUP($C61,是否排班!$I:$L,3,FALSE)</f>
        <v>0</v>
      </c>
      <c r="G61" s="6">
        <f>VLOOKUP($C61,是否排班!$I:$M,5,FALSE)</f>
        <v>1</v>
      </c>
      <c r="H61" s="7" t="str">
        <f>IFERROR(VLOOKUP($C61,排班正确!$J:$O,6,FALSE),"/")</f>
        <v>/</v>
      </c>
      <c r="I61" s="4">
        <f>VLOOKUP($C61,缺卡!$H:$K,2,FALSE)</f>
        <v>0</v>
      </c>
      <c r="J61" s="7">
        <v>0</v>
      </c>
      <c r="K61" s="10">
        <f>VLOOKUP($C61,[2]汇总!$C:$J,5,FALSE)</f>
        <v>1</v>
      </c>
      <c r="L61" s="10">
        <f>VLOOKUP($C61,[2]汇总!$C:$J,8,FALSE)</f>
        <v>0.875</v>
      </c>
      <c r="M61" s="11">
        <f t="shared" si="3"/>
        <v>0</v>
      </c>
      <c r="N61" s="12">
        <f t="shared" si="4"/>
        <v>-0.875</v>
      </c>
    </row>
    <row r="62" spans="1:14">
      <c r="A62" s="5" t="s">
        <v>68</v>
      </c>
      <c r="B62" s="5" t="s">
        <v>73</v>
      </c>
      <c r="C62" s="4" t="str">
        <f t="shared" si="0"/>
        <v>NE 东北大区BWI.H</v>
      </c>
      <c r="D62" s="5">
        <f>VLOOKUP($C62,是否排班!$I:$L,4,FALSE)</f>
        <v>6</v>
      </c>
      <c r="E62" s="5">
        <f>VLOOKUP($C62,日超8H!$I:$L,2,FALSE)</f>
        <v>1</v>
      </c>
      <c r="F62" s="5">
        <f>VLOOKUP($C62,是否排班!$I:$L,3,FALSE)</f>
        <v>0</v>
      </c>
      <c r="G62" s="6">
        <f>VLOOKUP($C62,是否排班!$I:$M,5,FALSE)</f>
        <v>1</v>
      </c>
      <c r="H62" s="7">
        <f>IFERROR(VLOOKUP($C62,排班正确!$J:$O,6,FALSE),"/")</f>
        <v>0.333333333333333</v>
      </c>
      <c r="I62" s="4">
        <f>VLOOKUP($C62,缺卡!$H:$K,2,FALSE)</f>
        <v>6</v>
      </c>
      <c r="J62" s="7">
        <f>VLOOKUP($C62,缺卡!$H:$K,4,FALSE)</f>
        <v>0.375</v>
      </c>
      <c r="K62" s="10">
        <f>VLOOKUP($C62,[2]汇总!$C:$J,5,FALSE)</f>
        <v>0.857142857142857</v>
      </c>
      <c r="L62" s="10">
        <f>VLOOKUP($C62,[2]汇总!$C:$J,8,FALSE)</f>
        <v>0.8</v>
      </c>
      <c r="M62" s="11">
        <f t="shared" si="3"/>
        <v>0.142857142857143</v>
      </c>
      <c r="N62" s="12">
        <f t="shared" si="4"/>
        <v>-0.425</v>
      </c>
    </row>
    <row r="63" spans="1:14">
      <c r="A63" s="5" t="s">
        <v>68</v>
      </c>
      <c r="B63" s="5" t="s">
        <v>74</v>
      </c>
      <c r="C63" s="4" t="str">
        <f t="shared" si="0"/>
        <v>NE 东北大区BWI01</v>
      </c>
      <c r="D63" s="5">
        <f>VLOOKUP($C63,是否排班!$I:$L,4,FALSE)</f>
        <v>2</v>
      </c>
      <c r="E63" s="5">
        <f>VLOOKUP($C63,日超8H!$I:$L,2,FALSE)</f>
        <v>2</v>
      </c>
      <c r="F63" s="5">
        <f>VLOOKUP($C63,是否排班!$I:$L,3,FALSE)</f>
        <v>0</v>
      </c>
      <c r="G63" s="6">
        <f>VLOOKUP($C63,是否排班!$I:$M,5,FALSE)</f>
        <v>1</v>
      </c>
      <c r="H63" s="7" t="str">
        <f>IFERROR(VLOOKUP($C63,排班正确!$J:$O,6,FALSE),"/")</f>
        <v>/</v>
      </c>
      <c r="I63" s="4">
        <f>VLOOKUP($C63,缺卡!$H:$K,2,FALSE)</f>
        <v>0</v>
      </c>
      <c r="J63" s="7">
        <f>VLOOKUP($C63,缺卡!$H:$K,4,FALSE)</f>
        <v>0</v>
      </c>
      <c r="K63" s="10">
        <f>VLOOKUP($C63,[2]汇总!$C:$J,5,FALSE)</f>
        <v>1</v>
      </c>
      <c r="L63" s="10">
        <f>VLOOKUP($C63,[2]汇总!$C:$J,8,FALSE)</f>
        <v>0.75</v>
      </c>
      <c r="M63" s="11">
        <f t="shared" si="3"/>
        <v>0</v>
      </c>
      <c r="N63" s="12">
        <f t="shared" si="4"/>
        <v>-0.75</v>
      </c>
    </row>
    <row r="64" spans="1:14">
      <c r="A64" s="5" t="s">
        <v>68</v>
      </c>
      <c r="B64" s="5" t="s">
        <v>75</v>
      </c>
      <c r="C64" s="4" t="str">
        <f t="shared" si="0"/>
        <v>NE 东北大区DC 华盛顿片区</v>
      </c>
      <c r="D64" s="5">
        <f>VLOOKUP($C64,是否排班!$I:$L,4,FALSE)</f>
        <v>20</v>
      </c>
      <c r="E64" s="5">
        <f>VLOOKUP($C64,日超8H!$I:$L,2,FALSE)</f>
        <v>12</v>
      </c>
      <c r="F64" s="5">
        <f>VLOOKUP($C64,是否排班!$I:$L,3,FALSE)</f>
        <v>0</v>
      </c>
      <c r="G64" s="6">
        <f>VLOOKUP($C64,是否排班!$I:$M,5,FALSE)</f>
        <v>1</v>
      </c>
      <c r="H64" s="7" t="str">
        <f>IFERROR(VLOOKUP($C64,排班正确!$J:$O,6,FALSE),"/")</f>
        <v>/</v>
      </c>
      <c r="I64" s="4">
        <f>VLOOKUP($C64,缺卡!$H:$K,2,FALSE)</f>
        <v>15</v>
      </c>
      <c r="J64" s="7">
        <f>VLOOKUP($C64,缺卡!$H:$K,4,FALSE)</f>
        <v>0.267857142857143</v>
      </c>
      <c r="K64" s="10">
        <f>VLOOKUP($C64,[2]汇总!$C:$J,5,FALSE)</f>
        <v>0.952380952380952</v>
      </c>
      <c r="L64" s="10">
        <f>VLOOKUP($C64,[2]汇总!$C:$J,8,FALSE)</f>
        <v>0.446428571428571</v>
      </c>
      <c r="M64" s="11">
        <f t="shared" si="3"/>
        <v>0.047619047619048</v>
      </c>
      <c r="N64" s="12">
        <f t="shared" si="4"/>
        <v>-0.178571428571428</v>
      </c>
    </row>
    <row r="65" spans="1:14">
      <c r="A65" s="5" t="s">
        <v>68</v>
      </c>
      <c r="B65" s="5" t="s">
        <v>76</v>
      </c>
      <c r="C65" s="4" t="str">
        <f t="shared" si="0"/>
        <v>NE 东北大区EWR.H</v>
      </c>
      <c r="D65" s="5">
        <f>VLOOKUP($C65,是否排班!$I:$L,4,FALSE)</f>
        <v>38</v>
      </c>
      <c r="E65" s="5">
        <f>VLOOKUP($C65,日超8H!$I:$L,2,FALSE)</f>
        <v>22</v>
      </c>
      <c r="F65" s="5">
        <f>VLOOKUP($C65,是否排班!$I:$L,3,FALSE)</f>
        <v>0</v>
      </c>
      <c r="G65" s="6">
        <f>VLOOKUP($C65,是否排班!$I:$M,5,FALSE)</f>
        <v>1</v>
      </c>
      <c r="H65" s="7">
        <f>IFERROR(VLOOKUP($C65,排班正确!$J:$O,6,FALSE),"/")</f>
        <v>0.631578947368421</v>
      </c>
      <c r="I65" s="4">
        <f>VLOOKUP($C65,缺卡!$H:$K,2,FALSE)</f>
        <v>59</v>
      </c>
      <c r="J65" s="7">
        <f>VLOOKUP($C65,缺卡!$H:$K,4,FALSE)</f>
        <v>0.409722222222222</v>
      </c>
      <c r="K65" s="10">
        <f>VLOOKUP($C65,[2]汇总!$C:$J,5,FALSE)</f>
        <v>1</v>
      </c>
      <c r="L65" s="10">
        <f>VLOOKUP($C65,[2]汇总!$C:$J,8,FALSE)</f>
        <v>0.598214285714286</v>
      </c>
      <c r="M65" s="11">
        <f t="shared" si="3"/>
        <v>0</v>
      </c>
      <c r="N65" s="12">
        <f t="shared" si="4"/>
        <v>-0.188492063492064</v>
      </c>
    </row>
    <row r="66" spans="1:14">
      <c r="A66" s="5" t="s">
        <v>68</v>
      </c>
      <c r="B66" s="5" t="s">
        <v>77</v>
      </c>
      <c r="C66" s="4" t="str">
        <f t="shared" si="0"/>
        <v>NE 东北大区EWR01</v>
      </c>
      <c r="D66" s="5">
        <f>VLOOKUP($C66,是否排班!$I:$L,4,FALSE)</f>
        <v>1</v>
      </c>
      <c r="E66" s="5">
        <f>VLOOKUP($C66,日超8H!$I:$L,2,FALSE)</f>
        <v>1</v>
      </c>
      <c r="F66" s="5">
        <f>VLOOKUP($C66,是否排班!$I:$L,3,FALSE)</f>
        <v>0</v>
      </c>
      <c r="G66" s="6">
        <f>VLOOKUP($C66,是否排班!$I:$M,5,FALSE)</f>
        <v>1</v>
      </c>
      <c r="H66" s="7" t="str">
        <f>IFERROR(VLOOKUP($C66,排班正确!$J:$O,6,FALSE),"/")</f>
        <v>/</v>
      </c>
      <c r="I66" s="4">
        <f>VLOOKUP($C66,缺卡!$H:$K,2,FALSE)</f>
        <v>2</v>
      </c>
      <c r="J66" s="7">
        <f>VLOOKUP($C66,缺卡!$H:$K,4,FALSE)</f>
        <v>0.5</v>
      </c>
      <c r="K66" s="10">
        <f>VLOOKUP($C66,[2]汇总!$C:$J,5,FALSE)</f>
        <v>1</v>
      </c>
      <c r="L66" s="13">
        <v>0</v>
      </c>
      <c r="M66" s="11">
        <f t="shared" si="3"/>
        <v>0</v>
      </c>
      <c r="N66" s="12">
        <f t="shared" si="4"/>
        <v>0.5</v>
      </c>
    </row>
    <row r="67" spans="1:14">
      <c r="A67" s="5" t="s">
        <v>68</v>
      </c>
      <c r="B67" s="5" t="s">
        <v>78</v>
      </c>
      <c r="C67" s="4" t="str">
        <f t="shared" ref="C67:C113" si="5">A67&amp;""&amp;B67</f>
        <v>NE 东北大区JFK.H</v>
      </c>
      <c r="D67" s="5">
        <f>VLOOKUP($C67,是否排班!$I:$L,4,FALSE)</f>
        <v>15</v>
      </c>
      <c r="E67" s="5">
        <f>VLOOKUP($C67,日超8H!$I:$L,2,FALSE)</f>
        <v>9</v>
      </c>
      <c r="F67" s="5">
        <f>VLOOKUP($C67,是否排班!$I:$L,3,FALSE)</f>
        <v>0</v>
      </c>
      <c r="G67" s="6">
        <f>VLOOKUP($C67,是否排班!$I:$M,5,FALSE)</f>
        <v>1</v>
      </c>
      <c r="H67" s="7">
        <f>IFERROR(VLOOKUP($C67,排班正确!$J:$O,6,FALSE),"/")</f>
        <v>1</v>
      </c>
      <c r="I67" s="4">
        <f>VLOOKUP($C67,缺卡!$H:$K,2,FALSE)</f>
        <v>2</v>
      </c>
      <c r="J67" s="7">
        <f>VLOOKUP($C67,缺卡!$H:$K,4,FALSE)</f>
        <v>0.0555555555555556</v>
      </c>
      <c r="K67" s="10">
        <f>VLOOKUP($C67,[2]汇总!$C:$J,5,FALSE)</f>
        <v>1</v>
      </c>
      <c r="L67" s="10">
        <f>VLOOKUP($C67,[2]汇总!$C:$J,8,FALSE)</f>
        <v>0.285714285714286</v>
      </c>
      <c r="M67" s="11">
        <f t="shared" si="3"/>
        <v>0</v>
      </c>
      <c r="N67" s="12">
        <f t="shared" si="4"/>
        <v>-0.23015873015873</v>
      </c>
    </row>
    <row r="68" spans="1:14">
      <c r="A68" s="5" t="s">
        <v>68</v>
      </c>
      <c r="B68" s="5" t="s">
        <v>79</v>
      </c>
      <c r="C68" s="4" t="str">
        <f t="shared" si="5"/>
        <v>NE 东北大区JFK01</v>
      </c>
      <c r="D68" s="5">
        <f>VLOOKUP($C68,是否排班!$I:$L,4,FALSE)</f>
        <v>1</v>
      </c>
      <c r="E68" s="5">
        <f>VLOOKUP($C68,日超8H!$I:$L,2,FALSE)</f>
        <v>0</v>
      </c>
      <c r="F68" s="5">
        <f>VLOOKUP($C68,是否排班!$I:$L,3,FALSE)</f>
        <v>0</v>
      </c>
      <c r="G68" s="6">
        <f>VLOOKUP($C68,是否排班!$I:$M,5,FALSE)</f>
        <v>1</v>
      </c>
      <c r="H68" s="7" t="str">
        <f>IFERROR(VLOOKUP($C68,排班正确!$J:$O,6,FALSE),"/")</f>
        <v>/</v>
      </c>
      <c r="I68" s="4">
        <f>VLOOKUP($C68,缺卡!$H:$K,2,FALSE)</f>
        <v>0</v>
      </c>
      <c r="J68" s="7">
        <v>0</v>
      </c>
      <c r="K68" s="10">
        <f>VLOOKUP($C68,[2]汇总!$C:$J,5,FALSE)</f>
        <v>1</v>
      </c>
      <c r="L68" s="13">
        <v>0</v>
      </c>
      <c r="M68" s="11">
        <f t="shared" si="3"/>
        <v>0</v>
      </c>
      <c r="N68" s="12">
        <f t="shared" si="4"/>
        <v>0</v>
      </c>
    </row>
    <row r="69" spans="1:14">
      <c r="A69" s="5" t="s">
        <v>68</v>
      </c>
      <c r="B69" s="5" t="s">
        <v>80</v>
      </c>
      <c r="C69" s="4" t="str">
        <f t="shared" si="5"/>
        <v>NE 东北大区MA 新英格兰片区</v>
      </c>
      <c r="D69" s="5">
        <f>VLOOKUP($C69,是否排班!$I:$L,4,FALSE)</f>
        <v>8</v>
      </c>
      <c r="E69" s="5">
        <f>VLOOKUP($C69,日超8H!$I:$L,2,FALSE)</f>
        <v>7</v>
      </c>
      <c r="F69" s="5">
        <f>VLOOKUP($C69,是否排班!$I:$L,3,FALSE)</f>
        <v>0</v>
      </c>
      <c r="G69" s="6">
        <f>VLOOKUP($C69,是否排班!$I:$M,5,FALSE)</f>
        <v>1</v>
      </c>
      <c r="H69" s="7" t="str">
        <f>IFERROR(VLOOKUP($C69,排班正确!$J:$O,6,FALSE),"/")</f>
        <v>/</v>
      </c>
      <c r="I69" s="4">
        <f>VLOOKUP($C69,缺卡!$H:$K,2,FALSE)</f>
        <v>3</v>
      </c>
      <c r="J69" s="7">
        <f>VLOOKUP($C69,缺卡!$H:$K,4,FALSE)</f>
        <v>0.107142857142857</v>
      </c>
      <c r="K69" s="10">
        <f>VLOOKUP($C69,[2]汇总!$C:$J,5,FALSE)</f>
        <v>1</v>
      </c>
      <c r="L69" s="10">
        <f>VLOOKUP($C69,[2]汇总!$C:$J,8,FALSE)</f>
        <v>0.3</v>
      </c>
      <c r="M69" s="11">
        <f t="shared" si="3"/>
        <v>0</v>
      </c>
      <c r="N69" s="12">
        <f t="shared" si="4"/>
        <v>-0.192857142857143</v>
      </c>
    </row>
    <row r="70" spans="1:14">
      <c r="A70" s="5" t="s">
        <v>68</v>
      </c>
      <c r="B70" s="5" t="s">
        <v>82</v>
      </c>
      <c r="C70" s="4" t="str">
        <f t="shared" si="5"/>
        <v>NE 东北大区PA 宾州片区</v>
      </c>
      <c r="D70" s="5">
        <f>VLOOKUP($C70,是否排班!$I:$L,4,FALSE)</f>
        <v>8</v>
      </c>
      <c r="E70" s="5">
        <f>VLOOKUP($C70,日超8H!$I:$L,2,FALSE)</f>
        <v>3</v>
      </c>
      <c r="F70" s="5">
        <f>VLOOKUP($C70,是否排班!$I:$L,3,FALSE)</f>
        <v>0</v>
      </c>
      <c r="G70" s="6">
        <f>VLOOKUP($C70,是否排班!$I:$M,5,FALSE)</f>
        <v>1</v>
      </c>
      <c r="H70" s="7" t="str">
        <f>IFERROR(VLOOKUP($C70,排班正确!$J:$O,6,FALSE),"/")</f>
        <v>/</v>
      </c>
      <c r="I70" s="4">
        <f>VLOOKUP($C70,缺卡!$H:$K,2,FALSE)</f>
        <v>11</v>
      </c>
      <c r="J70" s="7">
        <f>VLOOKUP($C70,缺卡!$H:$K,4,FALSE)</f>
        <v>0.55</v>
      </c>
      <c r="K70" s="10">
        <f>VLOOKUP($C70,[2]汇总!$C:$J,5,FALSE)</f>
        <v>1</v>
      </c>
      <c r="L70" s="10">
        <f>VLOOKUP($C70,[2]汇总!$C:$J,8,FALSE)</f>
        <v>0.625</v>
      </c>
      <c r="M70" s="11">
        <f t="shared" si="3"/>
        <v>0</v>
      </c>
      <c r="N70" s="12">
        <f t="shared" si="4"/>
        <v>-0.075</v>
      </c>
    </row>
    <row r="71" spans="1:14">
      <c r="A71" s="5" t="s">
        <v>68</v>
      </c>
      <c r="B71" s="5" t="s">
        <v>83</v>
      </c>
      <c r="C71" s="4" t="str">
        <f t="shared" si="5"/>
        <v>NE 东北大区PHL01</v>
      </c>
      <c r="D71" s="5">
        <f>VLOOKUP($C71,是否排班!$I:$L,4,FALSE)</f>
        <v>1</v>
      </c>
      <c r="E71" s="5">
        <f>VLOOKUP($C71,日超8H!$I:$L,2,FALSE)</f>
        <v>0</v>
      </c>
      <c r="F71" s="5">
        <f>VLOOKUP($C71,是否排班!$I:$L,3,FALSE)</f>
        <v>0</v>
      </c>
      <c r="G71" s="6">
        <f>VLOOKUP($C71,是否排班!$I:$M,5,FALSE)</f>
        <v>1</v>
      </c>
      <c r="H71" s="7" t="str">
        <f>IFERROR(VLOOKUP($C71,排班正确!$J:$O,6,FALSE),"/")</f>
        <v>/</v>
      </c>
      <c r="I71" s="4">
        <f>VLOOKUP($C71,缺卡!$H:$K,2,FALSE)</f>
        <v>0</v>
      </c>
      <c r="J71" s="7">
        <v>0</v>
      </c>
      <c r="K71" s="10">
        <f>VLOOKUP($C71,[2]汇总!$C:$J,5,FALSE)</f>
        <v>1</v>
      </c>
      <c r="L71" s="13">
        <v>0</v>
      </c>
      <c r="M71" s="11">
        <f t="shared" si="3"/>
        <v>0</v>
      </c>
      <c r="N71" s="12">
        <f t="shared" si="4"/>
        <v>0</v>
      </c>
    </row>
    <row r="72" spans="1:14">
      <c r="A72" s="5" t="s">
        <v>68</v>
      </c>
      <c r="B72" s="5" t="s">
        <v>84</v>
      </c>
      <c r="C72" s="4" t="str">
        <f t="shared" si="5"/>
        <v>NE 东北大区PIT01</v>
      </c>
      <c r="D72" s="5">
        <f>VLOOKUP($C72,是否排班!$I:$L,4,FALSE)</f>
        <v>1</v>
      </c>
      <c r="E72" s="5">
        <f>VLOOKUP($C72,日超8H!$I:$L,2,FALSE)</f>
        <v>1</v>
      </c>
      <c r="F72" s="5">
        <f>VLOOKUP($C72,是否排班!$I:$L,3,FALSE)</f>
        <v>0</v>
      </c>
      <c r="G72" s="6">
        <f>VLOOKUP($C72,是否排班!$I:$M,5,FALSE)</f>
        <v>1</v>
      </c>
      <c r="H72" s="7" t="str">
        <f>IFERROR(VLOOKUP($C72,排班正确!$J:$O,6,FALSE),"/")</f>
        <v>/</v>
      </c>
      <c r="I72" s="4">
        <f>VLOOKUP($C72,缺卡!$H:$K,2,FALSE)</f>
        <v>2</v>
      </c>
      <c r="J72" s="7">
        <f>VLOOKUP($C72,缺卡!$H:$K,4,FALSE)</f>
        <v>0.5</v>
      </c>
      <c r="K72" s="10">
        <f>VLOOKUP($C72,[2]汇总!$C:$J,5,FALSE)</f>
        <v>1</v>
      </c>
      <c r="L72" s="10">
        <f>VLOOKUP($C72,[2]汇总!$C:$J,8,FALSE)</f>
        <v>0.5</v>
      </c>
      <c r="M72" s="11">
        <f t="shared" si="3"/>
        <v>0</v>
      </c>
      <c r="N72" s="12">
        <f t="shared" si="4"/>
        <v>0</v>
      </c>
    </row>
    <row r="73" spans="1:14">
      <c r="A73" s="5" t="s">
        <v>68</v>
      </c>
      <c r="B73" s="5" t="s">
        <v>85</v>
      </c>
      <c r="C73" s="4" t="str">
        <f t="shared" si="5"/>
        <v>NE 东北大区RIC01</v>
      </c>
      <c r="D73" s="5">
        <f>VLOOKUP($C73,是否排班!$I:$L,4,FALSE)</f>
        <v>1</v>
      </c>
      <c r="E73" s="5">
        <f>VLOOKUP($C73,日超8H!$I:$L,2,FALSE)</f>
        <v>0</v>
      </c>
      <c r="F73" s="5">
        <f>VLOOKUP($C73,是否排班!$I:$L,3,FALSE)</f>
        <v>0</v>
      </c>
      <c r="G73" s="6">
        <f>VLOOKUP($C73,是否排班!$I:$M,5,FALSE)</f>
        <v>1</v>
      </c>
      <c r="H73" s="7" t="str">
        <f>IFERROR(VLOOKUP($C73,排班正确!$J:$O,6,FALSE),"/")</f>
        <v>/</v>
      </c>
      <c r="I73" s="4">
        <f>VLOOKUP($C73,缺卡!$H:$K,2,FALSE)</f>
        <v>0</v>
      </c>
      <c r="J73" s="7">
        <f>VLOOKUP($C73,缺卡!$H:$K,4,FALSE)</f>
        <v>0</v>
      </c>
      <c r="K73" s="10">
        <f>VLOOKUP($C73,[2]汇总!$C:$J,5,FALSE)</f>
        <v>1</v>
      </c>
      <c r="L73" s="10">
        <f>VLOOKUP($C73,[2]汇总!$C:$J,8,FALSE)</f>
        <v>0</v>
      </c>
      <c r="M73" s="11">
        <f t="shared" si="3"/>
        <v>0</v>
      </c>
      <c r="N73" s="12">
        <f t="shared" si="4"/>
        <v>0</v>
      </c>
    </row>
    <row r="74" spans="1:14">
      <c r="A74" s="5" t="s">
        <v>68</v>
      </c>
      <c r="B74" s="5" t="s">
        <v>44</v>
      </c>
      <c r="C74" s="4" t="str">
        <f t="shared" si="5"/>
        <v>NE 东北大区车辆管理部</v>
      </c>
      <c r="D74" s="5">
        <f>VLOOKUP($C74,是否排班!$I:$L,4,FALSE)</f>
        <v>6</v>
      </c>
      <c r="E74" s="5">
        <f>VLOOKUP($C74,日超8H!$I:$L,2,FALSE)</f>
        <v>4</v>
      </c>
      <c r="F74" s="5">
        <f>VLOOKUP($C74,是否排班!$I:$L,3,FALSE)</f>
        <v>0</v>
      </c>
      <c r="G74" s="6">
        <f>VLOOKUP($C74,是否排班!$I:$M,5,FALSE)</f>
        <v>1</v>
      </c>
      <c r="H74" s="7" t="str">
        <f>IFERROR(VLOOKUP($C74,排班正确!$J:$O,6,FALSE),"/")</f>
        <v>/</v>
      </c>
      <c r="I74" s="4">
        <f>VLOOKUP($C74,缺卡!$H:$K,2,FALSE)</f>
        <v>8</v>
      </c>
      <c r="J74" s="7">
        <f>VLOOKUP($C74,缺卡!$H:$K,4,FALSE)</f>
        <v>0.5</v>
      </c>
      <c r="K74" s="10">
        <f>VLOOKUP($C74,[2]汇总!$C:$J,5,FALSE)</f>
        <v>0.166666666666667</v>
      </c>
      <c r="L74" s="10">
        <f>VLOOKUP($C74,[2]汇总!$C:$J,8,FALSE)</f>
        <v>1</v>
      </c>
      <c r="M74" s="11">
        <f t="shared" si="3"/>
        <v>0.833333333333333</v>
      </c>
      <c r="N74" s="12">
        <f t="shared" si="4"/>
        <v>-0.5</v>
      </c>
    </row>
    <row r="75" spans="1:14">
      <c r="A75" s="5" t="s">
        <v>68</v>
      </c>
      <c r="B75" s="5" t="s">
        <v>45</v>
      </c>
      <c r="C75" s="4" t="str">
        <f t="shared" si="5"/>
        <v>NE 东北大区揽收部</v>
      </c>
      <c r="D75" s="5">
        <f>VLOOKUP($C75,是否排班!$I:$L,4,FALSE)</f>
        <v>13</v>
      </c>
      <c r="E75" s="5">
        <f>VLOOKUP($C75,日超8H!$I:$L,2,FALSE)</f>
        <v>8</v>
      </c>
      <c r="F75" s="5">
        <f>VLOOKUP($C75,是否排班!$I:$L,3,FALSE)</f>
        <v>0</v>
      </c>
      <c r="G75" s="6">
        <f>VLOOKUP($C75,是否排班!$I:$M,5,FALSE)</f>
        <v>1</v>
      </c>
      <c r="H75" s="7" t="str">
        <f>IFERROR(VLOOKUP($C75,排班正确!$J:$O,6,FALSE),"/")</f>
        <v>/</v>
      </c>
      <c r="I75" s="4">
        <f>VLOOKUP($C75,缺卡!$H:$K,2,FALSE)</f>
        <v>25</v>
      </c>
      <c r="J75" s="7">
        <f>VLOOKUP($C75,缺卡!$H:$K,4,FALSE)</f>
        <v>0.568181818181818</v>
      </c>
      <c r="K75" s="10">
        <f>VLOOKUP($C75,[2]汇总!$C:$J,5,FALSE)</f>
        <v>1</v>
      </c>
      <c r="L75" s="10">
        <f>VLOOKUP($C75,[2]汇总!$C:$J,8,FALSE)</f>
        <v>0.704545454545455</v>
      </c>
      <c r="M75" s="11">
        <f t="shared" si="3"/>
        <v>0</v>
      </c>
      <c r="N75" s="12">
        <f t="shared" si="4"/>
        <v>-0.136363636363637</v>
      </c>
    </row>
    <row r="76" spans="1:14">
      <c r="A76" s="5" t="s">
        <v>68</v>
      </c>
      <c r="B76" s="5" t="s">
        <v>29</v>
      </c>
      <c r="C76" s="4" t="str">
        <f t="shared" si="5"/>
        <v>NE 东北大区运营支持部</v>
      </c>
      <c r="D76" s="5">
        <f>VLOOKUP($C76,是否排班!$I:$L,4,FALSE)</f>
        <v>15</v>
      </c>
      <c r="E76" s="5">
        <f>VLOOKUP($C76,日超8H!$I:$L,2,FALSE)</f>
        <v>4</v>
      </c>
      <c r="F76" s="5">
        <f>VLOOKUP($C76,是否排班!$I:$L,3,FALSE)</f>
        <v>0</v>
      </c>
      <c r="G76" s="6">
        <f>VLOOKUP($C76,是否排班!$I:$M,5,FALSE)</f>
        <v>1</v>
      </c>
      <c r="H76" s="7" t="str">
        <f>IFERROR(VLOOKUP($C76,排班正确!$J:$O,6,FALSE),"/")</f>
        <v>/</v>
      </c>
      <c r="I76" s="4">
        <f>VLOOKUP($C76,缺卡!$H:$K,2,FALSE)</f>
        <v>27</v>
      </c>
      <c r="J76" s="7">
        <f>VLOOKUP($C76,缺卡!$H:$K,4,FALSE)</f>
        <v>0.675</v>
      </c>
      <c r="K76" s="10">
        <f>VLOOKUP($C76,[2]汇总!$C:$J,5,FALSE)</f>
        <v>1</v>
      </c>
      <c r="L76" s="10">
        <f>VLOOKUP($C76,[2]汇总!$C:$J,8,FALSE)</f>
        <v>0.75</v>
      </c>
      <c r="M76" s="11">
        <f t="shared" si="3"/>
        <v>0</v>
      </c>
      <c r="N76" s="12">
        <f t="shared" si="4"/>
        <v>-0.075</v>
      </c>
    </row>
    <row r="77" spans="1:14">
      <c r="A77" s="5" t="s">
        <v>86</v>
      </c>
      <c r="B77" s="5"/>
      <c r="C77" s="4" t="str">
        <f t="shared" si="5"/>
        <v>NE 东北大区 汇总</v>
      </c>
      <c r="D77" s="5">
        <f>VLOOKUP($C77,是否排班!$I:$L,4,FALSE)</f>
        <v>166</v>
      </c>
      <c r="E77" s="5">
        <f>VLOOKUP($C77,日超8H!$I:$L,2,FALSE)</f>
        <v>84</v>
      </c>
      <c r="F77" s="5">
        <f>VLOOKUP($C77,是否排班!$I:$L,3,FALSE)</f>
        <v>1</v>
      </c>
      <c r="G77" s="6">
        <f>VLOOKUP($C77,是否排班!$I:$M,5,FALSE)</f>
        <v>0.993975903614458</v>
      </c>
      <c r="H77" s="7">
        <f>IFERROR(VLOOKUP($C77,排班正确!$J:$O,6,FALSE),"/")</f>
        <v>0.694915254237288</v>
      </c>
      <c r="I77" s="4">
        <f>VLOOKUP($C77,缺卡!$H:$K,2,FALSE)</f>
        <v>171</v>
      </c>
      <c r="J77" s="7">
        <f>VLOOKUP($C77,缺卡!$H:$K,4,FALSE)</f>
        <v>0.353305785123967</v>
      </c>
      <c r="K77" s="10">
        <f>VLOOKUP($C77,[2]汇总!$C:$J,5,FALSE)</f>
        <v>0.952095808383233</v>
      </c>
      <c r="L77" s="10">
        <f>VLOOKUP($C77,[2]汇总!$C:$J,8,FALSE)</f>
        <v>0.550847457627119</v>
      </c>
      <c r="M77" s="11">
        <f t="shared" si="3"/>
        <v>0.0418800952312248</v>
      </c>
      <c r="N77" s="12">
        <f t="shared" si="4"/>
        <v>-0.197541672503152</v>
      </c>
    </row>
    <row r="78" hidden="1" spans="1:14">
      <c r="A78" s="5" t="s">
        <v>92</v>
      </c>
      <c r="B78" s="5" t="s">
        <v>97</v>
      </c>
      <c r="C78" s="4" t="str">
        <f t="shared" si="5"/>
        <v>TX 德州大区NT 北德州片区</v>
      </c>
      <c r="D78" s="5">
        <f>VLOOKUP($C78,是否排班!$I:$L,4,FALSE)</f>
        <v>15</v>
      </c>
      <c r="E78" s="5">
        <f>VLOOKUP($C78,日超8H!$I:$L,2,FALSE)</f>
        <v>4</v>
      </c>
      <c r="F78" s="5">
        <f>VLOOKUP($C78,是否排班!$I:$L,3,FALSE)</f>
        <v>1</v>
      </c>
      <c r="G78" s="6">
        <f>VLOOKUP($C78,是否排班!$I:$M,5,FALSE)</f>
        <v>0.933333333333333</v>
      </c>
      <c r="H78" s="7" t="str">
        <f>IFERROR(VLOOKUP($C78,排班正确!$J:$O,6,FALSE),"/")</f>
        <v>/</v>
      </c>
      <c r="I78" s="4">
        <f>VLOOKUP($C78,缺卡!$H:$K,2,FALSE)</f>
        <v>17</v>
      </c>
      <c r="J78" s="7">
        <f>VLOOKUP($C78,缺卡!$H:$K,4,FALSE)</f>
        <v>0.386363636363636</v>
      </c>
      <c r="K78" s="10">
        <f>VLOOKUP($C78,[2]汇总!$C:$J,5,FALSE)</f>
        <v>0.933333333333333</v>
      </c>
      <c r="L78" s="10">
        <f>VLOOKUP($C78,[2]汇总!$C:$J,8,FALSE)</f>
        <v>0.55</v>
      </c>
      <c r="M78" s="11">
        <f t="shared" si="3"/>
        <v>0</v>
      </c>
      <c r="N78" s="12">
        <f t="shared" si="4"/>
        <v>-0.163636363636364</v>
      </c>
    </row>
    <row r="79" hidden="1" spans="1:14">
      <c r="A79" s="5" t="s">
        <v>92</v>
      </c>
      <c r="B79" s="5"/>
      <c r="C79" s="4" t="str">
        <f t="shared" si="5"/>
        <v>TX 德州大区</v>
      </c>
      <c r="D79" s="5">
        <f>VLOOKUP($C79,是否排班!$I:$L,4,FALSE)</f>
        <v>1</v>
      </c>
      <c r="E79" s="5">
        <f>VLOOKUP($C79,日超8H!$I:$L,2,FALSE)</f>
        <v>0</v>
      </c>
      <c r="F79" s="5">
        <f>VLOOKUP($C79,是否排班!$I:$L,3,FALSE)</f>
        <v>0</v>
      </c>
      <c r="G79" s="6">
        <f>VLOOKUP($C79,是否排班!$I:$M,5,FALSE)</f>
        <v>1</v>
      </c>
      <c r="H79" s="7" t="str">
        <f>IFERROR(VLOOKUP($C79,排班正确!$J:$O,6,FALSE),"/")</f>
        <v>/</v>
      </c>
      <c r="I79" s="4">
        <f>VLOOKUP($C79,缺卡!$H:$K,2,FALSE)</f>
        <v>4</v>
      </c>
      <c r="J79" s="7">
        <f>VLOOKUP($C79,缺卡!$H:$K,4,FALSE)</f>
        <v>1</v>
      </c>
      <c r="K79" s="10">
        <f>VLOOKUP($C79,[2]汇总!$C:$J,5,FALSE)</f>
        <v>1</v>
      </c>
      <c r="L79" s="10">
        <f>VLOOKUP($C79,[2]汇总!$C:$J,8,FALSE)</f>
        <v>1</v>
      </c>
      <c r="M79" s="11">
        <f t="shared" si="3"/>
        <v>0</v>
      </c>
      <c r="N79" s="12">
        <f t="shared" si="4"/>
        <v>0</v>
      </c>
    </row>
    <row r="80" hidden="1" spans="1:14">
      <c r="A80" s="5" t="s">
        <v>92</v>
      </c>
      <c r="B80" s="5" t="s">
        <v>93</v>
      </c>
      <c r="C80" s="4" t="str">
        <f t="shared" si="5"/>
        <v>TX 德州大区CT 中德州片区</v>
      </c>
      <c r="D80" s="5">
        <f>VLOOKUP($C80,是否排班!$I:$L,4,FALSE)</f>
        <v>10</v>
      </c>
      <c r="E80" s="5">
        <f>VLOOKUP($C80,日超8H!$I:$L,2,FALSE)</f>
        <v>2</v>
      </c>
      <c r="F80" s="5">
        <f>VLOOKUP($C80,是否排班!$I:$L,3,FALSE)</f>
        <v>0</v>
      </c>
      <c r="G80" s="6">
        <f>VLOOKUP($C80,是否排班!$I:$M,5,FALSE)</f>
        <v>1</v>
      </c>
      <c r="H80" s="7" t="str">
        <f>IFERROR(VLOOKUP($C80,排班正确!$J:$O,6,FALSE),"/")</f>
        <v>/</v>
      </c>
      <c r="I80" s="4">
        <f>VLOOKUP($C80,缺卡!$H:$K,2,FALSE)</f>
        <v>15</v>
      </c>
      <c r="J80" s="7">
        <f>VLOOKUP($C80,缺卡!$H:$K,4,FALSE)</f>
        <v>0.416666666666667</v>
      </c>
      <c r="K80" s="10">
        <f>VLOOKUP($C80,[2]汇总!$C:$J,5,FALSE)</f>
        <v>1</v>
      </c>
      <c r="L80" s="10">
        <f>VLOOKUP($C80,[2]汇总!$C:$J,8,FALSE)</f>
        <v>0.472222222222222</v>
      </c>
      <c r="M80" s="11">
        <f t="shared" si="3"/>
        <v>0</v>
      </c>
      <c r="N80" s="12">
        <f t="shared" si="4"/>
        <v>-0.0555555555555553</v>
      </c>
    </row>
    <row r="81" hidden="1" spans="1:14">
      <c r="A81" s="5" t="s">
        <v>92</v>
      </c>
      <c r="B81" s="5" t="s">
        <v>94</v>
      </c>
      <c r="C81" s="4" t="str">
        <f t="shared" si="5"/>
        <v>TX 德州大区DFW.H</v>
      </c>
      <c r="D81" s="5">
        <f>VLOOKUP($C81,是否排班!$I:$L,4,FALSE)</f>
        <v>25</v>
      </c>
      <c r="E81" s="5">
        <f>VLOOKUP($C81,日超8H!$I:$L,2,FALSE)</f>
        <v>14</v>
      </c>
      <c r="F81" s="5">
        <f>VLOOKUP($C81,是否排班!$I:$L,3,FALSE)</f>
        <v>0</v>
      </c>
      <c r="G81" s="6">
        <f>VLOOKUP($C81,是否排班!$I:$M,5,FALSE)</f>
        <v>1</v>
      </c>
      <c r="H81" s="7">
        <f>IFERROR(VLOOKUP($C81,排班正确!$J:$O,6,FALSE),"/")</f>
        <v>0.92</v>
      </c>
      <c r="I81" s="4">
        <f>VLOOKUP($C81,缺卡!$H:$K,2,FALSE)</f>
        <v>15</v>
      </c>
      <c r="J81" s="7">
        <f>VLOOKUP($C81,缺卡!$H:$K,4,FALSE)</f>
        <v>0.220588235294118</v>
      </c>
      <c r="K81" s="10">
        <f>VLOOKUP($C81,[2]汇总!$C:$J,5,FALSE)</f>
        <v>1</v>
      </c>
      <c r="L81" s="10">
        <f>VLOOKUP($C81,[2]汇总!$C:$J,8,FALSE)</f>
        <v>0.657894736842105</v>
      </c>
      <c r="M81" s="11">
        <f t="shared" si="3"/>
        <v>0</v>
      </c>
      <c r="N81" s="12">
        <f t="shared" si="4"/>
        <v>-0.437306501547987</v>
      </c>
    </row>
    <row r="82" hidden="1" spans="1:14">
      <c r="A82" s="5" t="s">
        <v>92</v>
      </c>
      <c r="B82" s="5" t="s">
        <v>95</v>
      </c>
      <c r="C82" s="4" t="str">
        <f t="shared" si="5"/>
        <v>TX 德州大区GC 墨湾片区</v>
      </c>
      <c r="D82" s="5">
        <f>VLOOKUP($C82,是否排班!$I:$L,4,FALSE)</f>
        <v>15</v>
      </c>
      <c r="E82" s="5">
        <f>VLOOKUP($C82,日超8H!$I:$L,2,FALSE)</f>
        <v>3</v>
      </c>
      <c r="F82" s="5">
        <f>VLOOKUP($C82,是否排班!$I:$L,3,FALSE)</f>
        <v>0</v>
      </c>
      <c r="G82" s="6">
        <f>VLOOKUP($C82,是否排班!$I:$M,5,FALSE)</f>
        <v>1</v>
      </c>
      <c r="H82" s="7" t="str">
        <f>IFERROR(VLOOKUP($C82,排班正确!$J:$O,6,FALSE),"/")</f>
        <v>/</v>
      </c>
      <c r="I82" s="4">
        <f>VLOOKUP($C82,缺卡!$H:$K,2,FALSE)</f>
        <v>18</v>
      </c>
      <c r="J82" s="7">
        <f>VLOOKUP($C82,缺卡!$H:$K,4,FALSE)</f>
        <v>0.5</v>
      </c>
      <c r="K82" s="10">
        <f>VLOOKUP($C82,[2]汇总!$C:$J,5,FALSE)</f>
        <v>1</v>
      </c>
      <c r="L82" s="10">
        <f>VLOOKUP($C82,[2]汇总!$C:$J,8,FALSE)</f>
        <v>0.685185185185185</v>
      </c>
      <c r="M82" s="11">
        <f t="shared" si="3"/>
        <v>0</v>
      </c>
      <c r="N82" s="12">
        <f t="shared" si="4"/>
        <v>-0.185185185185185</v>
      </c>
    </row>
    <row r="83" hidden="1" spans="1:14">
      <c r="A83" s="5" t="s">
        <v>92</v>
      </c>
      <c r="B83" s="5" t="s">
        <v>96</v>
      </c>
      <c r="C83" s="4" t="str">
        <f t="shared" si="5"/>
        <v>TX 德州大区IAH.H</v>
      </c>
      <c r="D83" s="5">
        <f>VLOOKUP($C83,是否排班!$I:$L,4,FALSE)</f>
        <v>18</v>
      </c>
      <c r="E83" s="5">
        <f>VLOOKUP($C83,日超8H!$I:$L,2,FALSE)</f>
        <v>11</v>
      </c>
      <c r="F83" s="5">
        <f>VLOOKUP($C83,是否排班!$I:$L,3,FALSE)</f>
        <v>0</v>
      </c>
      <c r="G83" s="6">
        <f>VLOOKUP($C83,是否排班!$I:$M,5,FALSE)</f>
        <v>1</v>
      </c>
      <c r="H83" s="7">
        <f>IFERROR(VLOOKUP($C83,排班正确!$J:$O,6,FALSE),"/")</f>
        <v>0.944444444444444</v>
      </c>
      <c r="I83" s="4">
        <f>VLOOKUP($C83,缺卡!$H:$K,2,FALSE)</f>
        <v>9</v>
      </c>
      <c r="J83" s="7">
        <f>VLOOKUP($C83,缺卡!$H:$K,4,FALSE)</f>
        <v>0.15</v>
      </c>
      <c r="K83" s="10">
        <f>VLOOKUP($C83,[2]汇总!$C:$J,5,FALSE)</f>
        <v>1</v>
      </c>
      <c r="L83" s="10">
        <f>VLOOKUP($C83,[2]汇总!$C:$J,8,FALSE)</f>
        <v>0.433333333333333</v>
      </c>
      <c r="M83" s="11">
        <f t="shared" si="3"/>
        <v>0</v>
      </c>
      <c r="N83" s="12">
        <f t="shared" si="4"/>
        <v>-0.283333333333333</v>
      </c>
    </row>
    <row r="84" hidden="1" spans="1:14">
      <c r="A84" s="5" t="s">
        <v>92</v>
      </c>
      <c r="B84" s="5" t="s">
        <v>45</v>
      </c>
      <c r="C84" s="4" t="str">
        <f t="shared" si="5"/>
        <v>TX 德州大区揽收部</v>
      </c>
      <c r="D84" s="5">
        <f>VLOOKUP($C84,是否排班!$I:$L,4,FALSE)</f>
        <v>9</v>
      </c>
      <c r="E84" s="5">
        <f>VLOOKUP($C84,日超8H!$I:$L,2,FALSE)</f>
        <v>7</v>
      </c>
      <c r="F84" s="5">
        <f>VLOOKUP($C84,是否排班!$I:$L,3,FALSE)</f>
        <v>0</v>
      </c>
      <c r="G84" s="6">
        <f>VLOOKUP($C84,是否排班!$I:$M,5,FALSE)</f>
        <v>1</v>
      </c>
      <c r="H84" s="7" t="str">
        <f>IFERROR(VLOOKUP($C84,排班正确!$J:$O,6,FALSE),"/")</f>
        <v>/</v>
      </c>
      <c r="I84" s="4">
        <f>VLOOKUP($C84,缺卡!$H:$K,2,FALSE)</f>
        <v>2</v>
      </c>
      <c r="J84" s="7">
        <f>VLOOKUP($C84,缺卡!$H:$K,4,FALSE)</f>
        <v>0.0555555555555556</v>
      </c>
      <c r="K84" s="10">
        <f>VLOOKUP($C84,[2]汇总!$C:$J,5,FALSE)</f>
        <v>1</v>
      </c>
      <c r="L84" s="10">
        <f>VLOOKUP($C84,[2]汇总!$C:$J,8,FALSE)</f>
        <v>0.722222222222222</v>
      </c>
      <c r="M84" s="11">
        <f t="shared" si="3"/>
        <v>0</v>
      </c>
      <c r="N84" s="12">
        <f t="shared" si="4"/>
        <v>-0.666666666666666</v>
      </c>
    </row>
    <row r="85" hidden="1" spans="1:14">
      <c r="A85" s="5" t="s">
        <v>92</v>
      </c>
      <c r="B85" s="5" t="s">
        <v>29</v>
      </c>
      <c r="C85" s="4" t="str">
        <f t="shared" si="5"/>
        <v>TX 德州大区运营支持部</v>
      </c>
      <c r="D85" s="5">
        <f>VLOOKUP($C85,是否排班!$I:$L,4,FALSE)</f>
        <v>7</v>
      </c>
      <c r="E85" s="5">
        <f>VLOOKUP($C85,日超8H!$I:$L,2,FALSE)</f>
        <v>5</v>
      </c>
      <c r="F85" s="5">
        <f>VLOOKUP($C85,是否排班!$I:$L,3,FALSE)</f>
        <v>0</v>
      </c>
      <c r="G85" s="6">
        <f>VLOOKUP($C85,是否排班!$I:$M,5,FALSE)</f>
        <v>1</v>
      </c>
      <c r="H85" s="7" t="str">
        <f>IFERROR(VLOOKUP($C85,排班正确!$J:$O,6,FALSE),"/")</f>
        <v>/</v>
      </c>
      <c r="I85" s="4">
        <f>VLOOKUP($C85,缺卡!$H:$K,2,FALSE)</f>
        <v>1</v>
      </c>
      <c r="J85" s="7">
        <f>VLOOKUP($C85,缺卡!$H:$K,4,FALSE)</f>
        <v>0.0357142857142857</v>
      </c>
      <c r="K85" s="10">
        <f>VLOOKUP($C85,[2]汇总!$C:$J,5,FALSE)</f>
        <v>0.857142857142857</v>
      </c>
      <c r="L85" s="10">
        <f>VLOOKUP($C85,[2]汇总!$C:$J,8,FALSE)</f>
        <v>0.791666666666667</v>
      </c>
      <c r="M85" s="11">
        <f t="shared" si="3"/>
        <v>0.142857142857143</v>
      </c>
      <c r="N85" s="12">
        <f t="shared" si="4"/>
        <v>-0.755952380952381</v>
      </c>
    </row>
    <row r="86" hidden="1" spans="1:14">
      <c r="A86" s="5" t="s">
        <v>98</v>
      </c>
      <c r="B86" s="5"/>
      <c r="C86" s="4" t="str">
        <f t="shared" si="5"/>
        <v>TX 德州大区 汇总</v>
      </c>
      <c r="D86" s="5">
        <f>VLOOKUP($C86,是否排班!$I:$L,4,FALSE)</f>
        <v>100</v>
      </c>
      <c r="E86" s="5">
        <f>VLOOKUP($C86,日超8H!$I:$L,2,FALSE)</f>
        <v>46</v>
      </c>
      <c r="F86" s="5">
        <f>VLOOKUP($C86,是否排班!$I:$L,3,FALSE)</f>
        <v>1</v>
      </c>
      <c r="G86" s="6">
        <f>VLOOKUP($C86,是否排班!$I:$M,5,FALSE)</f>
        <v>0.99</v>
      </c>
      <c r="H86" s="7">
        <f>IFERROR(VLOOKUP($C86,排班正确!$J:$O,6,FALSE),"/")</f>
        <v>0.930232558139535</v>
      </c>
      <c r="I86" s="4">
        <f>VLOOKUP($C86,缺卡!$H:$K,2,FALSE)</f>
        <v>81</v>
      </c>
      <c r="J86" s="7">
        <f>VLOOKUP($C86,缺卡!$H:$K,4,FALSE)</f>
        <v>0.259615384615385</v>
      </c>
      <c r="K86" s="10">
        <f>VLOOKUP($C86,[2]汇总!$C:$J,5,FALSE)</f>
        <v>0.98</v>
      </c>
      <c r="L86" s="10">
        <f>VLOOKUP($C86,[2]汇总!$C:$J,8,FALSE)</f>
        <v>0.609090909090909</v>
      </c>
      <c r="M86" s="11">
        <f t="shared" si="3"/>
        <v>0.01</v>
      </c>
      <c r="N86" s="12">
        <f t="shared" si="4"/>
        <v>-0.349475524475524</v>
      </c>
    </row>
    <row r="87" hidden="1" spans="1:14">
      <c r="A87" s="5" t="s">
        <v>100</v>
      </c>
      <c r="B87" s="5" t="s">
        <v>101</v>
      </c>
      <c r="C87" s="4" t="str">
        <f t="shared" si="5"/>
        <v>WE 美西大区CNO.H</v>
      </c>
      <c r="D87" s="5">
        <f>VLOOKUP($C87,是否排班!$I:$L,4,FALSE)</f>
        <v>48</v>
      </c>
      <c r="E87" s="5">
        <f>VLOOKUP($C87,日超8H!$I:$L,2,FALSE)</f>
        <v>21</v>
      </c>
      <c r="F87" s="5">
        <f>VLOOKUP($C87,是否排班!$I:$L,3,FALSE)</f>
        <v>0</v>
      </c>
      <c r="G87" s="6">
        <f>VLOOKUP($C87,是否排班!$I:$M,5,FALSE)</f>
        <v>1</v>
      </c>
      <c r="H87" s="7">
        <f>IFERROR(VLOOKUP($C87,排班正确!$J:$O,6,FALSE),"/")</f>
        <v>0.708333333333333</v>
      </c>
      <c r="I87" s="4">
        <f>VLOOKUP($C87,缺卡!$H:$K,2,FALSE)</f>
        <v>37</v>
      </c>
      <c r="J87" s="7">
        <f>VLOOKUP($C87,缺卡!$H:$K,4,FALSE)</f>
        <v>0.201086956521739</v>
      </c>
      <c r="K87" s="10">
        <f>VLOOKUP($C87,[2]汇总!$C:$J,5,FALSE)</f>
        <v>1</v>
      </c>
      <c r="L87" s="10">
        <f>VLOOKUP($C87,[2]汇总!$C:$J,8,FALSE)</f>
        <v>0.614864864864865</v>
      </c>
      <c r="M87" s="11">
        <f t="shared" si="3"/>
        <v>0</v>
      </c>
      <c r="N87" s="12">
        <f t="shared" si="4"/>
        <v>-0.413777908343126</v>
      </c>
    </row>
    <row r="88" hidden="1" spans="1:14">
      <c r="A88" s="5" t="s">
        <v>100</v>
      </c>
      <c r="B88" s="5" t="s">
        <v>102</v>
      </c>
      <c r="C88" s="4" t="str">
        <f t="shared" si="5"/>
        <v>WE 美西大区DS 丹佛·盐湖城片区</v>
      </c>
      <c r="D88" s="5">
        <f>VLOOKUP($C88,是否排班!$I:$L,4,FALSE)</f>
        <v>12</v>
      </c>
      <c r="E88" s="5">
        <f>VLOOKUP($C88,日超8H!$I:$L,2,FALSE)</f>
        <v>6</v>
      </c>
      <c r="F88" s="5">
        <f>VLOOKUP($C88,是否排班!$I:$L,3,FALSE)</f>
        <v>0</v>
      </c>
      <c r="G88" s="6">
        <f>VLOOKUP($C88,是否排班!$I:$M,5,FALSE)</f>
        <v>1</v>
      </c>
      <c r="H88" s="7" t="str">
        <f>IFERROR(VLOOKUP($C88,排班正确!$J:$O,6,FALSE),"/")</f>
        <v>/</v>
      </c>
      <c r="I88" s="4">
        <f>VLOOKUP($C88,缺卡!$H:$K,2,FALSE)</f>
        <v>16</v>
      </c>
      <c r="J88" s="7">
        <f>VLOOKUP($C88,缺卡!$H:$K,4,FALSE)</f>
        <v>0.4</v>
      </c>
      <c r="K88" s="10">
        <f>VLOOKUP($C88,[2]汇总!$C:$J,5,FALSE)</f>
        <v>0.5</v>
      </c>
      <c r="L88" s="10">
        <f>VLOOKUP($C88,[2]汇总!$C:$J,8,FALSE)</f>
        <v>0.770833333333333</v>
      </c>
      <c r="M88" s="11">
        <f t="shared" si="3"/>
        <v>0.5</v>
      </c>
      <c r="N88" s="12">
        <f t="shared" si="4"/>
        <v>-0.370833333333333</v>
      </c>
    </row>
    <row r="89" hidden="1" spans="1:14">
      <c r="A89" s="5" t="s">
        <v>100</v>
      </c>
      <c r="B89" s="5" t="s">
        <v>103</v>
      </c>
      <c r="C89" s="4" t="str">
        <f t="shared" si="5"/>
        <v>WE 美西大区LAV.H</v>
      </c>
      <c r="D89" s="5">
        <f>VLOOKUP($C89,是否排班!$I:$L,4,FALSE)</f>
        <v>41</v>
      </c>
      <c r="E89" s="5">
        <f>VLOOKUP($C89,日超8H!$I:$L,2,FALSE)</f>
        <v>17</v>
      </c>
      <c r="F89" s="5">
        <f>VLOOKUP($C89,是否排班!$I:$L,3,FALSE)</f>
        <v>0</v>
      </c>
      <c r="G89" s="6">
        <f>VLOOKUP($C89,是否排班!$I:$M,5,FALSE)</f>
        <v>1</v>
      </c>
      <c r="H89" s="7">
        <f>IFERROR(VLOOKUP($C89,排班正确!$J:$O,6,FALSE),"/")</f>
        <v>0.780487804878049</v>
      </c>
      <c r="I89" s="4">
        <f>VLOOKUP($C89,缺卡!$H:$K,2,FALSE)</f>
        <v>22</v>
      </c>
      <c r="J89" s="7">
        <f>VLOOKUP($C89,缺卡!$H:$K,4,FALSE)</f>
        <v>0.17741935483871</v>
      </c>
      <c r="K89" s="10">
        <f>VLOOKUP($C89,[2]汇总!$C:$J,5,FALSE)</f>
        <v>1</v>
      </c>
      <c r="L89" s="10">
        <f>VLOOKUP($C89,[2]汇总!$C:$J,8,FALSE)</f>
        <v>0.653846153846154</v>
      </c>
      <c r="M89" s="11">
        <f t="shared" si="3"/>
        <v>0</v>
      </c>
      <c r="N89" s="12">
        <f t="shared" si="4"/>
        <v>-0.476426799007444</v>
      </c>
    </row>
    <row r="90" hidden="1" spans="1:14">
      <c r="A90" s="5" t="s">
        <v>100</v>
      </c>
      <c r="B90" s="5" t="s">
        <v>104</v>
      </c>
      <c r="C90" s="4" t="str">
        <f t="shared" si="5"/>
        <v>WE 美西大区LA揽收部</v>
      </c>
      <c r="D90" s="5">
        <f>VLOOKUP($C90,是否排班!$I:$L,4,FALSE)</f>
        <v>8</v>
      </c>
      <c r="E90" s="5">
        <f>VLOOKUP($C90,日超8H!$I:$L,2,FALSE)</f>
        <v>3</v>
      </c>
      <c r="F90" s="5">
        <f>VLOOKUP($C90,是否排班!$I:$L,3,FALSE)</f>
        <v>0</v>
      </c>
      <c r="G90" s="6">
        <f>VLOOKUP($C90,是否排班!$I:$M,5,FALSE)</f>
        <v>1</v>
      </c>
      <c r="H90" s="7" t="str">
        <f>IFERROR(VLOOKUP($C90,排班正确!$J:$O,6,FALSE),"/")</f>
        <v>/</v>
      </c>
      <c r="I90" s="4">
        <f>VLOOKUP($C90,缺卡!$H:$K,2,FALSE)</f>
        <v>13</v>
      </c>
      <c r="J90" s="7">
        <f>VLOOKUP($C90,缺卡!$H:$K,4,FALSE)</f>
        <v>0.464285714285714</v>
      </c>
      <c r="K90" s="10">
        <f>VLOOKUP($C90,[2]汇总!$C:$J,5,FALSE)</f>
        <v>1</v>
      </c>
      <c r="L90" s="10">
        <f>VLOOKUP($C90,[2]汇总!$C:$J,8,FALSE)</f>
        <v>0.7</v>
      </c>
      <c r="M90" s="11">
        <f t="shared" si="3"/>
        <v>0</v>
      </c>
      <c r="N90" s="12">
        <f t="shared" si="4"/>
        <v>-0.235714285714286</v>
      </c>
    </row>
    <row r="91" hidden="1" spans="1:14">
      <c r="A91" s="5" t="s">
        <v>100</v>
      </c>
      <c r="B91" s="5" t="s">
        <v>105</v>
      </c>
      <c r="C91" s="4" t="str">
        <f t="shared" si="5"/>
        <v>WE 美西大区NC 北加片区</v>
      </c>
      <c r="D91" s="5">
        <f>VLOOKUP($C91,是否排班!$I:$L,4,FALSE)</f>
        <v>27</v>
      </c>
      <c r="E91" s="5">
        <f>VLOOKUP($C91,日超8H!$I:$L,2,FALSE)</f>
        <v>10</v>
      </c>
      <c r="F91" s="5">
        <f>VLOOKUP($C91,是否排班!$I:$L,3,FALSE)</f>
        <v>0</v>
      </c>
      <c r="G91" s="6">
        <f>VLOOKUP($C91,是否排班!$I:$M,5,FALSE)</f>
        <v>1</v>
      </c>
      <c r="H91" s="7" t="str">
        <f>IFERROR(VLOOKUP($C91,排班正确!$J:$O,6,FALSE),"/")</f>
        <v>/</v>
      </c>
      <c r="I91" s="4">
        <f>VLOOKUP($C91,缺卡!$H:$K,2,FALSE)</f>
        <v>32</v>
      </c>
      <c r="J91" s="7">
        <f>VLOOKUP($C91,缺卡!$H:$K,4,FALSE)</f>
        <v>0.363636363636364</v>
      </c>
      <c r="K91" s="10">
        <f>VLOOKUP($C91,[2]汇总!$C:$J,5,FALSE)</f>
        <v>0.962962962962963</v>
      </c>
      <c r="L91" s="10">
        <f>VLOOKUP($C91,[2]汇总!$C:$J,8,FALSE)</f>
        <v>0.545454545454545</v>
      </c>
      <c r="M91" s="11">
        <f t="shared" si="3"/>
        <v>0.037037037037037</v>
      </c>
      <c r="N91" s="12">
        <f t="shared" si="4"/>
        <v>-0.181818181818181</v>
      </c>
    </row>
    <row r="92" hidden="1" spans="1:14">
      <c r="A92" s="5" t="s">
        <v>100</v>
      </c>
      <c r="B92" s="5" t="s">
        <v>106</v>
      </c>
      <c r="C92" s="4" t="str">
        <f t="shared" si="5"/>
        <v>WE 美西大区SC 南加片区</v>
      </c>
      <c r="D92" s="5">
        <f>VLOOKUP($C92,是否排班!$I:$L,4,FALSE)</f>
        <v>24</v>
      </c>
      <c r="E92" s="5">
        <f>VLOOKUP($C92,日超8H!$I:$L,2,FALSE)</f>
        <v>7</v>
      </c>
      <c r="F92" s="5">
        <f>VLOOKUP($C92,是否排班!$I:$L,3,FALSE)</f>
        <v>0</v>
      </c>
      <c r="G92" s="6">
        <f>VLOOKUP($C92,是否排班!$I:$M,5,FALSE)</f>
        <v>1</v>
      </c>
      <c r="H92" s="7" t="str">
        <f>IFERROR(VLOOKUP($C92,排班正确!$J:$O,6,FALSE),"/")</f>
        <v>/</v>
      </c>
      <c r="I92" s="4">
        <f>VLOOKUP($C92,缺卡!$H:$K,2,FALSE)</f>
        <v>29</v>
      </c>
      <c r="J92" s="7">
        <f>VLOOKUP($C92,缺卡!$H:$K,4,FALSE)</f>
        <v>0.381578947368421</v>
      </c>
      <c r="K92" s="10">
        <f>VLOOKUP($C92,[2]汇总!$C:$J,5,FALSE)</f>
        <v>1</v>
      </c>
      <c r="L92" s="10">
        <f>VLOOKUP($C92,[2]汇总!$C:$J,8,FALSE)</f>
        <v>0.467391304347826</v>
      </c>
      <c r="M92" s="11">
        <f t="shared" si="3"/>
        <v>0</v>
      </c>
      <c r="N92" s="12">
        <f t="shared" si="4"/>
        <v>-0.0858123569794049</v>
      </c>
    </row>
    <row r="93" hidden="1" spans="1:14">
      <c r="A93" s="5" t="s">
        <v>100</v>
      </c>
      <c r="B93" s="5" t="s">
        <v>107</v>
      </c>
      <c r="C93" s="4" t="str">
        <f t="shared" si="5"/>
        <v>WE 美西大区SP 西雅图·波特兰片区</v>
      </c>
      <c r="D93" s="5">
        <f>VLOOKUP($C93,是否排班!$I:$L,4,FALSE)</f>
        <v>11</v>
      </c>
      <c r="E93" s="5">
        <f>VLOOKUP($C93,日超8H!$I:$L,2,FALSE)</f>
        <v>3</v>
      </c>
      <c r="F93" s="5">
        <f>VLOOKUP($C93,是否排班!$I:$L,3,FALSE)</f>
        <v>0</v>
      </c>
      <c r="G93" s="6">
        <f>VLOOKUP($C93,是否排班!$I:$M,5,FALSE)</f>
        <v>1</v>
      </c>
      <c r="H93" s="7" t="str">
        <f>IFERROR(VLOOKUP($C93,排班正确!$J:$O,6,FALSE),"/")</f>
        <v>/</v>
      </c>
      <c r="I93" s="4">
        <f>VLOOKUP($C93,缺卡!$H:$K,2,FALSE)</f>
        <v>11</v>
      </c>
      <c r="J93" s="7">
        <f>VLOOKUP($C93,缺卡!$H:$K,4,FALSE)</f>
        <v>0.34375</v>
      </c>
      <c r="K93" s="10">
        <f>VLOOKUP($C93,[2]汇总!$C:$J,5,FALSE)</f>
        <v>1</v>
      </c>
      <c r="L93" s="10">
        <f>VLOOKUP($C93,[2]汇总!$C:$J,8,FALSE)</f>
        <v>0.475</v>
      </c>
      <c r="M93" s="11">
        <f t="shared" si="3"/>
        <v>0</v>
      </c>
      <c r="N93" s="12">
        <f t="shared" si="4"/>
        <v>-0.13125</v>
      </c>
    </row>
    <row r="94" hidden="1" spans="1:14">
      <c r="A94" s="5" t="s">
        <v>100</v>
      </c>
      <c r="B94" s="5" t="s">
        <v>44</v>
      </c>
      <c r="C94" s="4" t="str">
        <f t="shared" si="5"/>
        <v>WE 美西大区车辆管理部</v>
      </c>
      <c r="D94" s="5">
        <f>VLOOKUP($C94,是否排班!$I:$L,4,FALSE)</f>
        <v>6</v>
      </c>
      <c r="E94" s="5">
        <f>VLOOKUP($C94,日超8H!$I:$L,2,FALSE)</f>
        <v>5</v>
      </c>
      <c r="F94" s="5">
        <f>VLOOKUP($C94,是否排班!$I:$L,3,FALSE)</f>
        <v>0</v>
      </c>
      <c r="G94" s="6">
        <f>VLOOKUP($C94,是否排班!$I:$M,5,FALSE)</f>
        <v>1</v>
      </c>
      <c r="H94" s="7" t="str">
        <f>IFERROR(VLOOKUP($C94,排班正确!$J:$O,6,FALSE),"/")</f>
        <v>/</v>
      </c>
      <c r="I94" s="4">
        <f>VLOOKUP($C94,缺卡!$H:$K,2,FALSE)</f>
        <v>4</v>
      </c>
      <c r="J94" s="7">
        <f>VLOOKUP($C94,缺卡!$H:$K,4,FALSE)</f>
        <v>0.166666666666667</v>
      </c>
      <c r="K94" s="10">
        <f>VLOOKUP($C94,[2]汇总!$C:$J,5,FALSE)</f>
        <v>1</v>
      </c>
      <c r="L94" s="10">
        <f>VLOOKUP($C94,[2]汇总!$C:$J,8,FALSE)</f>
        <v>0.75</v>
      </c>
      <c r="M94" s="11">
        <f t="shared" si="3"/>
        <v>0</v>
      </c>
      <c r="N94" s="12">
        <f t="shared" si="4"/>
        <v>-0.583333333333333</v>
      </c>
    </row>
    <row r="95" hidden="1" spans="1:14">
      <c r="A95" s="5" t="s">
        <v>100</v>
      </c>
      <c r="B95" s="5" t="s">
        <v>29</v>
      </c>
      <c r="C95" s="4" t="str">
        <f t="shared" si="5"/>
        <v>WE 美西大区运营支持部</v>
      </c>
      <c r="D95" s="5">
        <f>VLOOKUP($C95,是否排班!$I:$L,4,FALSE)</f>
        <v>13</v>
      </c>
      <c r="E95" s="5">
        <f>VLOOKUP($C95,日超8H!$I:$L,2,FALSE)</f>
        <v>7</v>
      </c>
      <c r="F95" s="5">
        <f>VLOOKUP($C95,是否排班!$I:$L,3,FALSE)</f>
        <v>0</v>
      </c>
      <c r="G95" s="6">
        <f>VLOOKUP($C95,是否排班!$I:$M,5,FALSE)</f>
        <v>1</v>
      </c>
      <c r="H95" s="7" t="str">
        <f>IFERROR(VLOOKUP($C95,排班正确!$J:$O,6,FALSE),"/")</f>
        <v>/</v>
      </c>
      <c r="I95" s="4">
        <f>VLOOKUP($C95,缺卡!$H:$K,2,FALSE)</f>
        <v>0</v>
      </c>
      <c r="J95" s="7">
        <f>VLOOKUP($C95,缺卡!$H:$K,4,FALSE)</f>
        <v>0</v>
      </c>
      <c r="K95" s="10">
        <f>VLOOKUP($C95,[2]汇总!$C:$J,5,FALSE)</f>
        <v>1</v>
      </c>
      <c r="L95" s="10">
        <f>VLOOKUP($C95,[2]汇总!$C:$J,8,FALSE)</f>
        <v>0.25</v>
      </c>
      <c r="M95" s="11">
        <f t="shared" si="3"/>
        <v>0</v>
      </c>
      <c r="N95" s="12">
        <f t="shared" si="4"/>
        <v>-0.25</v>
      </c>
    </row>
    <row r="96" hidden="1" spans="1:14">
      <c r="A96" s="5" t="s">
        <v>108</v>
      </c>
      <c r="B96" s="5"/>
      <c r="C96" s="4" t="str">
        <f t="shared" si="5"/>
        <v>WE 美西大区 汇总</v>
      </c>
      <c r="D96" s="5">
        <f>VLOOKUP($C96,是否排班!$I:$L,4,FALSE)</f>
        <v>190</v>
      </c>
      <c r="E96" s="5">
        <f>VLOOKUP($C96,日超8H!$I:$L,2,FALSE)</f>
        <v>79</v>
      </c>
      <c r="F96" s="5">
        <f>VLOOKUP($C96,是否排班!$I:$L,3,FALSE)</f>
        <v>0</v>
      </c>
      <c r="G96" s="6">
        <f>VLOOKUP($C96,是否排班!$I:$M,5,FALSE)</f>
        <v>1</v>
      </c>
      <c r="H96" s="7">
        <f>IFERROR(VLOOKUP($C96,排班正确!$J:$O,6,FALSE),"/")</f>
        <v>0.741573033707865</v>
      </c>
      <c r="I96" s="4">
        <f>VLOOKUP($C96,缺卡!$H:$K,2,FALSE)</f>
        <v>164</v>
      </c>
      <c r="J96" s="7">
        <f>VLOOKUP($C96,缺卡!$H:$K,4,FALSE)</f>
        <v>0.262820512820513</v>
      </c>
      <c r="K96" s="10">
        <f>VLOOKUP($C96,[2]汇总!$C:$J,5,FALSE)</f>
        <v>0.963157894736842</v>
      </c>
      <c r="L96" s="10">
        <f>VLOOKUP($C96,[2]汇总!$C:$J,8,FALSE)</f>
        <v>0.579391891891892</v>
      </c>
      <c r="M96" s="11">
        <f t="shared" si="3"/>
        <v>0.036842105263158</v>
      </c>
      <c r="N96" s="12">
        <f t="shared" si="4"/>
        <v>-0.316571379071379</v>
      </c>
    </row>
    <row r="97" hidden="1" spans="1:14">
      <c r="A97" s="5" t="s">
        <v>8</v>
      </c>
      <c r="B97" s="5"/>
      <c r="C97" s="4" t="str">
        <f t="shared" si="5"/>
        <v>AD 行政部</v>
      </c>
      <c r="D97" s="5">
        <f>VLOOKUP($C97,是否排班!$I:$L,4,FALSE)</f>
        <v>18</v>
      </c>
      <c r="E97" s="5">
        <f>VLOOKUP($C97,日超8H!$I:$L,2,FALSE)</f>
        <v>10</v>
      </c>
      <c r="F97" s="5">
        <f>VLOOKUP($C97,是否排班!$I:$L,3,FALSE)</f>
        <v>0</v>
      </c>
      <c r="G97" s="6">
        <f>VLOOKUP($C97,是否排班!$I:$M,5,FALSE)</f>
        <v>1</v>
      </c>
      <c r="H97" s="7" t="str">
        <f>IFERROR(VLOOKUP($C97,排班正确!$J:$O,6,FALSE),"/")</f>
        <v>/</v>
      </c>
      <c r="I97" s="4">
        <f>VLOOKUP($C97,缺卡!$H:$K,2,FALSE)</f>
        <v>20</v>
      </c>
      <c r="J97" s="7">
        <f>VLOOKUP($C97,缺卡!$H:$K,4,FALSE)</f>
        <v>0.333333333333333</v>
      </c>
      <c r="K97" s="10">
        <f>VLOOKUP($C97,[2]汇总!$C:$J,5,FALSE)</f>
        <v>1</v>
      </c>
      <c r="L97" s="10">
        <f>VLOOKUP($C97,[2]汇总!$C:$J,8,FALSE)</f>
        <v>0.482142857142857</v>
      </c>
      <c r="M97" s="11">
        <f t="shared" si="3"/>
        <v>0</v>
      </c>
      <c r="N97" s="12">
        <f t="shared" si="4"/>
        <v>-0.148809523809524</v>
      </c>
    </row>
    <row r="98" hidden="1" spans="1:14">
      <c r="A98" s="5" t="s">
        <v>9</v>
      </c>
      <c r="B98" s="5"/>
      <c r="C98" s="4" t="str">
        <f t="shared" si="5"/>
        <v>AS 审计监察部</v>
      </c>
      <c r="D98" s="5">
        <f>VLOOKUP($C98,是否排班!$I:$L,4,FALSE)</f>
        <v>2</v>
      </c>
      <c r="E98" s="5">
        <f>VLOOKUP($C98,日超8H!$I:$L,2,FALSE)</f>
        <v>1</v>
      </c>
      <c r="F98" s="5">
        <f>VLOOKUP($C98,是否排班!$I:$L,3,FALSE)</f>
        <v>0</v>
      </c>
      <c r="G98" s="6">
        <f>VLOOKUP($C98,是否排班!$I:$M,5,FALSE)</f>
        <v>1</v>
      </c>
      <c r="H98" s="7" t="str">
        <f>IFERROR(VLOOKUP($C98,排班正确!$J:$O,6,FALSE),"/")</f>
        <v>/</v>
      </c>
      <c r="I98" s="4">
        <f>VLOOKUP($C98,缺卡!$H:$K,2,FALSE)</f>
        <v>2</v>
      </c>
      <c r="J98" s="7">
        <f>VLOOKUP($C98,缺卡!$H:$K,4,FALSE)</f>
        <v>0.5</v>
      </c>
      <c r="K98" s="10">
        <f>VLOOKUP($C98,[2]汇总!$C:$J,5,FALSE)</f>
        <v>1</v>
      </c>
      <c r="L98" s="10">
        <f>VLOOKUP($C98,[2]汇总!$C:$J,8,FALSE)</f>
        <v>0.75</v>
      </c>
      <c r="M98" s="11">
        <f t="shared" si="3"/>
        <v>0</v>
      </c>
      <c r="N98" s="12">
        <f t="shared" si="4"/>
        <v>-0.25</v>
      </c>
    </row>
    <row r="99" hidden="1" spans="1:14">
      <c r="A99" s="5" t="s">
        <v>10</v>
      </c>
      <c r="B99" s="5"/>
      <c r="C99" s="4" t="str">
        <f t="shared" si="5"/>
        <v>BD 本地客户部</v>
      </c>
      <c r="D99" s="5">
        <f>VLOOKUP($C99,是否排班!$I:$L,4,FALSE)</f>
        <v>17</v>
      </c>
      <c r="E99" s="5">
        <f>VLOOKUP($C99,日超8H!$I:$L,2,FALSE)</f>
        <v>0</v>
      </c>
      <c r="F99" s="5">
        <f>VLOOKUP($C99,是否排班!$I:$L,3,FALSE)</f>
        <v>0</v>
      </c>
      <c r="G99" s="6">
        <f>VLOOKUP($C99,是否排班!$I:$M,5,FALSE)</f>
        <v>1</v>
      </c>
      <c r="H99" s="7" t="str">
        <f>IFERROR(VLOOKUP($C99,排班正确!$J:$O,6,FALSE),"/")</f>
        <v>/</v>
      </c>
      <c r="I99" s="4">
        <f>VLOOKUP($C99,缺卡!$H:$K,2,FALSE)</f>
        <v>60</v>
      </c>
      <c r="J99" s="7">
        <f>VLOOKUP($C99,缺卡!$H:$K,4,FALSE)</f>
        <v>1</v>
      </c>
      <c r="K99" s="10">
        <f>VLOOKUP($C99,[2]汇总!$C:$J,5,FALSE)</f>
        <v>1</v>
      </c>
      <c r="L99" s="10">
        <f>VLOOKUP($C99,[2]汇总!$C:$J,8,FALSE)</f>
        <v>1</v>
      </c>
      <c r="M99" s="11">
        <f t="shared" si="3"/>
        <v>0</v>
      </c>
      <c r="N99" s="12">
        <f t="shared" si="4"/>
        <v>0</v>
      </c>
    </row>
    <row r="100" hidden="1" spans="1:14">
      <c r="A100" s="5" t="s">
        <v>11</v>
      </c>
      <c r="B100" s="5"/>
      <c r="C100" s="4" t="str">
        <f t="shared" si="5"/>
        <v>BM 品牌市场部</v>
      </c>
      <c r="D100" s="5">
        <f>VLOOKUP($C100,是否排班!$I:$L,4,FALSE)</f>
        <v>6</v>
      </c>
      <c r="E100" s="5">
        <f>VLOOKUP($C100,日超8H!$I:$L,2,FALSE)</f>
        <v>2</v>
      </c>
      <c r="F100" s="5">
        <f>VLOOKUP($C100,是否排班!$I:$L,3,FALSE)</f>
        <v>0</v>
      </c>
      <c r="G100" s="6">
        <f>VLOOKUP($C100,是否排班!$I:$M,5,FALSE)</f>
        <v>1</v>
      </c>
      <c r="H100" s="7" t="str">
        <f>IFERROR(VLOOKUP($C100,排班正确!$J:$O,6,FALSE),"/")</f>
        <v>/</v>
      </c>
      <c r="I100" s="4">
        <f>VLOOKUP($C100,缺卡!$H:$K,2,FALSE)</f>
        <v>6</v>
      </c>
      <c r="J100" s="7">
        <f>VLOOKUP($C100,缺卡!$H:$K,4,FALSE)</f>
        <v>0.5</v>
      </c>
      <c r="K100" s="10">
        <f>VLOOKUP($C100,[2]汇总!$C:$J,5,FALSE)</f>
        <v>1</v>
      </c>
      <c r="L100" s="10">
        <f>VLOOKUP($C100,[2]汇总!$C:$J,8,FALSE)</f>
        <v>0.75</v>
      </c>
      <c r="M100" s="11">
        <f t="shared" si="3"/>
        <v>0</v>
      </c>
      <c r="N100" s="12">
        <f t="shared" si="4"/>
        <v>-0.25</v>
      </c>
    </row>
    <row r="101" hidden="1" spans="1:14">
      <c r="A101" s="5" t="s">
        <v>12</v>
      </c>
      <c r="B101" s="5"/>
      <c r="C101" s="4" t="str">
        <f t="shared" si="5"/>
        <v>CM 运力管理部</v>
      </c>
      <c r="D101" s="5">
        <f>VLOOKUP($C101,是否排班!$I:$L,4,FALSE)</f>
        <v>12</v>
      </c>
      <c r="E101" s="5">
        <f>VLOOKUP($C101,日超8H!$I:$L,2,FALSE)</f>
        <v>5</v>
      </c>
      <c r="F101" s="5">
        <f>VLOOKUP($C101,是否排班!$I:$L,3,FALSE)</f>
        <v>0</v>
      </c>
      <c r="G101" s="6">
        <f>VLOOKUP($C101,是否排班!$I:$M,5,FALSE)</f>
        <v>1</v>
      </c>
      <c r="H101" s="7" t="str">
        <f>IFERROR(VLOOKUP($C101,排班正确!$J:$O,6,FALSE),"/")</f>
        <v>/</v>
      </c>
      <c r="I101" s="4">
        <f>VLOOKUP($C101,缺卡!$H:$K,2,FALSE)</f>
        <v>29</v>
      </c>
      <c r="J101" s="7">
        <f>VLOOKUP($C101,缺卡!$H:$K,4,FALSE)</f>
        <v>0.659090909090909</v>
      </c>
      <c r="K101" s="10">
        <f>VLOOKUP($C101,[2]汇总!$C:$J,5,FALSE)</f>
        <v>0.916666666666667</v>
      </c>
      <c r="L101" s="10">
        <f>VLOOKUP($C101,[2]汇总!$C:$J,8,FALSE)</f>
        <v>0.795454545454545</v>
      </c>
      <c r="M101" s="11">
        <f t="shared" si="3"/>
        <v>0.083333333333333</v>
      </c>
      <c r="N101" s="12">
        <f t="shared" si="4"/>
        <v>-0.136363636363636</v>
      </c>
    </row>
    <row r="102" hidden="1" spans="1:14">
      <c r="A102" s="5" t="s">
        <v>13</v>
      </c>
      <c r="B102" s="5"/>
      <c r="C102" s="4" t="str">
        <f t="shared" si="5"/>
        <v>CS 客户服务部</v>
      </c>
      <c r="D102" s="5">
        <f>VLOOKUP($C102,是否排班!$I:$L,4,FALSE)</f>
        <v>7</v>
      </c>
      <c r="E102" s="5">
        <f>VLOOKUP($C102,日超8H!$I:$L,2,FALSE)</f>
        <v>6</v>
      </c>
      <c r="F102" s="5">
        <f>VLOOKUP($C102,是否排班!$I:$L,3,FALSE)</f>
        <v>0</v>
      </c>
      <c r="G102" s="6">
        <f>VLOOKUP($C102,是否排班!$I:$M,5,FALSE)</f>
        <v>1</v>
      </c>
      <c r="H102" s="7" t="str">
        <f>IFERROR(VLOOKUP($C102,排班正确!$J:$O,6,FALSE),"/")</f>
        <v>/</v>
      </c>
      <c r="I102" s="4">
        <f>VLOOKUP($C102,缺卡!$H:$K,2,FALSE)</f>
        <v>3</v>
      </c>
      <c r="J102" s="7">
        <f>VLOOKUP($C102,缺卡!$H:$K,4,FALSE)</f>
        <v>0.107142857142857</v>
      </c>
      <c r="K102" s="10">
        <f>VLOOKUP($C102,[2]汇总!$C:$J,5,FALSE)</f>
        <v>1</v>
      </c>
      <c r="L102" s="10">
        <f>VLOOKUP($C102,[2]汇总!$C:$J,8,FALSE)</f>
        <v>0.357142857142857</v>
      </c>
      <c r="M102" s="11">
        <f t="shared" si="3"/>
        <v>0</v>
      </c>
      <c r="N102" s="12">
        <f t="shared" si="4"/>
        <v>-0.25</v>
      </c>
    </row>
    <row r="103" hidden="1" spans="1:14">
      <c r="A103" s="5" t="s">
        <v>14</v>
      </c>
      <c r="B103" s="5"/>
      <c r="C103" s="4" t="str">
        <f t="shared" si="5"/>
        <v>DO 数字运营部</v>
      </c>
      <c r="D103" s="5">
        <f>VLOOKUP($C103,是否排班!$I:$L,4,FALSE)</f>
        <v>15</v>
      </c>
      <c r="E103" s="5">
        <f>VLOOKUP($C103,日超8H!$I:$L,2,FALSE)</f>
        <v>3</v>
      </c>
      <c r="F103" s="5">
        <f>VLOOKUP($C103,是否排班!$I:$L,3,FALSE)</f>
        <v>0</v>
      </c>
      <c r="G103" s="6">
        <f>VLOOKUP($C103,是否排班!$I:$M,5,FALSE)</f>
        <v>1</v>
      </c>
      <c r="H103" s="7" t="str">
        <f>IFERROR(VLOOKUP($C103,排班正确!$J:$O,6,FALSE),"/")</f>
        <v>/</v>
      </c>
      <c r="I103" s="4">
        <f>VLOOKUP($C103,缺卡!$H:$K,2,FALSE)</f>
        <v>23</v>
      </c>
      <c r="J103" s="7">
        <f>VLOOKUP($C103,缺卡!$H:$K,4,FALSE)</f>
        <v>0.575</v>
      </c>
      <c r="K103" s="10">
        <f>VLOOKUP($C103,[2]汇总!$C:$J,5,FALSE)</f>
        <v>1</v>
      </c>
      <c r="L103" s="10">
        <f>VLOOKUP($C103,[2]汇总!$C:$J,8,FALSE)</f>
        <v>0.875</v>
      </c>
      <c r="M103" s="11">
        <f t="shared" si="3"/>
        <v>0</v>
      </c>
      <c r="N103" s="12">
        <f t="shared" si="4"/>
        <v>-0.3</v>
      </c>
    </row>
    <row r="104" hidden="1" spans="1:14">
      <c r="A104" s="5" t="s">
        <v>47</v>
      </c>
      <c r="B104" s="5"/>
      <c r="C104" s="4" t="str">
        <f t="shared" si="5"/>
        <v>Gofo财务部</v>
      </c>
      <c r="D104" s="5">
        <f>VLOOKUP($C104,是否排班!$I:$L,4,FALSE)</f>
        <v>3</v>
      </c>
      <c r="E104" s="5">
        <f>VLOOKUP($C104,日超8H!$I:$L,2,FALSE)</f>
        <v>0</v>
      </c>
      <c r="F104" s="5">
        <f>VLOOKUP($C104,是否排班!$I:$L,3,FALSE)</f>
        <v>0</v>
      </c>
      <c r="G104" s="6">
        <f>VLOOKUP($C104,是否排班!$I:$M,5,FALSE)</f>
        <v>1</v>
      </c>
      <c r="H104" s="7" t="str">
        <f>IFERROR(VLOOKUP($C104,排班正确!$J:$O,6,FALSE),"/")</f>
        <v>/</v>
      </c>
      <c r="I104" s="4">
        <f>VLOOKUP($C104,缺卡!$H:$K,2,FALSE)</f>
        <v>8</v>
      </c>
      <c r="J104" s="7">
        <f>VLOOKUP($C104,缺卡!$H:$K,4,FALSE)</f>
        <v>0.666666666666667</v>
      </c>
      <c r="K104" s="10">
        <f>VLOOKUP($C104,[2]汇总!$C:$J,5,FALSE)</f>
        <v>1</v>
      </c>
      <c r="L104" s="10">
        <f>VLOOKUP($C104,[2]汇总!$C:$J,8,FALSE)</f>
        <v>0.75</v>
      </c>
      <c r="M104" s="11">
        <f t="shared" si="3"/>
        <v>0</v>
      </c>
      <c r="N104" s="12">
        <f t="shared" si="4"/>
        <v>-0.0833333333333334</v>
      </c>
    </row>
    <row r="105" hidden="1" spans="1:14">
      <c r="A105" s="5" t="s">
        <v>87</v>
      </c>
      <c r="B105" s="5"/>
      <c r="C105" s="4" t="str">
        <f t="shared" si="5"/>
        <v>NP 网络规划部</v>
      </c>
      <c r="D105" s="5">
        <f>VLOOKUP($C105,是否排班!$I:$L,4,FALSE)</f>
        <v>1</v>
      </c>
      <c r="E105" s="5">
        <f>VLOOKUP($C105,日超8H!$I:$L,2,FALSE)</f>
        <v>0</v>
      </c>
      <c r="F105" s="5">
        <f>VLOOKUP($C105,是否排班!$I:$L,3,FALSE)</f>
        <v>0</v>
      </c>
      <c r="G105" s="6">
        <f>VLOOKUP($C105,是否排班!$I:$M,5,FALSE)</f>
        <v>1</v>
      </c>
      <c r="H105" s="7" t="str">
        <f>IFERROR(VLOOKUP($C105,排班正确!$J:$O,6,FALSE),"/")</f>
        <v>/</v>
      </c>
      <c r="I105" s="4">
        <f>VLOOKUP($C105,缺卡!$H:$K,2,FALSE)</f>
        <v>0</v>
      </c>
      <c r="J105" s="7">
        <v>0</v>
      </c>
      <c r="K105" s="10">
        <f>VLOOKUP($C105,[2]汇总!$C:$J,5,FALSE)</f>
        <v>1</v>
      </c>
      <c r="L105" s="13">
        <v>0</v>
      </c>
      <c r="M105" s="11">
        <f t="shared" si="3"/>
        <v>0</v>
      </c>
      <c r="N105" s="12">
        <f t="shared" si="4"/>
        <v>0</v>
      </c>
    </row>
    <row r="106" hidden="1" spans="1:14">
      <c r="A106" s="5" t="s">
        <v>88</v>
      </c>
      <c r="B106" s="5"/>
      <c r="C106" s="4" t="str">
        <f t="shared" si="5"/>
        <v>OM 操作管理部</v>
      </c>
      <c r="D106" s="5">
        <f>VLOOKUP($C106,是否排班!$I:$L,4,FALSE)</f>
        <v>16</v>
      </c>
      <c r="E106" s="5">
        <f>VLOOKUP($C106,日超8H!$I:$L,2,FALSE)</f>
        <v>4</v>
      </c>
      <c r="F106" s="5">
        <f>VLOOKUP($C106,是否排班!$I:$L,3,FALSE)</f>
        <v>0</v>
      </c>
      <c r="G106" s="6">
        <f>VLOOKUP($C106,是否排班!$I:$M,5,FALSE)</f>
        <v>1</v>
      </c>
      <c r="H106" s="7" t="str">
        <f>IFERROR(VLOOKUP($C106,排班正确!$J:$O,6,FALSE),"/")</f>
        <v>/</v>
      </c>
      <c r="I106" s="4">
        <f>VLOOKUP($C106,缺卡!$H:$K,2,FALSE)</f>
        <v>15</v>
      </c>
      <c r="J106" s="7">
        <f>VLOOKUP($C106,缺卡!$H:$K,4,FALSE)</f>
        <v>0.375</v>
      </c>
      <c r="K106" s="10">
        <f>VLOOKUP($C106,[2]汇总!$C:$J,5,FALSE)</f>
        <v>1</v>
      </c>
      <c r="L106" s="10">
        <f>VLOOKUP($C106,[2]汇总!$C:$J,8,FALSE)</f>
        <v>0.590909090909091</v>
      </c>
      <c r="M106" s="11">
        <f t="shared" si="3"/>
        <v>0</v>
      </c>
      <c r="N106" s="12">
        <f t="shared" si="4"/>
        <v>-0.215909090909091</v>
      </c>
    </row>
    <row r="107" hidden="1" spans="1:14">
      <c r="A107" s="5" t="s">
        <v>89</v>
      </c>
      <c r="B107" s="5"/>
      <c r="C107" s="4" t="str">
        <f t="shared" si="5"/>
        <v>QC 质量控制部</v>
      </c>
      <c r="D107" s="5">
        <f>VLOOKUP($C107,是否排班!$I:$L,4,FALSE)</f>
        <v>6</v>
      </c>
      <c r="E107" s="5">
        <f>VLOOKUP($C107,日超8H!$I:$L,2,FALSE)</f>
        <v>5</v>
      </c>
      <c r="F107" s="5">
        <f>VLOOKUP($C107,是否排班!$I:$L,3,FALSE)</f>
        <v>0</v>
      </c>
      <c r="G107" s="6">
        <f>VLOOKUP($C107,是否排班!$I:$M,5,FALSE)</f>
        <v>1</v>
      </c>
      <c r="H107" s="7" t="str">
        <f>IFERROR(VLOOKUP($C107,排班正确!$J:$O,6,FALSE),"/")</f>
        <v>/</v>
      </c>
      <c r="I107" s="4">
        <f>VLOOKUP($C107,缺卡!$H:$K,2,FALSE)</f>
        <v>6</v>
      </c>
      <c r="J107" s="7">
        <f>VLOOKUP($C107,缺卡!$H:$K,4,FALSE)</f>
        <v>0.25</v>
      </c>
      <c r="K107" s="10">
        <f>VLOOKUP($C107,[2]汇总!$C:$J,5,FALSE)</f>
        <v>1</v>
      </c>
      <c r="L107" s="10">
        <f>VLOOKUP($C107,[2]汇总!$C:$J,8,FALSE)</f>
        <v>0.458333333333333</v>
      </c>
      <c r="M107" s="11">
        <f t="shared" si="3"/>
        <v>0</v>
      </c>
      <c r="N107" s="12">
        <f t="shared" si="4"/>
        <v>-0.208333333333333</v>
      </c>
    </row>
    <row r="108" hidden="1" spans="1:14">
      <c r="A108" s="5" t="s">
        <v>90</v>
      </c>
      <c r="B108" s="5"/>
      <c r="C108" s="4" t="str">
        <f t="shared" si="5"/>
        <v>SM 战略管理部</v>
      </c>
      <c r="D108" s="5">
        <f>VLOOKUP($C108,是否排班!$I:$L,4,FALSE)</f>
        <v>1</v>
      </c>
      <c r="E108" s="5">
        <f>VLOOKUP($C108,日超8H!$I:$L,2,FALSE)</f>
        <v>0</v>
      </c>
      <c r="F108" s="5">
        <f>VLOOKUP($C108,是否排班!$I:$L,3,FALSE)</f>
        <v>0</v>
      </c>
      <c r="G108" s="6">
        <f>VLOOKUP($C108,是否排班!$I:$M,5,FALSE)</f>
        <v>1</v>
      </c>
      <c r="H108" s="7" t="str">
        <f>IFERROR(VLOOKUP($C108,排班正确!$J:$O,6,FALSE),"/")</f>
        <v>/</v>
      </c>
      <c r="I108" s="4">
        <f>VLOOKUP($C108,缺卡!$H:$K,2,FALSE)</f>
        <v>4</v>
      </c>
      <c r="J108" s="7">
        <f>VLOOKUP($C108,缺卡!$H:$K,4,FALSE)</f>
        <v>1</v>
      </c>
      <c r="K108" s="13">
        <v>0</v>
      </c>
      <c r="L108" s="13">
        <v>0</v>
      </c>
      <c r="M108" s="11">
        <f t="shared" si="3"/>
        <v>1</v>
      </c>
      <c r="N108" s="12">
        <f t="shared" si="4"/>
        <v>1</v>
      </c>
    </row>
    <row r="109" hidden="1" spans="1:14">
      <c r="A109" s="5" t="s">
        <v>91</v>
      </c>
      <c r="B109" s="5"/>
      <c r="C109" s="4" t="str">
        <f t="shared" si="5"/>
        <v>SM 站点管理部</v>
      </c>
      <c r="D109" s="5">
        <f>VLOOKUP($C109,是否排班!$I:$L,4,FALSE)</f>
        <v>8</v>
      </c>
      <c r="E109" s="5">
        <f>VLOOKUP($C109,日超8H!$I:$L,2,FALSE)</f>
        <v>2</v>
      </c>
      <c r="F109" s="5">
        <f>VLOOKUP($C109,是否排班!$I:$L,3,FALSE)</f>
        <v>0</v>
      </c>
      <c r="G109" s="6">
        <f>VLOOKUP($C109,是否排班!$I:$M,5,FALSE)</f>
        <v>1</v>
      </c>
      <c r="H109" s="7" t="str">
        <f>IFERROR(VLOOKUP($C109,排班正确!$J:$O,6,FALSE),"/")</f>
        <v>/</v>
      </c>
      <c r="I109" s="4">
        <f>VLOOKUP($C109,缺卡!$H:$K,2,FALSE)</f>
        <v>4</v>
      </c>
      <c r="J109" s="7">
        <f>VLOOKUP($C109,缺卡!$H:$K,4,FALSE)</f>
        <v>0.5</v>
      </c>
      <c r="K109" s="10">
        <f>VLOOKUP($C109,[2]汇总!$C:$J,5,FALSE)</f>
        <v>1</v>
      </c>
      <c r="L109" s="10">
        <f>VLOOKUP($C109,[2]汇总!$C:$J,8,FALSE)</f>
        <v>0.625</v>
      </c>
      <c r="M109" s="11">
        <f t="shared" si="3"/>
        <v>0</v>
      </c>
      <c r="N109" s="12">
        <f t="shared" si="4"/>
        <v>-0.125</v>
      </c>
    </row>
    <row r="110" hidden="1" spans="1:14">
      <c r="A110" s="5" t="s">
        <v>99</v>
      </c>
      <c r="B110" s="5"/>
      <c r="C110" s="4" t="str">
        <f t="shared" si="5"/>
        <v>US人力资源部</v>
      </c>
      <c r="D110" s="5">
        <f>VLOOKUP($C110,是否排班!$I:$L,4,FALSE)</f>
        <v>49</v>
      </c>
      <c r="E110" s="5">
        <f>VLOOKUP($C110,日超8H!$I:$L,2,FALSE)</f>
        <v>24</v>
      </c>
      <c r="F110" s="5">
        <f>VLOOKUP($C110,是否排班!$I:$L,3,FALSE)</f>
        <v>0</v>
      </c>
      <c r="G110" s="6">
        <f>VLOOKUP($C110,是否排班!$I:$M,5,FALSE)</f>
        <v>1</v>
      </c>
      <c r="H110" s="7" t="str">
        <f>IFERROR(VLOOKUP($C110,排班正确!$J:$O,6,FALSE),"/")</f>
        <v>/</v>
      </c>
      <c r="I110" s="4">
        <f>VLOOKUP($C110,缺卡!$H:$K,2,FALSE)</f>
        <v>87</v>
      </c>
      <c r="J110" s="7">
        <f>VLOOKUP($C110,缺卡!$H:$K,4,FALSE)</f>
        <v>0.517857142857143</v>
      </c>
      <c r="K110" s="10">
        <f>VLOOKUP($C110,[2]汇总!$C:$J,5,FALSE)</f>
        <v>0.96</v>
      </c>
      <c r="L110" s="10">
        <f>VLOOKUP($C110,[2]汇总!$C:$J,8,FALSE)</f>
        <v>0.72</v>
      </c>
      <c r="M110" s="11">
        <f t="shared" si="3"/>
        <v>0.04</v>
      </c>
      <c r="N110" s="12">
        <f t="shared" si="4"/>
        <v>-0.202142857142857</v>
      </c>
    </row>
    <row r="111" hidden="1" spans="1:14">
      <c r="A111" s="5" t="s">
        <v>56</v>
      </c>
      <c r="B111" s="5"/>
      <c r="C111" s="4" t="str">
        <f t="shared" si="5"/>
        <v>IC 跨境客户部</v>
      </c>
      <c r="D111" s="5">
        <f>VLOOKUP($C111,是否排班!$I:$L,4,FALSE)</f>
        <v>6</v>
      </c>
      <c r="E111" s="5">
        <f>VLOOKUP($C111,日超8H!$I:$L,2,FALSE)</f>
        <v>2</v>
      </c>
      <c r="F111" s="5">
        <f>VLOOKUP($C111,是否排班!$I:$L,3,FALSE)</f>
        <v>0</v>
      </c>
      <c r="G111" s="6">
        <f>VLOOKUP($C111,是否排班!$I:$M,5,FALSE)</f>
        <v>1</v>
      </c>
      <c r="H111" s="7" t="str">
        <f>IFERROR(VLOOKUP($C111,排班正确!$J:$O,6,FALSE),"/")</f>
        <v>/</v>
      </c>
      <c r="I111" s="4">
        <f>VLOOKUP($C111,缺卡!$H:$K,2,FALSE)</f>
        <v>12</v>
      </c>
      <c r="J111" s="7">
        <f>VLOOKUP($C111,缺卡!$H:$K,4,FALSE)</f>
        <v>0.6</v>
      </c>
      <c r="K111" s="10">
        <f>VLOOKUP($C111,[2]汇总!$C:$J,5,FALSE)</f>
        <v>1</v>
      </c>
      <c r="L111" s="10">
        <f>VLOOKUP($C111,[2]汇总!$C:$J,8,FALSE)</f>
        <v>0.75</v>
      </c>
      <c r="M111" s="11">
        <f t="shared" si="3"/>
        <v>0</v>
      </c>
      <c r="N111" s="12">
        <f t="shared" si="4"/>
        <v>-0.15</v>
      </c>
    </row>
    <row r="112" hidden="1" spans="1:14">
      <c r="A112" s="5" t="s">
        <v>57</v>
      </c>
      <c r="B112" s="5"/>
      <c r="C112" s="4" t="str">
        <f t="shared" si="5"/>
        <v>LD 法务部</v>
      </c>
      <c r="D112" s="5">
        <f>VLOOKUP($C112,是否排班!$I:$L,4,FALSE)</f>
        <v>2</v>
      </c>
      <c r="E112" s="5">
        <f>VLOOKUP($C112,日超8H!$I:$L,2,FALSE)</f>
        <v>1</v>
      </c>
      <c r="F112" s="5">
        <f>VLOOKUP($C112,是否排班!$I:$L,3,FALSE)</f>
        <v>0</v>
      </c>
      <c r="G112" s="6">
        <f>VLOOKUP($C112,是否排班!$I:$M,5,FALSE)</f>
        <v>1</v>
      </c>
      <c r="H112" s="7" t="str">
        <f>IFERROR(VLOOKUP($C112,排班正确!$J:$O,6,FALSE),"/")</f>
        <v>/</v>
      </c>
      <c r="I112" s="4">
        <f>VLOOKUP($C112,缺卡!$H:$K,2,FALSE)</f>
        <v>1</v>
      </c>
      <c r="J112" s="7">
        <f>VLOOKUP($C112,缺卡!$H:$K,4,FALSE)</f>
        <v>0.125</v>
      </c>
      <c r="K112" s="10">
        <f>VLOOKUP($C112,[2]汇总!$C:$J,5,FALSE)</f>
        <v>1</v>
      </c>
      <c r="L112" s="10">
        <f>VLOOKUP($C112,[2]汇总!$C:$J,8,FALSE)</f>
        <v>0.25</v>
      </c>
      <c r="M112" s="11">
        <f t="shared" si="3"/>
        <v>0</v>
      </c>
      <c r="N112" s="12">
        <f t="shared" si="4"/>
        <v>-0.125</v>
      </c>
    </row>
    <row r="113" hidden="1" spans="1:14">
      <c r="A113" s="5" t="s">
        <v>6</v>
      </c>
      <c r="B113" s="5"/>
      <c r="C113" s="4" t="str">
        <f t="shared" si="5"/>
        <v>总计</v>
      </c>
      <c r="D113" s="5">
        <f>VLOOKUP($C113,是否排班!$I:$L,4,FALSE)</f>
        <v>990</v>
      </c>
      <c r="E113" s="5">
        <f>VLOOKUP($C113,日超8H!$I:$L,2,FALSE)</f>
        <v>433</v>
      </c>
      <c r="F113" s="5">
        <f>VLOOKUP($C113,是否排班!$I:$L,3,FALSE)</f>
        <v>16</v>
      </c>
      <c r="G113" s="6">
        <f>VLOOKUP($C113,是否排班!$I:$M,5,FALSE)</f>
        <v>0.983838383838384</v>
      </c>
      <c r="H113" s="7">
        <f>IFERROR(VLOOKUP($C113,排班正确!$J:$O,6,FALSE),"/")</f>
        <v>0.771513353115727</v>
      </c>
      <c r="I113" s="4">
        <f>VLOOKUP($C113,缺卡!$H:$K,2,FALSE)</f>
        <v>1032</v>
      </c>
      <c r="J113" s="7">
        <f>VLOOKUP($C113,缺卡!$H:$K,4,FALSE)</f>
        <v>0.339473684210526</v>
      </c>
      <c r="K113" s="10">
        <f>VLOOKUP($C113,[2]汇总!$C:$J,5,FALSE)</f>
        <v>0.948484848484848</v>
      </c>
      <c r="L113" s="10">
        <f>VLOOKUP($C113,[2]汇总!$C:$J,8,FALSE)</f>
        <v>0.587540983606557</v>
      </c>
      <c r="M113" s="11">
        <f t="shared" si="3"/>
        <v>0.0353535353535358</v>
      </c>
      <c r="N113" s="12">
        <f t="shared" si="4"/>
        <v>-0.248067299396031</v>
      </c>
    </row>
  </sheetData>
  <autoFilter xmlns:etc="http://www.wps.cn/officeDocument/2017/etCustomData" ref="A2:N113" etc:filterBottomFollowUsedRange="0">
    <filterColumn colId="0">
      <customFilters>
        <customFilter operator="equal" val="NE 东北大区"/>
        <customFilter operator="equal" val="NE 东北大区 汇总"/>
      </customFilters>
    </filterColumn>
    <extLst/>
  </autoFilter>
  <sortState ref="A87:N95">
    <sortCondition ref="G87:G95"/>
  </sortState>
  <mergeCells count="6">
    <mergeCell ref="D1:J1"/>
    <mergeCell ref="K1:L1"/>
    <mergeCell ref="M1:N1"/>
    <mergeCell ref="A1:A2"/>
    <mergeCell ref="B1:B2"/>
    <mergeCell ref="C1:C2"/>
  </mergeCells>
  <conditionalFormatting sqref="G3">
    <cfRule type="cellIs" dxfId="0" priority="770" operator="equal">
      <formula>1</formula>
    </cfRule>
    <cfRule type="cellIs" dxfId="1" priority="881" operator="lessThan">
      <formula>0.9</formula>
    </cfRule>
    <cfRule type="cellIs" dxfId="2" priority="992" operator="lessThan">
      <formula>1</formula>
    </cfRule>
  </conditionalFormatting>
  <conditionalFormatting sqref="H3">
    <cfRule type="cellIs" dxfId="3" priority="437" operator="greaterThanOrEqual">
      <formula>0.9</formula>
    </cfRule>
    <cfRule type="cellIs" dxfId="4" priority="548" operator="lessThan">
      <formula>0.9</formula>
    </cfRule>
    <cfRule type="cellIs" dxfId="5" priority="659" operator="lessThan">
      <formula>0.5</formula>
    </cfRule>
  </conditionalFormatting>
  <conditionalFormatting sqref="J3">
    <cfRule type="cellIs" dxfId="3" priority="104" operator="lessThan">
      <formula>0.5</formula>
    </cfRule>
    <cfRule type="cellIs" dxfId="4" priority="215" operator="lessThan">
      <formula>0.9</formula>
    </cfRule>
    <cfRule type="cellIs" dxfId="5" priority="326" operator="greaterThanOrEqual">
      <formula>0.9</formula>
    </cfRule>
  </conditionalFormatting>
  <conditionalFormatting sqref="G4">
    <cfRule type="cellIs" dxfId="0" priority="769" operator="equal">
      <formula>1</formula>
    </cfRule>
    <cfRule type="cellIs" dxfId="1" priority="880" operator="lessThan">
      <formula>0.9</formula>
    </cfRule>
    <cfRule type="cellIs" dxfId="2" priority="991" operator="lessThan">
      <formula>1</formula>
    </cfRule>
  </conditionalFormatting>
  <conditionalFormatting sqref="H4">
    <cfRule type="cellIs" dxfId="3" priority="436" operator="greaterThanOrEqual">
      <formula>0.9</formula>
    </cfRule>
    <cfRule type="cellIs" dxfId="4" priority="547" operator="lessThan">
      <formula>0.9</formula>
    </cfRule>
    <cfRule type="cellIs" dxfId="5" priority="658" operator="lessThan">
      <formula>0.5</formula>
    </cfRule>
  </conditionalFormatting>
  <conditionalFormatting sqref="J4">
    <cfRule type="cellIs" dxfId="3" priority="103" operator="lessThan">
      <formula>0.5</formula>
    </cfRule>
    <cfRule type="cellIs" dxfId="4" priority="214" operator="lessThan">
      <formula>0.9</formula>
    </cfRule>
    <cfRule type="cellIs" dxfId="5" priority="325" operator="greaterThanOrEqual">
      <formula>0.9</formula>
    </cfRule>
  </conditionalFormatting>
  <conditionalFormatting sqref="G5">
    <cfRule type="cellIs" dxfId="0" priority="768" operator="equal">
      <formula>1</formula>
    </cfRule>
    <cfRule type="cellIs" dxfId="1" priority="879" operator="lessThan">
      <formula>0.9</formula>
    </cfRule>
    <cfRule type="cellIs" dxfId="2" priority="990" operator="lessThan">
      <formula>1</formula>
    </cfRule>
  </conditionalFormatting>
  <conditionalFormatting sqref="H5">
    <cfRule type="cellIs" dxfId="3" priority="435" operator="greaterThanOrEqual">
      <formula>0.9</formula>
    </cfRule>
    <cfRule type="cellIs" dxfId="4" priority="546" operator="lessThan">
      <formula>0.9</formula>
    </cfRule>
    <cfRule type="cellIs" dxfId="5" priority="657" operator="lessThan">
      <formula>0.5</formula>
    </cfRule>
  </conditionalFormatting>
  <conditionalFormatting sqref="J5">
    <cfRule type="cellIs" dxfId="3" priority="102" operator="lessThan">
      <formula>0.5</formula>
    </cfRule>
    <cfRule type="cellIs" dxfId="4" priority="213" operator="lessThan">
      <formula>0.9</formula>
    </cfRule>
    <cfRule type="cellIs" dxfId="5" priority="324" operator="greaterThanOrEqual">
      <formula>0.9</formula>
    </cfRule>
  </conditionalFormatting>
  <conditionalFormatting sqref="G6">
    <cfRule type="cellIs" dxfId="0" priority="767" operator="equal">
      <formula>1</formula>
    </cfRule>
    <cfRule type="cellIs" dxfId="1" priority="878" operator="lessThan">
      <formula>0.9</formula>
    </cfRule>
    <cfRule type="cellIs" dxfId="2" priority="989" operator="lessThan">
      <formula>1</formula>
    </cfRule>
  </conditionalFormatting>
  <conditionalFormatting sqref="H6">
    <cfRule type="cellIs" dxfId="3" priority="434" operator="greaterThanOrEqual">
      <formula>0.9</formula>
    </cfRule>
    <cfRule type="cellIs" dxfId="4" priority="545" operator="lessThan">
      <formula>0.9</formula>
    </cfRule>
    <cfRule type="cellIs" dxfId="5" priority="656" operator="lessThan">
      <formula>0.5</formula>
    </cfRule>
  </conditionalFormatting>
  <conditionalFormatting sqref="J6">
    <cfRule type="cellIs" dxfId="3" priority="101" operator="lessThan">
      <formula>0.5</formula>
    </cfRule>
    <cfRule type="cellIs" dxfId="4" priority="212" operator="lessThan">
      <formula>0.9</formula>
    </cfRule>
    <cfRule type="cellIs" dxfId="5" priority="323" operator="greaterThanOrEqual">
      <formula>0.9</formula>
    </cfRule>
  </conditionalFormatting>
  <conditionalFormatting sqref="G7">
    <cfRule type="cellIs" dxfId="0" priority="766" operator="equal">
      <formula>1</formula>
    </cfRule>
    <cfRule type="cellIs" dxfId="1" priority="877" operator="lessThan">
      <formula>0.9</formula>
    </cfRule>
    <cfRule type="cellIs" dxfId="2" priority="988" operator="lessThan">
      <formula>1</formula>
    </cfRule>
  </conditionalFormatting>
  <conditionalFormatting sqref="H7">
    <cfRule type="cellIs" dxfId="3" priority="433" operator="greaterThanOrEqual">
      <formula>0.9</formula>
    </cfRule>
    <cfRule type="cellIs" dxfId="4" priority="544" operator="lessThan">
      <formula>0.9</formula>
    </cfRule>
    <cfRule type="cellIs" dxfId="5" priority="655" operator="lessThan">
      <formula>0.5</formula>
    </cfRule>
  </conditionalFormatting>
  <conditionalFormatting sqref="J7">
    <cfRule type="cellIs" dxfId="3" priority="100" operator="lessThan">
      <formula>0.5</formula>
    </cfRule>
    <cfRule type="cellIs" dxfId="4" priority="211" operator="lessThan">
      <formula>0.9</formula>
    </cfRule>
    <cfRule type="cellIs" dxfId="5" priority="322" operator="greaterThanOrEqual">
      <formula>0.9</formula>
    </cfRule>
  </conditionalFormatting>
  <conditionalFormatting sqref="G8">
    <cfRule type="cellIs" dxfId="0" priority="765" operator="equal">
      <formula>1</formula>
    </cfRule>
    <cfRule type="cellIs" dxfId="1" priority="876" operator="lessThan">
      <formula>0.9</formula>
    </cfRule>
    <cfRule type="cellIs" dxfId="2" priority="987" operator="lessThan">
      <formula>1</formula>
    </cfRule>
  </conditionalFormatting>
  <conditionalFormatting sqref="H8">
    <cfRule type="cellIs" dxfId="3" priority="432" operator="greaterThanOrEqual">
      <formula>0.9</formula>
    </cfRule>
    <cfRule type="cellIs" dxfId="4" priority="543" operator="lessThan">
      <formula>0.9</formula>
    </cfRule>
    <cfRule type="cellIs" dxfId="5" priority="654" operator="lessThan">
      <formula>0.5</formula>
    </cfRule>
  </conditionalFormatting>
  <conditionalFormatting sqref="J8">
    <cfRule type="cellIs" dxfId="3" priority="99" operator="lessThan">
      <formula>0.5</formula>
    </cfRule>
    <cfRule type="cellIs" dxfId="4" priority="210" operator="lessThan">
      <formula>0.9</formula>
    </cfRule>
    <cfRule type="cellIs" dxfId="5" priority="321" operator="greaterThanOrEqual">
      <formula>0.9</formula>
    </cfRule>
  </conditionalFormatting>
  <conditionalFormatting sqref="G9">
    <cfRule type="cellIs" dxfId="0" priority="764" operator="equal">
      <formula>1</formula>
    </cfRule>
    <cfRule type="cellIs" dxfId="1" priority="875" operator="lessThan">
      <formula>0.9</formula>
    </cfRule>
    <cfRule type="cellIs" dxfId="2" priority="986" operator="lessThan">
      <formula>1</formula>
    </cfRule>
  </conditionalFormatting>
  <conditionalFormatting sqref="H9">
    <cfRule type="cellIs" dxfId="3" priority="431" operator="greaterThanOrEqual">
      <formula>0.9</formula>
    </cfRule>
    <cfRule type="cellIs" dxfId="4" priority="542" operator="lessThan">
      <formula>0.9</formula>
    </cfRule>
    <cfRule type="cellIs" dxfId="5" priority="653" operator="lessThan">
      <formula>0.5</formula>
    </cfRule>
  </conditionalFormatting>
  <conditionalFormatting sqref="J9">
    <cfRule type="cellIs" dxfId="3" priority="98" operator="lessThan">
      <formula>0.5</formula>
    </cfRule>
    <cfRule type="cellIs" dxfId="4" priority="209" operator="lessThan">
      <formula>0.9</formula>
    </cfRule>
    <cfRule type="cellIs" dxfId="5" priority="320" operator="greaterThanOrEqual">
      <formula>0.9</formula>
    </cfRule>
  </conditionalFormatting>
  <conditionalFormatting sqref="G10">
    <cfRule type="cellIs" dxfId="0" priority="763" operator="equal">
      <formula>1</formula>
    </cfRule>
    <cfRule type="cellIs" dxfId="1" priority="874" operator="lessThan">
      <formula>0.9</formula>
    </cfRule>
    <cfRule type="cellIs" dxfId="2" priority="985" operator="lessThan">
      <formula>1</formula>
    </cfRule>
  </conditionalFormatting>
  <conditionalFormatting sqref="H10">
    <cfRule type="cellIs" dxfId="3" priority="430" operator="greaterThanOrEqual">
      <formula>0.9</formula>
    </cfRule>
    <cfRule type="cellIs" dxfId="4" priority="541" operator="lessThan">
      <formula>0.9</formula>
    </cfRule>
    <cfRule type="cellIs" dxfId="5" priority="652" operator="lessThan">
      <formula>0.5</formula>
    </cfRule>
  </conditionalFormatting>
  <conditionalFormatting sqref="J10">
    <cfRule type="cellIs" dxfId="3" priority="97" operator="lessThan">
      <formula>0.5</formula>
    </cfRule>
    <cfRule type="cellIs" dxfId="4" priority="208" operator="lessThan">
      <formula>0.9</formula>
    </cfRule>
    <cfRule type="cellIs" dxfId="5" priority="319" operator="greaterThanOrEqual">
      <formula>0.9</formula>
    </cfRule>
  </conditionalFormatting>
  <conditionalFormatting sqref="G11">
    <cfRule type="cellIs" dxfId="0" priority="762" operator="equal">
      <formula>1</formula>
    </cfRule>
    <cfRule type="cellIs" dxfId="1" priority="873" operator="lessThan">
      <formula>0.9</formula>
    </cfRule>
    <cfRule type="cellIs" dxfId="2" priority="984" operator="lessThan">
      <formula>1</formula>
    </cfRule>
  </conditionalFormatting>
  <conditionalFormatting sqref="H11">
    <cfRule type="cellIs" dxfId="3" priority="429" operator="greaterThanOrEqual">
      <formula>0.9</formula>
    </cfRule>
    <cfRule type="cellIs" dxfId="4" priority="540" operator="lessThan">
      <formula>0.9</formula>
    </cfRule>
    <cfRule type="cellIs" dxfId="5" priority="651" operator="lessThan">
      <formula>0.5</formula>
    </cfRule>
  </conditionalFormatting>
  <conditionalFormatting sqref="J11">
    <cfRule type="cellIs" dxfId="3" priority="96" operator="lessThan">
      <formula>0.5</formula>
    </cfRule>
    <cfRule type="cellIs" dxfId="4" priority="207" operator="lessThan">
      <formula>0.9</formula>
    </cfRule>
    <cfRule type="cellIs" dxfId="5" priority="318" operator="greaterThanOrEqual">
      <formula>0.9</formula>
    </cfRule>
  </conditionalFormatting>
  <conditionalFormatting sqref="G12">
    <cfRule type="cellIs" dxfId="0" priority="761" operator="equal">
      <formula>1</formula>
    </cfRule>
    <cfRule type="cellIs" dxfId="1" priority="872" operator="lessThan">
      <formula>0.9</formula>
    </cfRule>
    <cfRule type="cellIs" dxfId="2" priority="983" operator="lessThan">
      <formula>1</formula>
    </cfRule>
  </conditionalFormatting>
  <conditionalFormatting sqref="H12">
    <cfRule type="cellIs" dxfId="3" priority="428" operator="greaterThanOrEqual">
      <formula>0.9</formula>
    </cfRule>
    <cfRule type="cellIs" dxfId="4" priority="539" operator="lessThan">
      <formula>0.9</formula>
    </cfRule>
    <cfRule type="cellIs" dxfId="5" priority="650" operator="lessThan">
      <formula>0.5</formula>
    </cfRule>
  </conditionalFormatting>
  <conditionalFormatting sqref="J12">
    <cfRule type="cellIs" dxfId="3" priority="95" operator="lessThan">
      <formula>0.5</formula>
    </cfRule>
    <cfRule type="cellIs" dxfId="4" priority="206" operator="lessThan">
      <formula>0.9</formula>
    </cfRule>
    <cfRule type="cellIs" dxfId="5" priority="317" operator="greaterThanOrEqual">
      <formula>0.9</formula>
    </cfRule>
  </conditionalFormatting>
  <conditionalFormatting sqref="G13">
    <cfRule type="cellIs" dxfId="0" priority="760" operator="equal">
      <formula>1</formula>
    </cfRule>
    <cfRule type="cellIs" dxfId="1" priority="871" operator="lessThan">
      <formula>0.9</formula>
    </cfRule>
    <cfRule type="cellIs" dxfId="2" priority="982" operator="lessThan">
      <formula>1</formula>
    </cfRule>
  </conditionalFormatting>
  <conditionalFormatting sqref="H13">
    <cfRule type="cellIs" dxfId="3" priority="427" operator="greaterThanOrEqual">
      <formula>0.9</formula>
    </cfRule>
    <cfRule type="cellIs" dxfId="4" priority="538" operator="lessThan">
      <formula>0.9</formula>
    </cfRule>
    <cfRule type="cellIs" dxfId="5" priority="649" operator="lessThan">
      <formula>0.5</formula>
    </cfRule>
  </conditionalFormatting>
  <conditionalFormatting sqref="J13">
    <cfRule type="cellIs" dxfId="3" priority="94" operator="lessThan">
      <formula>0.5</formula>
    </cfRule>
    <cfRule type="cellIs" dxfId="4" priority="205" operator="lessThan">
      <formula>0.9</formula>
    </cfRule>
    <cfRule type="cellIs" dxfId="5" priority="316" operator="greaterThanOrEqual">
      <formula>0.9</formula>
    </cfRule>
  </conditionalFormatting>
  <conditionalFormatting sqref="G14">
    <cfRule type="cellIs" dxfId="0" priority="759" operator="equal">
      <formula>1</formula>
    </cfRule>
    <cfRule type="cellIs" dxfId="1" priority="870" operator="lessThan">
      <formula>0.9</formula>
    </cfRule>
    <cfRule type="cellIs" dxfId="2" priority="981" operator="lessThan">
      <formula>1</formula>
    </cfRule>
  </conditionalFormatting>
  <conditionalFormatting sqref="H14">
    <cfRule type="cellIs" dxfId="3" priority="426" operator="greaterThanOrEqual">
      <formula>0.9</formula>
    </cfRule>
    <cfRule type="cellIs" dxfId="4" priority="537" operator="lessThan">
      <formula>0.9</formula>
    </cfRule>
    <cfRule type="cellIs" dxfId="5" priority="648" operator="lessThan">
      <formula>0.5</formula>
    </cfRule>
  </conditionalFormatting>
  <conditionalFormatting sqref="J14">
    <cfRule type="cellIs" dxfId="3" priority="93" operator="lessThan">
      <formula>0.5</formula>
    </cfRule>
    <cfRule type="cellIs" dxfId="4" priority="204" operator="lessThan">
      <formula>0.9</formula>
    </cfRule>
    <cfRule type="cellIs" dxfId="5" priority="315" operator="greaterThanOrEqual">
      <formula>0.9</formula>
    </cfRule>
  </conditionalFormatting>
  <conditionalFormatting sqref="G15">
    <cfRule type="cellIs" dxfId="0" priority="758" operator="equal">
      <formula>1</formula>
    </cfRule>
    <cfRule type="cellIs" dxfId="1" priority="869" operator="lessThan">
      <formula>0.9</formula>
    </cfRule>
    <cfRule type="cellIs" dxfId="2" priority="980" operator="lessThan">
      <formula>1</formula>
    </cfRule>
  </conditionalFormatting>
  <conditionalFormatting sqref="H15">
    <cfRule type="cellIs" dxfId="3" priority="425" operator="greaterThanOrEqual">
      <formula>0.9</formula>
    </cfRule>
    <cfRule type="cellIs" dxfId="4" priority="536" operator="lessThan">
      <formula>0.9</formula>
    </cfRule>
    <cfRule type="cellIs" dxfId="5" priority="647" operator="lessThan">
      <formula>0.5</formula>
    </cfRule>
  </conditionalFormatting>
  <conditionalFormatting sqref="J15">
    <cfRule type="cellIs" dxfId="3" priority="92" operator="lessThan">
      <formula>0.5</formula>
    </cfRule>
    <cfRule type="cellIs" dxfId="4" priority="203" operator="lessThan">
      <formula>0.9</formula>
    </cfRule>
    <cfRule type="cellIs" dxfId="5" priority="314" operator="greaterThanOrEqual">
      <formula>0.9</formula>
    </cfRule>
  </conditionalFormatting>
  <conditionalFormatting sqref="G16">
    <cfRule type="cellIs" dxfId="0" priority="757" operator="equal">
      <formula>1</formula>
    </cfRule>
    <cfRule type="cellIs" dxfId="1" priority="868" operator="lessThan">
      <formula>0.9</formula>
    </cfRule>
    <cfRule type="cellIs" dxfId="2" priority="979" operator="lessThan">
      <formula>1</formula>
    </cfRule>
  </conditionalFormatting>
  <conditionalFormatting sqref="H16">
    <cfRule type="cellIs" dxfId="3" priority="424" operator="greaterThanOrEqual">
      <formula>0.9</formula>
    </cfRule>
    <cfRule type="cellIs" dxfId="4" priority="535" operator="lessThan">
      <formula>0.9</formula>
    </cfRule>
    <cfRule type="cellIs" dxfId="5" priority="646" operator="lessThan">
      <formula>0.5</formula>
    </cfRule>
  </conditionalFormatting>
  <conditionalFormatting sqref="J16">
    <cfRule type="cellIs" dxfId="3" priority="91" operator="lessThan">
      <formula>0.5</formula>
    </cfRule>
    <cfRule type="cellIs" dxfId="4" priority="202" operator="lessThan">
      <formula>0.9</formula>
    </cfRule>
    <cfRule type="cellIs" dxfId="5" priority="313" operator="greaterThanOrEqual">
      <formula>0.9</formula>
    </cfRule>
  </conditionalFormatting>
  <conditionalFormatting sqref="G17">
    <cfRule type="cellIs" dxfId="0" priority="756" operator="equal">
      <formula>1</formula>
    </cfRule>
    <cfRule type="cellIs" dxfId="1" priority="867" operator="lessThan">
      <formula>0.9</formula>
    </cfRule>
    <cfRule type="cellIs" dxfId="2" priority="978" operator="lessThan">
      <formula>1</formula>
    </cfRule>
  </conditionalFormatting>
  <conditionalFormatting sqref="H17">
    <cfRule type="cellIs" dxfId="3" priority="423" operator="greaterThanOrEqual">
      <formula>0.9</formula>
    </cfRule>
    <cfRule type="cellIs" dxfId="4" priority="534" operator="lessThan">
      <formula>0.9</formula>
    </cfRule>
    <cfRule type="cellIs" dxfId="5" priority="645" operator="lessThan">
      <formula>0.5</formula>
    </cfRule>
  </conditionalFormatting>
  <conditionalFormatting sqref="J17">
    <cfRule type="cellIs" dxfId="3" priority="90" operator="lessThan">
      <formula>0.5</formula>
    </cfRule>
    <cfRule type="cellIs" dxfId="4" priority="201" operator="lessThan">
      <formula>0.9</formula>
    </cfRule>
    <cfRule type="cellIs" dxfId="5" priority="312" operator="greaterThanOrEqual">
      <formula>0.9</formula>
    </cfRule>
  </conditionalFormatting>
  <conditionalFormatting sqref="G18">
    <cfRule type="cellIs" dxfId="0" priority="755" operator="equal">
      <formula>1</formula>
    </cfRule>
    <cfRule type="cellIs" dxfId="1" priority="866" operator="lessThan">
      <formula>0.9</formula>
    </cfRule>
    <cfRule type="cellIs" dxfId="2" priority="977" operator="lessThan">
      <formula>1</formula>
    </cfRule>
  </conditionalFormatting>
  <conditionalFormatting sqref="H18">
    <cfRule type="cellIs" dxfId="3" priority="422" operator="greaterThanOrEqual">
      <formula>0.9</formula>
    </cfRule>
    <cfRule type="cellIs" dxfId="4" priority="533" operator="lessThan">
      <formula>0.9</formula>
    </cfRule>
    <cfRule type="cellIs" dxfId="5" priority="644" operator="lessThan">
      <formula>0.5</formula>
    </cfRule>
  </conditionalFormatting>
  <conditionalFormatting sqref="J18">
    <cfRule type="cellIs" dxfId="3" priority="89" operator="lessThan">
      <formula>0.5</formula>
    </cfRule>
    <cfRule type="cellIs" dxfId="4" priority="200" operator="lessThan">
      <formula>0.9</formula>
    </cfRule>
    <cfRule type="cellIs" dxfId="5" priority="311" operator="greaterThanOrEqual">
      <formula>0.9</formula>
    </cfRule>
  </conditionalFormatting>
  <conditionalFormatting sqref="G19">
    <cfRule type="cellIs" dxfId="0" priority="754" operator="equal">
      <formula>1</formula>
    </cfRule>
    <cfRule type="cellIs" dxfId="1" priority="865" operator="lessThan">
      <formula>0.9</formula>
    </cfRule>
    <cfRule type="cellIs" dxfId="2" priority="976" operator="lessThan">
      <formula>1</formula>
    </cfRule>
  </conditionalFormatting>
  <conditionalFormatting sqref="H19">
    <cfRule type="cellIs" dxfId="3" priority="421" operator="greaterThanOrEqual">
      <formula>0.9</formula>
    </cfRule>
    <cfRule type="cellIs" dxfId="4" priority="532" operator="lessThan">
      <formula>0.9</formula>
    </cfRule>
    <cfRule type="cellIs" dxfId="5" priority="643" operator="lessThan">
      <formula>0.5</formula>
    </cfRule>
  </conditionalFormatting>
  <conditionalFormatting sqref="J19">
    <cfRule type="cellIs" dxfId="3" priority="88" operator="lessThan">
      <formula>0.5</formula>
    </cfRule>
    <cfRule type="cellIs" dxfId="4" priority="199" operator="lessThan">
      <formula>0.9</formula>
    </cfRule>
    <cfRule type="cellIs" dxfId="5" priority="310" operator="greaterThanOrEqual">
      <formula>0.9</formula>
    </cfRule>
  </conditionalFormatting>
  <conditionalFormatting sqref="G20">
    <cfRule type="cellIs" dxfId="0" priority="753" operator="equal">
      <formula>1</formula>
    </cfRule>
    <cfRule type="cellIs" dxfId="1" priority="864" operator="lessThan">
      <formula>0.9</formula>
    </cfRule>
    <cfRule type="cellIs" dxfId="2" priority="975" operator="lessThan">
      <formula>1</formula>
    </cfRule>
  </conditionalFormatting>
  <conditionalFormatting sqref="H20">
    <cfRule type="cellIs" dxfId="3" priority="420" operator="greaterThanOrEqual">
      <formula>0.9</formula>
    </cfRule>
    <cfRule type="cellIs" dxfId="4" priority="531" operator="lessThan">
      <formula>0.9</formula>
    </cfRule>
    <cfRule type="cellIs" dxfId="5" priority="642" operator="lessThan">
      <formula>0.5</formula>
    </cfRule>
  </conditionalFormatting>
  <conditionalFormatting sqref="J20">
    <cfRule type="cellIs" dxfId="3" priority="87" operator="lessThan">
      <formula>0.5</formula>
    </cfRule>
    <cfRule type="cellIs" dxfId="4" priority="198" operator="lessThan">
      <formula>0.9</formula>
    </cfRule>
    <cfRule type="cellIs" dxfId="5" priority="309" operator="greaterThanOrEqual">
      <formula>0.9</formula>
    </cfRule>
  </conditionalFormatting>
  <conditionalFormatting sqref="G21">
    <cfRule type="cellIs" dxfId="0" priority="752" operator="equal">
      <formula>1</formula>
    </cfRule>
    <cfRule type="cellIs" dxfId="1" priority="863" operator="lessThan">
      <formula>0.9</formula>
    </cfRule>
    <cfRule type="cellIs" dxfId="2" priority="974" operator="lessThan">
      <formula>1</formula>
    </cfRule>
  </conditionalFormatting>
  <conditionalFormatting sqref="H21">
    <cfRule type="cellIs" dxfId="3" priority="419" operator="greaterThanOrEqual">
      <formula>0.9</formula>
    </cfRule>
    <cfRule type="cellIs" dxfId="4" priority="530" operator="lessThan">
      <formula>0.9</formula>
    </cfRule>
    <cfRule type="cellIs" dxfId="5" priority="641" operator="lessThan">
      <formula>0.5</formula>
    </cfRule>
  </conditionalFormatting>
  <conditionalFormatting sqref="J21">
    <cfRule type="cellIs" dxfId="3" priority="86" operator="lessThan">
      <formula>0.5</formula>
    </cfRule>
    <cfRule type="cellIs" dxfId="4" priority="197" operator="lessThan">
      <formula>0.9</formula>
    </cfRule>
    <cfRule type="cellIs" dxfId="5" priority="308" operator="greaterThanOrEqual">
      <formula>0.9</formula>
    </cfRule>
  </conditionalFormatting>
  <conditionalFormatting sqref="G22">
    <cfRule type="cellIs" dxfId="0" priority="751" operator="equal">
      <formula>1</formula>
    </cfRule>
    <cfRule type="cellIs" dxfId="1" priority="862" operator="lessThan">
      <formula>0.9</formula>
    </cfRule>
    <cfRule type="cellIs" dxfId="2" priority="973" operator="lessThan">
      <formula>1</formula>
    </cfRule>
  </conditionalFormatting>
  <conditionalFormatting sqref="H22">
    <cfRule type="cellIs" dxfId="3" priority="418" operator="greaterThanOrEqual">
      <formula>0.9</formula>
    </cfRule>
    <cfRule type="cellIs" dxfId="4" priority="529" operator="lessThan">
      <formula>0.9</formula>
    </cfRule>
    <cfRule type="cellIs" dxfId="5" priority="640" operator="lessThan">
      <formula>0.5</formula>
    </cfRule>
  </conditionalFormatting>
  <conditionalFormatting sqref="J22">
    <cfRule type="cellIs" dxfId="3" priority="85" operator="lessThan">
      <formula>0.5</formula>
    </cfRule>
    <cfRule type="cellIs" dxfId="4" priority="196" operator="lessThan">
      <formula>0.9</formula>
    </cfRule>
    <cfRule type="cellIs" dxfId="5" priority="307" operator="greaterThanOrEqual">
      <formula>0.9</formula>
    </cfRule>
  </conditionalFormatting>
  <conditionalFormatting sqref="G23">
    <cfRule type="cellIs" dxfId="0" priority="750" operator="equal">
      <formula>1</formula>
    </cfRule>
    <cfRule type="cellIs" dxfId="1" priority="861" operator="lessThan">
      <formula>0.9</formula>
    </cfRule>
    <cfRule type="cellIs" dxfId="2" priority="972" operator="lessThan">
      <formula>1</formula>
    </cfRule>
  </conditionalFormatting>
  <conditionalFormatting sqref="H23">
    <cfRule type="cellIs" dxfId="3" priority="417" operator="greaterThanOrEqual">
      <formula>0.9</formula>
    </cfRule>
    <cfRule type="cellIs" dxfId="4" priority="528" operator="lessThan">
      <formula>0.9</formula>
    </cfRule>
    <cfRule type="cellIs" dxfId="5" priority="639" operator="lessThan">
      <formula>0.5</formula>
    </cfRule>
  </conditionalFormatting>
  <conditionalFormatting sqref="J23">
    <cfRule type="cellIs" dxfId="3" priority="84" operator="lessThan">
      <formula>0.5</formula>
    </cfRule>
    <cfRule type="cellIs" dxfId="4" priority="195" operator="lessThan">
      <formula>0.9</formula>
    </cfRule>
    <cfRule type="cellIs" dxfId="5" priority="306" operator="greaterThanOrEqual">
      <formula>0.9</formula>
    </cfRule>
  </conditionalFormatting>
  <conditionalFormatting sqref="G24">
    <cfRule type="cellIs" dxfId="0" priority="749" operator="equal">
      <formula>1</formula>
    </cfRule>
    <cfRule type="cellIs" dxfId="1" priority="860" operator="lessThan">
      <formula>0.9</formula>
    </cfRule>
    <cfRule type="cellIs" dxfId="2" priority="971" operator="lessThan">
      <formula>1</formula>
    </cfRule>
  </conditionalFormatting>
  <conditionalFormatting sqref="H24">
    <cfRule type="cellIs" dxfId="3" priority="416" operator="greaterThanOrEqual">
      <formula>0.9</formula>
    </cfRule>
    <cfRule type="cellIs" dxfId="4" priority="527" operator="lessThan">
      <formula>0.9</formula>
    </cfRule>
    <cfRule type="cellIs" dxfId="5" priority="638" operator="lessThan">
      <formula>0.5</formula>
    </cfRule>
  </conditionalFormatting>
  <conditionalFormatting sqref="J24">
    <cfRule type="cellIs" dxfId="3" priority="83" operator="lessThan">
      <formula>0.5</formula>
    </cfRule>
    <cfRule type="cellIs" dxfId="4" priority="194" operator="lessThan">
      <formula>0.9</formula>
    </cfRule>
    <cfRule type="cellIs" dxfId="5" priority="305" operator="greaterThanOrEqual">
      <formula>0.9</formula>
    </cfRule>
  </conditionalFormatting>
  <conditionalFormatting sqref="G25">
    <cfRule type="cellIs" dxfId="0" priority="748" operator="equal">
      <formula>1</formula>
    </cfRule>
    <cfRule type="cellIs" dxfId="1" priority="859" operator="lessThan">
      <formula>0.9</formula>
    </cfRule>
    <cfRule type="cellIs" dxfId="2" priority="970" operator="lessThan">
      <formula>1</formula>
    </cfRule>
  </conditionalFormatting>
  <conditionalFormatting sqref="H25">
    <cfRule type="cellIs" dxfId="3" priority="415" operator="greaterThanOrEqual">
      <formula>0.9</formula>
    </cfRule>
    <cfRule type="cellIs" dxfId="4" priority="526" operator="lessThan">
      <formula>0.9</formula>
    </cfRule>
    <cfRule type="cellIs" dxfId="5" priority="637" operator="lessThan">
      <formula>0.5</formula>
    </cfRule>
  </conditionalFormatting>
  <conditionalFormatting sqref="J25">
    <cfRule type="cellIs" dxfId="3" priority="82" operator="lessThan">
      <formula>0.5</formula>
    </cfRule>
    <cfRule type="cellIs" dxfId="4" priority="193" operator="lessThan">
      <formula>0.9</formula>
    </cfRule>
    <cfRule type="cellIs" dxfId="5" priority="304" operator="greaterThanOrEqual">
      <formula>0.9</formula>
    </cfRule>
  </conditionalFormatting>
  <conditionalFormatting sqref="G26">
    <cfRule type="cellIs" dxfId="0" priority="747" operator="equal">
      <formula>1</formula>
    </cfRule>
    <cfRule type="cellIs" dxfId="1" priority="858" operator="lessThan">
      <formula>0.9</formula>
    </cfRule>
    <cfRule type="cellIs" dxfId="2" priority="969" operator="lessThan">
      <formula>1</formula>
    </cfRule>
  </conditionalFormatting>
  <conditionalFormatting sqref="H26">
    <cfRule type="cellIs" dxfId="3" priority="414" operator="greaterThanOrEqual">
      <formula>0.9</formula>
    </cfRule>
    <cfRule type="cellIs" dxfId="4" priority="525" operator="lessThan">
      <formula>0.9</formula>
    </cfRule>
    <cfRule type="cellIs" dxfId="5" priority="636" operator="lessThan">
      <formula>0.5</formula>
    </cfRule>
  </conditionalFormatting>
  <conditionalFormatting sqref="J26">
    <cfRule type="cellIs" dxfId="3" priority="81" operator="lessThan">
      <formula>0.5</formula>
    </cfRule>
    <cfRule type="cellIs" dxfId="4" priority="192" operator="lessThan">
      <formula>0.9</formula>
    </cfRule>
    <cfRule type="cellIs" dxfId="5" priority="303" operator="greaterThanOrEqual">
      <formula>0.9</formula>
    </cfRule>
  </conditionalFormatting>
  <conditionalFormatting sqref="G27">
    <cfRule type="cellIs" dxfId="0" priority="746" operator="equal">
      <formula>1</formula>
    </cfRule>
    <cfRule type="cellIs" dxfId="1" priority="857" operator="lessThan">
      <formula>0.9</formula>
    </cfRule>
    <cfRule type="cellIs" dxfId="2" priority="968" operator="lessThan">
      <formula>1</formula>
    </cfRule>
  </conditionalFormatting>
  <conditionalFormatting sqref="H27">
    <cfRule type="cellIs" dxfId="3" priority="413" operator="greaterThanOrEqual">
      <formula>0.9</formula>
    </cfRule>
    <cfRule type="cellIs" dxfId="4" priority="524" operator="lessThan">
      <formula>0.9</formula>
    </cfRule>
    <cfRule type="cellIs" dxfId="5" priority="635" operator="lessThan">
      <formula>0.5</formula>
    </cfRule>
  </conditionalFormatting>
  <conditionalFormatting sqref="J27">
    <cfRule type="cellIs" dxfId="3" priority="80" operator="lessThan">
      <formula>0.5</formula>
    </cfRule>
    <cfRule type="cellIs" dxfId="4" priority="191" operator="lessThan">
      <formula>0.9</formula>
    </cfRule>
    <cfRule type="cellIs" dxfId="5" priority="302" operator="greaterThanOrEqual">
      <formula>0.9</formula>
    </cfRule>
  </conditionalFormatting>
  <conditionalFormatting sqref="G28">
    <cfRule type="cellIs" dxfId="0" priority="745" operator="equal">
      <formula>1</formula>
    </cfRule>
    <cfRule type="cellIs" dxfId="1" priority="856" operator="lessThan">
      <formula>0.9</formula>
    </cfRule>
    <cfRule type="cellIs" dxfId="2" priority="967" operator="lessThan">
      <formula>1</formula>
    </cfRule>
  </conditionalFormatting>
  <conditionalFormatting sqref="H28">
    <cfRule type="cellIs" dxfId="3" priority="412" operator="greaterThanOrEqual">
      <formula>0.9</formula>
    </cfRule>
    <cfRule type="cellIs" dxfId="4" priority="523" operator="lessThan">
      <formula>0.9</formula>
    </cfRule>
    <cfRule type="cellIs" dxfId="5" priority="634" operator="lessThan">
      <formula>0.5</formula>
    </cfRule>
  </conditionalFormatting>
  <conditionalFormatting sqref="J28">
    <cfRule type="cellIs" dxfId="3" priority="79" operator="lessThan">
      <formula>0.5</formula>
    </cfRule>
    <cfRule type="cellIs" dxfId="4" priority="190" operator="lessThan">
      <formula>0.9</formula>
    </cfRule>
    <cfRule type="cellIs" dxfId="5" priority="301" operator="greaterThanOrEqual">
      <formula>0.9</formula>
    </cfRule>
  </conditionalFormatting>
  <conditionalFormatting sqref="G29">
    <cfRule type="cellIs" dxfId="0" priority="744" operator="equal">
      <formula>1</formula>
    </cfRule>
    <cfRule type="cellIs" dxfId="1" priority="855" operator="lessThan">
      <formula>0.9</formula>
    </cfRule>
    <cfRule type="cellIs" dxfId="2" priority="966" operator="lessThan">
      <formula>1</formula>
    </cfRule>
  </conditionalFormatting>
  <conditionalFormatting sqref="H29">
    <cfRule type="cellIs" dxfId="3" priority="411" operator="greaterThanOrEqual">
      <formula>0.9</formula>
    </cfRule>
    <cfRule type="cellIs" dxfId="4" priority="522" operator="lessThan">
      <formula>0.9</formula>
    </cfRule>
    <cfRule type="cellIs" dxfId="5" priority="633" operator="lessThan">
      <formula>0.5</formula>
    </cfRule>
  </conditionalFormatting>
  <conditionalFormatting sqref="J29">
    <cfRule type="cellIs" dxfId="3" priority="78" operator="lessThan">
      <formula>0.5</formula>
    </cfRule>
    <cfRule type="cellIs" dxfId="4" priority="189" operator="lessThan">
      <formula>0.9</formula>
    </cfRule>
    <cfRule type="cellIs" dxfId="5" priority="300" operator="greaterThanOrEqual">
      <formula>0.9</formula>
    </cfRule>
  </conditionalFormatting>
  <conditionalFormatting sqref="G30">
    <cfRule type="cellIs" dxfId="0" priority="743" operator="equal">
      <formula>1</formula>
    </cfRule>
    <cfRule type="cellIs" dxfId="1" priority="854" operator="lessThan">
      <formula>0.9</formula>
    </cfRule>
    <cfRule type="cellIs" dxfId="2" priority="965" operator="lessThan">
      <formula>1</formula>
    </cfRule>
  </conditionalFormatting>
  <conditionalFormatting sqref="H30">
    <cfRule type="cellIs" dxfId="3" priority="410" operator="greaterThanOrEqual">
      <formula>0.9</formula>
    </cfRule>
    <cfRule type="cellIs" dxfId="4" priority="521" operator="lessThan">
      <formula>0.9</formula>
    </cfRule>
    <cfRule type="cellIs" dxfId="5" priority="632" operator="lessThan">
      <formula>0.5</formula>
    </cfRule>
  </conditionalFormatting>
  <conditionalFormatting sqref="J30">
    <cfRule type="cellIs" dxfId="3" priority="77" operator="lessThan">
      <formula>0.5</formula>
    </cfRule>
    <cfRule type="cellIs" dxfId="4" priority="188" operator="lessThan">
      <formula>0.9</formula>
    </cfRule>
    <cfRule type="cellIs" dxfId="5" priority="299" operator="greaterThanOrEqual">
      <formula>0.9</formula>
    </cfRule>
  </conditionalFormatting>
  <conditionalFormatting sqref="G31">
    <cfRule type="cellIs" dxfId="0" priority="742" operator="equal">
      <formula>1</formula>
    </cfRule>
    <cfRule type="cellIs" dxfId="1" priority="853" operator="lessThan">
      <formula>0.9</formula>
    </cfRule>
    <cfRule type="cellIs" dxfId="2" priority="964" operator="lessThan">
      <formula>1</formula>
    </cfRule>
  </conditionalFormatting>
  <conditionalFormatting sqref="H31">
    <cfRule type="cellIs" dxfId="3" priority="409" operator="greaterThanOrEqual">
      <formula>0.9</formula>
    </cfRule>
    <cfRule type="cellIs" dxfId="4" priority="520" operator="lessThan">
      <formula>0.9</formula>
    </cfRule>
    <cfRule type="cellIs" dxfId="5" priority="631" operator="lessThan">
      <formula>0.5</formula>
    </cfRule>
  </conditionalFormatting>
  <conditionalFormatting sqref="J31">
    <cfRule type="cellIs" dxfId="3" priority="76" operator="lessThan">
      <formula>0.5</formula>
    </cfRule>
    <cfRule type="cellIs" dxfId="4" priority="187" operator="lessThan">
      <formula>0.9</formula>
    </cfRule>
    <cfRule type="cellIs" dxfId="5" priority="298" operator="greaterThanOrEqual">
      <formula>0.9</formula>
    </cfRule>
  </conditionalFormatting>
  <conditionalFormatting sqref="G32">
    <cfRule type="cellIs" dxfId="0" priority="741" operator="equal">
      <formula>1</formula>
    </cfRule>
    <cfRule type="cellIs" dxfId="1" priority="852" operator="lessThan">
      <formula>0.9</formula>
    </cfRule>
    <cfRule type="cellIs" dxfId="2" priority="963" operator="lessThan">
      <formula>1</formula>
    </cfRule>
  </conditionalFormatting>
  <conditionalFormatting sqref="H32">
    <cfRule type="cellIs" dxfId="3" priority="408" operator="greaterThanOrEqual">
      <formula>0.9</formula>
    </cfRule>
    <cfRule type="cellIs" dxfId="4" priority="519" operator="lessThan">
      <formula>0.9</formula>
    </cfRule>
    <cfRule type="cellIs" dxfId="5" priority="630" operator="lessThan">
      <formula>0.5</formula>
    </cfRule>
  </conditionalFormatting>
  <conditionalFormatting sqref="J32">
    <cfRule type="cellIs" dxfId="3" priority="75" operator="lessThan">
      <formula>0.5</formula>
    </cfRule>
    <cfRule type="cellIs" dxfId="4" priority="186" operator="lessThan">
      <formula>0.9</formula>
    </cfRule>
    <cfRule type="cellIs" dxfId="5" priority="297" operator="greaterThanOrEqual">
      <formula>0.9</formula>
    </cfRule>
  </conditionalFormatting>
  <conditionalFormatting sqref="G33">
    <cfRule type="cellIs" dxfId="0" priority="740" operator="equal">
      <formula>1</formula>
    </cfRule>
    <cfRule type="cellIs" dxfId="1" priority="851" operator="lessThan">
      <formula>0.9</formula>
    </cfRule>
    <cfRule type="cellIs" dxfId="2" priority="962" operator="lessThan">
      <formula>1</formula>
    </cfRule>
  </conditionalFormatting>
  <conditionalFormatting sqref="H33">
    <cfRule type="cellIs" dxfId="3" priority="407" operator="greaterThanOrEqual">
      <formula>0.9</formula>
    </cfRule>
    <cfRule type="cellIs" dxfId="4" priority="518" operator="lessThan">
      <formula>0.9</formula>
    </cfRule>
    <cfRule type="cellIs" dxfId="5" priority="629" operator="lessThan">
      <formula>0.5</formula>
    </cfRule>
  </conditionalFormatting>
  <conditionalFormatting sqref="J33">
    <cfRule type="cellIs" dxfId="3" priority="74" operator="lessThan">
      <formula>0.5</formula>
    </cfRule>
    <cfRule type="cellIs" dxfId="4" priority="185" operator="lessThan">
      <formula>0.9</formula>
    </cfRule>
    <cfRule type="cellIs" dxfId="5" priority="296" operator="greaterThanOrEqual">
      <formula>0.9</formula>
    </cfRule>
  </conditionalFormatting>
  <conditionalFormatting sqref="G34">
    <cfRule type="cellIs" dxfId="0" priority="739" operator="equal">
      <formula>1</formula>
    </cfRule>
    <cfRule type="cellIs" dxfId="1" priority="850" operator="lessThan">
      <formula>0.9</formula>
    </cfRule>
    <cfRule type="cellIs" dxfId="2" priority="961" operator="lessThan">
      <formula>1</formula>
    </cfRule>
  </conditionalFormatting>
  <conditionalFormatting sqref="H34">
    <cfRule type="cellIs" dxfId="3" priority="406" operator="greaterThanOrEqual">
      <formula>0.9</formula>
    </cfRule>
    <cfRule type="cellIs" dxfId="4" priority="517" operator="lessThan">
      <formula>0.9</formula>
    </cfRule>
    <cfRule type="cellIs" dxfId="5" priority="628" operator="lessThan">
      <formula>0.5</formula>
    </cfRule>
  </conditionalFormatting>
  <conditionalFormatting sqref="J34">
    <cfRule type="cellIs" dxfId="3" priority="73" operator="lessThan">
      <formula>0.5</formula>
    </cfRule>
    <cfRule type="cellIs" dxfId="4" priority="184" operator="lessThan">
      <formula>0.9</formula>
    </cfRule>
    <cfRule type="cellIs" dxfId="5" priority="295" operator="greaterThanOrEqual">
      <formula>0.9</formula>
    </cfRule>
  </conditionalFormatting>
  <conditionalFormatting sqref="G35">
    <cfRule type="cellIs" dxfId="0" priority="738" operator="equal">
      <formula>1</formula>
    </cfRule>
    <cfRule type="cellIs" dxfId="1" priority="849" operator="lessThan">
      <formula>0.9</formula>
    </cfRule>
    <cfRule type="cellIs" dxfId="2" priority="960" operator="lessThan">
      <formula>1</formula>
    </cfRule>
  </conditionalFormatting>
  <conditionalFormatting sqref="H35">
    <cfRule type="cellIs" dxfId="3" priority="405" operator="greaterThanOrEqual">
      <formula>0.9</formula>
    </cfRule>
    <cfRule type="cellIs" dxfId="4" priority="516" operator="lessThan">
      <formula>0.9</formula>
    </cfRule>
    <cfRule type="cellIs" dxfId="5" priority="627" operator="lessThan">
      <formula>0.5</formula>
    </cfRule>
  </conditionalFormatting>
  <conditionalFormatting sqref="J35">
    <cfRule type="cellIs" dxfId="3" priority="72" operator="lessThan">
      <formula>0.5</formula>
    </cfRule>
    <cfRule type="cellIs" dxfId="4" priority="183" operator="lessThan">
      <formula>0.9</formula>
    </cfRule>
    <cfRule type="cellIs" dxfId="5" priority="294" operator="greaterThanOrEqual">
      <formula>0.9</formula>
    </cfRule>
  </conditionalFormatting>
  <conditionalFormatting sqref="G36">
    <cfRule type="cellIs" dxfId="0" priority="736" operator="equal">
      <formula>1</formula>
    </cfRule>
    <cfRule type="cellIs" dxfId="1" priority="847" operator="lessThan">
      <formula>0.9</formula>
    </cfRule>
    <cfRule type="cellIs" dxfId="2" priority="958" operator="lessThan">
      <formula>1</formula>
    </cfRule>
  </conditionalFormatting>
  <conditionalFormatting sqref="H36">
    <cfRule type="cellIs" dxfId="3" priority="403" operator="greaterThanOrEqual">
      <formula>0.9</formula>
    </cfRule>
    <cfRule type="cellIs" dxfId="4" priority="514" operator="lessThan">
      <formula>0.9</formula>
    </cfRule>
    <cfRule type="cellIs" dxfId="5" priority="625" operator="lessThan">
      <formula>0.5</formula>
    </cfRule>
  </conditionalFormatting>
  <conditionalFormatting sqref="J36">
    <cfRule type="cellIs" dxfId="3" priority="70" operator="lessThan">
      <formula>0.5</formula>
    </cfRule>
    <cfRule type="cellIs" dxfId="4" priority="181" operator="lessThan">
      <formula>0.9</formula>
    </cfRule>
    <cfRule type="cellIs" dxfId="5" priority="292" operator="greaterThanOrEqual">
      <formula>0.9</formula>
    </cfRule>
  </conditionalFormatting>
  <conditionalFormatting sqref="G37">
    <cfRule type="cellIs" dxfId="0" priority="735" operator="equal">
      <formula>1</formula>
    </cfRule>
    <cfRule type="cellIs" dxfId="1" priority="846" operator="lessThan">
      <formula>0.9</formula>
    </cfRule>
    <cfRule type="cellIs" dxfId="2" priority="957" operator="lessThan">
      <formula>1</formula>
    </cfRule>
  </conditionalFormatting>
  <conditionalFormatting sqref="H37">
    <cfRule type="cellIs" dxfId="3" priority="402" operator="greaterThanOrEqual">
      <formula>0.9</formula>
    </cfRule>
    <cfRule type="cellIs" dxfId="4" priority="513" operator="lessThan">
      <formula>0.9</formula>
    </cfRule>
    <cfRule type="cellIs" dxfId="5" priority="624" operator="lessThan">
      <formula>0.5</formula>
    </cfRule>
  </conditionalFormatting>
  <conditionalFormatting sqref="J37">
    <cfRule type="cellIs" dxfId="3" priority="69" operator="lessThan">
      <formula>0.5</formula>
    </cfRule>
    <cfRule type="cellIs" dxfId="4" priority="180" operator="lessThan">
      <formula>0.9</formula>
    </cfRule>
    <cfRule type="cellIs" dxfId="5" priority="291" operator="greaterThanOrEqual">
      <formula>0.9</formula>
    </cfRule>
  </conditionalFormatting>
  <conditionalFormatting sqref="G38">
    <cfRule type="cellIs" dxfId="0" priority="734" operator="equal">
      <formula>1</formula>
    </cfRule>
    <cfRule type="cellIs" dxfId="1" priority="845" operator="lessThan">
      <formula>0.9</formula>
    </cfRule>
    <cfRule type="cellIs" dxfId="2" priority="956" operator="lessThan">
      <formula>1</formula>
    </cfRule>
  </conditionalFormatting>
  <conditionalFormatting sqref="H38">
    <cfRule type="cellIs" dxfId="3" priority="401" operator="greaterThanOrEqual">
      <formula>0.9</formula>
    </cfRule>
    <cfRule type="cellIs" dxfId="4" priority="512" operator="lessThan">
      <formula>0.9</formula>
    </cfRule>
    <cfRule type="cellIs" dxfId="5" priority="623" operator="lessThan">
      <formula>0.5</formula>
    </cfRule>
  </conditionalFormatting>
  <conditionalFormatting sqref="J38">
    <cfRule type="cellIs" dxfId="3" priority="68" operator="lessThan">
      <formula>0.5</formula>
    </cfRule>
    <cfRule type="cellIs" dxfId="4" priority="179" operator="lessThan">
      <formula>0.9</formula>
    </cfRule>
    <cfRule type="cellIs" dxfId="5" priority="290" operator="greaterThanOrEqual">
      <formula>0.9</formula>
    </cfRule>
  </conditionalFormatting>
  <conditionalFormatting sqref="G39">
    <cfRule type="cellIs" dxfId="0" priority="733" operator="equal">
      <formula>1</formula>
    </cfRule>
    <cfRule type="cellIs" dxfId="1" priority="844" operator="lessThan">
      <formula>0.9</formula>
    </cfRule>
    <cfRule type="cellIs" dxfId="2" priority="955" operator="lessThan">
      <formula>1</formula>
    </cfRule>
  </conditionalFormatting>
  <conditionalFormatting sqref="H39">
    <cfRule type="cellIs" dxfId="3" priority="400" operator="greaterThanOrEqual">
      <formula>0.9</formula>
    </cfRule>
    <cfRule type="cellIs" dxfId="4" priority="511" operator="lessThan">
      <formula>0.9</formula>
    </cfRule>
    <cfRule type="cellIs" dxfId="5" priority="622" operator="lessThan">
      <formula>0.5</formula>
    </cfRule>
  </conditionalFormatting>
  <conditionalFormatting sqref="J39">
    <cfRule type="cellIs" dxfId="3" priority="67" operator="lessThan">
      <formula>0.5</formula>
    </cfRule>
    <cfRule type="cellIs" dxfId="4" priority="178" operator="lessThan">
      <formula>0.9</formula>
    </cfRule>
    <cfRule type="cellIs" dxfId="5" priority="289" operator="greaterThanOrEqual">
      <formula>0.9</formula>
    </cfRule>
  </conditionalFormatting>
  <conditionalFormatting sqref="G40">
    <cfRule type="cellIs" dxfId="0" priority="732" operator="equal">
      <formula>1</formula>
    </cfRule>
    <cfRule type="cellIs" dxfId="1" priority="843" operator="lessThan">
      <formula>0.9</formula>
    </cfRule>
    <cfRule type="cellIs" dxfId="2" priority="954" operator="lessThan">
      <formula>1</formula>
    </cfRule>
  </conditionalFormatting>
  <conditionalFormatting sqref="H40">
    <cfRule type="cellIs" dxfId="3" priority="399" operator="greaterThanOrEqual">
      <formula>0.9</formula>
    </cfRule>
    <cfRule type="cellIs" dxfId="4" priority="510" operator="lessThan">
      <formula>0.9</formula>
    </cfRule>
    <cfRule type="cellIs" dxfId="5" priority="621" operator="lessThan">
      <formula>0.5</formula>
    </cfRule>
  </conditionalFormatting>
  <conditionalFormatting sqref="J40">
    <cfRule type="cellIs" dxfId="3" priority="66" operator="lessThan">
      <formula>0.5</formula>
    </cfRule>
    <cfRule type="cellIs" dxfId="4" priority="177" operator="lessThan">
      <formula>0.9</formula>
    </cfRule>
    <cfRule type="cellIs" dxfId="5" priority="288" operator="greaterThanOrEqual">
      <formula>0.9</formula>
    </cfRule>
  </conditionalFormatting>
  <conditionalFormatting sqref="G41">
    <cfRule type="cellIs" dxfId="0" priority="731" operator="equal">
      <formula>1</formula>
    </cfRule>
    <cfRule type="cellIs" dxfId="1" priority="842" operator="lessThan">
      <formula>0.9</formula>
    </cfRule>
    <cfRule type="cellIs" dxfId="2" priority="953" operator="lessThan">
      <formula>1</formula>
    </cfRule>
  </conditionalFormatting>
  <conditionalFormatting sqref="H41">
    <cfRule type="cellIs" dxfId="3" priority="398" operator="greaterThanOrEqual">
      <formula>0.9</formula>
    </cfRule>
    <cfRule type="cellIs" dxfId="4" priority="509" operator="lessThan">
      <formula>0.9</formula>
    </cfRule>
    <cfRule type="cellIs" dxfId="5" priority="620" operator="lessThan">
      <formula>0.5</formula>
    </cfRule>
  </conditionalFormatting>
  <conditionalFormatting sqref="J41">
    <cfRule type="cellIs" dxfId="3" priority="65" operator="lessThan">
      <formula>0.5</formula>
    </cfRule>
    <cfRule type="cellIs" dxfId="4" priority="176" operator="lessThan">
      <formula>0.9</formula>
    </cfRule>
    <cfRule type="cellIs" dxfId="5" priority="287" operator="greaterThanOrEqual">
      <formula>0.9</formula>
    </cfRule>
  </conditionalFormatting>
  <conditionalFormatting sqref="G42">
    <cfRule type="cellIs" dxfId="0" priority="730" operator="equal">
      <formula>1</formula>
    </cfRule>
    <cfRule type="cellIs" dxfId="1" priority="841" operator="lessThan">
      <formula>0.9</formula>
    </cfRule>
    <cfRule type="cellIs" dxfId="2" priority="952" operator="lessThan">
      <formula>1</formula>
    </cfRule>
  </conditionalFormatting>
  <conditionalFormatting sqref="H42">
    <cfRule type="cellIs" dxfId="3" priority="397" operator="greaterThanOrEqual">
      <formula>0.9</formula>
    </cfRule>
    <cfRule type="cellIs" dxfId="4" priority="508" operator="lessThan">
      <formula>0.9</formula>
    </cfRule>
    <cfRule type="cellIs" dxfId="5" priority="619" operator="lessThan">
      <formula>0.5</formula>
    </cfRule>
  </conditionalFormatting>
  <conditionalFormatting sqref="J42">
    <cfRule type="cellIs" dxfId="3" priority="64" operator="lessThan">
      <formula>0.5</formula>
    </cfRule>
    <cfRule type="cellIs" dxfId="4" priority="175" operator="lessThan">
      <formula>0.9</formula>
    </cfRule>
    <cfRule type="cellIs" dxfId="5" priority="286" operator="greaterThanOrEqual">
      <formula>0.9</formula>
    </cfRule>
  </conditionalFormatting>
  <conditionalFormatting sqref="G43">
    <cfRule type="cellIs" dxfId="0" priority="727" operator="equal">
      <formula>1</formula>
    </cfRule>
    <cfRule type="cellIs" dxfId="1" priority="838" operator="lessThan">
      <formula>0.9</formula>
    </cfRule>
    <cfRule type="cellIs" dxfId="2" priority="949" operator="lessThan">
      <formula>1</formula>
    </cfRule>
  </conditionalFormatting>
  <conditionalFormatting sqref="H43">
    <cfRule type="cellIs" dxfId="3" priority="394" operator="greaterThanOrEqual">
      <formula>0.9</formula>
    </cfRule>
    <cfRule type="cellIs" dxfId="4" priority="505" operator="lessThan">
      <formula>0.9</formula>
    </cfRule>
    <cfRule type="cellIs" dxfId="5" priority="616" operator="lessThan">
      <formula>0.5</formula>
    </cfRule>
  </conditionalFormatting>
  <conditionalFormatting sqref="J43">
    <cfRule type="cellIs" dxfId="3" priority="61" operator="lessThan">
      <formula>0.5</formula>
    </cfRule>
    <cfRule type="cellIs" dxfId="4" priority="172" operator="lessThan">
      <formula>0.9</formula>
    </cfRule>
    <cfRule type="cellIs" dxfId="5" priority="283" operator="greaterThanOrEqual">
      <formula>0.9</formula>
    </cfRule>
  </conditionalFormatting>
  <conditionalFormatting sqref="G44">
    <cfRule type="cellIs" dxfId="0" priority="726" operator="equal">
      <formula>1</formula>
    </cfRule>
    <cfRule type="cellIs" dxfId="1" priority="837" operator="lessThan">
      <formula>0.9</formula>
    </cfRule>
    <cfRule type="cellIs" dxfId="2" priority="948" operator="lessThan">
      <formula>1</formula>
    </cfRule>
  </conditionalFormatting>
  <conditionalFormatting sqref="H44">
    <cfRule type="cellIs" dxfId="3" priority="393" operator="greaterThanOrEqual">
      <formula>0.9</formula>
    </cfRule>
    <cfRule type="cellIs" dxfId="4" priority="504" operator="lessThan">
      <formula>0.9</formula>
    </cfRule>
    <cfRule type="cellIs" dxfId="5" priority="615" operator="lessThan">
      <formula>0.5</formula>
    </cfRule>
  </conditionalFormatting>
  <conditionalFormatting sqref="J44">
    <cfRule type="cellIs" dxfId="3" priority="60" operator="lessThan">
      <formula>0.5</formula>
    </cfRule>
    <cfRule type="cellIs" dxfId="4" priority="171" operator="lessThan">
      <formula>0.9</formula>
    </cfRule>
    <cfRule type="cellIs" dxfId="5" priority="282" operator="greaterThanOrEqual">
      <formula>0.9</formula>
    </cfRule>
  </conditionalFormatting>
  <conditionalFormatting sqref="G45">
    <cfRule type="cellIs" dxfId="0" priority="725" operator="equal">
      <formula>1</formula>
    </cfRule>
    <cfRule type="cellIs" dxfId="1" priority="836" operator="lessThan">
      <formula>0.9</formula>
    </cfRule>
    <cfRule type="cellIs" dxfId="2" priority="947" operator="lessThan">
      <formula>1</formula>
    </cfRule>
  </conditionalFormatting>
  <conditionalFormatting sqref="H45">
    <cfRule type="cellIs" dxfId="3" priority="392" operator="greaterThanOrEqual">
      <formula>0.9</formula>
    </cfRule>
    <cfRule type="cellIs" dxfId="4" priority="503" operator="lessThan">
      <formula>0.9</formula>
    </cfRule>
    <cfRule type="cellIs" dxfId="5" priority="614" operator="lessThan">
      <formula>0.5</formula>
    </cfRule>
  </conditionalFormatting>
  <conditionalFormatting sqref="J45">
    <cfRule type="cellIs" dxfId="3" priority="59" operator="lessThan">
      <formula>0.5</formula>
    </cfRule>
    <cfRule type="cellIs" dxfId="4" priority="170" operator="lessThan">
      <formula>0.9</formula>
    </cfRule>
    <cfRule type="cellIs" dxfId="5" priority="281" operator="greaterThanOrEqual">
      <formula>0.9</formula>
    </cfRule>
  </conditionalFormatting>
  <conditionalFormatting sqref="G46">
    <cfRule type="cellIs" dxfId="0" priority="724" operator="equal">
      <formula>1</formula>
    </cfRule>
    <cfRule type="cellIs" dxfId="1" priority="835" operator="lessThan">
      <formula>0.9</formula>
    </cfRule>
    <cfRule type="cellIs" dxfId="2" priority="946" operator="lessThan">
      <formula>1</formula>
    </cfRule>
  </conditionalFormatting>
  <conditionalFormatting sqref="H46">
    <cfRule type="cellIs" dxfId="3" priority="391" operator="greaterThanOrEqual">
      <formula>0.9</formula>
    </cfRule>
    <cfRule type="cellIs" dxfId="4" priority="502" operator="lessThan">
      <formula>0.9</formula>
    </cfRule>
    <cfRule type="cellIs" dxfId="5" priority="613" operator="lessThan">
      <formula>0.5</formula>
    </cfRule>
  </conditionalFormatting>
  <conditionalFormatting sqref="J46">
    <cfRule type="cellIs" dxfId="3" priority="58" operator="lessThan">
      <formula>0.5</formula>
    </cfRule>
    <cfRule type="cellIs" dxfId="4" priority="169" operator="lessThan">
      <formula>0.9</formula>
    </cfRule>
    <cfRule type="cellIs" dxfId="5" priority="280" operator="greaterThanOrEqual">
      <formula>0.9</formula>
    </cfRule>
  </conditionalFormatting>
  <conditionalFormatting sqref="G47">
    <cfRule type="cellIs" dxfId="0" priority="723" operator="equal">
      <formula>1</formula>
    </cfRule>
    <cfRule type="cellIs" dxfId="1" priority="834" operator="lessThan">
      <formula>0.9</formula>
    </cfRule>
    <cfRule type="cellIs" dxfId="2" priority="945" operator="lessThan">
      <formula>1</formula>
    </cfRule>
  </conditionalFormatting>
  <conditionalFormatting sqref="H47">
    <cfRule type="cellIs" dxfId="3" priority="390" operator="greaterThanOrEqual">
      <formula>0.9</formula>
    </cfRule>
    <cfRule type="cellIs" dxfId="4" priority="501" operator="lessThan">
      <formula>0.9</formula>
    </cfRule>
    <cfRule type="cellIs" dxfId="5" priority="612" operator="lessThan">
      <formula>0.5</formula>
    </cfRule>
  </conditionalFormatting>
  <conditionalFormatting sqref="J47">
    <cfRule type="cellIs" dxfId="3" priority="57" operator="lessThan">
      <formula>0.5</formula>
    </cfRule>
    <cfRule type="cellIs" dxfId="4" priority="168" operator="lessThan">
      <formula>0.9</formula>
    </cfRule>
    <cfRule type="cellIs" dxfId="5" priority="279" operator="greaterThanOrEqual">
      <formula>0.9</formula>
    </cfRule>
  </conditionalFormatting>
  <conditionalFormatting sqref="G48">
    <cfRule type="cellIs" dxfId="0" priority="722" operator="equal">
      <formula>1</formula>
    </cfRule>
    <cfRule type="cellIs" dxfId="1" priority="833" operator="lessThan">
      <formula>0.9</formula>
    </cfRule>
    <cfRule type="cellIs" dxfId="2" priority="944" operator="lessThan">
      <formula>1</formula>
    </cfRule>
  </conditionalFormatting>
  <conditionalFormatting sqref="H48">
    <cfRule type="cellIs" dxfId="3" priority="389" operator="greaterThanOrEqual">
      <formula>0.9</formula>
    </cfRule>
    <cfRule type="cellIs" dxfId="4" priority="500" operator="lessThan">
      <formula>0.9</formula>
    </cfRule>
    <cfRule type="cellIs" dxfId="5" priority="611" operator="lessThan">
      <formula>0.5</formula>
    </cfRule>
  </conditionalFormatting>
  <conditionalFormatting sqref="J48">
    <cfRule type="cellIs" dxfId="3" priority="56" operator="lessThan">
      <formula>0.5</formula>
    </cfRule>
    <cfRule type="cellIs" dxfId="4" priority="167" operator="lessThan">
      <formula>0.9</formula>
    </cfRule>
    <cfRule type="cellIs" dxfId="5" priority="278" operator="greaterThanOrEqual">
      <formula>0.9</formula>
    </cfRule>
  </conditionalFormatting>
  <conditionalFormatting sqref="G49">
    <cfRule type="cellIs" dxfId="0" priority="721" operator="equal">
      <formula>1</formula>
    </cfRule>
    <cfRule type="cellIs" dxfId="1" priority="832" operator="lessThan">
      <formula>0.9</formula>
    </cfRule>
    <cfRule type="cellIs" dxfId="2" priority="943" operator="lessThan">
      <formula>1</formula>
    </cfRule>
  </conditionalFormatting>
  <conditionalFormatting sqref="H49">
    <cfRule type="cellIs" dxfId="3" priority="388" operator="greaterThanOrEqual">
      <formula>0.9</formula>
    </cfRule>
    <cfRule type="cellIs" dxfId="4" priority="499" operator="lessThan">
      <formula>0.9</formula>
    </cfRule>
    <cfRule type="cellIs" dxfId="5" priority="610" operator="lessThan">
      <formula>0.5</formula>
    </cfRule>
  </conditionalFormatting>
  <conditionalFormatting sqref="J49">
    <cfRule type="cellIs" dxfId="3" priority="55" operator="lessThan">
      <formula>0.5</formula>
    </cfRule>
    <cfRule type="cellIs" dxfId="4" priority="166" operator="lessThan">
      <formula>0.9</formula>
    </cfRule>
    <cfRule type="cellIs" dxfId="5" priority="277" operator="greaterThanOrEqual">
      <formula>0.9</formula>
    </cfRule>
  </conditionalFormatting>
  <conditionalFormatting sqref="G50">
    <cfRule type="cellIs" dxfId="0" priority="720" operator="equal">
      <formula>1</formula>
    </cfRule>
    <cfRule type="cellIs" dxfId="1" priority="831" operator="lessThan">
      <formula>0.9</formula>
    </cfRule>
    <cfRule type="cellIs" dxfId="2" priority="942" operator="lessThan">
      <formula>1</formula>
    </cfRule>
  </conditionalFormatting>
  <conditionalFormatting sqref="H50">
    <cfRule type="cellIs" dxfId="3" priority="387" operator="greaterThanOrEqual">
      <formula>0.9</formula>
    </cfRule>
    <cfRule type="cellIs" dxfId="4" priority="498" operator="lessThan">
      <formula>0.9</formula>
    </cfRule>
    <cfRule type="cellIs" dxfId="5" priority="609" operator="lessThan">
      <formula>0.5</formula>
    </cfRule>
  </conditionalFormatting>
  <conditionalFormatting sqref="J50">
    <cfRule type="cellIs" dxfId="3" priority="54" operator="lessThan">
      <formula>0.5</formula>
    </cfRule>
    <cfRule type="cellIs" dxfId="4" priority="165" operator="lessThan">
      <formula>0.9</formula>
    </cfRule>
    <cfRule type="cellIs" dxfId="5" priority="276" operator="greaterThanOrEqual">
      <formula>0.9</formula>
    </cfRule>
  </conditionalFormatting>
  <conditionalFormatting sqref="G51">
    <cfRule type="cellIs" dxfId="0" priority="719" operator="equal">
      <formula>1</formula>
    </cfRule>
    <cfRule type="cellIs" dxfId="1" priority="830" operator="lessThan">
      <formula>0.9</formula>
    </cfRule>
    <cfRule type="cellIs" dxfId="2" priority="941" operator="lessThan">
      <formula>1</formula>
    </cfRule>
  </conditionalFormatting>
  <conditionalFormatting sqref="H51">
    <cfRule type="cellIs" dxfId="3" priority="386" operator="greaterThanOrEqual">
      <formula>0.9</formula>
    </cfRule>
    <cfRule type="cellIs" dxfId="4" priority="497" operator="lessThan">
      <formula>0.9</formula>
    </cfRule>
    <cfRule type="cellIs" dxfId="5" priority="608" operator="lessThan">
      <formula>0.5</formula>
    </cfRule>
  </conditionalFormatting>
  <conditionalFormatting sqref="J51">
    <cfRule type="cellIs" dxfId="3" priority="53" operator="lessThan">
      <formula>0.5</formula>
    </cfRule>
    <cfRule type="cellIs" dxfId="4" priority="164" operator="lessThan">
      <formula>0.9</formula>
    </cfRule>
    <cfRule type="cellIs" dxfId="5" priority="275" operator="greaterThanOrEqual">
      <formula>0.9</formula>
    </cfRule>
  </conditionalFormatting>
  <conditionalFormatting sqref="G52">
    <cfRule type="cellIs" dxfId="0" priority="718" operator="equal">
      <formula>1</formula>
    </cfRule>
    <cfRule type="cellIs" dxfId="1" priority="829" operator="lessThan">
      <formula>0.9</formula>
    </cfRule>
    <cfRule type="cellIs" dxfId="2" priority="940" operator="lessThan">
      <formula>1</formula>
    </cfRule>
  </conditionalFormatting>
  <conditionalFormatting sqref="H52">
    <cfRule type="cellIs" dxfId="3" priority="385" operator="greaterThanOrEqual">
      <formula>0.9</formula>
    </cfRule>
    <cfRule type="cellIs" dxfId="4" priority="496" operator="lessThan">
      <formula>0.9</formula>
    </cfRule>
    <cfRule type="cellIs" dxfId="5" priority="607" operator="lessThan">
      <formula>0.5</formula>
    </cfRule>
  </conditionalFormatting>
  <conditionalFormatting sqref="J52">
    <cfRule type="cellIs" dxfId="3" priority="52" operator="lessThan">
      <formula>0.5</formula>
    </cfRule>
    <cfRule type="cellIs" dxfId="4" priority="163" operator="lessThan">
      <formula>0.9</formula>
    </cfRule>
    <cfRule type="cellIs" dxfId="5" priority="274" operator="greaterThanOrEqual">
      <formula>0.9</formula>
    </cfRule>
  </conditionalFormatting>
  <conditionalFormatting sqref="G53">
    <cfRule type="cellIs" dxfId="0" priority="717" operator="equal">
      <formula>1</formula>
    </cfRule>
    <cfRule type="cellIs" dxfId="1" priority="828" operator="lessThan">
      <formula>0.9</formula>
    </cfRule>
    <cfRule type="cellIs" dxfId="2" priority="939" operator="lessThan">
      <formula>1</formula>
    </cfRule>
  </conditionalFormatting>
  <conditionalFormatting sqref="H53">
    <cfRule type="cellIs" dxfId="3" priority="384" operator="greaterThanOrEqual">
      <formula>0.9</formula>
    </cfRule>
    <cfRule type="cellIs" dxfId="4" priority="495" operator="lessThan">
      <formula>0.9</formula>
    </cfRule>
    <cfRule type="cellIs" dxfId="5" priority="606" operator="lessThan">
      <formula>0.5</formula>
    </cfRule>
  </conditionalFormatting>
  <conditionalFormatting sqref="J53">
    <cfRule type="cellIs" dxfId="3" priority="51" operator="lessThan">
      <formula>0.5</formula>
    </cfRule>
    <cfRule type="cellIs" dxfId="4" priority="162" operator="lessThan">
      <formula>0.9</formula>
    </cfRule>
    <cfRule type="cellIs" dxfId="5" priority="273" operator="greaterThanOrEqual">
      <formula>0.9</formula>
    </cfRule>
  </conditionalFormatting>
  <conditionalFormatting sqref="G54">
    <cfRule type="cellIs" dxfId="0" priority="716" operator="equal">
      <formula>1</formula>
    </cfRule>
    <cfRule type="cellIs" dxfId="1" priority="827" operator="lessThan">
      <formula>0.9</formula>
    </cfRule>
    <cfRule type="cellIs" dxfId="2" priority="938" operator="lessThan">
      <formula>1</formula>
    </cfRule>
  </conditionalFormatting>
  <conditionalFormatting sqref="H54">
    <cfRule type="cellIs" dxfId="3" priority="383" operator="greaterThanOrEqual">
      <formula>0.9</formula>
    </cfRule>
    <cfRule type="cellIs" dxfId="4" priority="494" operator="lessThan">
      <formula>0.9</formula>
    </cfRule>
    <cfRule type="cellIs" dxfId="5" priority="605" operator="lessThan">
      <formula>0.5</formula>
    </cfRule>
  </conditionalFormatting>
  <conditionalFormatting sqref="J54">
    <cfRule type="cellIs" dxfId="3" priority="50" operator="lessThan">
      <formula>0.5</formula>
    </cfRule>
    <cfRule type="cellIs" dxfId="4" priority="161" operator="lessThan">
      <formula>0.9</formula>
    </cfRule>
    <cfRule type="cellIs" dxfId="5" priority="272" operator="greaterThanOrEqual">
      <formula>0.9</formula>
    </cfRule>
  </conditionalFormatting>
  <conditionalFormatting sqref="G55">
    <cfRule type="cellIs" dxfId="0" priority="715" operator="equal">
      <formula>1</formula>
    </cfRule>
    <cfRule type="cellIs" dxfId="1" priority="826" operator="lessThan">
      <formula>0.9</formula>
    </cfRule>
    <cfRule type="cellIs" dxfId="2" priority="937" operator="lessThan">
      <formula>1</formula>
    </cfRule>
  </conditionalFormatting>
  <conditionalFormatting sqref="H55">
    <cfRule type="cellIs" dxfId="3" priority="382" operator="greaterThanOrEqual">
      <formula>0.9</formula>
    </cfRule>
    <cfRule type="cellIs" dxfId="4" priority="493" operator="lessThan">
      <formula>0.9</formula>
    </cfRule>
    <cfRule type="cellIs" dxfId="5" priority="604" operator="lessThan">
      <formula>0.5</formula>
    </cfRule>
  </conditionalFormatting>
  <conditionalFormatting sqref="J55">
    <cfRule type="cellIs" dxfId="3" priority="49" operator="lessThan">
      <formula>0.5</formula>
    </cfRule>
    <cfRule type="cellIs" dxfId="4" priority="160" operator="lessThan">
      <formula>0.9</formula>
    </cfRule>
    <cfRule type="cellIs" dxfId="5" priority="271" operator="greaterThanOrEqual">
      <formula>0.9</formula>
    </cfRule>
  </conditionalFormatting>
  <conditionalFormatting sqref="G56">
    <cfRule type="cellIs" dxfId="0" priority="714" operator="equal">
      <formula>1</formula>
    </cfRule>
    <cfRule type="cellIs" dxfId="1" priority="825" operator="lessThan">
      <formula>0.9</formula>
    </cfRule>
    <cfRule type="cellIs" dxfId="2" priority="936" operator="lessThan">
      <formula>1</formula>
    </cfRule>
  </conditionalFormatting>
  <conditionalFormatting sqref="H56">
    <cfRule type="cellIs" dxfId="3" priority="381" operator="greaterThanOrEqual">
      <formula>0.9</formula>
    </cfRule>
    <cfRule type="cellIs" dxfId="4" priority="492" operator="lessThan">
      <formula>0.9</formula>
    </cfRule>
    <cfRule type="cellIs" dxfId="5" priority="603" operator="lessThan">
      <formula>0.5</formula>
    </cfRule>
  </conditionalFormatting>
  <conditionalFormatting sqref="J56">
    <cfRule type="cellIs" dxfId="3" priority="48" operator="lessThan">
      <formula>0.5</formula>
    </cfRule>
    <cfRule type="cellIs" dxfId="4" priority="159" operator="lessThan">
      <formula>0.9</formula>
    </cfRule>
    <cfRule type="cellIs" dxfId="5" priority="270" operator="greaterThanOrEqual">
      <formula>0.9</formula>
    </cfRule>
  </conditionalFormatting>
  <conditionalFormatting sqref="G57">
    <cfRule type="cellIs" dxfId="0" priority="713" operator="equal">
      <formula>1</formula>
    </cfRule>
    <cfRule type="cellIs" dxfId="1" priority="824" operator="lessThan">
      <formula>0.9</formula>
    </cfRule>
    <cfRule type="cellIs" dxfId="2" priority="935" operator="lessThan">
      <formula>1</formula>
    </cfRule>
  </conditionalFormatting>
  <conditionalFormatting sqref="H57">
    <cfRule type="cellIs" dxfId="3" priority="380" operator="greaterThanOrEqual">
      <formula>0.9</formula>
    </cfRule>
    <cfRule type="cellIs" dxfId="4" priority="491" operator="lessThan">
      <formula>0.9</formula>
    </cfRule>
    <cfRule type="cellIs" dxfId="5" priority="602" operator="lessThan">
      <formula>0.5</formula>
    </cfRule>
  </conditionalFormatting>
  <conditionalFormatting sqref="J57">
    <cfRule type="cellIs" dxfId="3" priority="47" operator="lessThan">
      <formula>0.5</formula>
    </cfRule>
    <cfRule type="cellIs" dxfId="4" priority="158" operator="lessThan">
      <formula>0.9</formula>
    </cfRule>
    <cfRule type="cellIs" dxfId="5" priority="269" operator="greaterThanOrEqual">
      <formula>0.9</formula>
    </cfRule>
  </conditionalFormatting>
  <conditionalFormatting sqref="G58">
    <cfRule type="cellIs" dxfId="0" priority="712" operator="equal">
      <formula>1</formula>
    </cfRule>
    <cfRule type="cellIs" dxfId="1" priority="823" operator="lessThan">
      <formula>0.9</formula>
    </cfRule>
    <cfRule type="cellIs" dxfId="2" priority="934" operator="lessThan">
      <formula>1</formula>
    </cfRule>
  </conditionalFormatting>
  <conditionalFormatting sqref="H58">
    <cfRule type="cellIs" dxfId="3" priority="379" operator="greaterThanOrEqual">
      <formula>0.9</formula>
    </cfRule>
    <cfRule type="cellIs" dxfId="4" priority="490" operator="lessThan">
      <formula>0.9</formula>
    </cfRule>
    <cfRule type="cellIs" dxfId="5" priority="601" operator="lessThan">
      <formula>0.5</formula>
    </cfRule>
  </conditionalFormatting>
  <conditionalFormatting sqref="J58">
    <cfRule type="cellIs" dxfId="3" priority="46" operator="lessThan">
      <formula>0.5</formula>
    </cfRule>
    <cfRule type="cellIs" dxfId="4" priority="157" operator="lessThan">
      <formula>0.9</formula>
    </cfRule>
    <cfRule type="cellIs" dxfId="5" priority="268" operator="greaterThanOrEqual">
      <formula>0.9</formula>
    </cfRule>
  </conditionalFormatting>
  <conditionalFormatting sqref="G59">
    <cfRule type="cellIs" dxfId="0" priority="711" operator="equal">
      <formula>1</formula>
    </cfRule>
    <cfRule type="cellIs" dxfId="1" priority="822" operator="lessThan">
      <formula>0.9</formula>
    </cfRule>
    <cfRule type="cellIs" dxfId="2" priority="933" operator="lessThan">
      <formula>1</formula>
    </cfRule>
  </conditionalFormatting>
  <conditionalFormatting sqref="H59">
    <cfRule type="cellIs" dxfId="3" priority="378" operator="greaterThanOrEqual">
      <formula>0.9</formula>
    </cfRule>
    <cfRule type="cellIs" dxfId="4" priority="489" operator="lessThan">
      <formula>0.9</formula>
    </cfRule>
    <cfRule type="cellIs" dxfId="5" priority="600" operator="lessThan">
      <formula>0.5</formula>
    </cfRule>
  </conditionalFormatting>
  <conditionalFormatting sqref="J59">
    <cfRule type="cellIs" dxfId="3" priority="45" operator="lessThan">
      <formula>0.5</formula>
    </cfRule>
    <cfRule type="cellIs" dxfId="4" priority="156" operator="lessThan">
      <formula>0.9</formula>
    </cfRule>
    <cfRule type="cellIs" dxfId="5" priority="267" operator="greaterThanOrEqual">
      <formula>0.9</formula>
    </cfRule>
  </conditionalFormatting>
  <conditionalFormatting sqref="G60">
    <cfRule type="cellIs" dxfId="0" priority="710" operator="equal">
      <formula>1</formula>
    </cfRule>
    <cfRule type="cellIs" dxfId="1" priority="821" operator="lessThan">
      <formula>0.9</formula>
    </cfRule>
    <cfRule type="cellIs" dxfId="2" priority="932" operator="lessThan">
      <formula>1</formula>
    </cfRule>
  </conditionalFormatting>
  <conditionalFormatting sqref="H60">
    <cfRule type="cellIs" dxfId="3" priority="377" operator="greaterThanOrEqual">
      <formula>0.9</formula>
    </cfRule>
    <cfRule type="cellIs" dxfId="4" priority="488" operator="lessThan">
      <formula>0.9</formula>
    </cfRule>
    <cfRule type="cellIs" dxfId="5" priority="599" operator="lessThan">
      <formula>0.5</formula>
    </cfRule>
  </conditionalFormatting>
  <conditionalFormatting sqref="J60">
    <cfRule type="cellIs" dxfId="3" priority="44" operator="lessThan">
      <formula>0.5</formula>
    </cfRule>
    <cfRule type="cellIs" dxfId="4" priority="155" operator="lessThan">
      <formula>0.9</formula>
    </cfRule>
    <cfRule type="cellIs" dxfId="5" priority="266" operator="greaterThanOrEqual">
      <formula>0.9</formula>
    </cfRule>
  </conditionalFormatting>
  <conditionalFormatting sqref="G61">
    <cfRule type="cellIs" dxfId="0" priority="709" operator="equal">
      <formula>1</formula>
    </cfRule>
    <cfRule type="cellIs" dxfId="1" priority="820" operator="lessThan">
      <formula>0.9</formula>
    </cfRule>
    <cfRule type="cellIs" dxfId="2" priority="931" operator="lessThan">
      <formula>1</formula>
    </cfRule>
  </conditionalFormatting>
  <conditionalFormatting sqref="H61">
    <cfRule type="cellIs" dxfId="3" priority="376" operator="greaterThanOrEqual">
      <formula>0.9</formula>
    </cfRule>
    <cfRule type="cellIs" dxfId="4" priority="487" operator="lessThan">
      <formula>0.9</formula>
    </cfRule>
    <cfRule type="cellIs" dxfId="5" priority="598" operator="lessThan">
      <formula>0.5</formula>
    </cfRule>
  </conditionalFormatting>
  <conditionalFormatting sqref="J61">
    <cfRule type="cellIs" dxfId="3" priority="43" operator="lessThan">
      <formula>0.5</formula>
    </cfRule>
    <cfRule type="cellIs" dxfId="4" priority="154" operator="lessThan">
      <formula>0.9</formula>
    </cfRule>
    <cfRule type="cellIs" dxfId="5" priority="265" operator="greaterThanOrEqual">
      <formula>0.9</formula>
    </cfRule>
  </conditionalFormatting>
  <conditionalFormatting sqref="G62">
    <cfRule type="cellIs" dxfId="0" priority="708" operator="equal">
      <formula>1</formula>
    </cfRule>
    <cfRule type="cellIs" dxfId="1" priority="819" operator="lessThan">
      <formula>0.9</formula>
    </cfRule>
    <cfRule type="cellIs" dxfId="2" priority="930" operator="lessThan">
      <formula>1</formula>
    </cfRule>
  </conditionalFormatting>
  <conditionalFormatting sqref="H62">
    <cfRule type="cellIs" dxfId="3" priority="375" operator="greaterThanOrEqual">
      <formula>0.9</formula>
    </cfRule>
    <cfRule type="cellIs" dxfId="4" priority="486" operator="lessThan">
      <formula>0.9</formula>
    </cfRule>
    <cfRule type="cellIs" dxfId="5" priority="597" operator="lessThan">
      <formula>0.5</formula>
    </cfRule>
  </conditionalFormatting>
  <conditionalFormatting sqref="J62">
    <cfRule type="cellIs" dxfId="3" priority="42" operator="lessThan">
      <formula>0.5</formula>
    </cfRule>
    <cfRule type="cellIs" dxfId="4" priority="153" operator="lessThan">
      <formula>0.9</formula>
    </cfRule>
    <cfRule type="cellIs" dxfId="5" priority="264" operator="greaterThanOrEqual">
      <formula>0.9</formula>
    </cfRule>
  </conditionalFormatting>
  <conditionalFormatting sqref="G63">
    <cfRule type="cellIs" dxfId="0" priority="707" operator="equal">
      <formula>1</formula>
    </cfRule>
    <cfRule type="cellIs" dxfId="1" priority="818" operator="lessThan">
      <formula>0.9</formula>
    </cfRule>
    <cfRule type="cellIs" dxfId="2" priority="929" operator="lessThan">
      <formula>1</formula>
    </cfRule>
  </conditionalFormatting>
  <conditionalFormatting sqref="H63">
    <cfRule type="cellIs" dxfId="3" priority="374" operator="greaterThanOrEqual">
      <formula>0.9</formula>
    </cfRule>
    <cfRule type="cellIs" dxfId="4" priority="485" operator="lessThan">
      <formula>0.9</formula>
    </cfRule>
    <cfRule type="cellIs" dxfId="5" priority="596" operator="lessThan">
      <formula>0.5</formula>
    </cfRule>
  </conditionalFormatting>
  <conditionalFormatting sqref="J63">
    <cfRule type="cellIs" dxfId="3" priority="41" operator="lessThan">
      <formula>0.5</formula>
    </cfRule>
    <cfRule type="cellIs" dxfId="4" priority="152" operator="lessThan">
      <formula>0.9</formula>
    </cfRule>
    <cfRule type="cellIs" dxfId="5" priority="263" operator="greaterThanOrEqual">
      <formula>0.9</formula>
    </cfRule>
  </conditionalFormatting>
  <conditionalFormatting sqref="G64">
    <cfRule type="cellIs" dxfId="0" priority="706" operator="equal">
      <formula>1</formula>
    </cfRule>
    <cfRule type="cellIs" dxfId="1" priority="817" operator="lessThan">
      <formula>0.9</formula>
    </cfRule>
    <cfRule type="cellIs" dxfId="2" priority="928" operator="lessThan">
      <formula>1</formula>
    </cfRule>
  </conditionalFormatting>
  <conditionalFormatting sqref="H64">
    <cfRule type="cellIs" dxfId="3" priority="373" operator="greaterThanOrEqual">
      <formula>0.9</formula>
    </cfRule>
    <cfRule type="cellIs" dxfId="4" priority="484" operator="lessThan">
      <formula>0.9</formula>
    </cfRule>
    <cfRule type="cellIs" dxfId="5" priority="595" operator="lessThan">
      <formula>0.5</formula>
    </cfRule>
  </conditionalFormatting>
  <conditionalFormatting sqref="J64">
    <cfRule type="cellIs" dxfId="3" priority="40" operator="lessThan">
      <formula>0.5</formula>
    </cfRule>
    <cfRule type="cellIs" dxfId="4" priority="151" operator="lessThan">
      <formula>0.9</formula>
    </cfRule>
    <cfRule type="cellIs" dxfId="5" priority="262" operator="greaterThanOrEqual">
      <formula>0.9</formula>
    </cfRule>
  </conditionalFormatting>
  <conditionalFormatting sqref="G65">
    <cfRule type="cellIs" dxfId="0" priority="705" operator="equal">
      <formula>1</formula>
    </cfRule>
    <cfRule type="cellIs" dxfId="1" priority="816" operator="lessThan">
      <formula>0.9</formula>
    </cfRule>
    <cfRule type="cellIs" dxfId="2" priority="927" operator="lessThan">
      <formula>1</formula>
    </cfRule>
  </conditionalFormatting>
  <conditionalFormatting sqref="H65">
    <cfRule type="cellIs" dxfId="3" priority="372" operator="greaterThanOrEqual">
      <formula>0.9</formula>
    </cfRule>
    <cfRule type="cellIs" dxfId="4" priority="483" operator="lessThan">
      <formula>0.9</formula>
    </cfRule>
    <cfRule type="cellIs" dxfId="5" priority="594" operator="lessThan">
      <formula>0.5</formula>
    </cfRule>
  </conditionalFormatting>
  <conditionalFormatting sqref="J65">
    <cfRule type="cellIs" dxfId="3" priority="39" operator="lessThan">
      <formula>0.5</formula>
    </cfRule>
    <cfRule type="cellIs" dxfId="4" priority="150" operator="lessThan">
      <formula>0.9</formula>
    </cfRule>
    <cfRule type="cellIs" dxfId="5" priority="261" operator="greaterThanOrEqual">
      <formula>0.9</formula>
    </cfRule>
  </conditionalFormatting>
  <conditionalFormatting sqref="G66">
    <cfRule type="cellIs" dxfId="0" priority="704" operator="equal">
      <formula>1</formula>
    </cfRule>
    <cfRule type="cellIs" dxfId="1" priority="815" operator="lessThan">
      <formula>0.9</formula>
    </cfRule>
    <cfRule type="cellIs" dxfId="2" priority="926" operator="lessThan">
      <formula>1</formula>
    </cfRule>
  </conditionalFormatting>
  <conditionalFormatting sqref="H66">
    <cfRule type="cellIs" dxfId="3" priority="371" operator="greaterThanOrEqual">
      <formula>0.9</formula>
    </cfRule>
    <cfRule type="cellIs" dxfId="4" priority="482" operator="lessThan">
      <formula>0.9</formula>
    </cfRule>
    <cfRule type="cellIs" dxfId="5" priority="593" operator="lessThan">
      <formula>0.5</formula>
    </cfRule>
  </conditionalFormatting>
  <conditionalFormatting sqref="J66">
    <cfRule type="cellIs" dxfId="3" priority="38" operator="lessThan">
      <formula>0.5</formula>
    </cfRule>
    <cfRule type="cellIs" dxfId="4" priority="149" operator="lessThan">
      <formula>0.9</formula>
    </cfRule>
    <cfRule type="cellIs" dxfId="5" priority="260" operator="greaterThanOrEqual">
      <formula>0.9</formula>
    </cfRule>
  </conditionalFormatting>
  <conditionalFormatting sqref="G67">
    <cfRule type="cellIs" dxfId="0" priority="703" operator="equal">
      <formula>1</formula>
    </cfRule>
    <cfRule type="cellIs" dxfId="1" priority="814" operator="lessThan">
      <formula>0.9</formula>
    </cfRule>
    <cfRule type="cellIs" dxfId="2" priority="925" operator="lessThan">
      <formula>1</formula>
    </cfRule>
  </conditionalFormatting>
  <conditionalFormatting sqref="H67">
    <cfRule type="cellIs" dxfId="3" priority="370" operator="greaterThanOrEqual">
      <formula>0.9</formula>
    </cfRule>
    <cfRule type="cellIs" dxfId="4" priority="481" operator="lessThan">
      <formula>0.9</formula>
    </cfRule>
    <cfRule type="cellIs" dxfId="5" priority="592" operator="lessThan">
      <formula>0.5</formula>
    </cfRule>
  </conditionalFormatting>
  <conditionalFormatting sqref="J67">
    <cfRule type="cellIs" dxfId="3" priority="37" operator="lessThan">
      <formula>0.5</formula>
    </cfRule>
    <cfRule type="cellIs" dxfId="4" priority="148" operator="lessThan">
      <formula>0.9</formula>
    </cfRule>
    <cfRule type="cellIs" dxfId="5" priority="259" operator="greaterThanOrEqual">
      <formula>0.9</formula>
    </cfRule>
  </conditionalFormatting>
  <conditionalFormatting sqref="G68">
    <cfRule type="cellIs" dxfId="0" priority="702" operator="equal">
      <formula>1</formula>
    </cfRule>
    <cfRule type="cellIs" dxfId="1" priority="813" operator="lessThan">
      <formula>0.9</formula>
    </cfRule>
    <cfRule type="cellIs" dxfId="2" priority="924" operator="lessThan">
      <formula>1</formula>
    </cfRule>
  </conditionalFormatting>
  <conditionalFormatting sqref="H68">
    <cfRule type="cellIs" dxfId="3" priority="369" operator="greaterThanOrEqual">
      <formula>0.9</formula>
    </cfRule>
    <cfRule type="cellIs" dxfId="4" priority="480" operator="lessThan">
      <formula>0.9</formula>
    </cfRule>
    <cfRule type="cellIs" dxfId="5" priority="591" operator="lessThan">
      <formula>0.5</formula>
    </cfRule>
  </conditionalFormatting>
  <conditionalFormatting sqref="J68">
    <cfRule type="cellIs" dxfId="3" priority="36" operator="lessThan">
      <formula>0.5</formula>
    </cfRule>
    <cfRule type="cellIs" dxfId="4" priority="147" operator="lessThan">
      <formula>0.9</formula>
    </cfRule>
    <cfRule type="cellIs" dxfId="5" priority="258" operator="greaterThanOrEqual">
      <formula>0.9</formula>
    </cfRule>
  </conditionalFormatting>
  <conditionalFormatting sqref="G69">
    <cfRule type="cellIs" dxfId="0" priority="701" operator="equal">
      <formula>1</formula>
    </cfRule>
    <cfRule type="cellIs" dxfId="1" priority="812" operator="lessThan">
      <formula>0.9</formula>
    </cfRule>
    <cfRule type="cellIs" dxfId="2" priority="923" operator="lessThan">
      <formula>1</formula>
    </cfRule>
  </conditionalFormatting>
  <conditionalFormatting sqref="H69">
    <cfRule type="cellIs" dxfId="3" priority="368" operator="greaterThanOrEqual">
      <formula>0.9</formula>
    </cfRule>
    <cfRule type="cellIs" dxfId="4" priority="479" operator="lessThan">
      <formula>0.9</formula>
    </cfRule>
    <cfRule type="cellIs" dxfId="5" priority="590" operator="lessThan">
      <formula>0.5</formula>
    </cfRule>
  </conditionalFormatting>
  <conditionalFormatting sqref="J69">
    <cfRule type="cellIs" dxfId="3" priority="35" operator="lessThan">
      <formula>0.5</formula>
    </cfRule>
    <cfRule type="cellIs" dxfId="4" priority="146" operator="lessThan">
      <formula>0.9</formula>
    </cfRule>
    <cfRule type="cellIs" dxfId="5" priority="257" operator="greaterThanOrEqual">
      <formula>0.9</formula>
    </cfRule>
  </conditionalFormatting>
  <conditionalFormatting sqref="G70">
    <cfRule type="cellIs" dxfId="0" priority="700" operator="equal">
      <formula>1</formula>
    </cfRule>
    <cfRule type="cellIs" dxfId="1" priority="811" operator="lessThan">
      <formula>0.9</formula>
    </cfRule>
    <cfRule type="cellIs" dxfId="2" priority="922" operator="lessThan">
      <formula>1</formula>
    </cfRule>
  </conditionalFormatting>
  <conditionalFormatting sqref="H70">
    <cfRule type="cellIs" dxfId="3" priority="367" operator="greaterThanOrEqual">
      <formula>0.9</formula>
    </cfRule>
    <cfRule type="cellIs" dxfId="4" priority="478" operator="lessThan">
      <formula>0.9</formula>
    </cfRule>
    <cfRule type="cellIs" dxfId="5" priority="589" operator="lessThan">
      <formula>0.5</formula>
    </cfRule>
  </conditionalFormatting>
  <conditionalFormatting sqref="J70">
    <cfRule type="cellIs" dxfId="3" priority="34" operator="lessThan">
      <formula>0.5</formula>
    </cfRule>
    <cfRule type="cellIs" dxfId="4" priority="145" operator="lessThan">
      <formula>0.9</formula>
    </cfRule>
    <cfRule type="cellIs" dxfId="5" priority="256" operator="greaterThanOrEqual">
      <formula>0.9</formula>
    </cfRule>
  </conditionalFormatting>
  <conditionalFormatting sqref="G71">
    <cfRule type="cellIs" dxfId="0" priority="699" operator="equal">
      <formula>1</formula>
    </cfRule>
    <cfRule type="cellIs" dxfId="1" priority="810" operator="lessThan">
      <formula>0.9</formula>
    </cfRule>
    <cfRule type="cellIs" dxfId="2" priority="921" operator="lessThan">
      <formula>1</formula>
    </cfRule>
  </conditionalFormatting>
  <conditionalFormatting sqref="H71">
    <cfRule type="cellIs" dxfId="3" priority="366" operator="greaterThanOrEqual">
      <formula>0.9</formula>
    </cfRule>
    <cfRule type="cellIs" dxfId="4" priority="477" operator="lessThan">
      <formula>0.9</formula>
    </cfRule>
    <cfRule type="cellIs" dxfId="5" priority="588" operator="lessThan">
      <formula>0.5</formula>
    </cfRule>
  </conditionalFormatting>
  <conditionalFormatting sqref="J71">
    <cfRule type="cellIs" dxfId="3" priority="33" operator="lessThan">
      <formula>0.5</formula>
    </cfRule>
    <cfRule type="cellIs" dxfId="4" priority="144" operator="lessThan">
      <formula>0.9</formula>
    </cfRule>
    <cfRule type="cellIs" dxfId="5" priority="255" operator="greaterThanOrEqual">
      <formula>0.9</formula>
    </cfRule>
  </conditionalFormatting>
  <conditionalFormatting sqref="G72">
    <cfRule type="cellIs" dxfId="0" priority="698" operator="equal">
      <formula>1</formula>
    </cfRule>
    <cfRule type="cellIs" dxfId="1" priority="809" operator="lessThan">
      <formula>0.9</formula>
    </cfRule>
    <cfRule type="cellIs" dxfId="2" priority="920" operator="lessThan">
      <formula>1</formula>
    </cfRule>
  </conditionalFormatting>
  <conditionalFormatting sqref="H72">
    <cfRule type="cellIs" dxfId="3" priority="365" operator="greaterThanOrEqual">
      <formula>0.9</formula>
    </cfRule>
    <cfRule type="cellIs" dxfId="4" priority="476" operator="lessThan">
      <formula>0.9</formula>
    </cfRule>
    <cfRule type="cellIs" dxfId="5" priority="587" operator="lessThan">
      <formula>0.5</formula>
    </cfRule>
  </conditionalFormatting>
  <conditionalFormatting sqref="J72">
    <cfRule type="cellIs" dxfId="3" priority="32" operator="lessThan">
      <formula>0.5</formula>
    </cfRule>
    <cfRule type="cellIs" dxfId="4" priority="143" operator="lessThan">
      <formula>0.9</formula>
    </cfRule>
    <cfRule type="cellIs" dxfId="5" priority="254" operator="greaterThanOrEqual">
      <formula>0.9</formula>
    </cfRule>
  </conditionalFormatting>
  <conditionalFormatting sqref="G73">
    <cfRule type="cellIs" dxfId="0" priority="697" operator="equal">
      <formula>1</formula>
    </cfRule>
    <cfRule type="cellIs" dxfId="1" priority="808" operator="lessThan">
      <formula>0.9</formula>
    </cfRule>
    <cfRule type="cellIs" dxfId="2" priority="919" operator="lessThan">
      <formula>1</formula>
    </cfRule>
  </conditionalFormatting>
  <conditionalFormatting sqref="H73">
    <cfRule type="cellIs" dxfId="3" priority="364" operator="greaterThanOrEqual">
      <formula>0.9</formula>
    </cfRule>
    <cfRule type="cellIs" dxfId="4" priority="475" operator="lessThan">
      <formula>0.9</formula>
    </cfRule>
    <cfRule type="cellIs" dxfId="5" priority="586" operator="lessThan">
      <formula>0.5</formula>
    </cfRule>
  </conditionalFormatting>
  <conditionalFormatting sqref="J73">
    <cfRule type="cellIs" dxfId="3" priority="31" operator="lessThan">
      <formula>0.5</formula>
    </cfRule>
    <cfRule type="cellIs" dxfId="4" priority="142" operator="lessThan">
      <formula>0.9</formula>
    </cfRule>
    <cfRule type="cellIs" dxfId="5" priority="253" operator="greaterThanOrEqual">
      <formula>0.9</formula>
    </cfRule>
  </conditionalFormatting>
  <conditionalFormatting sqref="G74">
    <cfRule type="cellIs" dxfId="0" priority="696" operator="equal">
      <formula>1</formula>
    </cfRule>
    <cfRule type="cellIs" dxfId="1" priority="807" operator="lessThan">
      <formula>0.9</formula>
    </cfRule>
    <cfRule type="cellIs" dxfId="2" priority="918" operator="lessThan">
      <formula>1</formula>
    </cfRule>
  </conditionalFormatting>
  <conditionalFormatting sqref="H74">
    <cfRule type="cellIs" dxfId="3" priority="363" operator="greaterThanOrEqual">
      <formula>0.9</formula>
    </cfRule>
    <cfRule type="cellIs" dxfId="4" priority="474" operator="lessThan">
      <formula>0.9</formula>
    </cfRule>
    <cfRule type="cellIs" dxfId="5" priority="585" operator="lessThan">
      <formula>0.5</formula>
    </cfRule>
  </conditionalFormatting>
  <conditionalFormatting sqref="J74">
    <cfRule type="cellIs" dxfId="3" priority="30" operator="lessThan">
      <formula>0.5</formula>
    </cfRule>
    <cfRule type="cellIs" dxfId="4" priority="141" operator="lessThan">
      <formula>0.9</formula>
    </cfRule>
    <cfRule type="cellIs" dxfId="5" priority="252" operator="greaterThanOrEqual">
      <formula>0.9</formula>
    </cfRule>
  </conditionalFormatting>
  <conditionalFormatting sqref="G75">
    <cfRule type="cellIs" dxfId="0" priority="695" operator="equal">
      <formula>1</formula>
    </cfRule>
    <cfRule type="cellIs" dxfId="1" priority="806" operator="lessThan">
      <formula>0.9</formula>
    </cfRule>
    <cfRule type="cellIs" dxfId="2" priority="917" operator="lessThan">
      <formula>1</formula>
    </cfRule>
  </conditionalFormatting>
  <conditionalFormatting sqref="H75">
    <cfRule type="cellIs" dxfId="3" priority="362" operator="greaterThanOrEqual">
      <formula>0.9</formula>
    </cfRule>
    <cfRule type="cellIs" dxfId="4" priority="473" operator="lessThan">
      <formula>0.9</formula>
    </cfRule>
    <cfRule type="cellIs" dxfId="5" priority="584" operator="lessThan">
      <formula>0.5</formula>
    </cfRule>
  </conditionalFormatting>
  <conditionalFormatting sqref="J75">
    <cfRule type="cellIs" dxfId="3" priority="29" operator="lessThan">
      <formula>0.5</formula>
    </cfRule>
    <cfRule type="cellIs" dxfId="4" priority="140" operator="lessThan">
      <formula>0.9</formula>
    </cfRule>
    <cfRule type="cellIs" dxfId="5" priority="251" operator="greaterThanOrEqual">
      <formula>0.9</formula>
    </cfRule>
  </conditionalFormatting>
  <conditionalFormatting sqref="G76">
    <cfRule type="cellIs" dxfId="0" priority="694" operator="equal">
      <formula>1</formula>
    </cfRule>
    <cfRule type="cellIs" dxfId="1" priority="805" operator="lessThan">
      <formula>0.9</formula>
    </cfRule>
    <cfRule type="cellIs" dxfId="2" priority="916" operator="lessThan">
      <formula>1</formula>
    </cfRule>
  </conditionalFormatting>
  <conditionalFormatting sqref="H76">
    <cfRule type="cellIs" dxfId="3" priority="361" operator="greaterThanOrEqual">
      <formula>0.9</formula>
    </cfRule>
    <cfRule type="cellIs" dxfId="4" priority="472" operator="lessThan">
      <formula>0.9</formula>
    </cfRule>
    <cfRule type="cellIs" dxfId="5" priority="583" operator="lessThan">
      <formula>0.5</formula>
    </cfRule>
  </conditionalFormatting>
  <conditionalFormatting sqref="J76">
    <cfRule type="cellIs" dxfId="3" priority="28" operator="lessThan">
      <formula>0.5</formula>
    </cfRule>
    <cfRule type="cellIs" dxfId="4" priority="139" operator="lessThan">
      <formula>0.9</formula>
    </cfRule>
    <cfRule type="cellIs" dxfId="5" priority="250" operator="greaterThanOrEqual">
      <formula>0.9</formula>
    </cfRule>
  </conditionalFormatting>
  <conditionalFormatting sqref="G77">
    <cfRule type="cellIs" dxfId="0" priority="693" operator="equal">
      <formula>1</formula>
    </cfRule>
    <cfRule type="cellIs" dxfId="1" priority="804" operator="lessThan">
      <formula>0.9</formula>
    </cfRule>
    <cfRule type="cellIs" dxfId="2" priority="915" operator="lessThan">
      <formula>1</formula>
    </cfRule>
  </conditionalFormatting>
  <conditionalFormatting sqref="H77">
    <cfRule type="cellIs" dxfId="3" priority="360" operator="greaterThanOrEqual">
      <formula>0.9</formula>
    </cfRule>
    <cfRule type="cellIs" dxfId="4" priority="471" operator="lessThan">
      <formula>0.9</formula>
    </cfRule>
    <cfRule type="cellIs" dxfId="5" priority="582" operator="lessThan">
      <formula>0.5</formula>
    </cfRule>
  </conditionalFormatting>
  <conditionalFormatting sqref="J77">
    <cfRule type="cellIs" dxfId="3" priority="27" operator="lessThan">
      <formula>0.5</formula>
    </cfRule>
    <cfRule type="cellIs" dxfId="4" priority="138" operator="lessThan">
      <formula>0.9</formula>
    </cfRule>
    <cfRule type="cellIs" dxfId="5" priority="249" operator="greaterThanOrEqual">
      <formula>0.9</formula>
    </cfRule>
  </conditionalFormatting>
  <conditionalFormatting sqref="G78">
    <cfRule type="cellIs" dxfId="0" priority="687" operator="equal">
      <formula>1</formula>
    </cfRule>
    <cfRule type="cellIs" dxfId="1" priority="798" operator="lessThan">
      <formula>0.9</formula>
    </cfRule>
    <cfRule type="cellIs" dxfId="2" priority="909" operator="lessThan">
      <formula>1</formula>
    </cfRule>
  </conditionalFormatting>
  <conditionalFormatting sqref="H78">
    <cfRule type="cellIs" dxfId="3" priority="354" operator="greaterThanOrEqual">
      <formula>0.9</formula>
    </cfRule>
    <cfRule type="cellIs" dxfId="4" priority="465" operator="lessThan">
      <formula>0.9</formula>
    </cfRule>
    <cfRule type="cellIs" dxfId="5" priority="576" operator="lessThan">
      <formula>0.5</formula>
    </cfRule>
  </conditionalFormatting>
  <conditionalFormatting sqref="J78">
    <cfRule type="cellIs" dxfId="3" priority="21" operator="lessThan">
      <formula>0.5</formula>
    </cfRule>
    <cfRule type="cellIs" dxfId="4" priority="132" operator="lessThan">
      <formula>0.9</formula>
    </cfRule>
    <cfRule type="cellIs" dxfId="5" priority="243" operator="greaterThanOrEqual">
      <formula>0.9</formula>
    </cfRule>
  </conditionalFormatting>
  <conditionalFormatting sqref="G79">
    <cfRule type="cellIs" dxfId="0" priority="686" operator="equal">
      <formula>1</formula>
    </cfRule>
    <cfRule type="cellIs" dxfId="1" priority="797" operator="lessThan">
      <formula>0.9</formula>
    </cfRule>
    <cfRule type="cellIs" dxfId="2" priority="908" operator="lessThan">
      <formula>1</formula>
    </cfRule>
  </conditionalFormatting>
  <conditionalFormatting sqref="H79">
    <cfRule type="cellIs" dxfId="3" priority="353" operator="greaterThanOrEqual">
      <formula>0.9</formula>
    </cfRule>
    <cfRule type="cellIs" dxfId="4" priority="464" operator="lessThan">
      <formula>0.9</formula>
    </cfRule>
    <cfRule type="cellIs" dxfId="5" priority="575" operator="lessThan">
      <formula>0.5</formula>
    </cfRule>
  </conditionalFormatting>
  <conditionalFormatting sqref="J79">
    <cfRule type="cellIs" dxfId="3" priority="20" operator="lessThan">
      <formula>0.5</formula>
    </cfRule>
    <cfRule type="cellIs" dxfId="4" priority="131" operator="lessThan">
      <formula>0.9</formula>
    </cfRule>
    <cfRule type="cellIs" dxfId="5" priority="242" operator="greaterThanOrEqual">
      <formula>0.9</formula>
    </cfRule>
  </conditionalFormatting>
  <conditionalFormatting sqref="G80">
    <cfRule type="cellIs" dxfId="0" priority="685" operator="equal">
      <formula>1</formula>
    </cfRule>
    <cfRule type="cellIs" dxfId="1" priority="796" operator="lessThan">
      <formula>0.9</formula>
    </cfRule>
    <cfRule type="cellIs" dxfId="2" priority="907" operator="lessThan">
      <formula>1</formula>
    </cfRule>
  </conditionalFormatting>
  <conditionalFormatting sqref="H80">
    <cfRule type="cellIs" dxfId="3" priority="352" operator="greaterThanOrEqual">
      <formula>0.9</formula>
    </cfRule>
    <cfRule type="cellIs" dxfId="4" priority="463" operator="lessThan">
      <formula>0.9</formula>
    </cfRule>
    <cfRule type="cellIs" dxfId="5" priority="574" operator="lessThan">
      <formula>0.5</formula>
    </cfRule>
  </conditionalFormatting>
  <conditionalFormatting sqref="J80">
    <cfRule type="cellIs" dxfId="3" priority="19" operator="lessThan">
      <formula>0.5</formula>
    </cfRule>
    <cfRule type="cellIs" dxfId="4" priority="130" operator="lessThan">
      <formula>0.9</formula>
    </cfRule>
    <cfRule type="cellIs" dxfId="5" priority="241" operator="greaterThanOrEqual">
      <formula>0.9</formula>
    </cfRule>
  </conditionalFormatting>
  <conditionalFormatting sqref="G81">
    <cfRule type="cellIs" dxfId="0" priority="684" operator="equal">
      <formula>1</formula>
    </cfRule>
    <cfRule type="cellIs" dxfId="1" priority="795" operator="lessThan">
      <formula>0.9</formula>
    </cfRule>
    <cfRule type="cellIs" dxfId="2" priority="906" operator="lessThan">
      <formula>1</formula>
    </cfRule>
  </conditionalFormatting>
  <conditionalFormatting sqref="H81">
    <cfRule type="cellIs" dxfId="3" priority="351" operator="greaterThanOrEqual">
      <formula>0.9</formula>
    </cfRule>
    <cfRule type="cellIs" dxfId="4" priority="462" operator="lessThan">
      <formula>0.9</formula>
    </cfRule>
    <cfRule type="cellIs" dxfId="5" priority="573" operator="lessThan">
      <formula>0.5</formula>
    </cfRule>
  </conditionalFormatting>
  <conditionalFormatting sqref="J81">
    <cfRule type="cellIs" dxfId="3" priority="18" operator="lessThan">
      <formula>0.5</formula>
    </cfRule>
    <cfRule type="cellIs" dxfId="4" priority="129" operator="lessThan">
      <formula>0.9</formula>
    </cfRule>
    <cfRule type="cellIs" dxfId="5" priority="240" operator="greaterThanOrEqual">
      <formula>0.9</formula>
    </cfRule>
  </conditionalFormatting>
  <conditionalFormatting sqref="G82">
    <cfRule type="cellIs" dxfId="0" priority="683" operator="equal">
      <formula>1</formula>
    </cfRule>
    <cfRule type="cellIs" dxfId="1" priority="794" operator="lessThan">
      <formula>0.9</formula>
    </cfRule>
    <cfRule type="cellIs" dxfId="2" priority="905" operator="lessThan">
      <formula>1</formula>
    </cfRule>
  </conditionalFormatting>
  <conditionalFormatting sqref="H82">
    <cfRule type="cellIs" dxfId="3" priority="350" operator="greaterThanOrEqual">
      <formula>0.9</formula>
    </cfRule>
    <cfRule type="cellIs" dxfId="4" priority="461" operator="lessThan">
      <formula>0.9</formula>
    </cfRule>
    <cfRule type="cellIs" dxfId="5" priority="572" operator="lessThan">
      <formula>0.5</formula>
    </cfRule>
  </conditionalFormatting>
  <conditionalFormatting sqref="J82">
    <cfRule type="cellIs" dxfId="3" priority="17" operator="lessThan">
      <formula>0.5</formula>
    </cfRule>
    <cfRule type="cellIs" dxfId="4" priority="128" operator="lessThan">
      <formula>0.9</formula>
    </cfRule>
    <cfRule type="cellIs" dxfId="5" priority="239" operator="greaterThanOrEqual">
      <formula>0.9</formula>
    </cfRule>
  </conditionalFormatting>
  <conditionalFormatting sqref="G83">
    <cfRule type="cellIs" dxfId="0" priority="682" operator="equal">
      <formula>1</formula>
    </cfRule>
    <cfRule type="cellIs" dxfId="1" priority="793" operator="lessThan">
      <formula>0.9</formula>
    </cfRule>
    <cfRule type="cellIs" dxfId="2" priority="904" operator="lessThan">
      <formula>1</formula>
    </cfRule>
  </conditionalFormatting>
  <conditionalFormatting sqref="H83">
    <cfRule type="cellIs" dxfId="3" priority="349" operator="greaterThanOrEqual">
      <formula>0.9</formula>
    </cfRule>
    <cfRule type="cellIs" dxfId="4" priority="460" operator="lessThan">
      <formula>0.9</formula>
    </cfRule>
    <cfRule type="cellIs" dxfId="5" priority="571" operator="lessThan">
      <formula>0.5</formula>
    </cfRule>
  </conditionalFormatting>
  <conditionalFormatting sqref="J83">
    <cfRule type="cellIs" dxfId="3" priority="16" operator="lessThan">
      <formula>0.5</formula>
    </cfRule>
    <cfRule type="cellIs" dxfId="4" priority="127" operator="lessThan">
      <formula>0.9</formula>
    </cfRule>
    <cfRule type="cellIs" dxfId="5" priority="238" operator="greaterThanOrEqual">
      <formula>0.9</formula>
    </cfRule>
  </conditionalFormatting>
  <conditionalFormatting sqref="G84">
    <cfRule type="cellIs" dxfId="0" priority="681" operator="equal">
      <formula>1</formula>
    </cfRule>
    <cfRule type="cellIs" dxfId="1" priority="792" operator="lessThan">
      <formula>0.9</formula>
    </cfRule>
    <cfRule type="cellIs" dxfId="2" priority="903" operator="lessThan">
      <formula>1</formula>
    </cfRule>
  </conditionalFormatting>
  <conditionalFormatting sqref="H84">
    <cfRule type="cellIs" dxfId="3" priority="348" operator="greaterThanOrEqual">
      <formula>0.9</formula>
    </cfRule>
    <cfRule type="cellIs" dxfId="4" priority="459" operator="lessThan">
      <formula>0.9</formula>
    </cfRule>
    <cfRule type="cellIs" dxfId="5" priority="570" operator="lessThan">
      <formula>0.5</formula>
    </cfRule>
  </conditionalFormatting>
  <conditionalFormatting sqref="J84">
    <cfRule type="cellIs" dxfId="3" priority="15" operator="lessThan">
      <formula>0.5</formula>
    </cfRule>
    <cfRule type="cellIs" dxfId="4" priority="126" operator="lessThan">
      <formula>0.9</formula>
    </cfRule>
    <cfRule type="cellIs" dxfId="5" priority="237" operator="greaterThanOrEqual">
      <formula>0.9</formula>
    </cfRule>
  </conditionalFormatting>
  <conditionalFormatting sqref="G85">
    <cfRule type="cellIs" dxfId="0" priority="680" operator="equal">
      <formula>1</formula>
    </cfRule>
    <cfRule type="cellIs" dxfId="1" priority="791" operator="lessThan">
      <formula>0.9</formula>
    </cfRule>
    <cfRule type="cellIs" dxfId="2" priority="902" operator="lessThan">
      <formula>1</formula>
    </cfRule>
  </conditionalFormatting>
  <conditionalFormatting sqref="H85">
    <cfRule type="cellIs" dxfId="3" priority="347" operator="greaterThanOrEqual">
      <formula>0.9</formula>
    </cfRule>
    <cfRule type="cellIs" dxfId="4" priority="458" operator="lessThan">
      <formula>0.9</formula>
    </cfRule>
    <cfRule type="cellIs" dxfId="5" priority="569" operator="lessThan">
      <formula>0.5</formula>
    </cfRule>
  </conditionalFormatting>
  <conditionalFormatting sqref="J85">
    <cfRule type="cellIs" dxfId="3" priority="14" operator="lessThan">
      <formula>0.5</formula>
    </cfRule>
    <cfRule type="cellIs" dxfId="4" priority="125" operator="lessThan">
      <formula>0.9</formula>
    </cfRule>
    <cfRule type="cellIs" dxfId="5" priority="236" operator="greaterThanOrEqual">
      <formula>0.9</formula>
    </cfRule>
  </conditionalFormatting>
  <conditionalFormatting sqref="G86">
    <cfRule type="cellIs" dxfId="0" priority="679" operator="equal">
      <formula>1</formula>
    </cfRule>
    <cfRule type="cellIs" dxfId="1" priority="790" operator="lessThan">
      <formula>0.9</formula>
    </cfRule>
    <cfRule type="cellIs" dxfId="2" priority="901" operator="lessThan">
      <formula>1</formula>
    </cfRule>
  </conditionalFormatting>
  <conditionalFormatting sqref="H86">
    <cfRule type="cellIs" dxfId="3" priority="346" operator="greaterThanOrEqual">
      <formula>0.9</formula>
    </cfRule>
    <cfRule type="cellIs" dxfId="4" priority="457" operator="lessThan">
      <formula>0.9</formula>
    </cfRule>
    <cfRule type="cellIs" dxfId="5" priority="568" operator="lessThan">
      <formula>0.5</formula>
    </cfRule>
  </conditionalFormatting>
  <conditionalFormatting sqref="J86">
    <cfRule type="cellIs" dxfId="3" priority="13" operator="lessThan">
      <formula>0.5</formula>
    </cfRule>
    <cfRule type="cellIs" dxfId="4" priority="124" operator="lessThan">
      <formula>0.9</formula>
    </cfRule>
    <cfRule type="cellIs" dxfId="5" priority="235" operator="greaterThanOrEqual">
      <formula>0.9</formula>
    </cfRule>
  </conditionalFormatting>
  <conditionalFormatting sqref="G87">
    <cfRule type="cellIs" dxfId="0" priority="677" operator="equal">
      <formula>1</formula>
    </cfRule>
    <cfRule type="cellIs" dxfId="1" priority="788" operator="lessThan">
      <formula>0.9</formula>
    </cfRule>
    <cfRule type="cellIs" dxfId="2" priority="899" operator="lessThan">
      <formula>1</formula>
    </cfRule>
  </conditionalFormatting>
  <conditionalFormatting sqref="H87">
    <cfRule type="cellIs" dxfId="3" priority="344" operator="greaterThanOrEqual">
      <formula>0.9</formula>
    </cfRule>
    <cfRule type="cellIs" dxfId="4" priority="455" operator="lessThan">
      <formula>0.9</formula>
    </cfRule>
    <cfRule type="cellIs" dxfId="5" priority="566" operator="lessThan">
      <formula>0.5</formula>
    </cfRule>
  </conditionalFormatting>
  <conditionalFormatting sqref="J87">
    <cfRule type="cellIs" dxfId="3" priority="11" operator="lessThan">
      <formula>0.5</formula>
    </cfRule>
    <cfRule type="cellIs" dxfId="4" priority="122" operator="lessThan">
      <formula>0.9</formula>
    </cfRule>
    <cfRule type="cellIs" dxfId="5" priority="233" operator="greaterThanOrEqual">
      <formula>0.9</formula>
    </cfRule>
  </conditionalFormatting>
  <conditionalFormatting sqref="G88">
    <cfRule type="cellIs" dxfId="0" priority="676" operator="equal">
      <formula>1</formula>
    </cfRule>
    <cfRule type="cellIs" dxfId="1" priority="787" operator="lessThan">
      <formula>0.9</formula>
    </cfRule>
    <cfRule type="cellIs" dxfId="2" priority="898" operator="lessThan">
      <formula>1</formula>
    </cfRule>
  </conditionalFormatting>
  <conditionalFormatting sqref="H88">
    <cfRule type="cellIs" dxfId="3" priority="343" operator="greaterThanOrEqual">
      <formula>0.9</formula>
    </cfRule>
    <cfRule type="cellIs" dxfId="4" priority="454" operator="lessThan">
      <formula>0.9</formula>
    </cfRule>
    <cfRule type="cellIs" dxfId="5" priority="565" operator="lessThan">
      <formula>0.5</formula>
    </cfRule>
  </conditionalFormatting>
  <conditionalFormatting sqref="J88">
    <cfRule type="cellIs" dxfId="3" priority="10" operator="lessThan">
      <formula>0.5</formula>
    </cfRule>
    <cfRule type="cellIs" dxfId="4" priority="121" operator="lessThan">
      <formula>0.9</formula>
    </cfRule>
    <cfRule type="cellIs" dxfId="5" priority="232" operator="greaterThanOrEqual">
      <formula>0.9</formula>
    </cfRule>
  </conditionalFormatting>
  <conditionalFormatting sqref="G89">
    <cfRule type="cellIs" dxfId="0" priority="675" operator="equal">
      <formula>1</formula>
    </cfRule>
    <cfRule type="cellIs" dxfId="1" priority="786" operator="lessThan">
      <formula>0.9</formula>
    </cfRule>
    <cfRule type="cellIs" dxfId="2" priority="897" operator="lessThan">
      <formula>1</formula>
    </cfRule>
  </conditionalFormatting>
  <conditionalFormatting sqref="H89">
    <cfRule type="cellIs" dxfId="3" priority="342" operator="greaterThanOrEqual">
      <formula>0.9</formula>
    </cfRule>
    <cfRule type="cellIs" dxfId="4" priority="453" operator="lessThan">
      <formula>0.9</formula>
    </cfRule>
    <cfRule type="cellIs" dxfId="5" priority="564" operator="lessThan">
      <formula>0.5</formula>
    </cfRule>
  </conditionalFormatting>
  <conditionalFormatting sqref="J89">
    <cfRule type="cellIs" dxfId="3" priority="9" operator="lessThan">
      <formula>0.5</formula>
    </cfRule>
    <cfRule type="cellIs" dxfId="4" priority="120" operator="lessThan">
      <formula>0.9</formula>
    </cfRule>
    <cfRule type="cellIs" dxfId="5" priority="231" operator="greaterThanOrEqual">
      <formula>0.9</formula>
    </cfRule>
  </conditionalFormatting>
  <conditionalFormatting sqref="G90">
    <cfRule type="cellIs" dxfId="0" priority="674" operator="equal">
      <formula>1</formula>
    </cfRule>
    <cfRule type="cellIs" dxfId="1" priority="785" operator="lessThan">
      <formula>0.9</formula>
    </cfRule>
    <cfRule type="cellIs" dxfId="2" priority="896" operator="lessThan">
      <formula>1</formula>
    </cfRule>
  </conditionalFormatting>
  <conditionalFormatting sqref="H90">
    <cfRule type="cellIs" dxfId="3" priority="341" operator="greaterThanOrEqual">
      <formula>0.9</formula>
    </cfRule>
    <cfRule type="cellIs" dxfId="4" priority="452" operator="lessThan">
      <formula>0.9</formula>
    </cfRule>
    <cfRule type="cellIs" dxfId="5" priority="563" operator="lessThan">
      <formula>0.5</formula>
    </cfRule>
  </conditionalFormatting>
  <conditionalFormatting sqref="J90">
    <cfRule type="cellIs" dxfId="3" priority="8" operator="lessThan">
      <formula>0.5</formula>
    </cfRule>
    <cfRule type="cellIs" dxfId="4" priority="119" operator="lessThan">
      <formula>0.9</formula>
    </cfRule>
    <cfRule type="cellIs" dxfId="5" priority="230" operator="greaterThanOrEqual">
      <formula>0.9</formula>
    </cfRule>
  </conditionalFormatting>
  <conditionalFormatting sqref="G91">
    <cfRule type="cellIs" dxfId="0" priority="673" operator="equal">
      <formula>1</formula>
    </cfRule>
    <cfRule type="cellIs" dxfId="1" priority="784" operator="lessThan">
      <formula>0.9</formula>
    </cfRule>
    <cfRule type="cellIs" dxfId="2" priority="895" operator="lessThan">
      <formula>1</formula>
    </cfRule>
  </conditionalFormatting>
  <conditionalFormatting sqref="H91">
    <cfRule type="cellIs" dxfId="3" priority="340" operator="greaterThanOrEqual">
      <formula>0.9</formula>
    </cfRule>
    <cfRule type="cellIs" dxfId="4" priority="451" operator="lessThan">
      <formula>0.9</formula>
    </cfRule>
    <cfRule type="cellIs" dxfId="5" priority="562" operator="lessThan">
      <formula>0.5</formula>
    </cfRule>
  </conditionalFormatting>
  <conditionalFormatting sqref="J91">
    <cfRule type="cellIs" dxfId="3" priority="7" operator="lessThan">
      <formula>0.5</formula>
    </cfRule>
    <cfRule type="cellIs" dxfId="4" priority="118" operator="lessThan">
      <formula>0.9</formula>
    </cfRule>
    <cfRule type="cellIs" dxfId="5" priority="229" operator="greaterThanOrEqual">
      <formula>0.9</formula>
    </cfRule>
  </conditionalFormatting>
  <conditionalFormatting sqref="G92">
    <cfRule type="cellIs" dxfId="0" priority="672" operator="equal">
      <formula>1</formula>
    </cfRule>
    <cfRule type="cellIs" dxfId="1" priority="783" operator="lessThan">
      <formula>0.9</formula>
    </cfRule>
    <cfRule type="cellIs" dxfId="2" priority="894" operator="lessThan">
      <formula>1</formula>
    </cfRule>
  </conditionalFormatting>
  <conditionalFormatting sqref="H92">
    <cfRule type="cellIs" dxfId="3" priority="339" operator="greaterThanOrEqual">
      <formula>0.9</formula>
    </cfRule>
    <cfRule type="cellIs" dxfId="4" priority="450" operator="lessThan">
      <formula>0.9</formula>
    </cfRule>
    <cfRule type="cellIs" dxfId="5" priority="561" operator="lessThan">
      <formula>0.5</formula>
    </cfRule>
  </conditionalFormatting>
  <conditionalFormatting sqref="J92">
    <cfRule type="cellIs" dxfId="3" priority="6" operator="lessThan">
      <formula>0.5</formula>
    </cfRule>
    <cfRule type="cellIs" dxfId="4" priority="117" operator="lessThan">
      <formula>0.9</formula>
    </cfRule>
    <cfRule type="cellIs" dxfId="5" priority="228" operator="greaterThanOrEqual">
      <formula>0.9</formula>
    </cfRule>
  </conditionalFormatting>
  <conditionalFormatting sqref="G93">
    <cfRule type="cellIs" dxfId="0" priority="671" operator="equal">
      <formula>1</formula>
    </cfRule>
    <cfRule type="cellIs" dxfId="1" priority="782" operator="lessThan">
      <formula>0.9</formula>
    </cfRule>
    <cfRule type="cellIs" dxfId="2" priority="893" operator="lessThan">
      <formula>1</formula>
    </cfRule>
  </conditionalFormatting>
  <conditionalFormatting sqref="H93">
    <cfRule type="cellIs" dxfId="3" priority="338" operator="greaterThanOrEqual">
      <formula>0.9</formula>
    </cfRule>
    <cfRule type="cellIs" dxfId="4" priority="449" operator="lessThan">
      <formula>0.9</formula>
    </cfRule>
    <cfRule type="cellIs" dxfId="5" priority="560" operator="lessThan">
      <formula>0.5</formula>
    </cfRule>
  </conditionalFormatting>
  <conditionalFormatting sqref="J93">
    <cfRule type="cellIs" dxfId="3" priority="5" operator="lessThan">
      <formula>0.5</formula>
    </cfRule>
    <cfRule type="cellIs" dxfId="4" priority="116" operator="lessThan">
      <formula>0.9</formula>
    </cfRule>
    <cfRule type="cellIs" dxfId="5" priority="227" operator="greaterThanOrEqual">
      <formula>0.9</formula>
    </cfRule>
  </conditionalFormatting>
  <conditionalFormatting sqref="G94">
    <cfRule type="cellIs" dxfId="0" priority="670" operator="equal">
      <formula>1</formula>
    </cfRule>
    <cfRule type="cellIs" dxfId="1" priority="781" operator="lessThan">
      <formula>0.9</formula>
    </cfRule>
    <cfRule type="cellIs" dxfId="2" priority="892" operator="lessThan">
      <formula>1</formula>
    </cfRule>
  </conditionalFormatting>
  <conditionalFormatting sqref="H94">
    <cfRule type="cellIs" dxfId="3" priority="337" operator="greaterThanOrEqual">
      <formula>0.9</formula>
    </cfRule>
    <cfRule type="cellIs" dxfId="4" priority="448" operator="lessThan">
      <formula>0.9</formula>
    </cfRule>
    <cfRule type="cellIs" dxfId="5" priority="559" operator="lessThan">
      <formula>0.5</formula>
    </cfRule>
  </conditionalFormatting>
  <conditionalFormatting sqref="J94">
    <cfRule type="cellIs" dxfId="3" priority="4" operator="lessThan">
      <formula>0.5</formula>
    </cfRule>
    <cfRule type="cellIs" dxfId="4" priority="115" operator="lessThan">
      <formula>0.9</formula>
    </cfRule>
    <cfRule type="cellIs" dxfId="5" priority="226" operator="greaterThanOrEqual">
      <formula>0.9</formula>
    </cfRule>
  </conditionalFormatting>
  <conditionalFormatting sqref="G95">
    <cfRule type="cellIs" dxfId="0" priority="669" operator="equal">
      <formula>1</formula>
    </cfRule>
    <cfRule type="cellIs" dxfId="1" priority="780" operator="lessThan">
      <formula>0.9</formula>
    </cfRule>
    <cfRule type="cellIs" dxfId="2" priority="891" operator="lessThan">
      <formula>1</formula>
    </cfRule>
  </conditionalFormatting>
  <conditionalFormatting sqref="H95">
    <cfRule type="cellIs" dxfId="3" priority="336" operator="greaterThanOrEqual">
      <formula>0.9</formula>
    </cfRule>
    <cfRule type="cellIs" dxfId="4" priority="447" operator="lessThan">
      <formula>0.9</formula>
    </cfRule>
    <cfRule type="cellIs" dxfId="5" priority="558" operator="lessThan">
      <formula>0.5</formula>
    </cfRule>
  </conditionalFormatting>
  <conditionalFormatting sqref="J95">
    <cfRule type="cellIs" dxfId="3" priority="3" operator="lessThan">
      <formula>0.5</formula>
    </cfRule>
    <cfRule type="cellIs" dxfId="4" priority="114" operator="lessThan">
      <formula>0.9</formula>
    </cfRule>
    <cfRule type="cellIs" dxfId="5" priority="225" operator="greaterThanOrEqual">
      <formula>0.9</formula>
    </cfRule>
  </conditionalFormatting>
  <conditionalFormatting sqref="G96">
    <cfRule type="cellIs" dxfId="0" priority="668" operator="equal">
      <formula>1</formula>
    </cfRule>
    <cfRule type="cellIs" dxfId="1" priority="779" operator="lessThan">
      <formula>0.9</formula>
    </cfRule>
    <cfRule type="cellIs" dxfId="2" priority="890" operator="lessThan">
      <formula>1</formula>
    </cfRule>
  </conditionalFormatting>
  <conditionalFormatting sqref="H96">
    <cfRule type="cellIs" dxfId="3" priority="335" operator="greaterThanOrEqual">
      <formula>0.9</formula>
    </cfRule>
    <cfRule type="cellIs" dxfId="4" priority="446" operator="lessThan">
      <formula>0.9</formula>
    </cfRule>
    <cfRule type="cellIs" dxfId="5" priority="557" operator="lessThan">
      <formula>0.5</formula>
    </cfRule>
  </conditionalFormatting>
  <conditionalFormatting sqref="J96">
    <cfRule type="cellIs" dxfId="3" priority="2" operator="lessThan">
      <formula>0.5</formula>
    </cfRule>
    <cfRule type="cellIs" dxfId="4" priority="113" operator="lessThan">
      <formula>0.9</formula>
    </cfRule>
    <cfRule type="cellIs" dxfId="5" priority="224" operator="greaterThanOrEqual">
      <formula>0.9</formula>
    </cfRule>
  </conditionalFormatting>
  <conditionalFormatting sqref="G97">
    <cfRule type="cellIs" dxfId="0" priority="777" operator="equal">
      <formula>1</formula>
    </cfRule>
    <cfRule type="cellIs" dxfId="1" priority="888" operator="lessThan">
      <formula>0.9</formula>
    </cfRule>
    <cfRule type="cellIs" dxfId="2" priority="999" operator="lessThan">
      <formula>1</formula>
    </cfRule>
  </conditionalFormatting>
  <conditionalFormatting sqref="H97">
    <cfRule type="cellIs" dxfId="3" priority="444" operator="greaterThanOrEqual">
      <formula>0.9</formula>
    </cfRule>
    <cfRule type="cellIs" dxfId="4" priority="555" operator="lessThan">
      <formula>0.9</formula>
    </cfRule>
    <cfRule type="cellIs" dxfId="5" priority="666" operator="lessThan">
      <formula>0.5</formula>
    </cfRule>
  </conditionalFormatting>
  <conditionalFormatting sqref="J97">
    <cfRule type="cellIs" dxfId="3" priority="111" operator="lessThan">
      <formula>0.5</formula>
    </cfRule>
    <cfRule type="cellIs" dxfId="4" priority="222" operator="lessThan">
      <formula>0.9</formula>
    </cfRule>
    <cfRule type="cellIs" dxfId="5" priority="333" operator="greaterThanOrEqual">
      <formula>0.9</formula>
    </cfRule>
  </conditionalFormatting>
  <conditionalFormatting sqref="G98">
    <cfRule type="cellIs" dxfId="0" priority="776" operator="equal">
      <formula>1</formula>
    </cfRule>
    <cfRule type="cellIs" dxfId="1" priority="887" operator="lessThan">
      <formula>0.9</formula>
    </cfRule>
    <cfRule type="cellIs" dxfId="2" priority="998" operator="lessThan">
      <formula>1</formula>
    </cfRule>
  </conditionalFormatting>
  <conditionalFormatting sqref="H98">
    <cfRule type="cellIs" dxfId="3" priority="443" operator="greaterThanOrEqual">
      <formula>0.9</formula>
    </cfRule>
    <cfRule type="cellIs" dxfId="4" priority="554" operator="lessThan">
      <formula>0.9</formula>
    </cfRule>
    <cfRule type="cellIs" dxfId="5" priority="665" operator="lessThan">
      <formula>0.5</formula>
    </cfRule>
  </conditionalFormatting>
  <conditionalFormatting sqref="J98">
    <cfRule type="cellIs" dxfId="3" priority="110" operator="lessThan">
      <formula>0.5</formula>
    </cfRule>
    <cfRule type="cellIs" dxfId="4" priority="221" operator="lessThan">
      <formula>0.9</formula>
    </cfRule>
    <cfRule type="cellIs" dxfId="5" priority="332" operator="greaterThanOrEqual">
      <formula>0.9</formula>
    </cfRule>
  </conditionalFormatting>
  <conditionalFormatting sqref="G99">
    <cfRule type="cellIs" dxfId="0" priority="775" operator="equal">
      <formula>1</formula>
    </cfRule>
    <cfRule type="cellIs" dxfId="1" priority="886" operator="lessThan">
      <formula>0.9</formula>
    </cfRule>
    <cfRule type="cellIs" dxfId="2" priority="997" operator="lessThan">
      <formula>1</formula>
    </cfRule>
  </conditionalFormatting>
  <conditionalFormatting sqref="H99">
    <cfRule type="cellIs" dxfId="3" priority="442" operator="greaterThanOrEqual">
      <formula>0.9</formula>
    </cfRule>
    <cfRule type="cellIs" dxfId="4" priority="553" operator="lessThan">
      <formula>0.9</formula>
    </cfRule>
    <cfRule type="cellIs" dxfId="5" priority="664" operator="lessThan">
      <formula>0.5</formula>
    </cfRule>
  </conditionalFormatting>
  <conditionalFormatting sqref="J99">
    <cfRule type="cellIs" dxfId="3" priority="109" operator="lessThan">
      <formula>0.5</formula>
    </cfRule>
    <cfRule type="cellIs" dxfId="4" priority="220" operator="lessThan">
      <formula>0.9</formula>
    </cfRule>
    <cfRule type="cellIs" dxfId="5" priority="331" operator="greaterThanOrEqual">
      <formula>0.9</formula>
    </cfRule>
  </conditionalFormatting>
  <conditionalFormatting sqref="G100">
    <cfRule type="cellIs" dxfId="0" priority="774" operator="equal">
      <formula>1</formula>
    </cfRule>
    <cfRule type="cellIs" dxfId="1" priority="885" operator="lessThan">
      <formula>0.9</formula>
    </cfRule>
    <cfRule type="cellIs" dxfId="2" priority="996" operator="lessThan">
      <formula>1</formula>
    </cfRule>
  </conditionalFormatting>
  <conditionalFormatting sqref="H100">
    <cfRule type="cellIs" dxfId="3" priority="441" operator="greaterThanOrEqual">
      <formula>0.9</formula>
    </cfRule>
    <cfRule type="cellIs" dxfId="4" priority="552" operator="lessThan">
      <formula>0.9</formula>
    </cfRule>
    <cfRule type="cellIs" dxfId="5" priority="663" operator="lessThan">
      <formula>0.5</formula>
    </cfRule>
  </conditionalFormatting>
  <conditionalFormatting sqref="J100">
    <cfRule type="cellIs" dxfId="3" priority="108" operator="lessThan">
      <formula>0.5</formula>
    </cfRule>
    <cfRule type="cellIs" dxfId="4" priority="219" operator="lessThan">
      <formula>0.9</formula>
    </cfRule>
    <cfRule type="cellIs" dxfId="5" priority="330" operator="greaterThanOrEqual">
      <formula>0.9</formula>
    </cfRule>
  </conditionalFormatting>
  <conditionalFormatting sqref="G101">
    <cfRule type="cellIs" dxfId="0" priority="773" operator="equal">
      <formula>1</formula>
    </cfRule>
    <cfRule type="cellIs" dxfId="1" priority="884" operator="lessThan">
      <formula>0.9</formula>
    </cfRule>
    <cfRule type="cellIs" dxfId="2" priority="995" operator="lessThan">
      <formula>1</formula>
    </cfRule>
  </conditionalFormatting>
  <conditionalFormatting sqref="H101">
    <cfRule type="cellIs" dxfId="3" priority="440" operator="greaterThanOrEqual">
      <formula>0.9</formula>
    </cfRule>
    <cfRule type="cellIs" dxfId="4" priority="551" operator="lessThan">
      <formula>0.9</formula>
    </cfRule>
    <cfRule type="cellIs" dxfId="5" priority="662" operator="lessThan">
      <formula>0.5</formula>
    </cfRule>
  </conditionalFormatting>
  <conditionalFormatting sqref="J101">
    <cfRule type="cellIs" dxfId="3" priority="107" operator="lessThan">
      <formula>0.5</formula>
    </cfRule>
    <cfRule type="cellIs" dxfId="4" priority="218" operator="lessThan">
      <formula>0.9</formula>
    </cfRule>
    <cfRule type="cellIs" dxfId="5" priority="329" operator="greaterThanOrEqual">
      <formula>0.9</formula>
    </cfRule>
  </conditionalFormatting>
  <conditionalFormatting sqref="G102">
    <cfRule type="cellIs" dxfId="0" priority="772" operator="equal">
      <formula>1</formula>
    </cfRule>
    <cfRule type="cellIs" dxfId="1" priority="883" operator="lessThan">
      <formula>0.9</formula>
    </cfRule>
    <cfRule type="cellIs" dxfId="2" priority="994" operator="lessThan">
      <formula>1</formula>
    </cfRule>
  </conditionalFormatting>
  <conditionalFormatting sqref="H102">
    <cfRule type="cellIs" dxfId="3" priority="439" operator="greaterThanOrEqual">
      <formula>0.9</formula>
    </cfRule>
    <cfRule type="cellIs" dxfId="4" priority="550" operator="lessThan">
      <formula>0.9</formula>
    </cfRule>
    <cfRule type="cellIs" dxfId="5" priority="661" operator="lessThan">
      <formula>0.5</formula>
    </cfRule>
  </conditionalFormatting>
  <conditionalFormatting sqref="J102">
    <cfRule type="cellIs" dxfId="3" priority="106" operator="lessThan">
      <formula>0.5</formula>
    </cfRule>
    <cfRule type="cellIs" dxfId="4" priority="217" operator="lessThan">
      <formula>0.9</formula>
    </cfRule>
    <cfRule type="cellIs" dxfId="5" priority="328" operator="greaterThanOrEqual">
      <formula>0.9</formula>
    </cfRule>
  </conditionalFormatting>
  <conditionalFormatting sqref="G103">
    <cfRule type="cellIs" dxfId="0" priority="771" operator="equal">
      <formula>1</formula>
    </cfRule>
    <cfRule type="cellIs" dxfId="1" priority="882" operator="lessThan">
      <formula>0.9</formula>
    </cfRule>
    <cfRule type="cellIs" dxfId="2" priority="993" operator="lessThan">
      <formula>1</formula>
    </cfRule>
  </conditionalFormatting>
  <conditionalFormatting sqref="H103">
    <cfRule type="cellIs" dxfId="3" priority="438" operator="greaterThanOrEqual">
      <formula>0.9</formula>
    </cfRule>
    <cfRule type="cellIs" dxfId="4" priority="549" operator="lessThan">
      <formula>0.9</formula>
    </cfRule>
    <cfRule type="cellIs" dxfId="5" priority="660" operator="lessThan">
      <formula>0.5</formula>
    </cfRule>
  </conditionalFormatting>
  <conditionalFormatting sqref="J103">
    <cfRule type="cellIs" dxfId="3" priority="105" operator="lessThan">
      <formula>0.5</formula>
    </cfRule>
    <cfRule type="cellIs" dxfId="4" priority="216" operator="lessThan">
      <formula>0.9</formula>
    </cfRule>
    <cfRule type="cellIs" dxfId="5" priority="327" operator="greaterThanOrEqual">
      <formula>0.9</formula>
    </cfRule>
  </conditionalFormatting>
  <conditionalFormatting sqref="G104">
    <cfRule type="cellIs" dxfId="0" priority="737" operator="equal">
      <formula>1</formula>
    </cfRule>
    <cfRule type="cellIs" dxfId="1" priority="848" operator="lessThan">
      <formula>0.9</formula>
    </cfRule>
    <cfRule type="cellIs" dxfId="2" priority="959" operator="lessThan">
      <formula>1</formula>
    </cfRule>
  </conditionalFormatting>
  <conditionalFormatting sqref="H104">
    <cfRule type="cellIs" dxfId="3" priority="404" operator="greaterThanOrEqual">
      <formula>0.9</formula>
    </cfRule>
    <cfRule type="cellIs" dxfId="4" priority="515" operator="lessThan">
      <formula>0.9</formula>
    </cfRule>
    <cfRule type="cellIs" dxfId="5" priority="626" operator="lessThan">
      <formula>0.5</formula>
    </cfRule>
  </conditionalFormatting>
  <conditionalFormatting sqref="J104">
    <cfRule type="cellIs" dxfId="3" priority="71" operator="lessThan">
      <formula>0.5</formula>
    </cfRule>
    <cfRule type="cellIs" dxfId="4" priority="182" operator="lessThan">
      <formula>0.9</formula>
    </cfRule>
    <cfRule type="cellIs" dxfId="5" priority="293" operator="greaterThanOrEqual">
      <formula>0.9</formula>
    </cfRule>
  </conditionalFormatting>
  <conditionalFormatting sqref="G105">
    <cfRule type="cellIs" dxfId="0" priority="692" operator="equal">
      <formula>1</formula>
    </cfRule>
    <cfRule type="cellIs" dxfId="1" priority="803" operator="lessThan">
      <formula>0.9</formula>
    </cfRule>
    <cfRule type="cellIs" dxfId="2" priority="914" operator="lessThan">
      <formula>1</formula>
    </cfRule>
  </conditionalFormatting>
  <conditionalFormatting sqref="H105">
    <cfRule type="cellIs" dxfId="3" priority="359" operator="greaterThanOrEqual">
      <formula>0.9</formula>
    </cfRule>
    <cfRule type="cellIs" dxfId="4" priority="470" operator="lessThan">
      <formula>0.9</formula>
    </cfRule>
    <cfRule type="cellIs" dxfId="5" priority="581" operator="lessThan">
      <formula>0.5</formula>
    </cfRule>
  </conditionalFormatting>
  <conditionalFormatting sqref="J105">
    <cfRule type="cellIs" dxfId="3" priority="26" operator="lessThan">
      <formula>0.5</formula>
    </cfRule>
    <cfRule type="cellIs" dxfId="4" priority="137" operator="lessThan">
      <formula>0.9</formula>
    </cfRule>
    <cfRule type="cellIs" dxfId="5" priority="248" operator="greaterThanOrEqual">
      <formula>0.9</formula>
    </cfRule>
  </conditionalFormatting>
  <conditionalFormatting sqref="G106">
    <cfRule type="cellIs" dxfId="0" priority="691" operator="equal">
      <formula>1</formula>
    </cfRule>
    <cfRule type="cellIs" dxfId="1" priority="802" operator="lessThan">
      <formula>0.9</formula>
    </cfRule>
    <cfRule type="cellIs" dxfId="2" priority="913" operator="lessThan">
      <formula>1</formula>
    </cfRule>
  </conditionalFormatting>
  <conditionalFormatting sqref="H106">
    <cfRule type="cellIs" dxfId="3" priority="358" operator="greaterThanOrEqual">
      <formula>0.9</formula>
    </cfRule>
    <cfRule type="cellIs" dxfId="4" priority="469" operator="lessThan">
      <formula>0.9</formula>
    </cfRule>
    <cfRule type="cellIs" dxfId="5" priority="580" operator="lessThan">
      <formula>0.5</formula>
    </cfRule>
  </conditionalFormatting>
  <conditionalFormatting sqref="J106">
    <cfRule type="cellIs" dxfId="3" priority="25" operator="lessThan">
      <formula>0.5</formula>
    </cfRule>
    <cfRule type="cellIs" dxfId="4" priority="136" operator="lessThan">
      <formula>0.9</formula>
    </cfRule>
    <cfRule type="cellIs" dxfId="5" priority="247" operator="greaterThanOrEqual">
      <formula>0.9</formula>
    </cfRule>
  </conditionalFormatting>
  <conditionalFormatting sqref="G107">
    <cfRule type="cellIs" dxfId="0" priority="690" operator="equal">
      <formula>1</formula>
    </cfRule>
    <cfRule type="cellIs" dxfId="1" priority="801" operator="lessThan">
      <formula>0.9</formula>
    </cfRule>
    <cfRule type="cellIs" dxfId="2" priority="912" operator="lessThan">
      <formula>1</formula>
    </cfRule>
  </conditionalFormatting>
  <conditionalFormatting sqref="H107">
    <cfRule type="cellIs" dxfId="3" priority="357" operator="greaterThanOrEqual">
      <formula>0.9</formula>
    </cfRule>
    <cfRule type="cellIs" dxfId="4" priority="468" operator="lessThan">
      <formula>0.9</formula>
    </cfRule>
    <cfRule type="cellIs" dxfId="5" priority="579" operator="lessThan">
      <formula>0.5</formula>
    </cfRule>
  </conditionalFormatting>
  <conditionalFormatting sqref="J107">
    <cfRule type="cellIs" dxfId="3" priority="24" operator="lessThan">
      <formula>0.5</formula>
    </cfRule>
    <cfRule type="cellIs" dxfId="4" priority="135" operator="lessThan">
      <formula>0.9</formula>
    </cfRule>
    <cfRule type="cellIs" dxfId="5" priority="246" operator="greaterThanOrEqual">
      <formula>0.9</formula>
    </cfRule>
  </conditionalFormatting>
  <conditionalFormatting sqref="G108">
    <cfRule type="cellIs" dxfId="0" priority="689" operator="equal">
      <formula>1</formula>
    </cfRule>
    <cfRule type="cellIs" dxfId="1" priority="800" operator="lessThan">
      <formula>0.9</formula>
    </cfRule>
    <cfRule type="cellIs" dxfId="2" priority="911" operator="lessThan">
      <formula>1</formula>
    </cfRule>
  </conditionalFormatting>
  <conditionalFormatting sqref="H108">
    <cfRule type="cellIs" dxfId="3" priority="356" operator="greaterThanOrEqual">
      <formula>0.9</formula>
    </cfRule>
    <cfRule type="cellIs" dxfId="4" priority="467" operator="lessThan">
      <formula>0.9</formula>
    </cfRule>
    <cfRule type="cellIs" dxfId="5" priority="578" operator="lessThan">
      <formula>0.5</formula>
    </cfRule>
  </conditionalFormatting>
  <conditionalFormatting sqref="J108">
    <cfRule type="cellIs" dxfId="3" priority="23" operator="lessThan">
      <formula>0.5</formula>
    </cfRule>
    <cfRule type="cellIs" dxfId="4" priority="134" operator="lessThan">
      <formula>0.9</formula>
    </cfRule>
    <cfRule type="cellIs" dxfId="5" priority="245" operator="greaterThanOrEqual">
      <formula>0.9</formula>
    </cfRule>
  </conditionalFormatting>
  <conditionalFormatting sqref="G109">
    <cfRule type="cellIs" dxfId="0" priority="688" operator="equal">
      <formula>1</formula>
    </cfRule>
    <cfRule type="cellIs" dxfId="1" priority="799" operator="lessThan">
      <formula>0.9</formula>
    </cfRule>
    <cfRule type="cellIs" dxfId="2" priority="910" operator="lessThan">
      <formula>1</formula>
    </cfRule>
  </conditionalFormatting>
  <conditionalFormatting sqref="H109">
    <cfRule type="cellIs" dxfId="3" priority="355" operator="greaterThanOrEqual">
      <formula>0.9</formula>
    </cfRule>
    <cfRule type="cellIs" dxfId="4" priority="466" operator="lessThan">
      <formula>0.9</formula>
    </cfRule>
    <cfRule type="cellIs" dxfId="5" priority="577" operator="lessThan">
      <formula>0.5</formula>
    </cfRule>
  </conditionalFormatting>
  <conditionalFormatting sqref="J109">
    <cfRule type="cellIs" dxfId="3" priority="22" operator="lessThan">
      <formula>0.5</formula>
    </cfRule>
    <cfRule type="cellIs" dxfId="4" priority="133" operator="lessThan">
      <formula>0.9</formula>
    </cfRule>
    <cfRule type="cellIs" dxfId="5" priority="244" operator="greaterThanOrEqual">
      <formula>0.9</formula>
    </cfRule>
  </conditionalFormatting>
  <conditionalFormatting sqref="G110">
    <cfRule type="cellIs" dxfId="0" priority="678" operator="equal">
      <formula>1</formula>
    </cfRule>
    <cfRule type="cellIs" dxfId="1" priority="789" operator="lessThan">
      <formula>0.9</formula>
    </cfRule>
    <cfRule type="cellIs" dxfId="2" priority="900" operator="lessThan">
      <formula>1</formula>
    </cfRule>
  </conditionalFormatting>
  <conditionalFormatting sqref="H110">
    <cfRule type="cellIs" dxfId="3" priority="345" operator="greaterThanOrEqual">
      <formula>0.9</formula>
    </cfRule>
    <cfRule type="cellIs" dxfId="4" priority="456" operator="lessThan">
      <formula>0.9</formula>
    </cfRule>
    <cfRule type="cellIs" dxfId="5" priority="567" operator="lessThan">
      <formula>0.5</formula>
    </cfRule>
  </conditionalFormatting>
  <conditionalFormatting sqref="J110">
    <cfRule type="cellIs" dxfId="3" priority="12" operator="lessThan">
      <formula>0.5</formula>
    </cfRule>
    <cfRule type="cellIs" dxfId="4" priority="123" operator="lessThan">
      <formula>0.9</formula>
    </cfRule>
    <cfRule type="cellIs" dxfId="5" priority="234" operator="greaterThanOrEqual">
      <formula>0.9</formula>
    </cfRule>
  </conditionalFormatting>
  <conditionalFormatting sqref="G111">
    <cfRule type="cellIs" dxfId="0" priority="729" operator="equal">
      <formula>1</formula>
    </cfRule>
    <cfRule type="cellIs" dxfId="1" priority="840" operator="lessThan">
      <formula>0.9</formula>
    </cfRule>
    <cfRule type="cellIs" dxfId="2" priority="951" operator="lessThan">
      <formula>1</formula>
    </cfRule>
  </conditionalFormatting>
  <conditionalFormatting sqref="H111">
    <cfRule type="cellIs" dxfId="3" priority="396" operator="greaterThanOrEqual">
      <formula>0.9</formula>
    </cfRule>
    <cfRule type="cellIs" dxfId="4" priority="507" operator="lessThan">
      <formula>0.9</formula>
    </cfRule>
    <cfRule type="cellIs" dxfId="5" priority="618" operator="lessThan">
      <formula>0.5</formula>
    </cfRule>
  </conditionalFormatting>
  <conditionalFormatting sqref="J111">
    <cfRule type="cellIs" dxfId="3" priority="63" operator="lessThan">
      <formula>0.5</formula>
    </cfRule>
    <cfRule type="cellIs" dxfId="4" priority="174" operator="lessThan">
      <formula>0.9</formula>
    </cfRule>
    <cfRule type="cellIs" dxfId="5" priority="285" operator="greaterThanOrEqual">
      <formula>0.9</formula>
    </cfRule>
  </conditionalFormatting>
  <conditionalFormatting sqref="G112">
    <cfRule type="cellIs" dxfId="0" priority="728" operator="equal">
      <formula>1</formula>
    </cfRule>
    <cfRule type="cellIs" dxfId="1" priority="839" operator="lessThan">
      <formula>0.9</formula>
    </cfRule>
    <cfRule type="cellIs" dxfId="2" priority="950" operator="lessThan">
      <formula>1</formula>
    </cfRule>
  </conditionalFormatting>
  <conditionalFormatting sqref="H112">
    <cfRule type="cellIs" dxfId="3" priority="395" operator="greaterThanOrEqual">
      <formula>0.9</formula>
    </cfRule>
    <cfRule type="cellIs" dxfId="4" priority="506" operator="lessThan">
      <formula>0.9</formula>
    </cfRule>
    <cfRule type="cellIs" dxfId="5" priority="617" operator="lessThan">
      <formula>0.5</formula>
    </cfRule>
  </conditionalFormatting>
  <conditionalFormatting sqref="J112">
    <cfRule type="cellIs" dxfId="3" priority="62" operator="lessThan">
      <formula>0.5</formula>
    </cfRule>
    <cfRule type="cellIs" dxfId="4" priority="173" operator="lessThan">
      <formula>0.9</formula>
    </cfRule>
    <cfRule type="cellIs" dxfId="5" priority="284" operator="greaterThanOrEqual">
      <formula>0.9</formula>
    </cfRule>
  </conditionalFormatting>
  <conditionalFormatting sqref="G113">
    <cfRule type="cellIs" dxfId="2" priority="889" operator="lessThan">
      <formula>1</formula>
    </cfRule>
    <cfRule type="cellIs" dxfId="1" priority="778" operator="lessThan">
      <formula>0.9</formula>
    </cfRule>
    <cfRule type="cellIs" dxfId="0" priority="667" operator="equal">
      <formula>1</formula>
    </cfRule>
  </conditionalFormatting>
  <conditionalFormatting sqref="H113">
    <cfRule type="cellIs" dxfId="5" priority="556" operator="lessThan">
      <formula>0.5</formula>
    </cfRule>
    <cfRule type="cellIs" dxfId="4" priority="445" operator="lessThan">
      <formula>0.9</formula>
    </cfRule>
    <cfRule type="cellIs" dxfId="3" priority="334" operator="greaterThanOrEqual">
      <formula>0.9</formula>
    </cfRule>
  </conditionalFormatting>
  <conditionalFormatting sqref="J113">
    <cfRule type="cellIs" dxfId="5" priority="223" operator="greaterThanOrEqual">
      <formula>0.9</formula>
    </cfRule>
    <cfRule type="cellIs" dxfId="4" priority="112" operator="lessThan">
      <formula>0.9</formula>
    </cfRule>
    <cfRule type="cellIs" dxfId="3" priority="1" operator="lessThan">
      <formula>0.5</formula>
    </cfRule>
  </conditionalFormatting>
  <conditionalFormatting sqref="M3:M113">
    <cfRule type="iconSet" priority="1001">
      <iconSet iconSet="3Arrows">
        <cfvo type="percent" val="0"/>
        <cfvo type="percent" val="0"/>
        <cfvo type="percent" val="0" gte="0"/>
      </iconSe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00" id="{12c2663b-a042-4fcb-8a7b-28d236de5162}">
            <x14:iconSet iconSet="3Signs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N3:N113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:N26"/>
    </sheetView>
  </sheetViews>
  <sheetFormatPr defaultColWidth="16.1111111111111" defaultRowHeight="13.2"/>
  <cols>
    <col min="1" max="1" width="16.1111111111111" style="2" customWidth="1"/>
    <col min="2" max="2" width="16.1111111111111" style="2" hidden="1" customWidth="1"/>
    <col min="3" max="3" width="17.7777777777778" style="2" hidden="1" customWidth="1"/>
    <col min="4" max="10" width="13.3333333333333" style="2" customWidth="1"/>
    <col min="11" max="12" width="13.3333333333333" style="2" hidden="1" customWidth="1"/>
    <col min="13" max="14" width="13.3333333333333" style="2" customWidth="1"/>
    <col min="15" max="16384" width="16.1111111111111" style="2" customWidth="1"/>
  </cols>
  <sheetData>
    <row r="1" s="1" customFormat="1" ht="26" customHeight="1" spans="1:14">
      <c r="A1" s="3" t="s">
        <v>2900</v>
      </c>
      <c r="B1" s="3" t="s">
        <v>2901</v>
      </c>
      <c r="C1" s="3" t="s">
        <v>2900</v>
      </c>
      <c r="D1" s="3" t="s">
        <v>2902</v>
      </c>
      <c r="E1" s="3"/>
      <c r="F1" s="3"/>
      <c r="G1" s="3"/>
      <c r="H1" s="3"/>
      <c r="I1" s="3"/>
      <c r="J1" s="3"/>
      <c r="K1" s="8" t="s">
        <v>2903</v>
      </c>
      <c r="L1" s="8"/>
      <c r="M1" s="9" t="s">
        <v>2904</v>
      </c>
      <c r="N1" s="9"/>
    </row>
    <row r="2" s="1" customFormat="1" ht="26" customHeight="1" spans="1:14">
      <c r="A2" s="3"/>
      <c r="B2" s="3"/>
      <c r="C2" s="3"/>
      <c r="D2" s="3" t="s">
        <v>2905</v>
      </c>
      <c r="E2" s="3" t="s">
        <v>2906</v>
      </c>
      <c r="F2" s="3" t="s">
        <v>2907</v>
      </c>
      <c r="G2" s="3" t="s">
        <v>110</v>
      </c>
      <c r="H2" s="3" t="s">
        <v>2908</v>
      </c>
      <c r="I2" s="3" t="s">
        <v>2909</v>
      </c>
      <c r="J2" s="3" t="s">
        <v>2910</v>
      </c>
      <c r="K2" s="8" t="s">
        <v>110</v>
      </c>
      <c r="L2" s="8" t="s">
        <v>2910</v>
      </c>
      <c r="M2" s="9" t="s">
        <v>110</v>
      </c>
      <c r="N2" s="9" t="s">
        <v>2910</v>
      </c>
    </row>
    <row r="3" spans="1:14">
      <c r="A3" s="4" t="s">
        <v>67</v>
      </c>
      <c r="B3" s="5"/>
      <c r="C3" s="4" t="s">
        <v>67</v>
      </c>
      <c r="D3" s="5">
        <v>82</v>
      </c>
      <c r="E3" s="5">
        <v>31</v>
      </c>
      <c r="F3" s="5">
        <v>8</v>
      </c>
      <c r="G3" s="6">
        <v>0.902439024390244</v>
      </c>
      <c r="H3" s="7">
        <v>0.806451612903226</v>
      </c>
      <c r="I3" s="4">
        <v>58</v>
      </c>
      <c r="J3" s="7">
        <v>0.245762711864407</v>
      </c>
      <c r="K3" s="10">
        <v>0.91358024691358</v>
      </c>
      <c r="L3" s="10">
        <v>0.481884057971014</v>
      </c>
      <c r="M3" s="11">
        <v>-0.011141222523336</v>
      </c>
      <c r="N3" s="12">
        <v>-0.236121346106607</v>
      </c>
    </row>
    <row r="4" spans="1:14">
      <c r="A4" s="4" t="s">
        <v>46</v>
      </c>
      <c r="B4" s="5"/>
      <c r="C4" s="4" t="s">
        <v>46</v>
      </c>
      <c r="D4" s="5">
        <v>85</v>
      </c>
      <c r="E4" s="5">
        <v>37</v>
      </c>
      <c r="F4" s="5">
        <v>2</v>
      </c>
      <c r="G4" s="6">
        <v>0.976470588235294</v>
      </c>
      <c r="H4" s="7">
        <v>0.741935483870968</v>
      </c>
      <c r="I4" s="4">
        <v>100</v>
      </c>
      <c r="J4" s="7">
        <v>0.403225806451613</v>
      </c>
      <c r="K4" s="10">
        <v>0.951807228915663</v>
      </c>
      <c r="L4" s="10">
        <v>0.5875</v>
      </c>
      <c r="M4" s="11">
        <v>0.024663359319631</v>
      </c>
      <c r="N4" s="12">
        <v>-0.184274193548387</v>
      </c>
    </row>
    <row r="5" spans="1:14">
      <c r="A5" s="4" t="s">
        <v>55</v>
      </c>
      <c r="B5" s="5"/>
      <c r="C5" s="4" t="s">
        <v>55</v>
      </c>
      <c r="D5" s="5">
        <v>88</v>
      </c>
      <c r="E5" s="5">
        <v>41</v>
      </c>
      <c r="F5" s="5">
        <v>2</v>
      </c>
      <c r="G5" s="6">
        <v>0.977272727272727</v>
      </c>
      <c r="H5" s="7">
        <v>0.636363636363636</v>
      </c>
      <c r="I5" s="4">
        <v>87</v>
      </c>
      <c r="J5" s="7">
        <v>0.315217391304348</v>
      </c>
      <c r="K5" s="10">
        <v>0.840909090909091</v>
      </c>
      <c r="L5" s="10">
        <v>0.61231884057971</v>
      </c>
      <c r="M5" s="11">
        <v>0.136363636363636</v>
      </c>
      <c r="N5" s="12">
        <v>-0.297101449275362</v>
      </c>
    </row>
    <row r="6" spans="1:14">
      <c r="A6" s="4" t="s">
        <v>30</v>
      </c>
      <c r="B6" s="5"/>
      <c r="C6" s="4" t="s">
        <v>30</v>
      </c>
      <c r="D6" s="5">
        <v>110</v>
      </c>
      <c r="E6" s="5">
        <v>50</v>
      </c>
      <c r="F6" s="5">
        <v>2</v>
      </c>
      <c r="G6" s="6">
        <v>0.981818181818182</v>
      </c>
      <c r="H6" s="7">
        <v>0.82258064516129</v>
      </c>
      <c r="I6" s="4">
        <v>91</v>
      </c>
      <c r="J6" s="7">
        <v>0.277439024390244</v>
      </c>
      <c r="K6" s="10">
        <v>0.946428571428571</v>
      </c>
      <c r="L6" s="10">
        <v>0.521341463414634</v>
      </c>
      <c r="M6" s="11">
        <v>0.0353896103896109</v>
      </c>
      <c r="N6" s="12">
        <v>-0.24390243902439</v>
      </c>
    </row>
    <row r="7" spans="1:14">
      <c r="A7" s="4" t="s">
        <v>98</v>
      </c>
      <c r="B7" s="5"/>
      <c r="C7" s="4" t="s">
        <v>98</v>
      </c>
      <c r="D7" s="5">
        <v>100</v>
      </c>
      <c r="E7" s="5">
        <v>46</v>
      </c>
      <c r="F7" s="5">
        <v>1</v>
      </c>
      <c r="G7" s="6">
        <v>0.99</v>
      </c>
      <c r="H7" s="7">
        <v>0.930232558139535</v>
      </c>
      <c r="I7" s="4">
        <v>81</v>
      </c>
      <c r="J7" s="7">
        <v>0.259615384615385</v>
      </c>
      <c r="K7" s="10">
        <v>0.98</v>
      </c>
      <c r="L7" s="10">
        <v>0.609090909090909</v>
      </c>
      <c r="M7" s="11">
        <v>0.01</v>
      </c>
      <c r="N7" s="12">
        <v>-0.349475524475524</v>
      </c>
    </row>
    <row r="8" spans="1:14">
      <c r="A8" s="4" t="s">
        <v>86</v>
      </c>
      <c r="B8" s="5"/>
      <c r="C8" s="4" t="s">
        <v>86</v>
      </c>
      <c r="D8" s="5">
        <v>166</v>
      </c>
      <c r="E8" s="5">
        <v>84</v>
      </c>
      <c r="F8" s="5">
        <v>1</v>
      </c>
      <c r="G8" s="6">
        <v>0.993975903614458</v>
      </c>
      <c r="H8" s="7">
        <v>0.694915254237288</v>
      </c>
      <c r="I8" s="4">
        <v>171</v>
      </c>
      <c r="J8" s="7">
        <v>0.353305785123967</v>
      </c>
      <c r="K8" s="10">
        <v>0.952095808383233</v>
      </c>
      <c r="L8" s="10">
        <v>0.550847457627119</v>
      </c>
      <c r="M8" s="11">
        <v>0.0418800952312248</v>
      </c>
      <c r="N8" s="12">
        <v>-0.197541672503152</v>
      </c>
    </row>
    <row r="9" spans="1:14">
      <c r="A9" s="4" t="s">
        <v>108</v>
      </c>
      <c r="B9" s="5"/>
      <c r="C9" s="4" t="s">
        <v>108</v>
      </c>
      <c r="D9" s="5">
        <v>190</v>
      </c>
      <c r="E9" s="5">
        <v>79</v>
      </c>
      <c r="F9" s="5">
        <v>0</v>
      </c>
      <c r="G9" s="6">
        <v>1</v>
      </c>
      <c r="H9" s="7">
        <v>0.741573033707865</v>
      </c>
      <c r="I9" s="4">
        <v>164</v>
      </c>
      <c r="J9" s="7">
        <v>0.262820512820513</v>
      </c>
      <c r="K9" s="10">
        <v>0.963157894736842</v>
      </c>
      <c r="L9" s="10">
        <v>0.579391891891892</v>
      </c>
      <c r="M9" s="11">
        <v>0.036842105263158</v>
      </c>
      <c r="N9" s="12">
        <v>-0.316571379071379</v>
      </c>
    </row>
    <row r="10" spans="1:14">
      <c r="A10" s="4" t="s">
        <v>8</v>
      </c>
      <c r="B10" s="5"/>
      <c r="C10" s="4" t="s">
        <v>8</v>
      </c>
      <c r="D10" s="5">
        <v>18</v>
      </c>
      <c r="E10" s="5">
        <v>10</v>
      </c>
      <c r="F10" s="5">
        <v>0</v>
      </c>
      <c r="G10" s="6">
        <v>1</v>
      </c>
      <c r="H10" s="7" t="s">
        <v>114</v>
      </c>
      <c r="I10" s="4">
        <v>20</v>
      </c>
      <c r="J10" s="7">
        <v>0.333333333333333</v>
      </c>
      <c r="K10" s="10">
        <v>1</v>
      </c>
      <c r="L10" s="10">
        <v>0.482142857142857</v>
      </c>
      <c r="M10" s="11">
        <v>0</v>
      </c>
      <c r="N10" s="12">
        <v>-0.148809523809524</v>
      </c>
    </row>
    <row r="11" spans="1:14">
      <c r="A11" s="4" t="s">
        <v>9</v>
      </c>
      <c r="B11" s="5"/>
      <c r="C11" s="4" t="s">
        <v>9</v>
      </c>
      <c r="D11" s="5">
        <v>2</v>
      </c>
      <c r="E11" s="5">
        <v>1</v>
      </c>
      <c r="F11" s="5">
        <v>0</v>
      </c>
      <c r="G11" s="6">
        <v>1</v>
      </c>
      <c r="H11" s="7" t="s">
        <v>114</v>
      </c>
      <c r="I11" s="4">
        <v>2</v>
      </c>
      <c r="J11" s="7">
        <v>0.5</v>
      </c>
      <c r="K11" s="10">
        <v>1</v>
      </c>
      <c r="L11" s="10">
        <v>0.75</v>
      </c>
      <c r="M11" s="11">
        <v>0</v>
      </c>
      <c r="N11" s="12">
        <v>-0.25</v>
      </c>
    </row>
    <row r="12" spans="1:14">
      <c r="A12" s="4" t="s">
        <v>10</v>
      </c>
      <c r="B12" s="5"/>
      <c r="C12" s="4" t="s">
        <v>10</v>
      </c>
      <c r="D12" s="5">
        <v>17</v>
      </c>
      <c r="E12" s="5">
        <v>0</v>
      </c>
      <c r="F12" s="5">
        <v>0</v>
      </c>
      <c r="G12" s="6">
        <v>1</v>
      </c>
      <c r="H12" s="7" t="s">
        <v>114</v>
      </c>
      <c r="I12" s="4">
        <v>60</v>
      </c>
      <c r="J12" s="7">
        <v>1</v>
      </c>
      <c r="K12" s="10">
        <v>1</v>
      </c>
      <c r="L12" s="10">
        <v>1</v>
      </c>
      <c r="M12" s="11">
        <v>0</v>
      </c>
      <c r="N12" s="12">
        <v>0</v>
      </c>
    </row>
    <row r="13" spans="1:14">
      <c r="A13" s="4" t="s">
        <v>11</v>
      </c>
      <c r="B13" s="5"/>
      <c r="C13" s="4" t="s">
        <v>11</v>
      </c>
      <c r="D13" s="5">
        <v>6</v>
      </c>
      <c r="E13" s="5">
        <v>2</v>
      </c>
      <c r="F13" s="5">
        <v>0</v>
      </c>
      <c r="G13" s="6">
        <v>1</v>
      </c>
      <c r="H13" s="7" t="s">
        <v>114</v>
      </c>
      <c r="I13" s="4">
        <v>6</v>
      </c>
      <c r="J13" s="7">
        <v>0.5</v>
      </c>
      <c r="K13" s="10">
        <v>1</v>
      </c>
      <c r="L13" s="10">
        <v>0.75</v>
      </c>
      <c r="M13" s="11">
        <v>0</v>
      </c>
      <c r="N13" s="12">
        <v>-0.25</v>
      </c>
    </row>
    <row r="14" spans="1:14">
      <c r="A14" s="4" t="s">
        <v>12</v>
      </c>
      <c r="B14" s="5"/>
      <c r="C14" s="4" t="s">
        <v>12</v>
      </c>
      <c r="D14" s="5">
        <v>12</v>
      </c>
      <c r="E14" s="5">
        <v>5</v>
      </c>
      <c r="F14" s="5">
        <v>0</v>
      </c>
      <c r="G14" s="6">
        <v>1</v>
      </c>
      <c r="H14" s="7" t="s">
        <v>114</v>
      </c>
      <c r="I14" s="4">
        <v>29</v>
      </c>
      <c r="J14" s="7">
        <v>0.659090909090909</v>
      </c>
      <c r="K14" s="10">
        <v>0.916666666666667</v>
      </c>
      <c r="L14" s="10">
        <v>0.795454545454545</v>
      </c>
      <c r="M14" s="11">
        <v>0.083333333333333</v>
      </c>
      <c r="N14" s="12">
        <v>-0.136363636363636</v>
      </c>
    </row>
    <row r="15" spans="1:14">
      <c r="A15" s="4" t="s">
        <v>13</v>
      </c>
      <c r="B15" s="5"/>
      <c r="C15" s="4" t="s">
        <v>13</v>
      </c>
      <c r="D15" s="5">
        <v>7</v>
      </c>
      <c r="E15" s="5">
        <v>6</v>
      </c>
      <c r="F15" s="5">
        <v>0</v>
      </c>
      <c r="G15" s="6">
        <v>1</v>
      </c>
      <c r="H15" s="7" t="s">
        <v>114</v>
      </c>
      <c r="I15" s="4">
        <v>3</v>
      </c>
      <c r="J15" s="7">
        <v>0.107142857142857</v>
      </c>
      <c r="K15" s="10">
        <v>1</v>
      </c>
      <c r="L15" s="10">
        <v>0.357142857142857</v>
      </c>
      <c r="M15" s="11">
        <v>0</v>
      </c>
      <c r="N15" s="12">
        <v>-0.25</v>
      </c>
    </row>
    <row r="16" spans="1:14">
      <c r="A16" s="4" t="s">
        <v>14</v>
      </c>
      <c r="B16" s="5"/>
      <c r="C16" s="4" t="s">
        <v>14</v>
      </c>
      <c r="D16" s="5">
        <v>15</v>
      </c>
      <c r="E16" s="5">
        <v>3</v>
      </c>
      <c r="F16" s="5">
        <v>0</v>
      </c>
      <c r="G16" s="6">
        <v>1</v>
      </c>
      <c r="H16" s="7" t="s">
        <v>114</v>
      </c>
      <c r="I16" s="4">
        <v>23</v>
      </c>
      <c r="J16" s="7">
        <v>0.575</v>
      </c>
      <c r="K16" s="10">
        <v>1</v>
      </c>
      <c r="L16" s="10">
        <v>0.875</v>
      </c>
      <c r="M16" s="11">
        <v>0</v>
      </c>
      <c r="N16" s="12">
        <v>-0.3</v>
      </c>
    </row>
    <row r="17" spans="1:14">
      <c r="A17" s="4" t="s">
        <v>47</v>
      </c>
      <c r="B17" s="5"/>
      <c r="C17" s="4" t="s">
        <v>47</v>
      </c>
      <c r="D17" s="5">
        <v>3</v>
      </c>
      <c r="E17" s="5">
        <v>0</v>
      </c>
      <c r="F17" s="5">
        <v>0</v>
      </c>
      <c r="G17" s="6">
        <v>1</v>
      </c>
      <c r="H17" s="7" t="s">
        <v>114</v>
      </c>
      <c r="I17" s="4">
        <v>8</v>
      </c>
      <c r="J17" s="7">
        <v>0.666666666666667</v>
      </c>
      <c r="K17" s="10">
        <v>1</v>
      </c>
      <c r="L17" s="10">
        <v>0.75</v>
      </c>
      <c r="M17" s="11">
        <v>0</v>
      </c>
      <c r="N17" s="12">
        <v>-0.0833333333333334</v>
      </c>
    </row>
    <row r="18" spans="1:14">
      <c r="A18" s="4" t="s">
        <v>87</v>
      </c>
      <c r="B18" s="5"/>
      <c r="C18" s="4" t="str">
        <f t="shared" ref="C9:C26" si="0">A18&amp;""&amp;B18</f>
        <v>NP 网络规划部</v>
      </c>
      <c r="D18" s="5">
        <f>VLOOKUP($C18,是否排班!$I:$L,4,FALSE)</f>
        <v>1</v>
      </c>
      <c r="E18" s="5">
        <f>VLOOKUP($C18,日超8H!$I:$L,2,FALSE)</f>
        <v>0</v>
      </c>
      <c r="F18" s="5">
        <f>VLOOKUP($C18,是否排班!$I:$L,3,FALSE)</f>
        <v>0</v>
      </c>
      <c r="G18" s="6">
        <f>VLOOKUP($C18,是否排班!$I:$M,5,FALSE)</f>
        <v>1</v>
      </c>
      <c r="H18" s="7" t="str">
        <f>IFERROR(VLOOKUP($C18,排班正确!$J:$O,6,FALSE),"/")</f>
        <v>/</v>
      </c>
      <c r="I18" s="4">
        <f>VLOOKUP($C18,缺卡!$H:$K,2,FALSE)</f>
        <v>0</v>
      </c>
      <c r="J18" s="7">
        <v>0</v>
      </c>
      <c r="K18" s="10">
        <f>VLOOKUP($C18,[2]汇总!$C:$J,5,FALSE)</f>
        <v>1</v>
      </c>
      <c r="L18" s="13">
        <v>0</v>
      </c>
      <c r="M18" s="11">
        <f t="shared" ref="M9:M26" si="1">G18-K18</f>
        <v>0</v>
      </c>
      <c r="N18" s="12">
        <f t="shared" ref="N9:N26" si="2">J18-L18</f>
        <v>0</v>
      </c>
    </row>
    <row r="19" spans="1:14">
      <c r="A19" s="4" t="s">
        <v>88</v>
      </c>
      <c r="B19" s="5"/>
      <c r="C19" s="4" t="s">
        <v>88</v>
      </c>
      <c r="D19" s="5">
        <v>16</v>
      </c>
      <c r="E19" s="5">
        <v>4</v>
      </c>
      <c r="F19" s="5">
        <v>0</v>
      </c>
      <c r="G19" s="6">
        <v>1</v>
      </c>
      <c r="H19" s="7" t="s">
        <v>114</v>
      </c>
      <c r="I19" s="4">
        <v>15</v>
      </c>
      <c r="J19" s="7">
        <v>0.375</v>
      </c>
      <c r="K19" s="10">
        <v>1</v>
      </c>
      <c r="L19" s="10">
        <v>0.590909090909091</v>
      </c>
      <c r="M19" s="11">
        <v>0</v>
      </c>
      <c r="N19" s="12">
        <v>-0.215909090909091</v>
      </c>
    </row>
    <row r="20" spans="1:14">
      <c r="A20" s="4" t="s">
        <v>89</v>
      </c>
      <c r="B20" s="5"/>
      <c r="C20" s="4" t="s">
        <v>89</v>
      </c>
      <c r="D20" s="5">
        <v>6</v>
      </c>
      <c r="E20" s="5">
        <v>5</v>
      </c>
      <c r="F20" s="5">
        <v>0</v>
      </c>
      <c r="G20" s="6">
        <v>1</v>
      </c>
      <c r="H20" s="7" t="s">
        <v>114</v>
      </c>
      <c r="I20" s="4">
        <v>6</v>
      </c>
      <c r="J20" s="7">
        <v>0.25</v>
      </c>
      <c r="K20" s="10">
        <v>1</v>
      </c>
      <c r="L20" s="10">
        <v>0.458333333333333</v>
      </c>
      <c r="M20" s="11">
        <v>0</v>
      </c>
      <c r="N20" s="12">
        <v>-0.208333333333333</v>
      </c>
    </row>
    <row r="21" spans="1:14">
      <c r="A21" s="4" t="s">
        <v>90</v>
      </c>
      <c r="B21" s="5"/>
      <c r="C21" s="4" t="s">
        <v>90</v>
      </c>
      <c r="D21" s="5">
        <v>1</v>
      </c>
      <c r="E21" s="5">
        <v>0</v>
      </c>
      <c r="F21" s="5">
        <v>0</v>
      </c>
      <c r="G21" s="6">
        <v>1</v>
      </c>
      <c r="H21" s="7" t="s">
        <v>114</v>
      </c>
      <c r="I21" s="4">
        <v>4</v>
      </c>
      <c r="J21" s="7">
        <v>1</v>
      </c>
      <c r="K21" s="13">
        <v>0</v>
      </c>
      <c r="L21" s="13">
        <v>0</v>
      </c>
      <c r="M21" s="11">
        <v>1</v>
      </c>
      <c r="N21" s="12">
        <v>1</v>
      </c>
    </row>
    <row r="22" spans="1:14">
      <c r="A22" s="4" t="s">
        <v>91</v>
      </c>
      <c r="B22" s="5"/>
      <c r="C22" s="4" t="s">
        <v>91</v>
      </c>
      <c r="D22" s="5">
        <v>8</v>
      </c>
      <c r="E22" s="5">
        <v>2</v>
      </c>
      <c r="F22" s="5">
        <v>0</v>
      </c>
      <c r="G22" s="6">
        <v>1</v>
      </c>
      <c r="H22" s="7" t="s">
        <v>114</v>
      </c>
      <c r="I22" s="4">
        <v>4</v>
      </c>
      <c r="J22" s="7">
        <v>0.5</v>
      </c>
      <c r="K22" s="10">
        <v>1</v>
      </c>
      <c r="L22" s="10">
        <v>0.625</v>
      </c>
      <c r="M22" s="11">
        <v>0</v>
      </c>
      <c r="N22" s="12">
        <v>-0.125</v>
      </c>
    </row>
    <row r="23" spans="1:14">
      <c r="A23" s="4" t="s">
        <v>99</v>
      </c>
      <c r="B23" s="5"/>
      <c r="C23" s="4" t="s">
        <v>99</v>
      </c>
      <c r="D23" s="5">
        <v>49</v>
      </c>
      <c r="E23" s="5">
        <v>24</v>
      </c>
      <c r="F23" s="5">
        <v>0</v>
      </c>
      <c r="G23" s="6">
        <v>1</v>
      </c>
      <c r="H23" s="7" t="s">
        <v>114</v>
      </c>
      <c r="I23" s="4">
        <v>87</v>
      </c>
      <c r="J23" s="7">
        <v>0.517857142857143</v>
      </c>
      <c r="K23" s="10">
        <v>0.96</v>
      </c>
      <c r="L23" s="10">
        <v>0.72</v>
      </c>
      <c r="M23" s="11">
        <v>0.04</v>
      </c>
      <c r="N23" s="12">
        <v>-0.202142857142857</v>
      </c>
    </row>
    <row r="24" spans="1:14">
      <c r="A24" s="4" t="s">
        <v>56</v>
      </c>
      <c r="B24" s="5"/>
      <c r="C24" s="4" t="str">
        <f t="shared" si="0"/>
        <v>IC 跨境客户部</v>
      </c>
      <c r="D24" s="5">
        <f>VLOOKUP($C24,是否排班!$I:$L,4,FALSE)</f>
        <v>6</v>
      </c>
      <c r="E24" s="5">
        <f>VLOOKUP($C24,日超8H!$I:$L,2,FALSE)</f>
        <v>2</v>
      </c>
      <c r="F24" s="5">
        <f>VLOOKUP($C24,是否排班!$I:$L,3,FALSE)</f>
        <v>0</v>
      </c>
      <c r="G24" s="6">
        <f>VLOOKUP($C24,是否排班!$I:$M,5,FALSE)</f>
        <v>1</v>
      </c>
      <c r="H24" s="7" t="str">
        <f>IFERROR(VLOOKUP($C24,排班正确!$J:$O,6,FALSE),"/")</f>
        <v>/</v>
      </c>
      <c r="I24" s="4">
        <f>VLOOKUP($C24,缺卡!$H:$K,2,FALSE)</f>
        <v>12</v>
      </c>
      <c r="J24" s="7">
        <f>VLOOKUP($C24,缺卡!$H:$K,4,FALSE)</f>
        <v>0.6</v>
      </c>
      <c r="K24" s="10">
        <f>VLOOKUP($C24,[2]汇总!$C:$J,5,FALSE)</f>
        <v>1</v>
      </c>
      <c r="L24" s="10">
        <f>VLOOKUP($C24,[2]汇总!$C:$J,8,FALSE)</f>
        <v>0.75</v>
      </c>
      <c r="M24" s="11">
        <f t="shared" si="1"/>
        <v>0</v>
      </c>
      <c r="N24" s="12">
        <f t="shared" si="2"/>
        <v>-0.15</v>
      </c>
    </row>
    <row r="25" spans="1:14">
      <c r="A25" s="4" t="s">
        <v>57</v>
      </c>
      <c r="B25" s="5"/>
      <c r="C25" s="4" t="s">
        <v>57</v>
      </c>
      <c r="D25" s="5">
        <v>2</v>
      </c>
      <c r="E25" s="5">
        <v>1</v>
      </c>
      <c r="F25" s="5">
        <v>0</v>
      </c>
      <c r="G25" s="6">
        <v>1</v>
      </c>
      <c r="H25" s="7" t="s">
        <v>114</v>
      </c>
      <c r="I25" s="4">
        <v>1</v>
      </c>
      <c r="J25" s="7">
        <v>0.125</v>
      </c>
      <c r="K25" s="10">
        <v>1</v>
      </c>
      <c r="L25" s="10">
        <v>0.25</v>
      </c>
      <c r="M25" s="11">
        <v>0</v>
      </c>
      <c r="N25" s="12">
        <v>-0.125</v>
      </c>
    </row>
    <row r="26" spans="1:14">
      <c r="A26" s="4" t="s">
        <v>6</v>
      </c>
      <c r="B26" s="5"/>
      <c r="C26" s="4" t="s">
        <v>6</v>
      </c>
      <c r="D26" s="5">
        <v>990</v>
      </c>
      <c r="E26" s="5">
        <v>433</v>
      </c>
      <c r="F26" s="5">
        <v>16</v>
      </c>
      <c r="G26" s="6">
        <v>0.983838383838384</v>
      </c>
      <c r="H26" s="7">
        <v>0.771513353115727</v>
      </c>
      <c r="I26" s="4">
        <v>1032</v>
      </c>
      <c r="J26" s="7">
        <v>0.339473684210526</v>
      </c>
      <c r="K26" s="10">
        <v>0.948484848484848</v>
      </c>
      <c r="L26" s="10">
        <v>0.587540983606557</v>
      </c>
      <c r="M26" s="11">
        <v>0.0353535353535358</v>
      </c>
      <c r="N26" s="12">
        <v>-0.248067299396031</v>
      </c>
    </row>
  </sheetData>
  <sortState ref="A3:N9">
    <sortCondition ref="G3:G9"/>
  </sortState>
  <mergeCells count="6">
    <mergeCell ref="D1:J1"/>
    <mergeCell ref="K1:L1"/>
    <mergeCell ref="M1:N1"/>
    <mergeCell ref="A1:A2"/>
    <mergeCell ref="B1:B2"/>
    <mergeCell ref="C1:C2"/>
  </mergeCells>
  <conditionalFormatting sqref="G3">
    <cfRule type="cellIs" dxfId="0" priority="755" operator="equal">
      <formula>1</formula>
    </cfRule>
    <cfRule type="cellIs" dxfId="1" priority="866" operator="lessThan">
      <formula>0.9</formula>
    </cfRule>
    <cfRule type="cellIs" dxfId="2" priority="977" operator="lessThan">
      <formula>1</formula>
    </cfRule>
  </conditionalFormatting>
  <conditionalFormatting sqref="H3">
    <cfRule type="cellIs" dxfId="3" priority="422" operator="greaterThanOrEqual">
      <formula>0.9</formula>
    </cfRule>
    <cfRule type="cellIs" dxfId="4" priority="533" operator="lessThan">
      <formula>0.9</formula>
    </cfRule>
    <cfRule type="cellIs" dxfId="5" priority="644" operator="lessThan">
      <formula>0.5</formula>
    </cfRule>
  </conditionalFormatting>
  <conditionalFormatting sqref="J3">
    <cfRule type="cellIs" dxfId="3" priority="89" operator="lessThan">
      <formula>0.5</formula>
    </cfRule>
    <cfRule type="cellIs" dxfId="4" priority="200" operator="lessThan">
      <formula>0.9</formula>
    </cfRule>
    <cfRule type="cellIs" dxfId="5" priority="311" operator="greaterThanOrEqual">
      <formula>0.9</formula>
    </cfRule>
  </conditionalFormatting>
  <conditionalFormatting sqref="G4">
    <cfRule type="cellIs" dxfId="0" priority="738" operator="equal">
      <formula>1</formula>
    </cfRule>
    <cfRule type="cellIs" dxfId="1" priority="849" operator="lessThan">
      <formula>0.9</formula>
    </cfRule>
    <cfRule type="cellIs" dxfId="2" priority="960" operator="lessThan">
      <formula>1</formula>
    </cfRule>
  </conditionalFormatting>
  <conditionalFormatting sqref="H4">
    <cfRule type="cellIs" dxfId="3" priority="405" operator="greaterThanOrEqual">
      <formula>0.9</formula>
    </cfRule>
    <cfRule type="cellIs" dxfId="4" priority="516" operator="lessThan">
      <formula>0.9</formula>
    </cfRule>
    <cfRule type="cellIs" dxfId="5" priority="627" operator="lessThan">
      <formula>0.5</formula>
    </cfRule>
  </conditionalFormatting>
  <conditionalFormatting sqref="J4">
    <cfRule type="cellIs" dxfId="3" priority="72" operator="lessThan">
      <formula>0.5</formula>
    </cfRule>
    <cfRule type="cellIs" dxfId="4" priority="183" operator="lessThan">
      <formula>0.9</formula>
    </cfRule>
    <cfRule type="cellIs" dxfId="5" priority="294" operator="greaterThanOrEqual">
      <formula>0.9</formula>
    </cfRule>
  </conditionalFormatting>
  <conditionalFormatting sqref="G5">
    <cfRule type="cellIs" dxfId="0" priority="730" operator="equal">
      <formula>1</formula>
    </cfRule>
    <cfRule type="cellIs" dxfId="1" priority="841" operator="lessThan">
      <formula>0.9</formula>
    </cfRule>
    <cfRule type="cellIs" dxfId="2" priority="952" operator="lessThan">
      <formula>1</formula>
    </cfRule>
  </conditionalFormatting>
  <conditionalFormatting sqref="H5">
    <cfRule type="cellIs" dxfId="3" priority="397" operator="greaterThanOrEqual">
      <formula>0.9</formula>
    </cfRule>
    <cfRule type="cellIs" dxfId="4" priority="508" operator="lessThan">
      <formula>0.9</formula>
    </cfRule>
    <cfRule type="cellIs" dxfId="5" priority="619" operator="lessThan">
      <formula>0.5</formula>
    </cfRule>
  </conditionalFormatting>
  <conditionalFormatting sqref="J5">
    <cfRule type="cellIs" dxfId="3" priority="64" operator="lessThan">
      <formula>0.5</formula>
    </cfRule>
    <cfRule type="cellIs" dxfId="4" priority="175" operator="lessThan">
      <formula>0.9</formula>
    </cfRule>
    <cfRule type="cellIs" dxfId="5" priority="286" operator="greaterThanOrEqual">
      <formula>0.9</formula>
    </cfRule>
  </conditionalFormatting>
  <conditionalFormatting sqref="G6">
    <cfRule type="cellIs" dxfId="0" priority="715" operator="equal">
      <formula>1</formula>
    </cfRule>
    <cfRule type="cellIs" dxfId="1" priority="826" operator="lessThan">
      <formula>0.9</formula>
    </cfRule>
    <cfRule type="cellIs" dxfId="2" priority="937" operator="lessThan">
      <formula>1</formula>
    </cfRule>
  </conditionalFormatting>
  <conditionalFormatting sqref="H6">
    <cfRule type="cellIs" dxfId="3" priority="382" operator="greaterThanOrEqual">
      <formula>0.9</formula>
    </cfRule>
    <cfRule type="cellIs" dxfId="4" priority="493" operator="lessThan">
      <formula>0.9</formula>
    </cfRule>
    <cfRule type="cellIs" dxfId="5" priority="604" operator="lessThan">
      <formula>0.5</formula>
    </cfRule>
  </conditionalFormatting>
  <conditionalFormatting sqref="J6">
    <cfRule type="cellIs" dxfId="3" priority="49" operator="lessThan">
      <formula>0.5</formula>
    </cfRule>
    <cfRule type="cellIs" dxfId="4" priority="160" operator="lessThan">
      <formula>0.9</formula>
    </cfRule>
    <cfRule type="cellIs" dxfId="5" priority="271" operator="greaterThanOrEqual">
      <formula>0.9</formula>
    </cfRule>
  </conditionalFormatting>
  <conditionalFormatting sqref="G7">
    <cfRule type="cellIs" dxfId="0" priority="693" operator="equal">
      <formula>1</formula>
    </cfRule>
    <cfRule type="cellIs" dxfId="1" priority="804" operator="lessThan">
      <formula>0.9</formula>
    </cfRule>
    <cfRule type="cellIs" dxfId="2" priority="915" operator="lessThan">
      <formula>1</formula>
    </cfRule>
  </conditionalFormatting>
  <conditionalFormatting sqref="H7">
    <cfRule type="cellIs" dxfId="3" priority="360" operator="greaterThanOrEqual">
      <formula>0.9</formula>
    </cfRule>
    <cfRule type="cellIs" dxfId="4" priority="471" operator="lessThan">
      <formula>0.9</formula>
    </cfRule>
    <cfRule type="cellIs" dxfId="5" priority="582" operator="lessThan">
      <formula>0.5</formula>
    </cfRule>
  </conditionalFormatting>
  <conditionalFormatting sqref="J7">
    <cfRule type="cellIs" dxfId="3" priority="27" operator="lessThan">
      <formula>0.5</formula>
    </cfRule>
    <cfRule type="cellIs" dxfId="4" priority="138" operator="lessThan">
      <formula>0.9</formula>
    </cfRule>
    <cfRule type="cellIs" dxfId="5" priority="249" operator="greaterThanOrEqual">
      <formula>0.9</formula>
    </cfRule>
  </conditionalFormatting>
  <conditionalFormatting sqref="G8">
    <cfRule type="cellIs" dxfId="0" priority="679" operator="equal">
      <formula>1</formula>
    </cfRule>
    <cfRule type="cellIs" dxfId="1" priority="790" operator="lessThan">
      <formula>0.9</formula>
    </cfRule>
    <cfRule type="cellIs" dxfId="2" priority="901" operator="lessThan">
      <formula>1</formula>
    </cfRule>
  </conditionalFormatting>
  <conditionalFormatting sqref="H8">
    <cfRule type="cellIs" dxfId="3" priority="346" operator="greaterThanOrEqual">
      <formula>0.9</formula>
    </cfRule>
    <cfRule type="cellIs" dxfId="4" priority="457" operator="lessThan">
      <formula>0.9</formula>
    </cfRule>
    <cfRule type="cellIs" dxfId="5" priority="568" operator="lessThan">
      <formula>0.5</formula>
    </cfRule>
  </conditionalFormatting>
  <conditionalFormatting sqref="J8">
    <cfRule type="cellIs" dxfId="3" priority="13" operator="lessThan">
      <formula>0.5</formula>
    </cfRule>
    <cfRule type="cellIs" dxfId="4" priority="124" operator="lessThan">
      <formula>0.9</formula>
    </cfRule>
    <cfRule type="cellIs" dxfId="5" priority="235" operator="greaterThanOrEqual">
      <formula>0.9</formula>
    </cfRule>
  </conditionalFormatting>
  <conditionalFormatting sqref="G9">
    <cfRule type="cellIs" dxfId="0" priority="668" operator="equal">
      <formula>1</formula>
    </cfRule>
    <cfRule type="cellIs" dxfId="1" priority="779" operator="lessThan">
      <formula>0.9</formula>
    </cfRule>
    <cfRule type="cellIs" dxfId="2" priority="890" operator="lessThan">
      <formula>1</formula>
    </cfRule>
  </conditionalFormatting>
  <conditionalFormatting sqref="H9">
    <cfRule type="cellIs" dxfId="3" priority="335" operator="greaterThanOrEqual">
      <formula>0.9</formula>
    </cfRule>
    <cfRule type="cellIs" dxfId="4" priority="446" operator="lessThan">
      <formula>0.9</formula>
    </cfRule>
    <cfRule type="cellIs" dxfId="5" priority="557" operator="lessThan">
      <formula>0.5</formula>
    </cfRule>
  </conditionalFormatting>
  <conditionalFormatting sqref="J9">
    <cfRule type="cellIs" dxfId="3" priority="2" operator="lessThan">
      <formula>0.5</formula>
    </cfRule>
    <cfRule type="cellIs" dxfId="4" priority="113" operator="lessThan">
      <formula>0.9</formula>
    </cfRule>
    <cfRule type="cellIs" dxfId="5" priority="224" operator="greaterThanOrEqual">
      <formula>0.9</formula>
    </cfRule>
  </conditionalFormatting>
  <conditionalFormatting sqref="G10">
    <cfRule type="cellIs" dxfId="0" priority="777" operator="equal">
      <formula>1</formula>
    </cfRule>
    <cfRule type="cellIs" dxfId="1" priority="888" operator="lessThan">
      <formula>0.9</formula>
    </cfRule>
    <cfRule type="cellIs" dxfId="2" priority="999" operator="lessThan">
      <formula>1</formula>
    </cfRule>
  </conditionalFormatting>
  <conditionalFormatting sqref="H10">
    <cfRule type="cellIs" dxfId="3" priority="444" operator="greaterThanOrEqual">
      <formula>0.9</formula>
    </cfRule>
    <cfRule type="cellIs" dxfId="4" priority="555" operator="lessThan">
      <formula>0.9</formula>
    </cfRule>
    <cfRule type="cellIs" dxfId="5" priority="666" operator="lessThan">
      <formula>0.5</formula>
    </cfRule>
  </conditionalFormatting>
  <conditionalFormatting sqref="J10">
    <cfRule type="cellIs" dxfId="3" priority="111" operator="lessThan">
      <formula>0.5</formula>
    </cfRule>
    <cfRule type="cellIs" dxfId="4" priority="222" operator="lessThan">
      <formula>0.9</formula>
    </cfRule>
    <cfRule type="cellIs" dxfId="5" priority="333" operator="greaterThanOrEqual">
      <formula>0.9</formula>
    </cfRule>
  </conditionalFormatting>
  <conditionalFormatting sqref="G11">
    <cfRule type="cellIs" dxfId="0" priority="776" operator="equal">
      <formula>1</formula>
    </cfRule>
    <cfRule type="cellIs" dxfId="1" priority="887" operator="lessThan">
      <formula>0.9</formula>
    </cfRule>
    <cfRule type="cellIs" dxfId="2" priority="998" operator="lessThan">
      <formula>1</formula>
    </cfRule>
  </conditionalFormatting>
  <conditionalFormatting sqref="H11">
    <cfRule type="cellIs" dxfId="3" priority="443" operator="greaterThanOrEqual">
      <formula>0.9</formula>
    </cfRule>
    <cfRule type="cellIs" dxfId="4" priority="554" operator="lessThan">
      <formula>0.9</formula>
    </cfRule>
    <cfRule type="cellIs" dxfId="5" priority="665" operator="lessThan">
      <formula>0.5</formula>
    </cfRule>
  </conditionalFormatting>
  <conditionalFormatting sqref="J11">
    <cfRule type="cellIs" dxfId="3" priority="110" operator="lessThan">
      <formula>0.5</formula>
    </cfRule>
    <cfRule type="cellIs" dxfId="4" priority="221" operator="lessThan">
      <formula>0.9</formula>
    </cfRule>
    <cfRule type="cellIs" dxfId="5" priority="332" operator="greaterThanOrEqual">
      <formula>0.9</formula>
    </cfRule>
  </conditionalFormatting>
  <conditionalFormatting sqref="G12">
    <cfRule type="cellIs" dxfId="0" priority="775" operator="equal">
      <formula>1</formula>
    </cfRule>
    <cfRule type="cellIs" dxfId="1" priority="886" operator="lessThan">
      <formula>0.9</formula>
    </cfRule>
    <cfRule type="cellIs" dxfId="2" priority="997" operator="lessThan">
      <formula>1</formula>
    </cfRule>
  </conditionalFormatting>
  <conditionalFormatting sqref="H12">
    <cfRule type="cellIs" dxfId="3" priority="442" operator="greaterThanOrEqual">
      <formula>0.9</formula>
    </cfRule>
    <cfRule type="cellIs" dxfId="4" priority="553" operator="lessThan">
      <formula>0.9</formula>
    </cfRule>
    <cfRule type="cellIs" dxfId="5" priority="664" operator="lessThan">
      <formula>0.5</formula>
    </cfRule>
  </conditionalFormatting>
  <conditionalFormatting sqref="J12">
    <cfRule type="cellIs" dxfId="3" priority="109" operator="lessThan">
      <formula>0.5</formula>
    </cfRule>
    <cfRule type="cellIs" dxfId="4" priority="220" operator="lessThan">
      <formula>0.9</formula>
    </cfRule>
    <cfRule type="cellIs" dxfId="5" priority="331" operator="greaterThanOrEqual">
      <formula>0.9</formula>
    </cfRule>
  </conditionalFormatting>
  <conditionalFormatting sqref="G13">
    <cfRule type="cellIs" dxfId="0" priority="774" operator="equal">
      <formula>1</formula>
    </cfRule>
    <cfRule type="cellIs" dxfId="1" priority="885" operator="lessThan">
      <formula>0.9</formula>
    </cfRule>
    <cfRule type="cellIs" dxfId="2" priority="996" operator="lessThan">
      <formula>1</formula>
    </cfRule>
  </conditionalFormatting>
  <conditionalFormatting sqref="H13">
    <cfRule type="cellIs" dxfId="3" priority="441" operator="greaterThanOrEqual">
      <formula>0.9</formula>
    </cfRule>
    <cfRule type="cellIs" dxfId="4" priority="552" operator="lessThan">
      <formula>0.9</formula>
    </cfRule>
    <cfRule type="cellIs" dxfId="5" priority="663" operator="lessThan">
      <formula>0.5</formula>
    </cfRule>
  </conditionalFormatting>
  <conditionalFormatting sqref="J13">
    <cfRule type="cellIs" dxfId="3" priority="108" operator="lessThan">
      <formula>0.5</formula>
    </cfRule>
    <cfRule type="cellIs" dxfId="4" priority="219" operator="lessThan">
      <formula>0.9</formula>
    </cfRule>
    <cfRule type="cellIs" dxfId="5" priority="330" operator="greaterThanOrEqual">
      <formula>0.9</formula>
    </cfRule>
  </conditionalFormatting>
  <conditionalFormatting sqref="G14">
    <cfRule type="cellIs" dxfId="0" priority="773" operator="equal">
      <formula>1</formula>
    </cfRule>
    <cfRule type="cellIs" dxfId="1" priority="884" operator="lessThan">
      <formula>0.9</formula>
    </cfRule>
    <cfRule type="cellIs" dxfId="2" priority="995" operator="lessThan">
      <formula>1</formula>
    </cfRule>
  </conditionalFormatting>
  <conditionalFormatting sqref="H14">
    <cfRule type="cellIs" dxfId="3" priority="440" operator="greaterThanOrEqual">
      <formula>0.9</formula>
    </cfRule>
    <cfRule type="cellIs" dxfId="4" priority="551" operator="lessThan">
      <formula>0.9</formula>
    </cfRule>
    <cfRule type="cellIs" dxfId="5" priority="662" operator="lessThan">
      <formula>0.5</formula>
    </cfRule>
  </conditionalFormatting>
  <conditionalFormatting sqref="J14">
    <cfRule type="cellIs" dxfId="3" priority="107" operator="lessThan">
      <formula>0.5</formula>
    </cfRule>
    <cfRule type="cellIs" dxfId="4" priority="218" operator="lessThan">
      <formula>0.9</formula>
    </cfRule>
    <cfRule type="cellIs" dxfId="5" priority="329" operator="greaterThanOrEqual">
      <formula>0.9</formula>
    </cfRule>
  </conditionalFormatting>
  <conditionalFormatting sqref="G15">
    <cfRule type="cellIs" dxfId="0" priority="772" operator="equal">
      <formula>1</formula>
    </cfRule>
    <cfRule type="cellIs" dxfId="1" priority="883" operator="lessThan">
      <formula>0.9</formula>
    </cfRule>
    <cfRule type="cellIs" dxfId="2" priority="994" operator="lessThan">
      <formula>1</formula>
    </cfRule>
  </conditionalFormatting>
  <conditionalFormatting sqref="H15">
    <cfRule type="cellIs" dxfId="3" priority="439" operator="greaterThanOrEqual">
      <formula>0.9</formula>
    </cfRule>
    <cfRule type="cellIs" dxfId="4" priority="550" operator="lessThan">
      <formula>0.9</formula>
    </cfRule>
    <cfRule type="cellIs" dxfId="5" priority="661" operator="lessThan">
      <formula>0.5</formula>
    </cfRule>
  </conditionalFormatting>
  <conditionalFormatting sqref="J15">
    <cfRule type="cellIs" dxfId="3" priority="106" operator="lessThan">
      <formula>0.5</formula>
    </cfRule>
    <cfRule type="cellIs" dxfId="4" priority="217" operator="lessThan">
      <formula>0.9</formula>
    </cfRule>
    <cfRule type="cellIs" dxfId="5" priority="328" operator="greaterThanOrEqual">
      <formula>0.9</formula>
    </cfRule>
  </conditionalFormatting>
  <conditionalFormatting sqref="G16">
    <cfRule type="cellIs" dxfId="0" priority="771" operator="equal">
      <formula>1</formula>
    </cfRule>
    <cfRule type="cellIs" dxfId="1" priority="882" operator="lessThan">
      <formula>0.9</formula>
    </cfRule>
    <cfRule type="cellIs" dxfId="2" priority="993" operator="lessThan">
      <formula>1</formula>
    </cfRule>
  </conditionalFormatting>
  <conditionalFormatting sqref="H16">
    <cfRule type="cellIs" dxfId="3" priority="438" operator="greaterThanOrEqual">
      <formula>0.9</formula>
    </cfRule>
    <cfRule type="cellIs" dxfId="4" priority="549" operator="lessThan">
      <formula>0.9</formula>
    </cfRule>
    <cfRule type="cellIs" dxfId="5" priority="660" operator="lessThan">
      <formula>0.5</formula>
    </cfRule>
  </conditionalFormatting>
  <conditionalFormatting sqref="J16">
    <cfRule type="cellIs" dxfId="3" priority="105" operator="lessThan">
      <formula>0.5</formula>
    </cfRule>
    <cfRule type="cellIs" dxfId="4" priority="216" operator="lessThan">
      <formula>0.9</formula>
    </cfRule>
    <cfRule type="cellIs" dxfId="5" priority="327" operator="greaterThanOrEqual">
      <formula>0.9</formula>
    </cfRule>
  </conditionalFormatting>
  <conditionalFormatting sqref="G17">
    <cfRule type="cellIs" dxfId="0" priority="737" operator="equal">
      <formula>1</formula>
    </cfRule>
    <cfRule type="cellIs" dxfId="1" priority="848" operator="lessThan">
      <formula>0.9</formula>
    </cfRule>
    <cfRule type="cellIs" dxfId="2" priority="959" operator="lessThan">
      <formula>1</formula>
    </cfRule>
  </conditionalFormatting>
  <conditionalFormatting sqref="H17">
    <cfRule type="cellIs" dxfId="3" priority="404" operator="greaterThanOrEqual">
      <formula>0.9</formula>
    </cfRule>
    <cfRule type="cellIs" dxfId="4" priority="515" operator="lessThan">
      <formula>0.9</formula>
    </cfRule>
    <cfRule type="cellIs" dxfId="5" priority="626" operator="lessThan">
      <formula>0.5</formula>
    </cfRule>
  </conditionalFormatting>
  <conditionalFormatting sqref="J17">
    <cfRule type="cellIs" dxfId="3" priority="71" operator="lessThan">
      <formula>0.5</formula>
    </cfRule>
    <cfRule type="cellIs" dxfId="4" priority="182" operator="lessThan">
      <formula>0.9</formula>
    </cfRule>
    <cfRule type="cellIs" dxfId="5" priority="293" operator="greaterThanOrEqual">
      <formula>0.9</formula>
    </cfRule>
  </conditionalFormatting>
  <conditionalFormatting sqref="G18">
    <cfRule type="cellIs" dxfId="0" priority="692" operator="equal">
      <formula>1</formula>
    </cfRule>
    <cfRule type="cellIs" dxfId="1" priority="803" operator="lessThan">
      <formula>0.9</formula>
    </cfRule>
    <cfRule type="cellIs" dxfId="2" priority="914" operator="lessThan">
      <formula>1</formula>
    </cfRule>
  </conditionalFormatting>
  <conditionalFormatting sqref="H18">
    <cfRule type="cellIs" dxfId="3" priority="359" operator="greaterThanOrEqual">
      <formula>0.9</formula>
    </cfRule>
    <cfRule type="cellIs" dxfId="4" priority="470" operator="lessThan">
      <formula>0.9</formula>
    </cfRule>
    <cfRule type="cellIs" dxfId="5" priority="581" operator="lessThan">
      <formula>0.5</formula>
    </cfRule>
  </conditionalFormatting>
  <conditionalFormatting sqref="J18">
    <cfRule type="cellIs" dxfId="3" priority="26" operator="lessThan">
      <formula>0.5</formula>
    </cfRule>
    <cfRule type="cellIs" dxfId="4" priority="137" operator="lessThan">
      <formula>0.9</formula>
    </cfRule>
    <cfRule type="cellIs" dxfId="5" priority="248" operator="greaterThanOrEqual">
      <formula>0.9</formula>
    </cfRule>
  </conditionalFormatting>
  <conditionalFormatting sqref="G19">
    <cfRule type="cellIs" dxfId="0" priority="691" operator="equal">
      <formula>1</formula>
    </cfRule>
    <cfRule type="cellIs" dxfId="1" priority="802" operator="lessThan">
      <formula>0.9</formula>
    </cfRule>
    <cfRule type="cellIs" dxfId="2" priority="913" operator="lessThan">
      <formula>1</formula>
    </cfRule>
  </conditionalFormatting>
  <conditionalFormatting sqref="H19">
    <cfRule type="cellIs" dxfId="3" priority="358" operator="greaterThanOrEqual">
      <formula>0.9</formula>
    </cfRule>
    <cfRule type="cellIs" dxfId="4" priority="469" operator="lessThan">
      <formula>0.9</formula>
    </cfRule>
    <cfRule type="cellIs" dxfId="5" priority="580" operator="lessThan">
      <formula>0.5</formula>
    </cfRule>
  </conditionalFormatting>
  <conditionalFormatting sqref="J19">
    <cfRule type="cellIs" dxfId="3" priority="25" operator="lessThan">
      <formula>0.5</formula>
    </cfRule>
    <cfRule type="cellIs" dxfId="4" priority="136" operator="lessThan">
      <formula>0.9</formula>
    </cfRule>
    <cfRule type="cellIs" dxfId="5" priority="247" operator="greaterThanOrEqual">
      <formula>0.9</formula>
    </cfRule>
  </conditionalFormatting>
  <conditionalFormatting sqref="G20">
    <cfRule type="cellIs" dxfId="0" priority="690" operator="equal">
      <formula>1</formula>
    </cfRule>
    <cfRule type="cellIs" dxfId="1" priority="801" operator="lessThan">
      <formula>0.9</formula>
    </cfRule>
    <cfRule type="cellIs" dxfId="2" priority="912" operator="lessThan">
      <formula>1</formula>
    </cfRule>
  </conditionalFormatting>
  <conditionalFormatting sqref="H20">
    <cfRule type="cellIs" dxfId="3" priority="357" operator="greaterThanOrEqual">
      <formula>0.9</formula>
    </cfRule>
    <cfRule type="cellIs" dxfId="4" priority="468" operator="lessThan">
      <formula>0.9</formula>
    </cfRule>
    <cfRule type="cellIs" dxfId="5" priority="579" operator="lessThan">
      <formula>0.5</formula>
    </cfRule>
  </conditionalFormatting>
  <conditionalFormatting sqref="J20">
    <cfRule type="cellIs" dxfId="3" priority="24" operator="lessThan">
      <formula>0.5</formula>
    </cfRule>
    <cfRule type="cellIs" dxfId="4" priority="135" operator="lessThan">
      <formula>0.9</formula>
    </cfRule>
    <cfRule type="cellIs" dxfId="5" priority="246" operator="greaterThanOrEqual">
      <formula>0.9</formula>
    </cfRule>
  </conditionalFormatting>
  <conditionalFormatting sqref="G21">
    <cfRule type="cellIs" dxfId="0" priority="689" operator="equal">
      <formula>1</formula>
    </cfRule>
    <cfRule type="cellIs" dxfId="1" priority="800" operator="lessThan">
      <formula>0.9</formula>
    </cfRule>
    <cfRule type="cellIs" dxfId="2" priority="911" operator="lessThan">
      <formula>1</formula>
    </cfRule>
  </conditionalFormatting>
  <conditionalFormatting sqref="H21">
    <cfRule type="cellIs" dxfId="3" priority="356" operator="greaterThanOrEqual">
      <formula>0.9</formula>
    </cfRule>
    <cfRule type="cellIs" dxfId="4" priority="467" operator="lessThan">
      <formula>0.9</formula>
    </cfRule>
    <cfRule type="cellIs" dxfId="5" priority="578" operator="lessThan">
      <formula>0.5</formula>
    </cfRule>
  </conditionalFormatting>
  <conditionalFormatting sqref="J21">
    <cfRule type="cellIs" dxfId="3" priority="23" operator="lessThan">
      <formula>0.5</formula>
    </cfRule>
    <cfRule type="cellIs" dxfId="4" priority="134" operator="lessThan">
      <formula>0.9</formula>
    </cfRule>
    <cfRule type="cellIs" dxfId="5" priority="245" operator="greaterThanOrEqual">
      <formula>0.9</formula>
    </cfRule>
  </conditionalFormatting>
  <conditionalFormatting sqref="G22">
    <cfRule type="cellIs" dxfId="0" priority="688" operator="equal">
      <formula>1</formula>
    </cfRule>
    <cfRule type="cellIs" dxfId="1" priority="799" operator="lessThan">
      <formula>0.9</formula>
    </cfRule>
    <cfRule type="cellIs" dxfId="2" priority="910" operator="lessThan">
      <formula>1</formula>
    </cfRule>
  </conditionalFormatting>
  <conditionalFormatting sqref="H22">
    <cfRule type="cellIs" dxfId="3" priority="355" operator="greaterThanOrEqual">
      <formula>0.9</formula>
    </cfRule>
    <cfRule type="cellIs" dxfId="4" priority="466" operator="lessThan">
      <formula>0.9</formula>
    </cfRule>
    <cfRule type="cellIs" dxfId="5" priority="577" operator="lessThan">
      <formula>0.5</formula>
    </cfRule>
  </conditionalFormatting>
  <conditionalFormatting sqref="J22">
    <cfRule type="cellIs" dxfId="3" priority="22" operator="lessThan">
      <formula>0.5</formula>
    </cfRule>
    <cfRule type="cellIs" dxfId="4" priority="133" operator="lessThan">
      <formula>0.9</formula>
    </cfRule>
    <cfRule type="cellIs" dxfId="5" priority="244" operator="greaterThanOrEqual">
      <formula>0.9</formula>
    </cfRule>
  </conditionalFormatting>
  <conditionalFormatting sqref="G23">
    <cfRule type="cellIs" dxfId="0" priority="678" operator="equal">
      <formula>1</formula>
    </cfRule>
    <cfRule type="cellIs" dxfId="1" priority="789" operator="lessThan">
      <formula>0.9</formula>
    </cfRule>
    <cfRule type="cellIs" dxfId="2" priority="900" operator="lessThan">
      <formula>1</formula>
    </cfRule>
  </conditionalFormatting>
  <conditionalFormatting sqref="H23">
    <cfRule type="cellIs" dxfId="3" priority="345" operator="greaterThanOrEqual">
      <formula>0.9</formula>
    </cfRule>
    <cfRule type="cellIs" dxfId="4" priority="456" operator="lessThan">
      <formula>0.9</formula>
    </cfRule>
    <cfRule type="cellIs" dxfId="5" priority="567" operator="lessThan">
      <formula>0.5</formula>
    </cfRule>
  </conditionalFormatting>
  <conditionalFormatting sqref="J23">
    <cfRule type="cellIs" dxfId="3" priority="12" operator="lessThan">
      <formula>0.5</formula>
    </cfRule>
    <cfRule type="cellIs" dxfId="4" priority="123" operator="lessThan">
      <formula>0.9</formula>
    </cfRule>
    <cfRule type="cellIs" dxfId="5" priority="234" operator="greaterThanOrEqual">
      <formula>0.9</formula>
    </cfRule>
  </conditionalFormatting>
  <conditionalFormatting sqref="G24">
    <cfRule type="cellIs" dxfId="0" priority="729" operator="equal">
      <formula>1</formula>
    </cfRule>
    <cfRule type="cellIs" dxfId="1" priority="840" operator="lessThan">
      <formula>0.9</formula>
    </cfRule>
    <cfRule type="cellIs" dxfId="2" priority="951" operator="lessThan">
      <formula>1</formula>
    </cfRule>
  </conditionalFormatting>
  <conditionalFormatting sqref="H24">
    <cfRule type="cellIs" dxfId="3" priority="396" operator="greaterThanOrEqual">
      <formula>0.9</formula>
    </cfRule>
    <cfRule type="cellIs" dxfId="4" priority="507" operator="lessThan">
      <formula>0.9</formula>
    </cfRule>
    <cfRule type="cellIs" dxfId="5" priority="618" operator="lessThan">
      <formula>0.5</formula>
    </cfRule>
  </conditionalFormatting>
  <conditionalFormatting sqref="J24">
    <cfRule type="cellIs" dxfId="3" priority="63" operator="lessThan">
      <formula>0.5</formula>
    </cfRule>
    <cfRule type="cellIs" dxfId="4" priority="174" operator="lessThan">
      <formula>0.9</formula>
    </cfRule>
    <cfRule type="cellIs" dxfId="5" priority="285" operator="greaterThanOrEqual">
      <formula>0.9</formula>
    </cfRule>
  </conditionalFormatting>
  <conditionalFormatting sqref="G25">
    <cfRule type="cellIs" dxfId="0" priority="728" operator="equal">
      <formula>1</formula>
    </cfRule>
    <cfRule type="cellIs" dxfId="1" priority="839" operator="lessThan">
      <formula>0.9</formula>
    </cfRule>
    <cfRule type="cellIs" dxfId="2" priority="950" operator="lessThan">
      <formula>1</formula>
    </cfRule>
  </conditionalFormatting>
  <conditionalFormatting sqref="H25">
    <cfRule type="cellIs" dxfId="3" priority="395" operator="greaterThanOrEqual">
      <formula>0.9</formula>
    </cfRule>
    <cfRule type="cellIs" dxfId="4" priority="506" operator="lessThan">
      <formula>0.9</formula>
    </cfRule>
    <cfRule type="cellIs" dxfId="5" priority="617" operator="lessThan">
      <formula>0.5</formula>
    </cfRule>
  </conditionalFormatting>
  <conditionalFormatting sqref="J25">
    <cfRule type="cellIs" dxfId="3" priority="62" operator="lessThan">
      <formula>0.5</formula>
    </cfRule>
    <cfRule type="cellIs" dxfId="4" priority="173" operator="lessThan">
      <formula>0.9</formula>
    </cfRule>
    <cfRule type="cellIs" dxfId="5" priority="284" operator="greaterThanOrEqual">
      <formula>0.9</formula>
    </cfRule>
  </conditionalFormatting>
  <conditionalFormatting sqref="G26">
    <cfRule type="cellIs" dxfId="0" priority="667" operator="equal">
      <formula>1</formula>
    </cfRule>
    <cfRule type="cellIs" dxfId="1" priority="778" operator="lessThan">
      <formula>0.9</formula>
    </cfRule>
    <cfRule type="cellIs" dxfId="2" priority="889" operator="lessThan">
      <formula>1</formula>
    </cfRule>
  </conditionalFormatting>
  <conditionalFormatting sqref="H26">
    <cfRule type="cellIs" dxfId="3" priority="334" operator="greaterThanOrEqual">
      <formula>0.9</formula>
    </cfRule>
    <cfRule type="cellIs" dxfId="4" priority="445" operator="lessThan">
      <formula>0.9</formula>
    </cfRule>
    <cfRule type="cellIs" dxfId="5" priority="556" operator="lessThan">
      <formula>0.5</formula>
    </cfRule>
  </conditionalFormatting>
  <conditionalFormatting sqref="J26">
    <cfRule type="cellIs" dxfId="3" priority="1" operator="lessThan">
      <formula>0.5</formula>
    </cfRule>
    <cfRule type="cellIs" dxfId="4" priority="112" operator="lessThan">
      <formula>0.9</formula>
    </cfRule>
    <cfRule type="cellIs" dxfId="5" priority="223" operator="greaterThanOrEqual">
      <formula>0.9</formula>
    </cfRule>
  </conditionalFormatting>
  <conditionalFormatting sqref="M3:M26">
    <cfRule type="iconSet" priority="1001">
      <iconSet iconSet="3Arrows">
        <cfvo type="percent" val="0"/>
        <cfvo type="percent" val="0"/>
        <cfvo type="percent" val="0" gte="0"/>
      </iconSe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00" id="{65f55138-2d73-4166-93e3-fc3051bd783a}">
            <x14:iconSet iconSet="3Signs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N3:N26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日超8H</vt:lpstr>
      <vt:lpstr>是否排班</vt:lpstr>
      <vt:lpstr>排班正确</vt:lpstr>
      <vt:lpstr>缺卡</vt:lpstr>
      <vt:lpstr>每日打卡工时推送模版</vt:lpstr>
      <vt:lpstr>汇总</vt:lpstr>
      <vt:lpstr>汇总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</cp:lastModifiedBy>
  <dcterms:created xsi:type="dcterms:W3CDTF">2026-05-13T07:14:00Z</dcterms:created>
  <dcterms:modified xsi:type="dcterms:W3CDTF">2026-05-14T09:00:02Z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CB4AEF154D724232AAEBB2A7553DC722_12</vt:lpwstr>
  </property>
</Properties>
</file>